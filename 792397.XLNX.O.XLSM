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8930" windowHeight="11700" tabRatio="892" firstSheet="1" activeTab="1"/>
  </bookViews>
  <sheets>
    <sheet name="__FDSCACHE__" sheetId="7" state="veryHidden" r:id="rId1"/>
    <sheet name="ImportantDisclosures" sheetId="58" r:id="rId2"/>
    <sheet name="IS" sheetId="1" r:id="rId3"/>
    <sheet name="BS" sheetId="2" r:id="rId4"/>
    <sheet name="MW-Cache" sheetId="9" state="veryHidden" r:id="rId5"/>
    <sheet name="CFS" sheetId="3" r:id="rId6"/>
    <sheet name="BU-Segment" sheetId="13" r:id="rId7"/>
    <sheet name="IndexInformation" sheetId="59" r:id="rId8"/>
    <sheet name="ModPubIndex" sheetId="60" r:id="rId9"/>
  </sheets>
  <externalReferences>
    <externalReference r:id="rId10"/>
    <externalReference r:id="rId11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10DC1DF1CDE744D5BD34DA6F03B0F348.edm" localSheetId="5" hidden="1">CFS!$A$7:$CK$53</definedName>
    <definedName name="_bdm.186BD0CA2A1B474BBEEA7FFFC31D2419.edm" hidden="1">BS!$1:$1048576</definedName>
    <definedName name="_bdm.2DDD310B53CB4888A0480BA46DB94F91.edm" localSheetId="3" hidden="1">BS!$B$7:$CK$41</definedName>
    <definedName name="_bdm.537621F60F8F4B0097CC44A95A90A970.edm" localSheetId="2" hidden="1">IS!$A$7:$CK$85</definedName>
    <definedName name="_bdm.8E0171AE1533482AB589E0E10D4C0A9E.edm" localSheetId="2" hidden="1">IS!$B$7:$CK$85</definedName>
    <definedName name="_bdm.B8FF55F91BF648F79C32AA2582C04668.edm" hidden="1">IS!$1:$1048576</definedName>
    <definedName name="_bdm.BC6B5B0C9F0B42FD9BF75D8F4E667A1E.edm" localSheetId="5" hidden="1">CFS!$B$7:$CK$53</definedName>
    <definedName name="_bdm.C54267A8ACB24FD2856ED58FC3E68CF3.edm" localSheetId="3" hidden="1">BS!$A$7:$CK$41</definedName>
    <definedName name="_bdm.CA7F1F3ED79A4B8084DCD8C62E0CD503.edm" hidden="1">CFS!$1:$1048576</definedName>
    <definedName name="_Order1" hidden="1">255</definedName>
    <definedName name="AdditionalInstructions">IndexInformation!$B$42</definedName>
    <definedName name="Address" localSheetId="1">ImportantDisclosures!$A$2:$A$2</definedName>
    <definedName name="ANA" localSheetId="8">ModPubIndex!$A$7</definedName>
    <definedName name="anscount" hidden="1">1</definedName>
    <definedName name="Authors" localSheetId="1">ImportantDisclosures!$A$7</definedName>
    <definedName name="Authors" localSheetId="7">IndexInformation!$B$18</definedName>
    <definedName name="BRO" localSheetId="8">ModPubIndex!$A$1</definedName>
    <definedName name="BS">BS!$D$43:$BX$43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aseries4">OFFSET([2]c1!$G$12,0,0,COUNTA([2]c1!$G$12:$G$31),1)</definedName>
    <definedName name="Date" localSheetId="1">ImportantDisclosures!$A$8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1">ImportantDisclosures!#REF!</definedName>
    <definedName name="DistTablePreamble" localSheetId="1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EMAIL_ALERT" localSheetId="8">ModPubIndex!$A$10</definedName>
    <definedName name="EmailAlert" localSheetId="7">IndexInformation!$B$28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HL" localSheetId="8">ModPubIndex!$A$8</definedName>
    <definedName name="IND" localSheetId="8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KeepVersions" localSheetId="7">IndexInformation!$B$8</definedName>
    <definedName name="LanguageCode">IndexInformation!$B$38</definedName>
    <definedName name="LastCell" localSheetId="1">ImportantDisclosures!$A$22</definedName>
    <definedName name="Linking_1">BS!$A$7:$AY$41</definedName>
    <definedName name="Linking_12">IS!$B$7:$BZ$85</definedName>
    <definedName name="Linking_13">CFS!$B$7:$BZ$53</definedName>
    <definedName name="Linking_15">BS!$B$7:$BG$41</definedName>
    <definedName name="Linking_16">IS!$B$7:$CA$85</definedName>
    <definedName name="Linking_17">CFS!$B$7:$CA$53</definedName>
    <definedName name="Linking_18">IS!$B$10</definedName>
    <definedName name="Linking_20">BS!$B$7:$BK$41</definedName>
    <definedName name="Linking_21">CFS!$B$3:$CA$53</definedName>
    <definedName name="Linking_22">CFS!$B$7:$CB$53</definedName>
    <definedName name="Linking_4">CFS!$B$7:$BX$53</definedName>
    <definedName name="Linking_7">IS!$B$7:$BY$85</definedName>
    <definedName name="Linking_8">BS!$B$7:$BC$41</definedName>
    <definedName name="Linking_9">CFS!$B$7:$BY$53</definedName>
    <definedName name="Linking_Range_1">IS!$B$7:$CK$85</definedName>
    <definedName name="Linking_Range_10">IS!$B$7:$BU$85</definedName>
    <definedName name="Linking_Range_11">BS!$B$7:$AQ$41</definedName>
    <definedName name="Linking_Range_12">CFS!$B$7:$BU$53</definedName>
    <definedName name="Linking_Range_17">BS!$B$7:$BU$41</definedName>
    <definedName name="Linking_Range_2">BS!$B$7:$CK$41</definedName>
    <definedName name="Linking_Range_22">IS!$B$7:$BV$85</definedName>
    <definedName name="Linking_Range_23">BS!$B$7:$BV$41</definedName>
    <definedName name="Linking_Range_24">CFS!$B$7:$BV$53</definedName>
    <definedName name="Linking_Range_27">IS!$B$7:$BW$85</definedName>
    <definedName name="Linking_Range_28">BS!$B$7:$BW$41</definedName>
    <definedName name="Linking_Range_3">CFS!$B$7:$CK$53</definedName>
    <definedName name="Linking_Range_31">IS!$B$7:$CM$85</definedName>
    <definedName name="Linking_Range_32">BS!$B$7:$CM$41</definedName>
    <definedName name="Linking_Range_33">CFS!$A$7:$CM$53</definedName>
    <definedName name="Linking_Range_35">IS!$B$7:$CN$85</definedName>
    <definedName name="Linking_Range_36">BS!$B$6:$CN$41</definedName>
    <definedName name="Linking_Range_37">CFS!$B$7:$CN$53</definedName>
    <definedName name="Linking_Range_38">CFS!$B$7:$BV$55</definedName>
    <definedName name="Linking_Range_39">CFS!$B$7:$BW$53</definedName>
    <definedName name="Linking_Range_44">IS!$B$7:$BX$85</definedName>
    <definedName name="Linking_Range_45">BS!$B$7:$AU$41</definedName>
    <definedName name="Linking_Range_51">BS!$B$7:$AY$41</definedName>
    <definedName name="Linking_Range_7">IS!$B$7:$CK$99</definedName>
    <definedName name="Linking_Text_2">IS!$AF$10</definedName>
    <definedName name="MacroVersion" localSheetId="7">IndexInformation!$B$1</definedName>
    <definedName name="ModelPrice" localSheetId="1">ImportantDisclosures!$A$14</definedName>
    <definedName name="Multiplier" localSheetId="7">IndexInformation!$B$35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PANA" localSheetId="8">ModPubIndex!$A$11</definedName>
    <definedName name="PathName" localSheetId="7">IndexInformation!$B$25</definedName>
    <definedName name="_xlnm.Print_Area" localSheetId="6">'BU-Segment'!$A$1:$BU$74</definedName>
    <definedName name="_xlnm.Print_Area" localSheetId="2">IS!$A$1:$AH$91</definedName>
    <definedName name="PRODUCT" localSheetId="8">ModPubIndex!$A$6</definedName>
    <definedName name="PSYM" localSheetId="8">ModPubIndex!$A$4</definedName>
    <definedName name="PublishDate" localSheetId="7">IndexInformation!$B$2</definedName>
    <definedName name="Rating" localSheetId="7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searchTopic" localSheetId="7">IndexInformation!$B$4</definedName>
    <definedName name="RIC" localSheetId="7">IndexInformation!$B$21</definedName>
    <definedName name="SECSettlement" localSheetId="1">ImportantDisclosures!#REF!</definedName>
    <definedName name="SEDOL" localSheetId="7">IndexInformation!$B$22</definedName>
    <definedName name="sencount" hidden="1">1</definedName>
    <definedName name="SourceDefined" localSheetId="1">ImportantDisclosures!$A$19</definedName>
    <definedName name="StockRating" localSheetId="1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1">ImportantDisclosures!$A$15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7">IndexInformation!$B$19</definedName>
    <definedName name="UpdateReason" localSheetId="7">IndexInformation!$B$17</definedName>
    <definedName name="USRegDisclosures" localSheetId="1">ImportantDisclosures!#REF!</definedName>
  </definedNames>
  <calcPr calcId="145621" calcMode="autoNoTable"/>
</workbook>
</file>

<file path=xl/calcChain.xml><?xml version="1.0" encoding="utf-8"?>
<calcChain xmlns="http://schemas.openxmlformats.org/spreadsheetml/2006/main">
  <c r="BG28" i="1" l="1"/>
  <c r="BI28" i="1" s="1"/>
  <c r="BF35" i="1"/>
  <c r="BG35" i="1" s="1"/>
  <c r="CO51" i="3"/>
  <c r="CO133" i="3" s="1"/>
  <c r="CB9" i="13"/>
  <c r="CB126" i="3"/>
  <c r="CB125" i="3"/>
  <c r="CB123" i="3"/>
  <c r="CB119" i="3"/>
  <c r="CB118" i="3"/>
  <c r="CB117" i="3"/>
  <c r="CB116" i="3"/>
  <c r="CB101" i="3"/>
  <c r="CB100" i="3"/>
  <c r="CB98" i="3"/>
  <c r="CB97" i="3"/>
  <c r="CB64" i="3"/>
  <c r="CB9" i="2"/>
  <c r="CB112" i="1"/>
  <c r="CB151" i="3"/>
  <c r="CB88" i="1"/>
  <c r="CB102" i="1" s="1"/>
  <c r="BY90" i="1"/>
  <c r="BC34" i="13"/>
  <c r="BC51" i="3"/>
  <c r="CP51" i="3"/>
  <c r="CP133" i="3" s="1"/>
  <c r="BC12" i="2"/>
  <c r="BC95" i="3"/>
  <c r="BC53" i="2"/>
  <c r="BC49" i="2" s="1"/>
  <c r="BC48" i="2" s="1"/>
  <c r="BC52" i="2"/>
  <c r="BC47" i="2" s="1"/>
  <c r="BC29" i="2"/>
  <c r="BC22" i="2"/>
  <c r="BY22" i="2" s="1"/>
  <c r="BC21" i="2"/>
  <c r="BY21" i="2" s="1"/>
  <c r="BC105" i="1"/>
  <c r="BC106" i="1" s="1"/>
  <c r="BC42" i="1"/>
  <c r="BC71" i="1"/>
  <c r="BC59" i="1"/>
  <c r="BC55" i="1"/>
  <c r="BC38" i="1"/>
  <c r="BC39" i="1" s="1"/>
  <c r="BC35" i="1"/>
  <c r="BC31" i="1"/>
  <c r="BC32" i="1" s="1"/>
  <c r="BC28" i="1"/>
  <c r="BC21" i="1"/>
  <c r="BC22" i="1" s="1"/>
  <c r="BC18" i="1"/>
  <c r="BC15" i="1"/>
  <c r="BC12" i="1"/>
  <c r="BC11" i="1"/>
  <c r="BB55" i="3"/>
  <c r="BB20" i="3"/>
  <c r="BB127" i="3"/>
  <c r="BB95" i="3"/>
  <c r="BB137" i="3"/>
  <c r="BB130" i="3"/>
  <c r="BC130" i="3" s="1"/>
  <c r="BD130" i="3" s="1"/>
  <c r="BE130" i="3" s="1"/>
  <c r="BF130" i="3" s="1"/>
  <c r="BG130" i="3" s="1"/>
  <c r="BB120" i="3"/>
  <c r="BB61" i="2"/>
  <c r="BB66" i="2" s="1"/>
  <c r="BB69" i="2" s="1"/>
  <c r="BB61" i="3"/>
  <c r="BC125" i="3"/>
  <c r="BY125" i="3" s="1"/>
  <c r="BB34" i="13"/>
  <c r="BB22" i="13"/>
  <c r="BB53" i="2"/>
  <c r="BB50" i="2" s="1"/>
  <c r="BB52" i="2"/>
  <c r="BB47" i="2" s="1"/>
  <c r="BB49" i="2"/>
  <c r="BB48" i="2"/>
  <c r="BB37" i="2"/>
  <c r="BB106" i="1"/>
  <c r="BB59" i="1"/>
  <c r="BB55" i="1"/>
  <c r="BB41" i="1"/>
  <c r="BB46" i="1" s="1"/>
  <c r="BB35" i="1"/>
  <c r="BB28" i="1"/>
  <c r="BB21" i="1"/>
  <c r="BB15" i="1"/>
  <c r="BB12" i="1"/>
  <c r="BB11" i="1"/>
  <c r="BA127" i="3"/>
  <c r="BA128" i="3"/>
  <c r="BA55" i="3"/>
  <c r="BA48" i="3"/>
  <c r="BA95" i="3"/>
  <c r="BA137" i="3"/>
  <c r="BA120" i="3"/>
  <c r="BA34" i="13"/>
  <c r="BA68" i="2"/>
  <c r="BA33" i="2"/>
  <c r="BA41" i="2" s="1"/>
  <c r="BA43" i="2" s="1"/>
  <c r="BA75" i="2"/>
  <c r="BA17" i="2"/>
  <c r="BA79" i="2"/>
  <c r="BA78" i="2"/>
  <c r="BA104" i="2"/>
  <c r="BA98" i="2"/>
  <c r="BA83" i="2"/>
  <c r="BB83" i="2" s="1"/>
  <c r="BA80" i="2"/>
  <c r="BA134" i="2"/>
  <c r="BA73" i="2"/>
  <c r="BA74" i="2"/>
  <c r="BA53" i="2"/>
  <c r="BA50" i="2"/>
  <c r="BA52" i="2"/>
  <c r="BA47" i="2"/>
  <c r="BA93" i="1"/>
  <c r="BA91" i="1"/>
  <c r="BA88" i="1"/>
  <c r="BA59" i="1"/>
  <c r="BA55" i="1"/>
  <c r="BA41" i="1"/>
  <c r="BA46" i="1" s="1"/>
  <c r="BA35" i="1"/>
  <c r="BA28" i="1"/>
  <c r="BA21" i="1"/>
  <c r="BA15" i="1"/>
  <c r="BA12" i="1"/>
  <c r="BA11" i="1"/>
  <c r="CA51" i="3"/>
  <c r="CQ51" i="3" s="1"/>
  <c r="CQ133" i="3"/>
  <c r="CA48" i="3"/>
  <c r="CB48" i="3"/>
  <c r="CB130" i="3" s="1"/>
  <c r="CA45" i="3"/>
  <c r="CA43" i="3"/>
  <c r="CA41" i="3"/>
  <c r="CA37" i="3"/>
  <c r="CA36" i="3"/>
  <c r="CA34" i="3"/>
  <c r="CA19" i="3"/>
  <c r="CA18" i="3"/>
  <c r="CA16" i="3"/>
  <c r="CA64" i="3" s="1"/>
  <c r="CA15" i="3"/>
  <c r="CQ151" i="3"/>
  <c r="CP151" i="3"/>
  <c r="CQ48" i="3"/>
  <c r="CQ130" i="3"/>
  <c r="CQ45" i="3"/>
  <c r="CQ127" i="3" s="1"/>
  <c r="CQ43" i="3"/>
  <c r="CQ125" i="3" s="1"/>
  <c r="CQ41" i="3"/>
  <c r="CQ123" i="3" s="1"/>
  <c r="CQ37" i="3"/>
  <c r="CQ36" i="3"/>
  <c r="CQ118" i="3" s="1"/>
  <c r="CQ34" i="3"/>
  <c r="CQ116" i="3" s="1"/>
  <c r="CQ19" i="3"/>
  <c r="CQ101" i="3" s="1"/>
  <c r="CQ18" i="3"/>
  <c r="CQ100" i="3" s="1"/>
  <c r="CQ16" i="3"/>
  <c r="CQ98" i="3" s="1"/>
  <c r="CQ15" i="3"/>
  <c r="CQ97" i="3" s="1"/>
  <c r="CQ119" i="3"/>
  <c r="CQ8" i="3"/>
  <c r="CQ7" i="3"/>
  <c r="CQ60" i="3" s="1"/>
  <c r="CQ75" i="3" s="1"/>
  <c r="CQ83" i="3" s="1"/>
  <c r="CQ91" i="3" s="1"/>
  <c r="CA102" i="3"/>
  <c r="BX65" i="3"/>
  <c r="BX67" i="3" s="1"/>
  <c r="BW65" i="3"/>
  <c r="CQ141" i="2"/>
  <c r="CP141" i="2"/>
  <c r="CQ135" i="2"/>
  <c r="CQ134" i="2"/>
  <c r="CQ133" i="2"/>
  <c r="CQ132" i="2"/>
  <c r="CQ8" i="2"/>
  <c r="CQ7" i="2"/>
  <c r="CQ46" i="2" s="1"/>
  <c r="CQ56" i="2" s="1"/>
  <c r="CA103" i="2"/>
  <c r="CB103" i="2"/>
  <c r="CA102" i="2"/>
  <c r="CA101" i="2"/>
  <c r="CA97" i="2"/>
  <c r="CB97" i="2"/>
  <c r="CA96" i="2"/>
  <c r="CB96" i="2" s="1"/>
  <c r="CA95" i="2"/>
  <c r="CB95" i="2" s="1"/>
  <c r="BI133" i="3"/>
  <c r="BJ133" i="3" s="1"/>
  <c r="BK133" i="3" s="1"/>
  <c r="CA133" i="3" s="1"/>
  <c r="BH127" i="3"/>
  <c r="BI127" i="3" s="1"/>
  <c r="BJ127" i="3" s="1"/>
  <c r="BK127" i="3"/>
  <c r="CA127" i="3" s="1"/>
  <c r="BH125" i="3"/>
  <c r="BI125" i="3"/>
  <c r="BJ125" i="3" s="1"/>
  <c r="BK125" i="3" s="1"/>
  <c r="CA125" i="3" s="1"/>
  <c r="BH124" i="3"/>
  <c r="BH123" i="3"/>
  <c r="BH119" i="3"/>
  <c r="BI119" i="3" s="1"/>
  <c r="BJ119" i="3" s="1"/>
  <c r="BK119" i="3" s="1"/>
  <c r="CA119" i="3" s="1"/>
  <c r="BH118" i="3"/>
  <c r="BI118" i="3"/>
  <c r="BJ118" i="3"/>
  <c r="BK118" i="3" s="1"/>
  <c r="CA118" i="3" s="1"/>
  <c r="BH117" i="3"/>
  <c r="BI117" i="3" s="1"/>
  <c r="BJ117" i="3" s="1"/>
  <c r="BH116" i="3"/>
  <c r="BI116" i="3" s="1"/>
  <c r="BJ116" i="3" s="1"/>
  <c r="BK116" i="3" s="1"/>
  <c r="CA116" i="3" s="1"/>
  <c r="BH102" i="3"/>
  <c r="BH101" i="3"/>
  <c r="BI101" i="3" s="1"/>
  <c r="BJ101" i="3" s="1"/>
  <c r="BK101" i="3" s="1"/>
  <c r="CA101" i="3"/>
  <c r="BH100" i="3"/>
  <c r="BI100" i="3" s="1"/>
  <c r="BJ100" i="3" s="1"/>
  <c r="BK100" i="3" s="1"/>
  <c r="CA100" i="3"/>
  <c r="BH98" i="3"/>
  <c r="BI98" i="3"/>
  <c r="BJ98" i="3" s="1"/>
  <c r="BK98" i="3"/>
  <c r="CA98" i="3" s="1"/>
  <c r="BH97" i="3"/>
  <c r="BI97" i="3" s="1"/>
  <c r="BJ97" i="3"/>
  <c r="BK97" i="3" s="1"/>
  <c r="CA97" i="3" s="1"/>
  <c r="BK64" i="3"/>
  <c r="BJ64" i="3"/>
  <c r="CQ64" i="3" s="1"/>
  <c r="BI64" i="3"/>
  <c r="BH64" i="3"/>
  <c r="BI42" i="3"/>
  <c r="BK35" i="3"/>
  <c r="CA35" i="3" s="1"/>
  <c r="BK104" i="2"/>
  <c r="CA104" i="2"/>
  <c r="BJ104" i="2"/>
  <c r="BI104" i="2"/>
  <c r="BH104" i="2"/>
  <c r="BK98" i="2"/>
  <c r="CA98" i="2" s="1"/>
  <c r="BJ98" i="2"/>
  <c r="BI98" i="2"/>
  <c r="BH98" i="2"/>
  <c r="BK49" i="2"/>
  <c r="BI49" i="2"/>
  <c r="BI48" i="2" s="1"/>
  <c r="BJ48" i="2"/>
  <c r="BH48" i="2"/>
  <c r="CQ95" i="1"/>
  <c r="CQ58" i="1"/>
  <c r="CQ57" i="1"/>
  <c r="CQ43" i="1"/>
  <c r="CQ102" i="1"/>
  <c r="CQ88" i="1"/>
  <c r="CA95" i="1"/>
  <c r="CB95" i="1" s="1"/>
  <c r="CA58" i="1"/>
  <c r="CA57" i="1"/>
  <c r="CA43" i="1"/>
  <c r="CB43" i="1" s="1"/>
  <c r="CA88" i="1"/>
  <c r="CA102" i="1"/>
  <c r="BK102" i="1"/>
  <c r="BJ102" i="1"/>
  <c r="BI102" i="1"/>
  <c r="BH102" i="1"/>
  <c r="BK88" i="1"/>
  <c r="BJ88" i="1"/>
  <c r="BI88" i="1"/>
  <c r="BH88" i="1"/>
  <c r="BI68" i="1"/>
  <c r="BJ68" i="1" s="1"/>
  <c r="BK68" i="1" s="1"/>
  <c r="BK42" i="1"/>
  <c r="BK41" i="1" s="1"/>
  <c r="BK44" i="1" s="1"/>
  <c r="BI42" i="1"/>
  <c r="CA42" i="1" s="1"/>
  <c r="BJ41" i="1"/>
  <c r="BJ44" i="1" s="1"/>
  <c r="BH41" i="1"/>
  <c r="BH44" i="1" s="1"/>
  <c r="BK9" i="13"/>
  <c r="BJ9" i="13"/>
  <c r="BI9" i="13"/>
  <c r="BH9" i="13"/>
  <c r="BK8" i="13"/>
  <c r="BJ8" i="13"/>
  <c r="BI8" i="13"/>
  <c r="BH8" i="13"/>
  <c r="BK7" i="3"/>
  <c r="BJ7" i="3"/>
  <c r="BI7" i="3"/>
  <c r="BH7" i="3"/>
  <c r="BK9" i="2"/>
  <c r="BK46" i="2" s="1"/>
  <c r="BK56" i="2" s="1"/>
  <c r="BK9" i="3"/>
  <c r="BJ9" i="2"/>
  <c r="BJ9" i="3" s="1"/>
  <c r="BI9" i="2"/>
  <c r="BH9" i="2"/>
  <c r="BH9" i="3"/>
  <c r="BH91" i="3" s="1"/>
  <c r="BK8" i="2"/>
  <c r="BK8" i="3" s="1"/>
  <c r="BJ8" i="2"/>
  <c r="BJ8" i="3" s="1"/>
  <c r="BI8" i="2"/>
  <c r="BI8" i="3" s="1"/>
  <c r="BH8" i="2"/>
  <c r="BH8" i="3"/>
  <c r="BK7" i="2"/>
  <c r="BJ7" i="2"/>
  <c r="BI7" i="2"/>
  <c r="BH7" i="2"/>
  <c r="BK112" i="1"/>
  <c r="BK91" i="13" s="1"/>
  <c r="BJ112" i="1"/>
  <c r="BJ91" i="13" s="1"/>
  <c r="BI112" i="1"/>
  <c r="BI151" i="3" s="1"/>
  <c r="BH112" i="1"/>
  <c r="BH91" i="13" s="1"/>
  <c r="BQ91" i="13"/>
  <c r="BP91" i="13"/>
  <c r="BO91" i="13"/>
  <c r="BN91" i="13"/>
  <c r="BM91" i="13"/>
  <c r="AM91" i="13"/>
  <c r="AL91" i="13"/>
  <c r="AZ88" i="13"/>
  <c r="AV88" i="13"/>
  <c r="AR88" i="13"/>
  <c r="AI88" i="13"/>
  <c r="AE88" i="13"/>
  <c r="BR81" i="13"/>
  <c r="BR86" i="13"/>
  <c r="AK81" i="13"/>
  <c r="AH81" i="13"/>
  <c r="AG81" i="13"/>
  <c r="AG73" i="13" s="1"/>
  <c r="AF81" i="13"/>
  <c r="AD81" i="13"/>
  <c r="AC81" i="13"/>
  <c r="AB81" i="13"/>
  <c r="Z81" i="13"/>
  <c r="Y81" i="13"/>
  <c r="Y88" i="13"/>
  <c r="X81" i="13"/>
  <c r="X88" i="13" s="1"/>
  <c r="V81" i="13"/>
  <c r="V70" i="13" s="1"/>
  <c r="U81" i="13"/>
  <c r="U85" i="13"/>
  <c r="T81" i="13"/>
  <c r="T87" i="13" s="1"/>
  <c r="BS80" i="13"/>
  <c r="BS79" i="13"/>
  <c r="AE79" i="13"/>
  <c r="BS78" i="13"/>
  <c r="AE78" i="13" s="1"/>
  <c r="AE81" i="13" s="1"/>
  <c r="BS77" i="13"/>
  <c r="AE77" i="13" s="1"/>
  <c r="BQ80" i="13"/>
  <c r="BQ79" i="13"/>
  <c r="W79" i="13"/>
  <c r="BQ78" i="13"/>
  <c r="W78" i="13" s="1"/>
  <c r="BQ77" i="13"/>
  <c r="BQ81" i="13" s="1"/>
  <c r="BQ85" i="13" s="1"/>
  <c r="AA80" i="13"/>
  <c r="AA79" i="13"/>
  <c r="AA78" i="13"/>
  <c r="AA77" i="13"/>
  <c r="AW74" i="13"/>
  <c r="AV74" i="13"/>
  <c r="AU74" i="13"/>
  <c r="AT74" i="13"/>
  <c r="AS74" i="13"/>
  <c r="AR74" i="13"/>
  <c r="AQ74" i="13"/>
  <c r="AO74" i="13"/>
  <c r="AN74" i="13"/>
  <c r="AI74" i="13"/>
  <c r="AE74" i="13"/>
  <c r="AD74" i="13"/>
  <c r="Z72" i="13"/>
  <c r="BS67" i="13"/>
  <c r="BR67" i="13"/>
  <c r="BQ67" i="13"/>
  <c r="AQ67" i="13"/>
  <c r="AK67" i="13"/>
  <c r="AK74" i="13"/>
  <c r="AJ67" i="13"/>
  <c r="AJ81" i="13"/>
  <c r="AH67" i="13"/>
  <c r="AG67" i="13"/>
  <c r="AF67" i="13"/>
  <c r="Z67" i="13"/>
  <c r="U62" i="13"/>
  <c r="U73" i="13" s="1"/>
  <c r="T62" i="13"/>
  <c r="Y62" i="13"/>
  <c r="Y73" i="13" s="1"/>
  <c r="X62" i="13"/>
  <c r="Y61" i="13"/>
  <c r="Y72" i="13" s="1"/>
  <c r="X61" i="13"/>
  <c r="Y60" i="13"/>
  <c r="Y71" i="13" s="1"/>
  <c r="X60" i="13"/>
  <c r="X71" i="13" s="1"/>
  <c r="V61" i="13"/>
  <c r="V72" i="13" s="1"/>
  <c r="U61" i="13"/>
  <c r="T61" i="13"/>
  <c r="T72" i="13"/>
  <c r="V60" i="13"/>
  <c r="V71" i="13" s="1"/>
  <c r="U60" i="13"/>
  <c r="T60" i="13"/>
  <c r="AA60" i="13"/>
  <c r="AA59" i="13"/>
  <c r="U59" i="13"/>
  <c r="AB52" i="13"/>
  <c r="X52" i="13"/>
  <c r="AP53" i="13"/>
  <c r="AP56" i="13" s="1"/>
  <c r="AO53" i="13"/>
  <c r="AO56" i="13" s="1"/>
  <c r="AN53" i="13"/>
  <c r="AN56" i="13" s="1"/>
  <c r="AP52" i="13"/>
  <c r="AO52" i="13"/>
  <c r="AN52" i="13"/>
  <c r="AJ52" i="13"/>
  <c r="AF52" i="13"/>
  <c r="T52" i="13"/>
  <c r="AZ34" i="13"/>
  <c r="AY34" i="13"/>
  <c r="AY16" i="13"/>
  <c r="AY19" i="13" s="1"/>
  <c r="AX34" i="13"/>
  <c r="AX28" i="13" s="1"/>
  <c r="AW34" i="13"/>
  <c r="AV34" i="13"/>
  <c r="AV37" i="13" s="1"/>
  <c r="AU34" i="13"/>
  <c r="AU77" i="13" s="1"/>
  <c r="AT34" i="13"/>
  <c r="AS34" i="13"/>
  <c r="AR34" i="13"/>
  <c r="AV60" i="13"/>
  <c r="AQ34" i="13"/>
  <c r="AQ16" i="13" s="1"/>
  <c r="AP34" i="13"/>
  <c r="AP28" i="13"/>
  <c r="AO34" i="13"/>
  <c r="AN34" i="13"/>
  <c r="AM34" i="13"/>
  <c r="AM28" i="13"/>
  <c r="AL34" i="13"/>
  <c r="AK34" i="13"/>
  <c r="AJ34" i="13"/>
  <c r="AI34" i="13"/>
  <c r="AH34" i="13"/>
  <c r="AG34" i="13"/>
  <c r="AF34" i="13"/>
  <c r="AF41" i="13"/>
  <c r="AF43" i="13" s="1"/>
  <c r="AE34" i="13"/>
  <c r="AD34" i="13"/>
  <c r="AD42" i="13"/>
  <c r="AC34" i="13"/>
  <c r="AB34" i="13"/>
  <c r="AA34" i="13"/>
  <c r="Z34" i="13"/>
  <c r="Z42" i="13" s="1"/>
  <c r="Y34" i="13"/>
  <c r="X34" i="13"/>
  <c r="W34" i="13"/>
  <c r="W22" i="13"/>
  <c r="V34" i="13"/>
  <c r="U34" i="13"/>
  <c r="T34" i="13"/>
  <c r="S34" i="13"/>
  <c r="S10" i="13" s="1"/>
  <c r="R34" i="13"/>
  <c r="R28" i="13"/>
  <c r="R31" i="13" s="1"/>
  <c r="Q34" i="13"/>
  <c r="P34" i="13"/>
  <c r="P28" i="13" s="1"/>
  <c r="O34" i="13"/>
  <c r="O22" i="13"/>
  <c r="N34" i="13"/>
  <c r="N16" i="13" s="1"/>
  <c r="M34" i="13"/>
  <c r="M35" i="13" s="1"/>
  <c r="L34" i="13"/>
  <c r="K34" i="13"/>
  <c r="J34" i="13"/>
  <c r="J22" i="13" s="1"/>
  <c r="I34" i="13"/>
  <c r="H34" i="13"/>
  <c r="G34" i="13"/>
  <c r="F34" i="13"/>
  <c r="E34" i="13"/>
  <c r="F35" i="13" s="1"/>
  <c r="D34" i="13"/>
  <c r="CA9" i="13"/>
  <c r="BZ9" i="13"/>
  <c r="BY9" i="13"/>
  <c r="BX9" i="13"/>
  <c r="BW9" i="13"/>
  <c r="BV9" i="13"/>
  <c r="BU9" i="13"/>
  <c r="BT9" i="13"/>
  <c r="BS9" i="13"/>
  <c r="BR9" i="13"/>
  <c r="BQ9" i="13"/>
  <c r="BP9" i="13"/>
  <c r="BO9" i="13"/>
  <c r="BN9" i="13"/>
  <c r="BM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BQ151" i="3"/>
  <c r="BP151" i="3"/>
  <c r="BO151" i="3"/>
  <c r="BN151" i="3"/>
  <c r="BM151" i="3"/>
  <c r="AM151" i="3"/>
  <c r="AL151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BX133" i="3"/>
  <c r="BW133" i="3"/>
  <c r="BV133" i="3"/>
  <c r="BU133" i="3"/>
  <c r="BY133" i="3"/>
  <c r="CK133" i="3"/>
  <c r="BE133" i="3"/>
  <c r="BF133" i="3" s="1"/>
  <c r="BG133" i="3"/>
  <c r="BZ133" i="3" s="1"/>
  <c r="G132" i="3"/>
  <c r="BM132" i="3" s="1"/>
  <c r="F132" i="3"/>
  <c r="E132" i="3"/>
  <c r="BU130" i="3"/>
  <c r="BT130" i="3"/>
  <c r="BS130" i="3"/>
  <c r="BR130" i="3"/>
  <c r="BQ130" i="3"/>
  <c r="BP130" i="3"/>
  <c r="BO130" i="3"/>
  <c r="BN130" i="3"/>
  <c r="BM130" i="3"/>
  <c r="AX130" i="3"/>
  <c r="AY130" i="3" s="1"/>
  <c r="AZ130" i="3" s="1"/>
  <c r="AV130" i="3"/>
  <c r="AT130" i="3"/>
  <c r="AU130" i="3" s="1"/>
  <c r="BW130" i="3" s="1"/>
  <c r="AR130" i="3"/>
  <c r="AP130" i="3"/>
  <c r="AQ130" i="3" s="1"/>
  <c r="BV130" i="3" s="1"/>
  <c r="AN130" i="3"/>
  <c r="AL130" i="3"/>
  <c r="AH130" i="3"/>
  <c r="AD130" i="3"/>
  <c r="AX128" i="3"/>
  <c r="AW128" i="3"/>
  <c r="AV128" i="3"/>
  <c r="AU128" i="3"/>
  <c r="AT128" i="3"/>
  <c r="AS128" i="3"/>
  <c r="AR128" i="3"/>
  <c r="AQ128" i="3"/>
  <c r="AP128" i="3"/>
  <c r="AO128" i="3"/>
  <c r="AN128" i="3"/>
  <c r="AL128" i="3"/>
  <c r="AK128" i="3"/>
  <c r="AJ128" i="3"/>
  <c r="AI128" i="3"/>
  <c r="AH128" i="3"/>
  <c r="AG128" i="3"/>
  <c r="AF128" i="3"/>
  <c r="AE128" i="3"/>
  <c r="AC128" i="3"/>
  <c r="AB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BD127" i="3"/>
  <c r="BE127" i="3" s="1"/>
  <c r="BF127" i="3" s="1"/>
  <c r="BG127" i="3" s="1"/>
  <c r="BZ127" i="3" s="1"/>
  <c r="AZ127" i="3"/>
  <c r="AZ45" i="3"/>
  <c r="BA45" i="3" s="1"/>
  <c r="AM127" i="3"/>
  <c r="AD127" i="3"/>
  <c r="AD126" i="3"/>
  <c r="AD125" i="3"/>
  <c r="AD124" i="3"/>
  <c r="AA127" i="3"/>
  <c r="AA128" i="3"/>
  <c r="Z127" i="3"/>
  <c r="Z128" i="3"/>
  <c r="Y127" i="3"/>
  <c r="Y128" i="3"/>
  <c r="X127" i="3"/>
  <c r="X45" i="3" s="1"/>
  <c r="X128" i="3"/>
  <c r="AY125" i="3"/>
  <c r="AY128" i="3"/>
  <c r="BX127" i="3"/>
  <c r="BW127" i="3"/>
  <c r="BW128" i="3" s="1"/>
  <c r="BV127" i="3"/>
  <c r="BT127" i="3"/>
  <c r="BS127" i="3"/>
  <c r="BQ127" i="3"/>
  <c r="BP127" i="3"/>
  <c r="BO127" i="3"/>
  <c r="BN127" i="3"/>
  <c r="BM127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W125" i="3"/>
  <c r="BV125" i="3"/>
  <c r="BU125" i="3"/>
  <c r="BT125" i="3"/>
  <c r="BS125" i="3"/>
  <c r="BR125" i="3"/>
  <c r="BQ125" i="3"/>
  <c r="BP125" i="3"/>
  <c r="BO125" i="3"/>
  <c r="BN125" i="3"/>
  <c r="BM125" i="3"/>
  <c r="BX124" i="3"/>
  <c r="BW124" i="3"/>
  <c r="BV124" i="3"/>
  <c r="BU124" i="3"/>
  <c r="BT124" i="3"/>
  <c r="BS124" i="3"/>
  <c r="BR124" i="3"/>
  <c r="BQ124" i="3"/>
  <c r="BP124" i="3"/>
  <c r="BP128" i="3" s="1"/>
  <c r="BO124" i="3"/>
  <c r="BN124" i="3"/>
  <c r="BM124" i="3"/>
  <c r="BX123" i="3"/>
  <c r="BW123" i="3"/>
  <c r="BV123" i="3"/>
  <c r="BU123" i="3"/>
  <c r="BT123" i="3"/>
  <c r="BS123" i="3"/>
  <c r="BR123" i="3"/>
  <c r="BQ123" i="3"/>
  <c r="BQ128" i="3" s="1"/>
  <c r="BP123" i="3"/>
  <c r="BO123" i="3"/>
  <c r="BO128" i="3" s="1"/>
  <c r="BN123" i="3"/>
  <c r="BM123" i="3"/>
  <c r="BD125" i="3"/>
  <c r="BE125" i="3"/>
  <c r="BF125" i="3" s="1"/>
  <c r="BG125" i="3" s="1"/>
  <c r="BZ125" i="3" s="1"/>
  <c r="BD124" i="3"/>
  <c r="BY124" i="3"/>
  <c r="BD123" i="3"/>
  <c r="BE123" i="3" s="1"/>
  <c r="BF123" i="3" s="1"/>
  <c r="BG123" i="3" s="1"/>
  <c r="BZ123" i="3"/>
  <c r="AZ123" i="3"/>
  <c r="AZ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M120" i="3"/>
  <c r="L120" i="3"/>
  <c r="K120" i="3"/>
  <c r="J120" i="3"/>
  <c r="I120" i="3"/>
  <c r="H120" i="3"/>
  <c r="F120" i="3"/>
  <c r="E120" i="3"/>
  <c r="D120" i="3"/>
  <c r="AD119" i="3"/>
  <c r="O119" i="3"/>
  <c r="O120" i="3" s="1"/>
  <c r="N119" i="3"/>
  <c r="G119" i="3"/>
  <c r="BM119" i="3" s="1"/>
  <c r="G120" i="3"/>
  <c r="AY118" i="3"/>
  <c r="AY120" i="3" s="1"/>
  <c r="AD117" i="3"/>
  <c r="AD116" i="3"/>
  <c r="AD115" i="3"/>
  <c r="AD33" i="3" s="1"/>
  <c r="BX119" i="3"/>
  <c r="BW119" i="3"/>
  <c r="BV119" i="3"/>
  <c r="BU119" i="3"/>
  <c r="BU120" i="3" s="1"/>
  <c r="BT119" i="3"/>
  <c r="BS119" i="3"/>
  <c r="BR119" i="3"/>
  <c r="BQ119" i="3"/>
  <c r="BP119" i="3"/>
  <c r="BN119" i="3"/>
  <c r="BW118" i="3"/>
  <c r="BV118" i="3"/>
  <c r="BU118" i="3"/>
  <c r="BT118" i="3"/>
  <c r="BS118" i="3"/>
  <c r="BR118" i="3"/>
  <c r="BQ118" i="3"/>
  <c r="BP118" i="3"/>
  <c r="BO118" i="3"/>
  <c r="BN118" i="3"/>
  <c r="BM118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X116" i="3"/>
  <c r="BW116" i="3"/>
  <c r="BV116" i="3"/>
  <c r="BU116" i="3"/>
  <c r="BT116" i="3"/>
  <c r="BS116" i="3"/>
  <c r="BR116" i="3"/>
  <c r="BR120" i="3" s="1"/>
  <c r="BQ116" i="3"/>
  <c r="BP116" i="3"/>
  <c r="BO116" i="3"/>
  <c r="BN116" i="3"/>
  <c r="BM116" i="3"/>
  <c r="BX115" i="3"/>
  <c r="BX120" i="3" s="1"/>
  <c r="BW115" i="3"/>
  <c r="BV115" i="3"/>
  <c r="BV120" i="3" s="1"/>
  <c r="BU115" i="3"/>
  <c r="BT115" i="3"/>
  <c r="BT120" i="3" s="1"/>
  <c r="BS115" i="3"/>
  <c r="BR115" i="3"/>
  <c r="BQ115" i="3"/>
  <c r="BP115" i="3"/>
  <c r="BO115" i="3"/>
  <c r="BN115" i="3"/>
  <c r="BM115" i="3"/>
  <c r="BD119" i="3"/>
  <c r="BE119" i="3" s="1"/>
  <c r="BF119" i="3" s="1"/>
  <c r="BG119" i="3" s="1"/>
  <c r="BZ119" i="3" s="1"/>
  <c r="BC119" i="3"/>
  <c r="BY119" i="3" s="1"/>
  <c r="BD118" i="3"/>
  <c r="BE118" i="3" s="1"/>
  <c r="BF118" i="3"/>
  <c r="BG118" i="3" s="1"/>
  <c r="BZ118" i="3" s="1"/>
  <c r="BC118" i="3"/>
  <c r="BD117" i="3"/>
  <c r="BE117" i="3" s="1"/>
  <c r="BF117" i="3" s="1"/>
  <c r="BD116" i="3"/>
  <c r="BE116" i="3" s="1"/>
  <c r="BF116" i="3" s="1"/>
  <c r="BG116" i="3" s="1"/>
  <c r="BZ116" i="3" s="1"/>
  <c r="BC116" i="3"/>
  <c r="BY116" i="3"/>
  <c r="AD111" i="3"/>
  <c r="AD110" i="3"/>
  <c r="AD109" i="3"/>
  <c r="AD108" i="3"/>
  <c r="AD26" i="3" s="1"/>
  <c r="AE26" i="3" s="1"/>
  <c r="AD107" i="3"/>
  <c r="AD106" i="3"/>
  <c r="AD105" i="3"/>
  <c r="AD104" i="3"/>
  <c r="AD22" i="3" s="1"/>
  <c r="CI22" i="3" s="1"/>
  <c r="CI104" i="3" s="1"/>
  <c r="AD103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W102" i="3"/>
  <c r="BW100" i="3"/>
  <c r="BW99" i="3"/>
  <c r="BW98" i="3"/>
  <c r="BW97" i="3"/>
  <c r="BW96" i="3"/>
  <c r="BD102" i="3"/>
  <c r="BD101" i="3"/>
  <c r="BE101" i="3" s="1"/>
  <c r="BF101" i="3" s="1"/>
  <c r="BG101" i="3" s="1"/>
  <c r="BZ101" i="3" s="1"/>
  <c r="BD100" i="3"/>
  <c r="BE100" i="3"/>
  <c r="BF100" i="3"/>
  <c r="BG100" i="3" s="1"/>
  <c r="BZ100" i="3" s="1"/>
  <c r="BD98" i="3"/>
  <c r="BE98" i="3" s="1"/>
  <c r="BF98" i="3" s="1"/>
  <c r="BG98" i="3" s="1"/>
  <c r="BZ98" i="3"/>
  <c r="BD97" i="3"/>
  <c r="BE97" i="3" s="1"/>
  <c r="BF97" i="3" s="1"/>
  <c r="BG97" i="3" s="1"/>
  <c r="BZ97" i="3" s="1"/>
  <c r="AU101" i="3"/>
  <c r="BW101" i="3" s="1"/>
  <c r="AS101" i="3"/>
  <c r="AQ101" i="3"/>
  <c r="BV101" i="3"/>
  <c r="AO101" i="3"/>
  <c r="AN101" i="3"/>
  <c r="AN19" i="3"/>
  <c r="AM101" i="3"/>
  <c r="BU101" i="3" s="1"/>
  <c r="AL101" i="3"/>
  <c r="AL19" i="3" s="1"/>
  <c r="AK101" i="3"/>
  <c r="AJ101" i="3"/>
  <c r="AJ19" i="3" s="1"/>
  <c r="AI101" i="3"/>
  <c r="BT101" i="3"/>
  <c r="AH101" i="3"/>
  <c r="AG101" i="3"/>
  <c r="AF101" i="3"/>
  <c r="AF19" i="3"/>
  <c r="AE101" i="3"/>
  <c r="AD101" i="3"/>
  <c r="AC101" i="3"/>
  <c r="AB101" i="3"/>
  <c r="AB19" i="3" s="1"/>
  <c r="AA101" i="3"/>
  <c r="Z101" i="3"/>
  <c r="Y101" i="3"/>
  <c r="X101" i="3"/>
  <c r="X19" i="3" s="1"/>
  <c r="Y19" i="3" s="1"/>
  <c r="W101" i="3"/>
  <c r="BQ101" i="3"/>
  <c r="V101" i="3"/>
  <c r="U101" i="3"/>
  <c r="T101" i="3"/>
  <c r="T19" i="3" s="1"/>
  <c r="S101" i="3"/>
  <c r="R101" i="3"/>
  <c r="Q101" i="3"/>
  <c r="Q19" i="3" s="1"/>
  <c r="R19" i="3" s="1"/>
  <c r="P101" i="3"/>
  <c r="O101" i="3"/>
  <c r="BO101" i="3"/>
  <c r="N101" i="3"/>
  <c r="M101" i="3"/>
  <c r="L101" i="3"/>
  <c r="L19" i="3"/>
  <c r="M19" i="3" s="1"/>
  <c r="K101" i="3"/>
  <c r="J101" i="3"/>
  <c r="I101" i="3"/>
  <c r="H101" i="3"/>
  <c r="H19" i="3" s="1"/>
  <c r="I19" i="3" s="1"/>
  <c r="G101" i="3"/>
  <c r="BM101" i="3" s="1"/>
  <c r="F101" i="3"/>
  <c r="E101" i="3"/>
  <c r="AD99" i="3"/>
  <c r="AD98" i="3"/>
  <c r="AM98" i="3"/>
  <c r="BU98" i="3" s="1"/>
  <c r="AY97" i="3"/>
  <c r="AD96" i="3"/>
  <c r="AD95" i="3"/>
  <c r="K96" i="3"/>
  <c r="J96" i="3"/>
  <c r="I96" i="3"/>
  <c r="H96" i="3"/>
  <c r="H14" i="3" s="1"/>
  <c r="BX101" i="3"/>
  <c r="BX100" i="3"/>
  <c r="BX99" i="3"/>
  <c r="BX98" i="3"/>
  <c r="BX96" i="3"/>
  <c r="BS101" i="3"/>
  <c r="BV100" i="3"/>
  <c r="BU100" i="3"/>
  <c r="BT100" i="3"/>
  <c r="BS100" i="3"/>
  <c r="BR100" i="3"/>
  <c r="BQ100" i="3"/>
  <c r="BP100" i="3"/>
  <c r="BO100" i="3"/>
  <c r="BN100" i="3"/>
  <c r="BM100" i="3"/>
  <c r="BV99" i="3"/>
  <c r="BU99" i="3"/>
  <c r="BT99" i="3"/>
  <c r="BS99" i="3"/>
  <c r="BR99" i="3"/>
  <c r="BQ99" i="3"/>
  <c r="BP99" i="3"/>
  <c r="BO99" i="3"/>
  <c r="BN99" i="3"/>
  <c r="BM99" i="3"/>
  <c r="BV98" i="3"/>
  <c r="BT98" i="3"/>
  <c r="BS98" i="3"/>
  <c r="BR98" i="3"/>
  <c r="BQ98" i="3"/>
  <c r="BP98" i="3"/>
  <c r="BO98" i="3"/>
  <c r="BN98" i="3"/>
  <c r="BM98" i="3"/>
  <c r="BV97" i="3"/>
  <c r="BU97" i="3"/>
  <c r="BT97" i="3"/>
  <c r="BS97" i="3"/>
  <c r="BR97" i="3"/>
  <c r="BQ97" i="3"/>
  <c r="BP97" i="3"/>
  <c r="BO97" i="3"/>
  <c r="BN97" i="3"/>
  <c r="BM97" i="3"/>
  <c r="BV96" i="3"/>
  <c r="BU96" i="3"/>
  <c r="BT96" i="3"/>
  <c r="BS96" i="3"/>
  <c r="BR96" i="3"/>
  <c r="BQ96" i="3"/>
  <c r="BP96" i="3"/>
  <c r="BO96" i="3"/>
  <c r="BM96" i="3"/>
  <c r="BC101" i="3"/>
  <c r="BY101" i="3"/>
  <c r="BC100" i="3"/>
  <c r="BY100" i="3"/>
  <c r="BC98" i="3"/>
  <c r="BY98" i="3"/>
  <c r="BC97" i="3"/>
  <c r="BY97" i="3"/>
  <c r="AZ95" i="3"/>
  <c r="AZ13" i="3" s="1"/>
  <c r="AZ79" i="3" s="1"/>
  <c r="AY95" i="3"/>
  <c r="BX95" i="3" s="1"/>
  <c r="AX95" i="3"/>
  <c r="AW95" i="3"/>
  <c r="AV95" i="3"/>
  <c r="AV13" i="3" s="1"/>
  <c r="AV79" i="3" s="1"/>
  <c r="AU95" i="3"/>
  <c r="BW95" i="3" s="1"/>
  <c r="AT95" i="3"/>
  <c r="AS95" i="3"/>
  <c r="AR95" i="3"/>
  <c r="AR13" i="3" s="1"/>
  <c r="AQ95" i="3"/>
  <c r="BV95" i="3" s="1"/>
  <c r="AP95" i="3"/>
  <c r="AO95" i="3"/>
  <c r="AN95" i="3"/>
  <c r="AM95" i="3"/>
  <c r="BU95" i="3" s="1"/>
  <c r="AL95" i="3"/>
  <c r="AK95" i="3"/>
  <c r="AJ95" i="3"/>
  <c r="AJ13" i="3" s="1"/>
  <c r="AI95" i="3"/>
  <c r="BT95" i="3"/>
  <c r="AH95" i="3"/>
  <c r="AG95" i="3"/>
  <c r="AG13" i="3" s="1"/>
  <c r="AG79" i="3" s="1"/>
  <c r="AF95" i="3"/>
  <c r="AF13" i="3"/>
  <c r="AF79" i="3"/>
  <c r="AE95" i="3"/>
  <c r="BS95" i="3" s="1"/>
  <c r="AC95" i="3"/>
  <c r="AB95" i="3"/>
  <c r="AB13" i="3"/>
  <c r="AA95" i="3"/>
  <c r="BR95" i="3" s="1"/>
  <c r="Z95" i="3"/>
  <c r="Y95" i="3"/>
  <c r="X95" i="3"/>
  <c r="X13" i="3" s="1"/>
  <c r="Y13" i="3" s="1"/>
  <c r="W95" i="3"/>
  <c r="BQ95" i="3" s="1"/>
  <c r="V95" i="3"/>
  <c r="U95" i="3"/>
  <c r="T95" i="3"/>
  <c r="T13" i="3" s="1"/>
  <c r="S95" i="3"/>
  <c r="BP95" i="3" s="1"/>
  <c r="R95" i="3"/>
  <c r="Q95" i="3"/>
  <c r="P95" i="3"/>
  <c r="P13" i="3" s="1"/>
  <c r="O95" i="3"/>
  <c r="BO95" i="3"/>
  <c r="N95" i="3"/>
  <c r="M95" i="3"/>
  <c r="L95" i="3"/>
  <c r="L13" i="3"/>
  <c r="L79" i="3" s="1"/>
  <c r="K95" i="3"/>
  <c r="BN95" i="3" s="1"/>
  <c r="J95" i="3"/>
  <c r="I95" i="3"/>
  <c r="H95" i="3"/>
  <c r="G95" i="3"/>
  <c r="BM95" i="3" s="1"/>
  <c r="F95" i="3"/>
  <c r="E95" i="3"/>
  <c r="D95" i="3"/>
  <c r="D13" i="3" s="1"/>
  <c r="AZ76" i="3"/>
  <c r="AQ76" i="3"/>
  <c r="AZ70" i="3"/>
  <c r="AY70" i="3"/>
  <c r="AX70" i="3"/>
  <c r="AW70" i="3"/>
  <c r="AV70" i="3"/>
  <c r="AV71" i="3" s="1"/>
  <c r="AU70" i="3"/>
  <c r="AT70" i="3"/>
  <c r="AS70" i="3"/>
  <c r="AR70" i="3"/>
  <c r="AQ70" i="3"/>
  <c r="AP70" i="3"/>
  <c r="AO70" i="3"/>
  <c r="AN70" i="3"/>
  <c r="AN71" i="3" s="1"/>
  <c r="AM70" i="3"/>
  <c r="AL70" i="3"/>
  <c r="AK70" i="3"/>
  <c r="AJ70" i="3"/>
  <c r="AJ71" i="3" s="1"/>
  <c r="AI70" i="3"/>
  <c r="AI71" i="3" s="1"/>
  <c r="AH70" i="3"/>
  <c r="AG70" i="3"/>
  <c r="AF70" i="3"/>
  <c r="AF71" i="3" s="1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L71" i="3" s="1"/>
  <c r="K70" i="3"/>
  <c r="J70" i="3"/>
  <c r="I70" i="3"/>
  <c r="H70" i="3"/>
  <c r="G70" i="3"/>
  <c r="F70" i="3"/>
  <c r="E70" i="3"/>
  <c r="D70" i="3"/>
  <c r="AZ68" i="3"/>
  <c r="AY68" i="3"/>
  <c r="AX68" i="3"/>
  <c r="AW68" i="3"/>
  <c r="AW71" i="3" s="1"/>
  <c r="AV68" i="3"/>
  <c r="AU68" i="3"/>
  <c r="AT68" i="3"/>
  <c r="AS68" i="3"/>
  <c r="AR68" i="3"/>
  <c r="AQ68" i="3"/>
  <c r="AP68" i="3"/>
  <c r="AP71" i="3" s="1"/>
  <c r="AO68" i="3"/>
  <c r="AN68" i="3"/>
  <c r="AM68" i="3"/>
  <c r="AL68" i="3"/>
  <c r="AK68" i="3"/>
  <c r="AJ68" i="3"/>
  <c r="AI68" i="3"/>
  <c r="AH68" i="3"/>
  <c r="AG68" i="3"/>
  <c r="AG71" i="3" s="1"/>
  <c r="AF68" i="3"/>
  <c r="AE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AD67" i="3"/>
  <c r="CI67" i="3" s="1"/>
  <c r="AD65" i="3"/>
  <c r="BR67" i="3"/>
  <c r="BQ67" i="3"/>
  <c r="BQ68" i="3" s="1"/>
  <c r="BP67" i="3"/>
  <c r="BO67" i="3"/>
  <c r="BN67" i="3"/>
  <c r="BM67" i="3"/>
  <c r="BV65" i="3"/>
  <c r="BU65" i="3"/>
  <c r="BT65" i="3"/>
  <c r="BS65" i="3"/>
  <c r="BR65" i="3"/>
  <c r="BQ65" i="3"/>
  <c r="BP65" i="3"/>
  <c r="BP68" i="3"/>
  <c r="BO65" i="3"/>
  <c r="BN65" i="3"/>
  <c r="BM65" i="3"/>
  <c r="BG64" i="3"/>
  <c r="BF64" i="3"/>
  <c r="CP64" i="3" s="1"/>
  <c r="BE64" i="3"/>
  <c r="BD64" i="3"/>
  <c r="BC64" i="3"/>
  <c r="BC65" i="3" s="1"/>
  <c r="CN67" i="3"/>
  <c r="CM67" i="3"/>
  <c r="CL67" i="3"/>
  <c r="CL68" i="3" s="1"/>
  <c r="CK67" i="3"/>
  <c r="CJ67" i="3"/>
  <c r="CH67" i="3"/>
  <c r="CG67" i="3"/>
  <c r="CF67" i="3"/>
  <c r="CF68" i="3" s="1"/>
  <c r="CE67" i="3"/>
  <c r="CD67" i="3"/>
  <c r="CN65" i="3"/>
  <c r="CM65" i="3"/>
  <c r="CL65" i="3"/>
  <c r="CK65" i="3"/>
  <c r="CJ65" i="3"/>
  <c r="CJ68" i="3" s="1"/>
  <c r="CH65" i="3"/>
  <c r="CG65" i="3"/>
  <c r="CF65" i="3"/>
  <c r="CE65" i="3"/>
  <c r="CD65" i="3"/>
  <c r="CH64" i="3"/>
  <c r="CG64" i="3"/>
  <c r="CF64" i="3"/>
  <c r="CE64" i="3"/>
  <c r="CD64" i="3"/>
  <c r="AZ63" i="3"/>
  <c r="AI61" i="3"/>
  <c r="AE61" i="3"/>
  <c r="B56" i="3"/>
  <c r="B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B53" i="3"/>
  <c r="B52" i="3"/>
  <c r="B51" i="3"/>
  <c r="B50" i="3"/>
  <c r="BZ51" i="3"/>
  <c r="BX51" i="3"/>
  <c r="CN51" i="3" s="1"/>
  <c r="CN133" i="3" s="1"/>
  <c r="BW51" i="3"/>
  <c r="BV51" i="3"/>
  <c r="BU51" i="3"/>
  <c r="BT51" i="3"/>
  <c r="BS51" i="3"/>
  <c r="CM51" i="3"/>
  <c r="CM133" i="3" s="1"/>
  <c r="CL51" i="3"/>
  <c r="CL133" i="3" s="1"/>
  <c r="D50" i="3"/>
  <c r="BM50" i="3" s="1"/>
  <c r="CP48" i="3"/>
  <c r="CP130" i="3" s="1"/>
  <c r="BZ48" i="3"/>
  <c r="AW48" i="3"/>
  <c r="BX48" i="3" s="1"/>
  <c r="CN48" i="3"/>
  <c r="CN130" i="3" s="1"/>
  <c r="AS48" i="3"/>
  <c r="AO48" i="3"/>
  <c r="BV48" i="3" s="1"/>
  <c r="AK48" i="3"/>
  <c r="AG48" i="3"/>
  <c r="AI48" i="3" s="1"/>
  <c r="AC48" i="3"/>
  <c r="AE48" i="3" s="1"/>
  <c r="CJ48" i="3" s="1"/>
  <c r="X48" i="3"/>
  <c r="T48" i="3"/>
  <c r="P48" i="3"/>
  <c r="Q48" i="3"/>
  <c r="R48" i="3" s="1"/>
  <c r="L48" i="3"/>
  <c r="M48" i="3" s="1"/>
  <c r="H48" i="3"/>
  <c r="D48" i="3"/>
  <c r="B48" i="3"/>
  <c r="B46" i="3"/>
  <c r="B45" i="3"/>
  <c r="B44" i="3"/>
  <c r="B43" i="3"/>
  <c r="B42" i="3"/>
  <c r="B41" i="3"/>
  <c r="B40" i="3"/>
  <c r="BZ45" i="3"/>
  <c r="AV45" i="3"/>
  <c r="AW45" i="3" s="1"/>
  <c r="AR45" i="3"/>
  <c r="AN45" i="3"/>
  <c r="AO45" i="3" s="1"/>
  <c r="AP45" i="3"/>
  <c r="AJ45" i="3"/>
  <c r="AF45" i="3"/>
  <c r="AB45" i="3"/>
  <c r="Y45" i="3"/>
  <c r="T45" i="3"/>
  <c r="U45" i="3"/>
  <c r="P45" i="3"/>
  <c r="Q45" i="3"/>
  <c r="L45" i="3"/>
  <c r="H45" i="3"/>
  <c r="I45" i="3" s="1"/>
  <c r="J45" i="3" s="1"/>
  <c r="D45" i="3"/>
  <c r="E45" i="3" s="1"/>
  <c r="AZ44" i="3"/>
  <c r="BA44" i="3" s="1"/>
  <c r="AV44" i="3"/>
  <c r="AR44" i="3"/>
  <c r="AN44" i="3"/>
  <c r="AJ44" i="3"/>
  <c r="AF44" i="3"/>
  <c r="AG44" i="3" s="1"/>
  <c r="AB44" i="3"/>
  <c r="X44" i="3"/>
  <c r="X95" i="1" s="1"/>
  <c r="Y44" i="3"/>
  <c r="T44" i="3"/>
  <c r="U44" i="3"/>
  <c r="U95" i="1" s="1"/>
  <c r="V44" i="3"/>
  <c r="V95" i="1" s="1"/>
  <c r="P44" i="3"/>
  <c r="L44" i="3"/>
  <c r="M44" i="3"/>
  <c r="H44" i="3"/>
  <c r="D44" i="3"/>
  <c r="E44" i="3"/>
  <c r="E95" i="1" s="1"/>
  <c r="BZ43" i="3"/>
  <c r="BE42" i="3"/>
  <c r="CP45" i="3"/>
  <c r="CP127" i="3"/>
  <c r="CP43" i="3"/>
  <c r="CP125" i="3" s="1"/>
  <c r="CP41" i="3"/>
  <c r="BZ41" i="3"/>
  <c r="AZ43" i="3"/>
  <c r="AV43" i="3"/>
  <c r="AR43" i="3"/>
  <c r="AN43" i="3"/>
  <c r="AO43" i="3"/>
  <c r="AJ43" i="3"/>
  <c r="AK43" i="3" s="1"/>
  <c r="AF43" i="3"/>
  <c r="AG43" i="3"/>
  <c r="AB43" i="3"/>
  <c r="AC43" i="3" s="1"/>
  <c r="X43" i="3"/>
  <c r="Y43" i="3"/>
  <c r="T43" i="3"/>
  <c r="U43" i="3" s="1"/>
  <c r="P43" i="3"/>
  <c r="Q43" i="3"/>
  <c r="L43" i="3"/>
  <c r="L46" i="3" s="1"/>
  <c r="H43" i="3"/>
  <c r="D43" i="3"/>
  <c r="E43" i="3"/>
  <c r="AZ42" i="3"/>
  <c r="BA42" i="3" s="1"/>
  <c r="AV42" i="3"/>
  <c r="AW42" i="3" s="1"/>
  <c r="AR42" i="3"/>
  <c r="AS42" i="3"/>
  <c r="AN42" i="3"/>
  <c r="AJ42" i="3"/>
  <c r="AF42" i="3"/>
  <c r="AG42" i="3"/>
  <c r="AH42" i="3" s="1"/>
  <c r="AI42" i="3" s="1"/>
  <c r="AB42" i="3"/>
  <c r="X42" i="3"/>
  <c r="T42" i="3"/>
  <c r="U42" i="3"/>
  <c r="P42" i="3"/>
  <c r="Q42" i="3" s="1"/>
  <c r="L42" i="3"/>
  <c r="M42" i="3"/>
  <c r="H42" i="3"/>
  <c r="I42" i="3" s="1"/>
  <c r="J42" i="3" s="1"/>
  <c r="K42" i="3" s="1"/>
  <c r="D42" i="3"/>
  <c r="E42" i="3" s="1"/>
  <c r="AV41" i="3"/>
  <c r="AR41" i="3"/>
  <c r="AS41" i="3" s="1"/>
  <c r="AN41" i="3"/>
  <c r="AO41" i="3" s="1"/>
  <c r="AP41" i="3" s="1"/>
  <c r="AQ41" i="3" s="1"/>
  <c r="CM41" i="3" s="1"/>
  <c r="CM123" i="3" s="1"/>
  <c r="AJ41" i="3"/>
  <c r="AF41" i="3"/>
  <c r="AB41" i="3"/>
  <c r="AC41" i="3" s="1"/>
  <c r="X41" i="3"/>
  <c r="Y41" i="3" s="1"/>
  <c r="T41" i="3"/>
  <c r="P41" i="3"/>
  <c r="L41" i="3"/>
  <c r="H41" i="3"/>
  <c r="D41" i="3"/>
  <c r="B38" i="3"/>
  <c r="B37" i="3"/>
  <c r="B36" i="3"/>
  <c r="B35" i="3"/>
  <c r="B34" i="3"/>
  <c r="B33" i="3"/>
  <c r="B32" i="3"/>
  <c r="BG35" i="3"/>
  <c r="BZ37" i="3"/>
  <c r="BZ36" i="3"/>
  <c r="BZ34" i="3"/>
  <c r="AZ37" i="3"/>
  <c r="AV37" i="3"/>
  <c r="AR37" i="3"/>
  <c r="AN37" i="3"/>
  <c r="AJ37" i="3"/>
  <c r="AF37" i="3"/>
  <c r="AB37" i="3"/>
  <c r="X37" i="3"/>
  <c r="Y37" i="3"/>
  <c r="T37" i="3"/>
  <c r="P37" i="3"/>
  <c r="L37" i="3"/>
  <c r="M37" i="3" s="1"/>
  <c r="H37" i="3"/>
  <c r="I37" i="3" s="1"/>
  <c r="J37" i="3" s="1"/>
  <c r="K37" i="3" s="1"/>
  <c r="D37" i="3"/>
  <c r="E37" i="3" s="1"/>
  <c r="AZ36" i="3"/>
  <c r="AV36" i="3"/>
  <c r="AR36" i="3"/>
  <c r="AR38" i="3" s="1"/>
  <c r="AN36" i="3"/>
  <c r="AO36" i="3" s="1"/>
  <c r="AJ36" i="3"/>
  <c r="AK36" i="3"/>
  <c r="AL36" i="3"/>
  <c r="AM36" i="3" s="1"/>
  <c r="AF36" i="3"/>
  <c r="AB36" i="3"/>
  <c r="AC36" i="3"/>
  <c r="X36" i="3"/>
  <c r="T36" i="3"/>
  <c r="U36" i="3" s="1"/>
  <c r="P36" i="3"/>
  <c r="Q36" i="3"/>
  <c r="R36" i="3" s="1"/>
  <c r="L36" i="3"/>
  <c r="H36" i="3"/>
  <c r="I36" i="3" s="1"/>
  <c r="J36" i="3"/>
  <c r="K36" i="3" s="1"/>
  <c r="D36" i="3"/>
  <c r="E36" i="3" s="1"/>
  <c r="F36" i="3"/>
  <c r="G36" i="3" s="1"/>
  <c r="CD36" i="3" s="1"/>
  <c r="CD118" i="3" s="1"/>
  <c r="AZ35" i="3"/>
  <c r="BA35" i="3"/>
  <c r="AV35" i="3"/>
  <c r="AW35" i="3"/>
  <c r="AX35" i="3" s="1"/>
  <c r="AR35" i="3"/>
  <c r="AS35" i="3" s="1"/>
  <c r="AN35" i="3"/>
  <c r="AJ35" i="3"/>
  <c r="AK35" i="3"/>
  <c r="AL35" i="3" s="1"/>
  <c r="AM35" i="3" s="1"/>
  <c r="BU35" i="3" s="1"/>
  <c r="AF35" i="3"/>
  <c r="AB35" i="3"/>
  <c r="AC35" i="3" s="1"/>
  <c r="X35" i="3"/>
  <c r="Y35" i="3" s="1"/>
  <c r="Z35" i="3" s="1"/>
  <c r="AA35" i="3" s="1"/>
  <c r="T35" i="3"/>
  <c r="P35" i="3"/>
  <c r="Q35" i="3"/>
  <c r="L35" i="3"/>
  <c r="M35" i="3"/>
  <c r="H35" i="3"/>
  <c r="I35" i="3" s="1"/>
  <c r="J35" i="3" s="1"/>
  <c r="K35" i="3" s="1"/>
  <c r="D35" i="3"/>
  <c r="E35" i="3" s="1"/>
  <c r="F35" i="3" s="1"/>
  <c r="G35" i="3" s="1"/>
  <c r="CD35" i="3" s="1"/>
  <c r="CD117" i="3" s="1"/>
  <c r="AZ34" i="3"/>
  <c r="BA34" i="3"/>
  <c r="AV34" i="3"/>
  <c r="AW34" i="3"/>
  <c r="AR34" i="3"/>
  <c r="AS34" i="3"/>
  <c r="AN34" i="3"/>
  <c r="AJ34" i="3"/>
  <c r="AF34" i="3"/>
  <c r="AB34" i="3"/>
  <c r="X34" i="3"/>
  <c r="Y34" i="3" s="1"/>
  <c r="T34" i="3"/>
  <c r="P34" i="3"/>
  <c r="Q34" i="3"/>
  <c r="L34" i="3"/>
  <c r="M34" i="3"/>
  <c r="N34" i="3" s="1"/>
  <c r="H34" i="3"/>
  <c r="D34" i="3"/>
  <c r="E34" i="3" s="1"/>
  <c r="CP37" i="3"/>
  <c r="CP119" i="3" s="1"/>
  <c r="CP36" i="3"/>
  <c r="CP118" i="3"/>
  <c r="CP34" i="3"/>
  <c r="CP116" i="3" s="1"/>
  <c r="AZ33" i="3"/>
  <c r="AV33" i="3"/>
  <c r="AW33" i="3"/>
  <c r="AR33" i="3"/>
  <c r="AR61" i="3" s="1"/>
  <c r="AR63" i="3" s="1"/>
  <c r="AN33" i="3"/>
  <c r="AO33" i="3"/>
  <c r="AJ33" i="3"/>
  <c r="AF33" i="3"/>
  <c r="AG33" i="3" s="1"/>
  <c r="AG61" i="3"/>
  <c r="AB33" i="3"/>
  <c r="X33" i="3"/>
  <c r="Y33" i="3" s="1"/>
  <c r="Y61" i="3" s="1"/>
  <c r="Y63" i="3" s="1"/>
  <c r="T33" i="3"/>
  <c r="P33" i="3"/>
  <c r="Q33" i="3" s="1"/>
  <c r="L33" i="3"/>
  <c r="H33" i="3"/>
  <c r="I33" i="3" s="1"/>
  <c r="I61" i="3" s="1"/>
  <c r="I63" i="3" s="1"/>
  <c r="D33" i="3"/>
  <c r="D61" i="3" s="1"/>
  <c r="D63" i="3" s="1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Z29" i="3"/>
  <c r="BA29" i="3" s="1"/>
  <c r="AV29" i="3"/>
  <c r="AR29" i="3"/>
  <c r="AN29" i="3"/>
  <c r="AO29" i="3" s="1"/>
  <c r="AP29" i="3" s="1"/>
  <c r="AJ29" i="3"/>
  <c r="AF29" i="3"/>
  <c r="AG29" i="3" s="1"/>
  <c r="AH29" i="3" s="1"/>
  <c r="AI29" i="3" s="1"/>
  <c r="BT29" i="3" s="1"/>
  <c r="AB29" i="3"/>
  <c r="AC29" i="3" s="1"/>
  <c r="X29" i="3"/>
  <c r="Y29" i="3" s="1"/>
  <c r="T29" i="3"/>
  <c r="P29" i="3"/>
  <c r="L29" i="3"/>
  <c r="M29" i="3" s="1"/>
  <c r="H29" i="3"/>
  <c r="I29" i="3" s="1"/>
  <c r="J29" i="3" s="1"/>
  <c r="D29" i="3"/>
  <c r="E29" i="3" s="1"/>
  <c r="F29" i="3" s="1"/>
  <c r="AZ28" i="3"/>
  <c r="AV28" i="3"/>
  <c r="AR28" i="3"/>
  <c r="AN28" i="3"/>
  <c r="AO28" i="3" s="1"/>
  <c r="AJ28" i="3"/>
  <c r="AF28" i="3"/>
  <c r="AB28" i="3"/>
  <c r="X28" i="3"/>
  <c r="T28" i="3"/>
  <c r="U28" i="3" s="1"/>
  <c r="P28" i="3"/>
  <c r="L28" i="3"/>
  <c r="M28" i="3" s="1"/>
  <c r="H28" i="3"/>
  <c r="D28" i="3"/>
  <c r="AZ27" i="3"/>
  <c r="AV27" i="3"/>
  <c r="AW27" i="3" s="1"/>
  <c r="AR27" i="3"/>
  <c r="AN27" i="3"/>
  <c r="AJ27" i="3"/>
  <c r="AK27" i="3" s="1"/>
  <c r="AF27" i="3"/>
  <c r="AG27" i="3" s="1"/>
  <c r="AB27" i="3"/>
  <c r="X27" i="3"/>
  <c r="Y27" i="3"/>
  <c r="Z27" i="3" s="1"/>
  <c r="T27" i="3"/>
  <c r="P27" i="3"/>
  <c r="Q27" i="3" s="1"/>
  <c r="R27" i="3" s="1"/>
  <c r="L27" i="3"/>
  <c r="H27" i="3"/>
  <c r="I27" i="3" s="1"/>
  <c r="D27" i="3"/>
  <c r="E27" i="3"/>
  <c r="F27" i="3" s="1"/>
  <c r="G27" i="3" s="1"/>
  <c r="CD27" i="3" s="1"/>
  <c r="CD109" i="3" s="1"/>
  <c r="AZ26" i="3"/>
  <c r="BA26" i="3"/>
  <c r="AV26" i="3"/>
  <c r="AR26" i="3"/>
  <c r="AN26" i="3"/>
  <c r="AJ26" i="3"/>
  <c r="AK26" i="3" s="1"/>
  <c r="AF26" i="3"/>
  <c r="AB26" i="3"/>
  <c r="AC26" i="3"/>
  <c r="X26" i="3"/>
  <c r="Y26" i="3" s="1"/>
  <c r="Z26" i="3" s="1"/>
  <c r="AA26" i="3" s="1"/>
  <c r="T26" i="3"/>
  <c r="U26" i="3" s="1"/>
  <c r="V26" i="3" s="1"/>
  <c r="P26" i="3"/>
  <c r="L26" i="3"/>
  <c r="M26" i="3"/>
  <c r="H26" i="3"/>
  <c r="I26" i="3" s="1"/>
  <c r="D26" i="3"/>
  <c r="E26" i="3" s="1"/>
  <c r="F26" i="3" s="1"/>
  <c r="AZ25" i="3"/>
  <c r="BA25" i="3" s="1"/>
  <c r="BB25" i="3"/>
  <c r="AV25" i="3"/>
  <c r="AR25" i="3"/>
  <c r="AN25" i="3"/>
  <c r="AJ25" i="3"/>
  <c r="AK25" i="3"/>
  <c r="AF25" i="3"/>
  <c r="AB25" i="3"/>
  <c r="X25" i="3"/>
  <c r="T25" i="3"/>
  <c r="P25" i="3"/>
  <c r="L25" i="3"/>
  <c r="H25" i="3"/>
  <c r="D25" i="3"/>
  <c r="AZ24" i="3"/>
  <c r="AV24" i="3"/>
  <c r="AR24" i="3"/>
  <c r="AN24" i="3"/>
  <c r="AJ24" i="3"/>
  <c r="AF24" i="3"/>
  <c r="AB24" i="3"/>
  <c r="AC24" i="3" s="1"/>
  <c r="AD24" i="3" s="1"/>
  <c r="X24" i="3"/>
  <c r="Y24" i="3" s="1"/>
  <c r="Z24" i="3" s="1"/>
  <c r="AA24" i="3" s="1"/>
  <c r="CI24" i="3" s="1"/>
  <c r="CI106" i="3" s="1"/>
  <c r="T24" i="3"/>
  <c r="U24" i="3" s="1"/>
  <c r="P24" i="3"/>
  <c r="Q24" i="3" s="1"/>
  <c r="R24" i="3" s="1"/>
  <c r="L24" i="3"/>
  <c r="H24" i="3"/>
  <c r="I24" i="3" s="1"/>
  <c r="J24" i="3" s="1"/>
  <c r="K24" i="3" s="1"/>
  <c r="D24" i="3"/>
  <c r="AZ23" i="3"/>
  <c r="AV23" i="3"/>
  <c r="AR23" i="3"/>
  <c r="AN23" i="3"/>
  <c r="AJ23" i="3"/>
  <c r="AF23" i="3"/>
  <c r="AG23" i="3" s="1"/>
  <c r="AB23" i="3"/>
  <c r="X23" i="3"/>
  <c r="T23" i="3"/>
  <c r="P23" i="3"/>
  <c r="Q23" i="3" s="1"/>
  <c r="L23" i="3"/>
  <c r="M23" i="3" s="1"/>
  <c r="N23" i="3" s="1"/>
  <c r="H23" i="3"/>
  <c r="D23" i="3"/>
  <c r="AZ22" i="3"/>
  <c r="BA22" i="3"/>
  <c r="AV22" i="3"/>
  <c r="AR22" i="3"/>
  <c r="AS22" i="3" s="1"/>
  <c r="AN22" i="3"/>
  <c r="AJ22" i="3"/>
  <c r="AF22" i="3"/>
  <c r="AG22" i="3" s="1"/>
  <c r="AB22" i="3"/>
  <c r="X22" i="3"/>
  <c r="Y22" i="3" s="1"/>
  <c r="Z22" i="3" s="1"/>
  <c r="T22" i="3"/>
  <c r="P22" i="3"/>
  <c r="Q22" i="3" s="1"/>
  <c r="R22" i="3" s="1"/>
  <c r="L22" i="3"/>
  <c r="M22" i="3" s="1"/>
  <c r="N22" i="3" s="1"/>
  <c r="O22" i="3" s="1"/>
  <c r="H22" i="3"/>
  <c r="I22" i="3" s="1"/>
  <c r="D22" i="3"/>
  <c r="AZ21" i="3"/>
  <c r="AV21" i="3"/>
  <c r="AR21" i="3"/>
  <c r="AS21" i="3" s="1"/>
  <c r="AN21" i="3"/>
  <c r="AJ21" i="3"/>
  <c r="AF21" i="3"/>
  <c r="AB21" i="3"/>
  <c r="AC21" i="3" s="1"/>
  <c r="X21" i="3"/>
  <c r="Y21" i="3" s="1"/>
  <c r="Z21" i="3" s="1"/>
  <c r="AA21" i="3" s="1"/>
  <c r="T21" i="3"/>
  <c r="U21" i="3" s="1"/>
  <c r="V21" i="3" s="1"/>
  <c r="P21" i="3"/>
  <c r="L21" i="3"/>
  <c r="M21" i="3"/>
  <c r="N21" i="3" s="1"/>
  <c r="O21" i="3" s="1"/>
  <c r="CF21" i="3" s="1"/>
  <c r="CF103" i="3" s="1"/>
  <c r="H21" i="3"/>
  <c r="D21" i="3"/>
  <c r="E21" i="3" s="1"/>
  <c r="AX20" i="3"/>
  <c r="AT20" i="3"/>
  <c r="AP20" i="3"/>
  <c r="AL20" i="3"/>
  <c r="AH20" i="3"/>
  <c r="AD20" i="3"/>
  <c r="BZ19" i="3"/>
  <c r="BZ18" i="3"/>
  <c r="AZ19" i="3"/>
  <c r="AZ18" i="3"/>
  <c r="BA18" i="3" s="1"/>
  <c r="AZ17" i="3"/>
  <c r="BA17" i="3" s="1"/>
  <c r="BZ16" i="3"/>
  <c r="BZ64" i="3" s="1"/>
  <c r="BZ15" i="3"/>
  <c r="AZ16" i="3"/>
  <c r="AZ15" i="3"/>
  <c r="CP19" i="3"/>
  <c r="CP101" i="3" s="1"/>
  <c r="CP18" i="3"/>
  <c r="CP100" i="3" s="1"/>
  <c r="CP16" i="3"/>
  <c r="CP98" i="3"/>
  <c r="CP15" i="3"/>
  <c r="CP97" i="3" s="1"/>
  <c r="AZ14" i="3"/>
  <c r="BA14" i="3"/>
  <c r="BB14" i="3"/>
  <c r="AV19" i="3"/>
  <c r="AW19" i="3"/>
  <c r="AV18" i="3"/>
  <c r="AV17" i="3"/>
  <c r="AW17" i="3" s="1"/>
  <c r="AV16" i="3"/>
  <c r="AV15" i="3"/>
  <c r="AW15" i="3" s="1"/>
  <c r="AV14" i="3"/>
  <c r="AR19" i="3"/>
  <c r="AR18" i="3"/>
  <c r="AR17" i="3"/>
  <c r="AS17" i="3" s="1"/>
  <c r="AR16" i="3"/>
  <c r="AR15" i="3"/>
  <c r="AR14" i="3"/>
  <c r="AS14" i="3" s="1"/>
  <c r="AN18" i="3"/>
  <c r="AO18" i="3"/>
  <c r="AP18" i="3" s="1"/>
  <c r="AQ18" i="3" s="1"/>
  <c r="AN17" i="3"/>
  <c r="AO17" i="3"/>
  <c r="AN16" i="3"/>
  <c r="AN64" i="3" s="1"/>
  <c r="AO16" i="3"/>
  <c r="AO64" i="3" s="1"/>
  <c r="AN15" i="3"/>
  <c r="AN14" i="3"/>
  <c r="AO14" i="3"/>
  <c r="AN13" i="3"/>
  <c r="AN79" i="3" s="1"/>
  <c r="AJ18" i="3"/>
  <c r="AK18" i="3" s="1"/>
  <c r="AJ17" i="3"/>
  <c r="AJ16" i="3"/>
  <c r="AL16" i="3" s="1"/>
  <c r="AJ64" i="3"/>
  <c r="AJ15" i="3"/>
  <c r="AK15" i="3" s="1"/>
  <c r="AJ14" i="3"/>
  <c r="AK14" i="3"/>
  <c r="AJ79" i="3"/>
  <c r="AF18" i="3"/>
  <c r="AF17" i="3"/>
  <c r="AF16" i="3"/>
  <c r="AF64" i="3" s="1"/>
  <c r="AG16" i="3"/>
  <c r="AF15" i="3"/>
  <c r="AF14" i="3"/>
  <c r="P19" i="3"/>
  <c r="D19" i="3"/>
  <c r="AB18" i="3"/>
  <c r="AC18" i="3" s="1"/>
  <c r="AD18" i="3" s="1"/>
  <c r="AE18" i="3" s="1"/>
  <c r="X18" i="3"/>
  <c r="Y18" i="3" s="1"/>
  <c r="Z18" i="3" s="1"/>
  <c r="T18" i="3"/>
  <c r="U18" i="3" s="1"/>
  <c r="V18" i="3"/>
  <c r="W18" i="3" s="1"/>
  <c r="P18" i="3"/>
  <c r="L18" i="3"/>
  <c r="M18" i="3" s="1"/>
  <c r="N18" i="3" s="1"/>
  <c r="O18" i="3" s="1"/>
  <c r="BO18" i="3" s="1"/>
  <c r="H18" i="3"/>
  <c r="D18" i="3"/>
  <c r="E18" i="3"/>
  <c r="F18" i="3" s="1"/>
  <c r="G18" i="3" s="1"/>
  <c r="CD18" i="3" s="1"/>
  <c r="CD100" i="3" s="1"/>
  <c r="AB17" i="3"/>
  <c r="X17" i="3"/>
  <c r="Y17" i="3"/>
  <c r="Z17" i="3"/>
  <c r="AA17" i="3" s="1"/>
  <c r="T17" i="3"/>
  <c r="P17" i="3"/>
  <c r="Q17" i="3"/>
  <c r="L17" i="3"/>
  <c r="M17" i="3" s="1"/>
  <c r="N17" i="3" s="1"/>
  <c r="O17" i="3" s="1"/>
  <c r="H17" i="3"/>
  <c r="I17" i="3" s="1"/>
  <c r="J17" i="3" s="1"/>
  <c r="K17" i="3" s="1"/>
  <c r="D17" i="3"/>
  <c r="E17" i="3" s="1"/>
  <c r="F17" i="3" s="1"/>
  <c r="AB16" i="3"/>
  <c r="AB64" i="3" s="1"/>
  <c r="X16" i="3"/>
  <c r="T16" i="3"/>
  <c r="U16" i="3"/>
  <c r="V16" i="3" s="1"/>
  <c r="P16" i="3"/>
  <c r="L16" i="3"/>
  <c r="M16" i="3"/>
  <c r="N16" i="3" s="1"/>
  <c r="O16" i="3" s="1"/>
  <c r="H16" i="3"/>
  <c r="I16" i="3" s="1"/>
  <c r="J16" i="3" s="1"/>
  <c r="K16" i="3" s="1"/>
  <c r="D16" i="3"/>
  <c r="E16" i="3" s="1"/>
  <c r="AB15" i="3"/>
  <c r="AC15" i="3" s="1"/>
  <c r="AD15" i="3"/>
  <c r="X15" i="3"/>
  <c r="T15" i="3"/>
  <c r="U15" i="3" s="1"/>
  <c r="P15" i="3"/>
  <c r="L15" i="3"/>
  <c r="M15" i="3" s="1"/>
  <c r="N15" i="3" s="1"/>
  <c r="O15" i="3" s="1"/>
  <c r="CF15" i="3" s="1"/>
  <c r="CF97" i="3" s="1"/>
  <c r="H15" i="3"/>
  <c r="D15" i="3"/>
  <c r="E15" i="3" s="1"/>
  <c r="F15" i="3" s="1"/>
  <c r="G15" i="3" s="1"/>
  <c r="AB14" i="3"/>
  <c r="AC14" i="3" s="1"/>
  <c r="AD14" i="3" s="1"/>
  <c r="AE14" i="3" s="1"/>
  <c r="X14" i="3"/>
  <c r="Y14" i="3"/>
  <c r="Z14" i="3"/>
  <c r="AA14" i="3" s="1"/>
  <c r="T14" i="3"/>
  <c r="P14" i="3"/>
  <c r="L14" i="3"/>
  <c r="M14" i="3" s="1"/>
  <c r="D14" i="3"/>
  <c r="T79" i="3"/>
  <c r="T77" i="3" s="1"/>
  <c r="P79" i="3"/>
  <c r="P77" i="3" s="1"/>
  <c r="H13" i="3"/>
  <c r="H79" i="3" s="1"/>
  <c r="H77" i="3" s="1"/>
  <c r="H76" i="3" s="1"/>
  <c r="CP8" i="3"/>
  <c r="CO8" i="3"/>
  <c r="CN8" i="3"/>
  <c r="CM8" i="3"/>
  <c r="CL8" i="3"/>
  <c r="CK8" i="3"/>
  <c r="CJ8" i="3"/>
  <c r="CI8" i="3"/>
  <c r="CH8" i="3"/>
  <c r="CG8" i="3"/>
  <c r="CF8" i="3"/>
  <c r="CE8" i="3"/>
  <c r="CD8" i="3"/>
  <c r="CP7" i="3"/>
  <c r="CP60" i="3" s="1"/>
  <c r="CP75" i="3" s="1"/>
  <c r="CP83" i="3" s="1"/>
  <c r="CP91" i="3" s="1"/>
  <c r="CO7" i="3"/>
  <c r="CO60" i="3" s="1"/>
  <c r="CO75" i="3" s="1"/>
  <c r="CO83" i="3" s="1"/>
  <c r="CO91" i="3" s="1"/>
  <c r="CN7" i="3"/>
  <c r="CN60" i="3" s="1"/>
  <c r="CN75" i="3" s="1"/>
  <c r="CN83" i="3" s="1"/>
  <c r="CN91" i="3" s="1"/>
  <c r="CM7" i="3"/>
  <c r="CM60" i="3" s="1"/>
  <c r="CM75" i="3" s="1"/>
  <c r="CM83" i="3" s="1"/>
  <c r="CM91" i="3" s="1"/>
  <c r="CL7" i="3"/>
  <c r="CL60" i="3" s="1"/>
  <c r="CL75" i="3"/>
  <c r="CL83" i="3" s="1"/>
  <c r="CL91" i="3" s="1"/>
  <c r="CK7" i="3"/>
  <c r="CK60" i="3" s="1"/>
  <c r="CK75" i="3" s="1"/>
  <c r="CK83" i="3" s="1"/>
  <c r="CK91" i="3" s="1"/>
  <c r="CJ7" i="3"/>
  <c r="CJ60" i="3"/>
  <c r="CJ75" i="3" s="1"/>
  <c r="CJ83" i="3" s="1"/>
  <c r="CJ91" i="3" s="1"/>
  <c r="CI7" i="3"/>
  <c r="CI60" i="3" s="1"/>
  <c r="CI75" i="3" s="1"/>
  <c r="CI83" i="3" s="1"/>
  <c r="CI91" i="3" s="1"/>
  <c r="CH7" i="3"/>
  <c r="CH60" i="3"/>
  <c r="CH75" i="3" s="1"/>
  <c r="CH83" i="3" s="1"/>
  <c r="CH91" i="3" s="1"/>
  <c r="CG7" i="3"/>
  <c r="CG60" i="3" s="1"/>
  <c r="CG75" i="3" s="1"/>
  <c r="CG83" i="3" s="1"/>
  <c r="CG91" i="3" s="1"/>
  <c r="CF7" i="3"/>
  <c r="CF60" i="3" s="1"/>
  <c r="CF75" i="3" s="1"/>
  <c r="CF83" i="3" s="1"/>
  <c r="CF91" i="3" s="1"/>
  <c r="CE7" i="3"/>
  <c r="CE60" i="3" s="1"/>
  <c r="CE75" i="3"/>
  <c r="CE83" i="3" s="1"/>
  <c r="CE91" i="3" s="1"/>
  <c r="CD7" i="3"/>
  <c r="CD60" i="3"/>
  <c r="CD75" i="3"/>
  <c r="CD83" i="3" s="1"/>
  <c r="CD91" i="3" s="1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BQ141" i="2"/>
  <c r="BP141" i="2"/>
  <c r="BO141" i="2"/>
  <c r="BN141" i="2"/>
  <c r="BM141" i="2"/>
  <c r="AM141" i="2"/>
  <c r="AL141" i="2"/>
  <c r="BT138" i="2"/>
  <c r="BB137" i="2"/>
  <c r="BC137" i="2" s="1"/>
  <c r="BD137" i="2" s="1"/>
  <c r="BE137" i="2" s="1"/>
  <c r="BF137" i="2" s="1"/>
  <c r="BG137" i="2" s="1"/>
  <c r="BH137" i="2" s="1"/>
  <c r="BI137" i="2" s="1"/>
  <c r="BJ137" i="2" s="1"/>
  <c r="BK137" i="2" s="1"/>
  <c r="AX137" i="2"/>
  <c r="AY137" i="2" s="1"/>
  <c r="CP135" i="2"/>
  <c r="CO135" i="2"/>
  <c r="CN135" i="2"/>
  <c r="CM135" i="2"/>
  <c r="CL135" i="2"/>
  <c r="CK135" i="2"/>
  <c r="CJ135" i="2"/>
  <c r="CP134" i="2"/>
  <c r="CO134" i="2"/>
  <c r="CN134" i="2"/>
  <c r="CM134" i="2"/>
  <c r="CL134" i="2"/>
  <c r="CK134" i="2"/>
  <c r="CJ134" i="2"/>
  <c r="CP133" i="2"/>
  <c r="CO133" i="2"/>
  <c r="CN133" i="2"/>
  <c r="CM133" i="2"/>
  <c r="CL133" i="2"/>
  <c r="CK133" i="2"/>
  <c r="CJ133" i="2"/>
  <c r="CP132" i="2"/>
  <c r="CO132" i="2"/>
  <c r="CN132" i="2"/>
  <c r="CM132" i="2"/>
  <c r="CL132" i="2"/>
  <c r="CK132" i="2"/>
  <c r="CJ132" i="2"/>
  <c r="AM121" i="2"/>
  <c r="AI121" i="2"/>
  <c r="AI122" i="2" s="1"/>
  <c r="AM120" i="2"/>
  <c r="AI120" i="2"/>
  <c r="AM116" i="2"/>
  <c r="AI116" i="2"/>
  <c r="BU112" i="2"/>
  <c r="BT112" i="2"/>
  <c r="BU111" i="2"/>
  <c r="BT111" i="2"/>
  <c r="AN112" i="2"/>
  <c r="AN111" i="2"/>
  <c r="AO111" i="2"/>
  <c r="AP111" i="2" s="1"/>
  <c r="AJ112" i="2"/>
  <c r="AK112" i="2"/>
  <c r="AL112" i="2" s="1"/>
  <c r="AJ111" i="2"/>
  <c r="AK111" i="2" s="1"/>
  <c r="AJ108" i="2"/>
  <c r="BU108" i="2"/>
  <c r="BT108" i="2"/>
  <c r="AN108" i="2"/>
  <c r="AN116" i="2" s="1"/>
  <c r="AM107" i="2"/>
  <c r="AI107" i="2"/>
  <c r="BT107" i="2" s="1"/>
  <c r="BG104" i="2"/>
  <c r="BZ104" i="2" s="1"/>
  <c r="BF104" i="2"/>
  <c r="BE104" i="2"/>
  <c r="BD104" i="2"/>
  <c r="BC104" i="2"/>
  <c r="BY104" i="2"/>
  <c r="BB104" i="2"/>
  <c r="AZ104" i="2"/>
  <c r="AY104" i="2"/>
  <c r="BX104" i="2"/>
  <c r="AX104" i="2"/>
  <c r="AW104" i="2"/>
  <c r="AV104" i="2"/>
  <c r="AU104" i="2"/>
  <c r="BW104" i="2"/>
  <c r="AT104" i="2"/>
  <c r="AS104" i="2"/>
  <c r="AR104" i="2"/>
  <c r="AQ104" i="2"/>
  <c r="BV104" i="2" s="1"/>
  <c r="AP104" i="2"/>
  <c r="AO104" i="2"/>
  <c r="AN104" i="2"/>
  <c r="AM104" i="2"/>
  <c r="BU104" i="2" s="1"/>
  <c r="AJ104" i="2"/>
  <c r="AI104" i="2"/>
  <c r="BT104" i="2"/>
  <c r="BZ103" i="2"/>
  <c r="BY103" i="2"/>
  <c r="BX103" i="2"/>
  <c r="BW103" i="2"/>
  <c r="BV103" i="2"/>
  <c r="BZ102" i="2"/>
  <c r="BY102" i="2"/>
  <c r="BX102" i="2"/>
  <c r="BW102" i="2"/>
  <c r="BV102" i="2"/>
  <c r="BU102" i="2"/>
  <c r="BT102" i="2"/>
  <c r="BZ101" i="2"/>
  <c r="BY101" i="2"/>
  <c r="BX101" i="2"/>
  <c r="BW101" i="2"/>
  <c r="BV101" i="2"/>
  <c r="AM101" i="2"/>
  <c r="AI101" i="2"/>
  <c r="BT101" i="2" s="1"/>
  <c r="BG98" i="2"/>
  <c r="BZ98" i="2" s="1"/>
  <c r="BF98" i="2"/>
  <c r="BE98" i="2"/>
  <c r="BD98" i="2"/>
  <c r="BC98" i="2"/>
  <c r="BY98" i="2" s="1"/>
  <c r="BB98" i="2"/>
  <c r="AZ98" i="2"/>
  <c r="AY98" i="2"/>
  <c r="BX98" i="2" s="1"/>
  <c r="AX98" i="2"/>
  <c r="AW98" i="2"/>
  <c r="AV98" i="2"/>
  <c r="AU98" i="2"/>
  <c r="BW98" i="2" s="1"/>
  <c r="AT98" i="2"/>
  <c r="AS98" i="2"/>
  <c r="AR98" i="2"/>
  <c r="AQ98" i="2"/>
  <c r="BV98" i="2" s="1"/>
  <c r="AP98" i="2"/>
  <c r="AO98" i="2"/>
  <c r="AN98" i="2"/>
  <c r="AM98" i="2"/>
  <c r="BU98" i="2" s="1"/>
  <c r="AI98" i="2"/>
  <c r="BT98" i="2" s="1"/>
  <c r="BZ97" i="2"/>
  <c r="BY97" i="2"/>
  <c r="BX97" i="2"/>
  <c r="BW97" i="2"/>
  <c r="BV97" i="2"/>
  <c r="BU97" i="2"/>
  <c r="BT97" i="2"/>
  <c r="BZ96" i="2"/>
  <c r="BY96" i="2"/>
  <c r="BX96" i="2"/>
  <c r="BW96" i="2"/>
  <c r="BV96" i="2"/>
  <c r="BU96" i="2"/>
  <c r="BT96" i="2"/>
  <c r="BZ95" i="2"/>
  <c r="BY95" i="2"/>
  <c r="BX95" i="2"/>
  <c r="BW95" i="2"/>
  <c r="BV95" i="2"/>
  <c r="BU95" i="2"/>
  <c r="BT95" i="2"/>
  <c r="AJ96" i="2"/>
  <c r="AJ95" i="2"/>
  <c r="CJ87" i="2"/>
  <c r="CJ86" i="2"/>
  <c r="CJ85" i="2"/>
  <c r="CJ84" i="2"/>
  <c r="CJ83" i="2"/>
  <c r="AW83" i="2"/>
  <c r="AX83" i="2" s="1"/>
  <c r="AS83" i="2"/>
  <c r="AO83" i="2"/>
  <c r="AZ80" i="2"/>
  <c r="AZ134" i="2" s="1"/>
  <c r="AY80" i="2"/>
  <c r="AX80" i="2"/>
  <c r="AX81" i="2" s="1"/>
  <c r="AX135" i="2" s="1"/>
  <c r="AY138" i="2" s="1"/>
  <c r="AX134" i="2"/>
  <c r="AW80" i="2"/>
  <c r="AW134" i="2" s="1"/>
  <c r="AV80" i="2"/>
  <c r="AV134" i="2"/>
  <c r="AU80" i="2"/>
  <c r="AU134" i="2" s="1"/>
  <c r="AT80" i="2"/>
  <c r="AT134" i="2" s="1"/>
  <c r="AS80" i="2"/>
  <c r="AS134" i="2" s="1"/>
  <c r="AR80" i="2"/>
  <c r="AR134" i="2"/>
  <c r="AQ80" i="2"/>
  <c r="AP80" i="2"/>
  <c r="AP134" i="2"/>
  <c r="AO80" i="2"/>
  <c r="AO134" i="2" s="1"/>
  <c r="AN80" i="2"/>
  <c r="AN134" i="2"/>
  <c r="AM80" i="2"/>
  <c r="AM134" i="2" s="1"/>
  <c r="AL80" i="2"/>
  <c r="AL134" i="2" s="1"/>
  <c r="AK80" i="2"/>
  <c r="AJ80" i="2"/>
  <c r="AJ134" i="2"/>
  <c r="AI80" i="2"/>
  <c r="AI134" i="2" s="1"/>
  <c r="AH80" i="2"/>
  <c r="AG80" i="2"/>
  <c r="AF80" i="2"/>
  <c r="AF81" i="2" s="1"/>
  <c r="AZ79" i="2"/>
  <c r="AY79" i="2"/>
  <c r="AY133" i="2" s="1"/>
  <c r="AX79" i="2"/>
  <c r="AX133" i="2" s="1"/>
  <c r="AW79" i="2"/>
  <c r="AV79" i="2"/>
  <c r="AV133" i="2" s="1"/>
  <c r="AU79" i="2"/>
  <c r="AU133" i="2" s="1"/>
  <c r="AT79" i="2"/>
  <c r="AR79" i="2"/>
  <c r="AR133" i="2"/>
  <c r="AQ79" i="2"/>
  <c r="AQ133" i="2" s="1"/>
  <c r="AP79" i="2"/>
  <c r="AP133" i="2" s="1"/>
  <c r="AO79" i="2"/>
  <c r="AN79" i="2"/>
  <c r="AM79" i="2"/>
  <c r="AM133" i="2" s="1"/>
  <c r="AL79" i="2"/>
  <c r="AL133" i="2"/>
  <c r="AK79" i="2"/>
  <c r="AK133" i="2" s="1"/>
  <c r="AJ79" i="2"/>
  <c r="AI79" i="2"/>
  <c r="AH79" i="2"/>
  <c r="AH81" i="2" s="1"/>
  <c r="AG79" i="2"/>
  <c r="AF79" i="2"/>
  <c r="AZ78" i="2"/>
  <c r="AZ132" i="2"/>
  <c r="AY78" i="2"/>
  <c r="AY132" i="2" s="1"/>
  <c r="AX78" i="2"/>
  <c r="AW78" i="2"/>
  <c r="AW132" i="2"/>
  <c r="AV78" i="2"/>
  <c r="AV132" i="2" s="1"/>
  <c r="AU78" i="2"/>
  <c r="AU132" i="2" s="1"/>
  <c r="AT78" i="2"/>
  <c r="AS78" i="2"/>
  <c r="AS132" i="2" s="1"/>
  <c r="AR78" i="2"/>
  <c r="AR132" i="2" s="1"/>
  <c r="AQ78" i="2"/>
  <c r="AP78" i="2"/>
  <c r="AP81" i="2" s="1"/>
  <c r="AO78" i="2"/>
  <c r="AO132" i="2" s="1"/>
  <c r="AN78" i="2"/>
  <c r="AM78" i="2"/>
  <c r="AL78" i="2"/>
  <c r="AK78" i="2"/>
  <c r="AK132" i="2" s="1"/>
  <c r="AJ78" i="2"/>
  <c r="AJ132" i="2"/>
  <c r="AI78" i="2"/>
  <c r="AI132" i="2" s="1"/>
  <c r="AH78" i="2"/>
  <c r="AG78" i="2"/>
  <c r="AF78" i="2"/>
  <c r="AE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AZ75" i="2"/>
  <c r="AY75" i="2"/>
  <c r="AY76" i="2" s="1"/>
  <c r="AX75" i="2"/>
  <c r="AW75" i="2"/>
  <c r="AU75" i="2"/>
  <c r="AT75" i="2"/>
  <c r="AT76" i="2" s="1"/>
  <c r="AS75" i="2"/>
  <c r="AR75" i="2"/>
  <c r="AO75" i="2"/>
  <c r="AL75" i="2"/>
  <c r="AI75" i="2"/>
  <c r="AH75" i="2"/>
  <c r="AG75" i="2"/>
  <c r="AG76" i="2" s="1"/>
  <c r="AF75" i="2"/>
  <c r="AE75" i="2"/>
  <c r="AC75" i="2"/>
  <c r="AB75" i="2"/>
  <c r="AB76" i="2" s="1"/>
  <c r="AA75" i="2"/>
  <c r="Z75" i="2"/>
  <c r="Y75" i="2"/>
  <c r="X75" i="2"/>
  <c r="X76" i="2" s="1"/>
  <c r="W75" i="2"/>
  <c r="V75" i="2"/>
  <c r="U75" i="2"/>
  <c r="T75" i="2"/>
  <c r="S75" i="2"/>
  <c r="S76" i="2" s="1"/>
  <c r="R75" i="2"/>
  <c r="Q75" i="2"/>
  <c r="P75" i="2"/>
  <c r="O75" i="2"/>
  <c r="N75" i="2"/>
  <c r="M75" i="2"/>
  <c r="L75" i="2"/>
  <c r="K75" i="2"/>
  <c r="J75" i="2"/>
  <c r="I75" i="2"/>
  <c r="H75" i="2"/>
  <c r="G75" i="2"/>
  <c r="G76" i="2" s="1"/>
  <c r="F75" i="2"/>
  <c r="E75" i="2"/>
  <c r="D75" i="2"/>
  <c r="D76" i="2" s="1"/>
  <c r="AZ73" i="2"/>
  <c r="AZ74" i="2" s="1"/>
  <c r="AY73" i="2"/>
  <c r="AX73" i="2"/>
  <c r="AW73" i="2"/>
  <c r="AW74" i="2"/>
  <c r="AV73" i="2"/>
  <c r="AV74" i="2" s="1"/>
  <c r="AU73" i="2"/>
  <c r="AU74" i="2" s="1"/>
  <c r="AT73" i="2"/>
  <c r="AT74" i="2"/>
  <c r="AS73" i="2"/>
  <c r="AR73" i="2"/>
  <c r="AR74" i="2" s="1"/>
  <c r="AQ73" i="2"/>
  <c r="AP73" i="2"/>
  <c r="AP74" i="2" s="1"/>
  <c r="AO73" i="2"/>
  <c r="AO74" i="2" s="1"/>
  <c r="AN73" i="2"/>
  <c r="AM73" i="2"/>
  <c r="AL73" i="2"/>
  <c r="AK73" i="2"/>
  <c r="AJ73" i="2"/>
  <c r="AI73" i="2"/>
  <c r="AI74" i="2"/>
  <c r="AH73" i="2"/>
  <c r="AG73" i="2"/>
  <c r="AG74" i="2" s="1"/>
  <c r="AF73" i="2"/>
  <c r="AF76" i="2"/>
  <c r="AE73" i="2"/>
  <c r="AE74" i="2" s="1"/>
  <c r="AD73" i="2"/>
  <c r="AD74" i="2" s="1"/>
  <c r="AC73" i="2"/>
  <c r="AC74" i="2"/>
  <c r="AB73" i="2"/>
  <c r="AA73" i="2"/>
  <c r="Z73" i="2"/>
  <c r="Y73" i="2"/>
  <c r="Y74" i="2" s="1"/>
  <c r="X73" i="2"/>
  <c r="X74" i="2" s="1"/>
  <c r="W73" i="2"/>
  <c r="W74" i="2" s="1"/>
  <c r="V73" i="2"/>
  <c r="V74" i="2"/>
  <c r="U73" i="2"/>
  <c r="T73" i="2"/>
  <c r="T74" i="2" s="1"/>
  <c r="S73" i="2"/>
  <c r="R73" i="2"/>
  <c r="R74" i="2" s="1"/>
  <c r="Q73" i="2"/>
  <c r="Q74" i="2" s="1"/>
  <c r="P73" i="2"/>
  <c r="P74" i="2" s="1"/>
  <c r="O73" i="2"/>
  <c r="N73" i="2"/>
  <c r="M73" i="2"/>
  <c r="M74" i="2" s="1"/>
  <c r="L73" i="2"/>
  <c r="K73" i="2"/>
  <c r="J73" i="2"/>
  <c r="J76" i="2" s="1"/>
  <c r="I73" i="2"/>
  <c r="I74" i="2" s="1"/>
  <c r="H73" i="2"/>
  <c r="G73" i="2"/>
  <c r="G74" i="2"/>
  <c r="F73" i="2"/>
  <c r="E73" i="2"/>
  <c r="E74" i="2" s="1"/>
  <c r="D73" i="2"/>
  <c r="AZ68" i="2"/>
  <c r="AY68" i="2"/>
  <c r="BX68" i="2" s="1"/>
  <c r="AX68" i="2"/>
  <c r="AW68" i="2"/>
  <c r="AV68" i="2"/>
  <c r="AU68" i="2"/>
  <c r="BW68" i="2"/>
  <c r="AT68" i="2"/>
  <c r="AS68" i="2"/>
  <c r="AR68" i="2"/>
  <c r="AO68" i="2"/>
  <c r="AL68" i="2"/>
  <c r="CK68" i="2" s="1"/>
  <c r="AI68" i="2"/>
  <c r="BT68" i="2" s="1"/>
  <c r="AH68" i="2"/>
  <c r="AG68" i="2"/>
  <c r="AF68" i="2"/>
  <c r="AE68" i="2"/>
  <c r="AD68" i="2"/>
  <c r="AC68" i="2"/>
  <c r="AB68" i="2"/>
  <c r="AA68" i="2"/>
  <c r="Z68" i="2"/>
  <c r="CH68" i="2"/>
  <c r="Y68" i="2"/>
  <c r="X68" i="2"/>
  <c r="W68" i="2"/>
  <c r="V68" i="2"/>
  <c r="CG68" i="2" s="1"/>
  <c r="U68" i="2"/>
  <c r="T68" i="2"/>
  <c r="S68" i="2"/>
  <c r="BP68" i="2"/>
  <c r="R68" i="2"/>
  <c r="Q68" i="2"/>
  <c r="P68" i="2"/>
  <c r="O68" i="2"/>
  <c r="N68" i="2"/>
  <c r="CE68" i="2" s="1"/>
  <c r="M68" i="2"/>
  <c r="L68" i="2"/>
  <c r="K68" i="2"/>
  <c r="J68" i="2"/>
  <c r="CD68" i="2"/>
  <c r="I68" i="2"/>
  <c r="H68" i="2"/>
  <c r="G68" i="2"/>
  <c r="F68" i="2"/>
  <c r="F69" i="2" s="1"/>
  <c r="E68" i="2"/>
  <c r="D68" i="2"/>
  <c r="AQ65" i="2"/>
  <c r="BV65" i="2"/>
  <c r="AP65" i="2"/>
  <c r="CL65" i="2" s="1"/>
  <c r="AN65" i="2"/>
  <c r="AM65" i="2"/>
  <c r="BU65" i="2"/>
  <c r="AK65" i="2"/>
  <c r="AK66" i="2" s="1"/>
  <c r="AJ65" i="2"/>
  <c r="AD64" i="2"/>
  <c r="CI64" i="2"/>
  <c r="CN65" i="2"/>
  <c r="CM65" i="2"/>
  <c r="CK65" i="2"/>
  <c r="CJ65" i="2"/>
  <c r="CJ66" i="2" s="1"/>
  <c r="CI65" i="2"/>
  <c r="CH65" i="2"/>
  <c r="CG65" i="2"/>
  <c r="CF65" i="2"/>
  <c r="CE65" i="2"/>
  <c r="CD65" i="2"/>
  <c r="CN64" i="2"/>
  <c r="CM64" i="2"/>
  <c r="CL64" i="2"/>
  <c r="CK64" i="2"/>
  <c r="CJ64" i="2"/>
  <c r="CH64" i="2"/>
  <c r="CG64" i="2"/>
  <c r="CF64" i="2"/>
  <c r="CE64" i="2"/>
  <c r="CD64" i="2"/>
  <c r="CN63" i="2"/>
  <c r="CM63" i="2"/>
  <c r="CL63" i="2"/>
  <c r="CK63" i="2"/>
  <c r="CJ63" i="2"/>
  <c r="CH63" i="2"/>
  <c r="CG63" i="2"/>
  <c r="CF63" i="2"/>
  <c r="CE63" i="2"/>
  <c r="CD63" i="2"/>
  <c r="BX65" i="2"/>
  <c r="BW65" i="2"/>
  <c r="BT65" i="2"/>
  <c r="BS65" i="2"/>
  <c r="BR65" i="2"/>
  <c r="BQ65" i="2"/>
  <c r="BP65" i="2"/>
  <c r="BO65" i="2"/>
  <c r="BN65" i="2"/>
  <c r="BM65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BX63" i="2"/>
  <c r="BW63" i="2"/>
  <c r="BV63" i="2"/>
  <c r="BR63" i="2"/>
  <c r="BQ63" i="2"/>
  <c r="BP63" i="2"/>
  <c r="BO63" i="2"/>
  <c r="BN63" i="2"/>
  <c r="BM63" i="2"/>
  <c r="CO63" i="2"/>
  <c r="AM63" i="2"/>
  <c r="BU63" i="2"/>
  <c r="AK63" i="2"/>
  <c r="AI63" i="2"/>
  <c r="BT63" i="2" s="1"/>
  <c r="AG63" i="2"/>
  <c r="AB63" i="2"/>
  <c r="AC63" i="2" s="1"/>
  <c r="AD63" i="2" s="1"/>
  <c r="AZ61" i="2"/>
  <c r="AW61" i="2"/>
  <c r="AV61" i="2"/>
  <c r="AV66" i="2" s="1"/>
  <c r="AU61" i="2"/>
  <c r="AS61" i="2"/>
  <c r="AR61" i="2"/>
  <c r="AQ61" i="2"/>
  <c r="AQ66" i="2" s="1"/>
  <c r="AN61" i="2"/>
  <c r="AM61" i="2"/>
  <c r="AK61" i="2"/>
  <c r="AI61" i="2"/>
  <c r="AI66" i="2" s="1"/>
  <c r="AI69" i="2" s="1"/>
  <c r="AH61" i="2"/>
  <c r="AG61" i="2"/>
  <c r="AF61" i="2"/>
  <c r="AE61" i="2"/>
  <c r="AE66" i="2" s="1"/>
  <c r="AC61" i="2"/>
  <c r="AC66" i="2" s="1"/>
  <c r="AB61" i="2"/>
  <c r="AA61" i="2"/>
  <c r="Z61" i="2"/>
  <c r="Z66" i="2" s="1"/>
  <c r="Z69" i="2" s="1"/>
  <c r="Y61" i="2"/>
  <c r="X61" i="2"/>
  <c r="W61" i="2"/>
  <c r="V61" i="2"/>
  <c r="V66" i="2" s="1"/>
  <c r="V69" i="2" s="1"/>
  <c r="U61" i="2"/>
  <c r="T61" i="2"/>
  <c r="S61" i="2"/>
  <c r="R61" i="2"/>
  <c r="R66" i="2" s="1"/>
  <c r="Q61" i="2"/>
  <c r="P61" i="2"/>
  <c r="O61" i="2"/>
  <c r="N61" i="2"/>
  <c r="N66" i="2" s="1"/>
  <c r="N69" i="2" s="1"/>
  <c r="M61" i="2"/>
  <c r="M66" i="2" s="1"/>
  <c r="L61" i="2"/>
  <c r="K61" i="2"/>
  <c r="J61" i="2"/>
  <c r="J66" i="2" s="1"/>
  <c r="I61" i="2"/>
  <c r="H61" i="2"/>
  <c r="G61" i="2"/>
  <c r="F61" i="2"/>
  <c r="F66" i="2" s="1"/>
  <c r="AD60" i="2"/>
  <c r="E60" i="2"/>
  <c r="E61" i="2"/>
  <c r="E66" i="2" s="1"/>
  <c r="E69" i="2" s="1"/>
  <c r="D60" i="2"/>
  <c r="D61" i="2" s="1"/>
  <c r="D66" i="2" s="1"/>
  <c r="D69" i="2" s="1"/>
  <c r="AX57" i="2"/>
  <c r="AX61" i="2"/>
  <c r="AX66" i="2" s="1"/>
  <c r="AT57" i="2"/>
  <c r="AO57" i="2"/>
  <c r="AP57" i="2" s="1"/>
  <c r="CL57" i="2" s="1"/>
  <c r="AL57" i="2"/>
  <c r="AJ57" i="2"/>
  <c r="AJ61" i="2"/>
  <c r="CN60" i="2"/>
  <c r="CM60" i="2"/>
  <c r="CL60" i="2"/>
  <c r="CK60" i="2"/>
  <c r="CJ60" i="2"/>
  <c r="CH60" i="2"/>
  <c r="CG60" i="2"/>
  <c r="CF60" i="2"/>
  <c r="CE60" i="2"/>
  <c r="CD60" i="2"/>
  <c r="CO59" i="2"/>
  <c r="CN59" i="2"/>
  <c r="CM59" i="2"/>
  <c r="CJ59" i="2"/>
  <c r="CI59" i="2"/>
  <c r="CH59" i="2"/>
  <c r="CH61" i="2" s="1"/>
  <c r="CG59" i="2"/>
  <c r="CF59" i="2"/>
  <c r="CE59" i="2"/>
  <c r="CD59" i="2"/>
  <c r="CN58" i="2"/>
  <c r="CM58" i="2"/>
  <c r="CL58" i="2"/>
  <c r="CK58" i="2"/>
  <c r="CJ58" i="2"/>
  <c r="CI58" i="2"/>
  <c r="CH58" i="2"/>
  <c r="CG58" i="2"/>
  <c r="CF58" i="2"/>
  <c r="CE58" i="2"/>
  <c r="CD58" i="2"/>
  <c r="CJ57" i="2"/>
  <c r="CJ61" i="2" s="1"/>
  <c r="CI57" i="2"/>
  <c r="CH57" i="2"/>
  <c r="CG57" i="2"/>
  <c r="CG61" i="2" s="1"/>
  <c r="CF57" i="2"/>
  <c r="CE57" i="2"/>
  <c r="CD57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W57" i="2"/>
  <c r="BW61" i="2" s="1"/>
  <c r="BV57" i="2"/>
  <c r="BU57" i="2"/>
  <c r="BT57" i="2"/>
  <c r="BS57" i="2"/>
  <c r="BS61" i="2" s="1"/>
  <c r="BR57" i="2"/>
  <c r="BQ57" i="2"/>
  <c r="BP57" i="2"/>
  <c r="BO57" i="2"/>
  <c r="BN57" i="2"/>
  <c r="BM57" i="2"/>
  <c r="BY59" i="2"/>
  <c r="AZ53" i="2"/>
  <c r="AZ49" i="2"/>
  <c r="AZ48" i="2" s="1"/>
  <c r="AY53" i="2"/>
  <c r="AY49" i="2" s="1"/>
  <c r="AY48" i="2" s="1"/>
  <c r="AX53" i="2"/>
  <c r="AX49" i="2" s="1"/>
  <c r="AX48" i="2" s="1"/>
  <c r="AW53" i="2"/>
  <c r="AW50" i="2" s="1"/>
  <c r="AV53" i="2"/>
  <c r="AV49" i="2" s="1"/>
  <c r="AV48" i="2" s="1"/>
  <c r="AU53" i="2"/>
  <c r="AU49" i="2"/>
  <c r="AU48" i="2" s="1"/>
  <c r="AT53" i="2"/>
  <c r="AT49" i="2"/>
  <c r="AT48" i="2"/>
  <c r="AS53" i="2"/>
  <c r="AS50" i="2" s="1"/>
  <c r="AR53" i="2"/>
  <c r="AQ53" i="2"/>
  <c r="AP53" i="2"/>
  <c r="AO53" i="2"/>
  <c r="AO49" i="2" s="1"/>
  <c r="AO48" i="2" s="1"/>
  <c r="AN53" i="2"/>
  <c r="AM53" i="2"/>
  <c r="AM50" i="2" s="1"/>
  <c r="AL53" i="2"/>
  <c r="AK53" i="2"/>
  <c r="AJ53" i="2"/>
  <c r="AI53" i="2"/>
  <c r="AH53" i="2"/>
  <c r="AG53" i="2"/>
  <c r="AG49" i="2" s="1"/>
  <c r="AF53" i="2"/>
  <c r="AF50" i="2" s="1"/>
  <c r="AE53" i="2"/>
  <c r="AE49" i="2" s="1"/>
  <c r="AD53" i="2"/>
  <c r="AC53" i="2"/>
  <c r="AC50" i="2" s="1"/>
  <c r="AB53" i="2"/>
  <c r="AB50" i="2"/>
  <c r="AA53" i="2"/>
  <c r="AA49" i="2" s="1"/>
  <c r="AA48" i="2" s="1"/>
  <c r="Z53" i="2"/>
  <c r="Y53" i="2"/>
  <c r="X53" i="2"/>
  <c r="X50" i="2" s="1"/>
  <c r="W53" i="2"/>
  <c r="V53" i="2"/>
  <c r="U53" i="2"/>
  <c r="T53" i="2"/>
  <c r="T50" i="2" s="1"/>
  <c r="S53" i="2"/>
  <c r="R53" i="2"/>
  <c r="Q53" i="2"/>
  <c r="Q49" i="2"/>
  <c r="Q48" i="2"/>
  <c r="P53" i="2"/>
  <c r="P49" i="2" s="1"/>
  <c r="P48" i="2" s="1"/>
  <c r="O53" i="2"/>
  <c r="N53" i="2"/>
  <c r="M53" i="2"/>
  <c r="L53" i="2"/>
  <c r="K53" i="2"/>
  <c r="K49" i="2" s="1"/>
  <c r="K48" i="2" s="1"/>
  <c r="J53" i="2"/>
  <c r="I53" i="2"/>
  <c r="I50" i="2" s="1"/>
  <c r="H53" i="2"/>
  <c r="G53" i="2"/>
  <c r="G49" i="2" s="1"/>
  <c r="G48" i="2" s="1"/>
  <c r="F53" i="2"/>
  <c r="F49" i="2"/>
  <c r="F48" i="2" s="1"/>
  <c r="E53" i="2"/>
  <c r="D53" i="2"/>
  <c r="D49" i="2" s="1"/>
  <c r="D48" i="2" s="1"/>
  <c r="AZ52" i="2"/>
  <c r="AZ47" i="2" s="1"/>
  <c r="AY52" i="2"/>
  <c r="AY47" i="2"/>
  <c r="AX52" i="2"/>
  <c r="AX47" i="2" s="1"/>
  <c r="AW52" i="2"/>
  <c r="AW47" i="2" s="1"/>
  <c r="AV52" i="2"/>
  <c r="AV47" i="2" s="1"/>
  <c r="AU52" i="2"/>
  <c r="AU47" i="2" s="1"/>
  <c r="AT52" i="2"/>
  <c r="AT47" i="2" s="1"/>
  <c r="AS52" i="2"/>
  <c r="AS47" i="2" s="1"/>
  <c r="AR52" i="2"/>
  <c r="AR47" i="2" s="1"/>
  <c r="AQ52" i="2"/>
  <c r="AQ47" i="2" s="1"/>
  <c r="AP52" i="2"/>
  <c r="AP47" i="2" s="1"/>
  <c r="AO52" i="2"/>
  <c r="AO47" i="2" s="1"/>
  <c r="AN52" i="2"/>
  <c r="AN47" i="2" s="1"/>
  <c r="AM52" i="2"/>
  <c r="AM47" i="2" s="1"/>
  <c r="AL52" i="2"/>
  <c r="AL47" i="2" s="1"/>
  <c r="AK52" i="2"/>
  <c r="AK47" i="2"/>
  <c r="AJ52" i="2"/>
  <c r="AJ47" i="2" s="1"/>
  <c r="AI52" i="2"/>
  <c r="AI47" i="2" s="1"/>
  <c r="AH52" i="2"/>
  <c r="AH47" i="2" s="1"/>
  <c r="AG52" i="2"/>
  <c r="AG47" i="2" s="1"/>
  <c r="AF52" i="2"/>
  <c r="AF47" i="2" s="1"/>
  <c r="AE52" i="2"/>
  <c r="AE47" i="2"/>
  <c r="AD52" i="2"/>
  <c r="AD47" i="2" s="1"/>
  <c r="AC52" i="2"/>
  <c r="AC47" i="2" s="1"/>
  <c r="AB52" i="2"/>
  <c r="AB47" i="2" s="1"/>
  <c r="AA52" i="2"/>
  <c r="AA47" i="2"/>
  <c r="Z52" i="2"/>
  <c r="Z47" i="2" s="1"/>
  <c r="Y52" i="2"/>
  <c r="Y47" i="2" s="1"/>
  <c r="X52" i="2"/>
  <c r="X47" i="2" s="1"/>
  <c r="W52" i="2"/>
  <c r="W47" i="2" s="1"/>
  <c r="V52" i="2"/>
  <c r="V47" i="2" s="1"/>
  <c r="U52" i="2"/>
  <c r="U47" i="2"/>
  <c r="T52" i="2"/>
  <c r="T47" i="2" s="1"/>
  <c r="S52" i="2"/>
  <c r="S47" i="2" s="1"/>
  <c r="R52" i="2"/>
  <c r="R47" i="2" s="1"/>
  <c r="Q52" i="2"/>
  <c r="Q47" i="2" s="1"/>
  <c r="P52" i="2"/>
  <c r="P47" i="2" s="1"/>
  <c r="O52" i="2"/>
  <c r="O47" i="2"/>
  <c r="N52" i="2"/>
  <c r="N47" i="2" s="1"/>
  <c r="M52" i="2"/>
  <c r="M47" i="2" s="1"/>
  <c r="L52" i="2"/>
  <c r="L47" i="2" s="1"/>
  <c r="K52" i="2"/>
  <c r="K47" i="2"/>
  <c r="J52" i="2"/>
  <c r="J47" i="2" s="1"/>
  <c r="I52" i="2"/>
  <c r="I47" i="2" s="1"/>
  <c r="H52" i="2"/>
  <c r="H47" i="2" s="1"/>
  <c r="G52" i="2"/>
  <c r="G47" i="2" s="1"/>
  <c r="F52" i="2"/>
  <c r="F47" i="2" s="1"/>
  <c r="E52" i="2"/>
  <c r="E47" i="2" s="1"/>
  <c r="D52" i="2"/>
  <c r="D47" i="2" s="1"/>
  <c r="BG49" i="2"/>
  <c r="BG48" i="2" s="1"/>
  <c r="BE49" i="2"/>
  <c r="BE48" i="2" s="1"/>
  <c r="BF48" i="2"/>
  <c r="BD48" i="2"/>
  <c r="CN39" i="2"/>
  <c r="CM39" i="2"/>
  <c r="CK39" i="2"/>
  <c r="CJ39" i="2"/>
  <c r="CI39" i="2"/>
  <c r="CH39" i="2"/>
  <c r="CG39" i="2"/>
  <c r="CF39" i="2"/>
  <c r="CE39" i="2"/>
  <c r="CD39" i="2"/>
  <c r="BX39" i="2"/>
  <c r="BW39" i="2"/>
  <c r="BT39" i="2"/>
  <c r="BS39" i="2"/>
  <c r="BR39" i="2"/>
  <c r="BQ39" i="2"/>
  <c r="BP39" i="2"/>
  <c r="BO39" i="2"/>
  <c r="BN39" i="2"/>
  <c r="BM39" i="2"/>
  <c r="AQ39" i="2"/>
  <c r="AP39" i="2"/>
  <c r="AP68" i="2" s="1"/>
  <c r="CL68" i="2" s="1"/>
  <c r="AN39" i="2"/>
  <c r="AN68" i="2" s="1"/>
  <c r="AM39" i="2"/>
  <c r="BU39" i="2" s="1"/>
  <c r="AK39" i="2"/>
  <c r="AK75" i="2" s="1"/>
  <c r="AJ39" i="2"/>
  <c r="AY37" i="2"/>
  <c r="BX37" i="2" s="1"/>
  <c r="AX37" i="2"/>
  <c r="CN37" i="2" s="1"/>
  <c r="AW37" i="2"/>
  <c r="AV37" i="2"/>
  <c r="AU37" i="2"/>
  <c r="BW37" i="2" s="1"/>
  <c r="AT37" i="2"/>
  <c r="CM37" i="2" s="1"/>
  <c r="AS37" i="2"/>
  <c r="AR37" i="2"/>
  <c r="AQ37" i="2"/>
  <c r="BV37" i="2" s="1"/>
  <c r="AP37" i="2"/>
  <c r="AO37" i="2"/>
  <c r="AO41" i="2" s="1"/>
  <c r="AO43" i="2" s="1"/>
  <c r="AN37" i="2"/>
  <c r="AM37" i="2"/>
  <c r="BU37" i="2" s="1"/>
  <c r="AL37" i="2"/>
  <c r="CK37" i="2"/>
  <c r="AK37" i="2"/>
  <c r="AJ37" i="2"/>
  <c r="AI37" i="2"/>
  <c r="BT37" i="2"/>
  <c r="AF37" i="2"/>
  <c r="AF41" i="2" s="1"/>
  <c r="AE37" i="2"/>
  <c r="BS37" i="2" s="1"/>
  <c r="AC37" i="2"/>
  <c r="AB37" i="2"/>
  <c r="AG36" i="2"/>
  <c r="AA36" i="2"/>
  <c r="BR36" i="2" s="1"/>
  <c r="Z36" i="2"/>
  <c r="CH36" i="2"/>
  <c r="Y36" i="2"/>
  <c r="X36" i="2"/>
  <c r="W36" i="2"/>
  <c r="BQ36" i="2"/>
  <c r="V36" i="2"/>
  <c r="CG36" i="2"/>
  <c r="U36" i="2"/>
  <c r="U41" i="2" s="1"/>
  <c r="U43" i="2" s="1"/>
  <c r="T36" i="2"/>
  <c r="T41" i="2" s="1"/>
  <c r="T43" i="2" s="1"/>
  <c r="S36" i="2"/>
  <c r="BP36" i="2"/>
  <c r="R36" i="2"/>
  <c r="CF36" i="2"/>
  <c r="Q36" i="2"/>
  <c r="P36" i="2"/>
  <c r="P41" i="2" s="1"/>
  <c r="P43" i="2" s="1"/>
  <c r="O36" i="2"/>
  <c r="BO36" i="2" s="1"/>
  <c r="N36" i="2"/>
  <c r="CE36" i="2" s="1"/>
  <c r="M36" i="2"/>
  <c r="L36" i="2"/>
  <c r="L41" i="2" s="1"/>
  <c r="CL37" i="2"/>
  <c r="CJ37" i="2"/>
  <c r="CI37" i="2"/>
  <c r="CH37" i="2"/>
  <c r="CG37" i="2"/>
  <c r="CF37" i="2"/>
  <c r="CE37" i="2"/>
  <c r="CD37" i="2"/>
  <c r="CN36" i="2"/>
  <c r="CM36" i="2"/>
  <c r="CL36" i="2"/>
  <c r="CK36" i="2"/>
  <c r="CJ36" i="2"/>
  <c r="CI36" i="2"/>
  <c r="CD36" i="2"/>
  <c r="CN35" i="2"/>
  <c r="CM35" i="2"/>
  <c r="CL35" i="2"/>
  <c r="CK35" i="2"/>
  <c r="CJ35" i="2"/>
  <c r="CI35" i="2"/>
  <c r="CH35" i="2"/>
  <c r="CG35" i="2"/>
  <c r="CF35" i="2"/>
  <c r="CE35" i="2"/>
  <c r="CD35" i="2"/>
  <c r="BR37" i="2"/>
  <c r="BQ37" i="2"/>
  <c r="BP37" i="2"/>
  <c r="BO37" i="2"/>
  <c r="BN37" i="2"/>
  <c r="BM37" i="2"/>
  <c r="BX36" i="2"/>
  <c r="BW36" i="2"/>
  <c r="BV36" i="2"/>
  <c r="BU36" i="2"/>
  <c r="BT36" i="2"/>
  <c r="BS36" i="2"/>
  <c r="BN36" i="2"/>
  <c r="BM36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AZ33" i="2"/>
  <c r="AZ41" i="2" s="1"/>
  <c r="AG33" i="2"/>
  <c r="AG89" i="2" s="1"/>
  <c r="AF33" i="2"/>
  <c r="AE33" i="2"/>
  <c r="AE41" i="2" s="1"/>
  <c r="AC33" i="2"/>
  <c r="AB33" i="2"/>
  <c r="AA33" i="2"/>
  <c r="AA41" i="2"/>
  <c r="Z33" i="2"/>
  <c r="Z41" i="2"/>
  <c r="Y33" i="2"/>
  <c r="X33" i="2"/>
  <c r="X41" i="2" s="1"/>
  <c r="W33" i="2"/>
  <c r="W41" i="2"/>
  <c r="V33" i="2"/>
  <c r="V41" i="2" s="1"/>
  <c r="U33" i="2"/>
  <c r="T33" i="2"/>
  <c r="S33" i="2"/>
  <c r="S41" i="2" s="1"/>
  <c r="S43" i="2" s="1"/>
  <c r="R33" i="2"/>
  <c r="Q33" i="2"/>
  <c r="Q89" i="2" s="1"/>
  <c r="Q41" i="2"/>
  <c r="Q43" i="2" s="1"/>
  <c r="P33" i="2"/>
  <c r="O33" i="2"/>
  <c r="N33" i="2"/>
  <c r="M33" i="2"/>
  <c r="L33" i="2"/>
  <c r="K33" i="2"/>
  <c r="K41" i="2" s="1"/>
  <c r="J33" i="2"/>
  <c r="J41" i="2"/>
  <c r="I33" i="2"/>
  <c r="I41" i="2" s="1"/>
  <c r="H33" i="2"/>
  <c r="H41" i="2"/>
  <c r="G33" i="2"/>
  <c r="G41" i="2" s="1"/>
  <c r="F33" i="2"/>
  <c r="F41" i="2" s="1"/>
  <c r="E33" i="2"/>
  <c r="E41" i="2"/>
  <c r="D33" i="2"/>
  <c r="AY32" i="2"/>
  <c r="AX32" i="2"/>
  <c r="AW32" i="2"/>
  <c r="AW33" i="2" s="1"/>
  <c r="AW89" i="2" s="1"/>
  <c r="AU32" i="2"/>
  <c r="BW32" i="2" s="1"/>
  <c r="AT32" i="2"/>
  <c r="AS32" i="2"/>
  <c r="AS33" i="2" s="1"/>
  <c r="AR32" i="2"/>
  <c r="AR83" i="2" s="1"/>
  <c r="AQ32" i="2"/>
  <c r="BV32" i="2" s="1"/>
  <c r="AP32" i="2"/>
  <c r="AO32" i="2"/>
  <c r="AO33" i="2"/>
  <c r="AO89" i="2" s="1"/>
  <c r="AN32" i="2"/>
  <c r="AM32" i="2"/>
  <c r="AL32" i="2"/>
  <c r="AK32" i="2"/>
  <c r="AK33" i="2"/>
  <c r="AK41" i="2" s="1"/>
  <c r="AJ32" i="2"/>
  <c r="AJ33" i="2" s="1"/>
  <c r="AD32" i="2"/>
  <c r="CI32" i="2" s="1"/>
  <c r="AV30" i="2"/>
  <c r="AV28" i="2"/>
  <c r="AH30" i="2"/>
  <c r="CJ30" i="2" s="1"/>
  <c r="AD29" i="2"/>
  <c r="CI29" i="2"/>
  <c r="AD28" i="2"/>
  <c r="CJ32" i="2"/>
  <c r="CH32" i="2"/>
  <c r="CG32" i="2"/>
  <c r="CF32" i="2"/>
  <c r="CE32" i="2"/>
  <c r="CD32" i="2"/>
  <c r="CN31" i="2"/>
  <c r="CM31" i="2"/>
  <c r="CL31" i="2"/>
  <c r="CK31" i="2"/>
  <c r="CJ31" i="2"/>
  <c r="CI31" i="2"/>
  <c r="CH31" i="2"/>
  <c r="CG31" i="2"/>
  <c r="CF31" i="2"/>
  <c r="CE31" i="2"/>
  <c r="CD31" i="2"/>
  <c r="CN30" i="2"/>
  <c r="CM30" i="2"/>
  <c r="CL30" i="2"/>
  <c r="CK30" i="2"/>
  <c r="CI30" i="2"/>
  <c r="CH30" i="2"/>
  <c r="CG30" i="2"/>
  <c r="CF30" i="2"/>
  <c r="CE30" i="2"/>
  <c r="CD30" i="2"/>
  <c r="CN29" i="2"/>
  <c r="CM29" i="2"/>
  <c r="CL29" i="2"/>
  <c r="CK29" i="2"/>
  <c r="CJ29" i="2"/>
  <c r="CH29" i="2"/>
  <c r="CG29" i="2"/>
  <c r="CF29" i="2"/>
  <c r="CE29" i="2"/>
  <c r="CD29" i="2"/>
  <c r="CN28" i="2"/>
  <c r="CM28" i="2"/>
  <c r="CL28" i="2"/>
  <c r="CL50" i="2" s="1"/>
  <c r="CK28" i="2"/>
  <c r="CJ28" i="2"/>
  <c r="CH28" i="2"/>
  <c r="CG28" i="2"/>
  <c r="CF28" i="2"/>
  <c r="CE28" i="2"/>
  <c r="CD28" i="2"/>
  <c r="CN27" i="2"/>
  <c r="CM27" i="2"/>
  <c r="CL27" i="2"/>
  <c r="CK27" i="2"/>
  <c r="CI27" i="2"/>
  <c r="CH27" i="2"/>
  <c r="CG27" i="2"/>
  <c r="CF27" i="2"/>
  <c r="CE27" i="2"/>
  <c r="CD27" i="2"/>
  <c r="BT32" i="2"/>
  <c r="BS32" i="2"/>
  <c r="BR32" i="2"/>
  <c r="BQ32" i="2"/>
  <c r="BP32" i="2"/>
  <c r="BO32" i="2"/>
  <c r="BN32" i="2"/>
  <c r="BM32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X28" i="2"/>
  <c r="BW28" i="2"/>
  <c r="BV28" i="2"/>
  <c r="BU28" i="2"/>
  <c r="BT28" i="2"/>
  <c r="BS28" i="2"/>
  <c r="BR28" i="2"/>
  <c r="BQ28" i="2"/>
  <c r="BP28" i="2"/>
  <c r="BO28" i="2"/>
  <c r="BN28" i="2"/>
  <c r="BN50" i="2" s="1"/>
  <c r="BM28" i="2"/>
  <c r="BX27" i="2"/>
  <c r="BW27" i="2"/>
  <c r="BV27" i="2"/>
  <c r="BV33" i="2" s="1"/>
  <c r="BU27" i="2"/>
  <c r="BS27" i="2"/>
  <c r="BS33" i="2"/>
  <c r="BR27" i="2"/>
  <c r="BR33" i="2" s="1"/>
  <c r="BR41" i="2" s="1"/>
  <c r="BQ27" i="2"/>
  <c r="BP27" i="2"/>
  <c r="BO27" i="2"/>
  <c r="BN27" i="2"/>
  <c r="BN33" i="2" s="1"/>
  <c r="BN41" i="2" s="1"/>
  <c r="BM27" i="2"/>
  <c r="BD32" i="2"/>
  <c r="BE32" i="2"/>
  <c r="BF32" i="2"/>
  <c r="BG32" i="2" s="1"/>
  <c r="BZ32" i="2" s="1"/>
  <c r="AH27" i="2"/>
  <c r="AV22" i="2"/>
  <c r="AV21" i="2"/>
  <c r="AD23" i="2"/>
  <c r="AD22" i="2"/>
  <c r="AD21" i="2"/>
  <c r="CI21" i="2"/>
  <c r="M23" i="2"/>
  <c r="M24" i="2" s="1"/>
  <c r="M66" i="3" s="1"/>
  <c r="L23" i="2"/>
  <c r="K23" i="2"/>
  <c r="BN23" i="2"/>
  <c r="J23" i="2"/>
  <c r="CD23" i="2" s="1"/>
  <c r="I23" i="2"/>
  <c r="H23" i="2"/>
  <c r="G23" i="2"/>
  <c r="BM23" i="2" s="1"/>
  <c r="F23" i="2"/>
  <c r="E23" i="2"/>
  <c r="D23" i="2"/>
  <c r="CN23" i="2"/>
  <c r="CM23" i="2"/>
  <c r="CL23" i="2"/>
  <c r="CK23" i="2"/>
  <c r="CJ23" i="2"/>
  <c r="CI23" i="2"/>
  <c r="CH23" i="2"/>
  <c r="CG23" i="2"/>
  <c r="CF23" i="2"/>
  <c r="CE23" i="2"/>
  <c r="CN22" i="2"/>
  <c r="CM22" i="2"/>
  <c r="CL22" i="2"/>
  <c r="CK22" i="2"/>
  <c r="CJ22" i="2"/>
  <c r="CH22" i="2"/>
  <c r="CG22" i="2"/>
  <c r="CF22" i="2"/>
  <c r="CF75" i="2" s="1"/>
  <c r="CE22" i="2"/>
  <c r="CD22" i="2"/>
  <c r="CN21" i="2"/>
  <c r="CM21" i="2"/>
  <c r="CL21" i="2"/>
  <c r="CK21" i="2"/>
  <c r="CJ21" i="2"/>
  <c r="CH21" i="2"/>
  <c r="CG21" i="2"/>
  <c r="CF21" i="2"/>
  <c r="CE21" i="2"/>
  <c r="CD21" i="2"/>
  <c r="CN20" i="2"/>
  <c r="CM20" i="2"/>
  <c r="CL20" i="2"/>
  <c r="CK20" i="2"/>
  <c r="CK75" i="2" s="1"/>
  <c r="CJ20" i="2"/>
  <c r="CI20" i="2"/>
  <c r="CH20" i="2"/>
  <c r="CH75" i="2" s="1"/>
  <c r="CH76" i="2" s="1"/>
  <c r="CG20" i="2"/>
  <c r="CG75" i="2" s="1"/>
  <c r="CG76" i="2" s="1"/>
  <c r="CF20" i="2"/>
  <c r="CE20" i="2"/>
  <c r="CD20" i="2"/>
  <c r="CN19" i="2"/>
  <c r="CN70" i="3" s="1"/>
  <c r="CM19" i="2"/>
  <c r="CM70" i="3" s="1"/>
  <c r="CL19" i="2"/>
  <c r="CL70" i="3" s="1"/>
  <c r="CK19" i="2"/>
  <c r="CK70" i="3" s="1"/>
  <c r="CJ19" i="2"/>
  <c r="CJ70" i="3" s="1"/>
  <c r="CJ71" i="3" s="1"/>
  <c r="CI19" i="2"/>
  <c r="CI70" i="3"/>
  <c r="CH19" i="2"/>
  <c r="CH70" i="3" s="1"/>
  <c r="CG19" i="2"/>
  <c r="CG70" i="3"/>
  <c r="CF19" i="2"/>
  <c r="CF70" i="3" s="1"/>
  <c r="CE19" i="2"/>
  <c r="CE70" i="3" s="1"/>
  <c r="CE71" i="3" s="1"/>
  <c r="CD19" i="2"/>
  <c r="CD70" i="3" s="1"/>
  <c r="BX23" i="2"/>
  <c r="BW23" i="2"/>
  <c r="BV23" i="2"/>
  <c r="BU23" i="2"/>
  <c r="BT23" i="2"/>
  <c r="BS23" i="2"/>
  <c r="BR23" i="2"/>
  <c r="BQ23" i="2"/>
  <c r="BP23" i="2"/>
  <c r="BO23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X20" i="2"/>
  <c r="BX80" i="2" s="1"/>
  <c r="BX134" i="2" s="1"/>
  <c r="BW20" i="2"/>
  <c r="BW80" i="2"/>
  <c r="BW134" i="2" s="1"/>
  <c r="BV20" i="2"/>
  <c r="BV80" i="2" s="1"/>
  <c r="BV134" i="2" s="1"/>
  <c r="BU20" i="2"/>
  <c r="BU80" i="2" s="1"/>
  <c r="BU134" i="2" s="1"/>
  <c r="BT20" i="2"/>
  <c r="BT80" i="2" s="1"/>
  <c r="BT134" i="2" s="1"/>
  <c r="BS20" i="2"/>
  <c r="BS80" i="2" s="1"/>
  <c r="BR20" i="2"/>
  <c r="BQ20" i="2"/>
  <c r="BP20" i="2"/>
  <c r="BO20" i="2"/>
  <c r="BO75" i="2" s="1"/>
  <c r="BO76" i="2" s="1"/>
  <c r="BN20" i="2"/>
  <c r="BM20" i="2"/>
  <c r="BX19" i="2"/>
  <c r="BX70" i="3" s="1"/>
  <c r="BW19" i="2"/>
  <c r="BW70" i="3" s="1"/>
  <c r="BV19" i="2"/>
  <c r="BU19" i="2"/>
  <c r="BT19" i="2"/>
  <c r="BT70" i="3" s="1"/>
  <c r="BS19" i="2"/>
  <c r="BS70" i="3" s="1"/>
  <c r="BR19" i="2"/>
  <c r="BR70" i="3"/>
  <c r="BR71" i="3" s="1"/>
  <c r="BQ19" i="2"/>
  <c r="BQ70" i="3" s="1"/>
  <c r="BP19" i="2"/>
  <c r="BP70" i="3" s="1"/>
  <c r="BP71" i="3"/>
  <c r="BO19" i="2"/>
  <c r="BO70" i="3" s="1"/>
  <c r="BO71" i="3" s="1"/>
  <c r="BN19" i="2"/>
  <c r="BN70" i="3" s="1"/>
  <c r="BM19" i="2"/>
  <c r="BM70" i="3" s="1"/>
  <c r="CO21" i="2"/>
  <c r="AY17" i="2"/>
  <c r="AY24" i="2" s="1"/>
  <c r="AX17" i="2"/>
  <c r="AX24" i="2" s="1"/>
  <c r="AX66" i="3"/>
  <c r="AW17" i="2"/>
  <c r="AU17" i="2"/>
  <c r="AT17" i="2"/>
  <c r="AR17" i="2"/>
  <c r="AR24" i="2" s="1"/>
  <c r="AR66" i="3"/>
  <c r="AQ17" i="2"/>
  <c r="AQ24" i="2"/>
  <c r="AQ66" i="3" s="1"/>
  <c r="AP17" i="2"/>
  <c r="AO17" i="2"/>
  <c r="AN17" i="2"/>
  <c r="AN24" i="2" s="1"/>
  <c r="AN66" i="3" s="1"/>
  <c r="AM17" i="2"/>
  <c r="AL17" i="2"/>
  <c r="AK17" i="2"/>
  <c r="AK24" i="2" s="1"/>
  <c r="AK66" i="3" s="1"/>
  <c r="AJ17" i="2"/>
  <c r="AJ24" i="2" s="1"/>
  <c r="AJ66" i="3" s="1"/>
  <c r="AI17" i="2"/>
  <c r="AI24" i="2" s="1"/>
  <c r="AI66" i="3" s="1"/>
  <c r="AH17" i="2"/>
  <c r="AH24" i="2"/>
  <c r="AH66" i="3" s="1"/>
  <c r="AG17" i="2"/>
  <c r="AF17" i="2"/>
  <c r="AE17" i="2"/>
  <c r="AC17" i="2"/>
  <c r="AB17" i="2"/>
  <c r="AB24" i="2" s="1"/>
  <c r="AB66" i="3" s="1"/>
  <c r="AA17" i="2"/>
  <c r="AA24" i="2"/>
  <c r="AA66" i="3" s="1"/>
  <c r="Z17" i="2"/>
  <c r="Z24" i="2" s="1"/>
  <c r="Z66" i="3" s="1"/>
  <c r="Y17" i="2"/>
  <c r="Y24" i="2" s="1"/>
  <c r="X17" i="2"/>
  <c r="X24" i="2" s="1"/>
  <c r="W17" i="2"/>
  <c r="W24" i="2" s="1"/>
  <c r="V17" i="2"/>
  <c r="U17" i="2"/>
  <c r="U24" i="2" s="1"/>
  <c r="U66" i="3" s="1"/>
  <c r="T17" i="2"/>
  <c r="T24" i="2" s="1"/>
  <c r="T66" i="3" s="1"/>
  <c r="S17" i="2"/>
  <c r="S24" i="2" s="1"/>
  <c r="S66" i="3" s="1"/>
  <c r="R17" i="2"/>
  <c r="R24" i="2" s="1"/>
  <c r="R66" i="3" s="1"/>
  <c r="Q17" i="2"/>
  <c r="Q24" i="2" s="1"/>
  <c r="P17" i="2"/>
  <c r="P24" i="2" s="1"/>
  <c r="O17" i="2"/>
  <c r="O24" i="2"/>
  <c r="O66" i="3" s="1"/>
  <c r="M17" i="2"/>
  <c r="L17" i="2"/>
  <c r="L89" i="2" s="1"/>
  <c r="K17" i="2"/>
  <c r="J17" i="2"/>
  <c r="J89" i="2" s="1"/>
  <c r="AS16" i="2"/>
  <c r="AS15" i="2"/>
  <c r="AD16" i="2"/>
  <c r="AD15" i="2"/>
  <c r="CI15" i="2" s="1"/>
  <c r="N16" i="2"/>
  <c r="N17" i="2" s="1"/>
  <c r="I16" i="2"/>
  <c r="I17" i="2" s="1"/>
  <c r="H16" i="2"/>
  <c r="H17" i="2" s="1"/>
  <c r="G16" i="2"/>
  <c r="G17" i="2" s="1"/>
  <c r="F16" i="2"/>
  <c r="F17" i="2" s="1"/>
  <c r="F89" i="2" s="1"/>
  <c r="E16" i="2"/>
  <c r="E17" i="2" s="1"/>
  <c r="D16" i="2"/>
  <c r="D17" i="2"/>
  <c r="D24" i="2" s="1"/>
  <c r="D66" i="3" s="1"/>
  <c r="AZ15" i="2"/>
  <c r="AZ17" i="2" s="1"/>
  <c r="AZ24" i="2" s="1"/>
  <c r="AZ66" i="3" s="1"/>
  <c r="AV15" i="2"/>
  <c r="AV17" i="2" s="1"/>
  <c r="AS12" i="2"/>
  <c r="AD12" i="2"/>
  <c r="CI12" i="2" s="1"/>
  <c r="AD11" i="2"/>
  <c r="CN16" i="2"/>
  <c r="CM16" i="2"/>
  <c r="CL16" i="2"/>
  <c r="CK16" i="2"/>
  <c r="CJ16" i="2"/>
  <c r="CH16" i="2"/>
  <c r="CG16" i="2"/>
  <c r="CF16" i="2"/>
  <c r="CD16" i="2"/>
  <c r="CN15" i="2"/>
  <c r="CM15" i="2"/>
  <c r="CL15" i="2"/>
  <c r="CK15" i="2"/>
  <c r="CJ15" i="2"/>
  <c r="CH15" i="2"/>
  <c r="CG15" i="2"/>
  <c r="CF15" i="2"/>
  <c r="CE15" i="2"/>
  <c r="CD15" i="2"/>
  <c r="CN14" i="2"/>
  <c r="CM14" i="2"/>
  <c r="CL14" i="2"/>
  <c r="CL49" i="2" s="1"/>
  <c r="CL48" i="2" s="1"/>
  <c r="CK14" i="2"/>
  <c r="CJ14" i="2"/>
  <c r="CI14" i="2"/>
  <c r="CH14" i="2"/>
  <c r="CH49" i="2" s="1"/>
  <c r="CH48" i="2" s="1"/>
  <c r="CG14" i="2"/>
  <c r="CF14" i="2"/>
  <c r="CE14" i="2"/>
  <c r="CD14" i="2"/>
  <c r="CD49" i="2" s="1"/>
  <c r="CD48" i="2" s="1"/>
  <c r="CN13" i="2"/>
  <c r="CM13" i="2"/>
  <c r="CL13" i="2"/>
  <c r="CK13" i="2"/>
  <c r="CK47" i="2" s="1"/>
  <c r="CJ13" i="2"/>
  <c r="CI13" i="2"/>
  <c r="CH13" i="2"/>
  <c r="CG13" i="2"/>
  <c r="CF13" i="2"/>
  <c r="CE13" i="2"/>
  <c r="CD13" i="2"/>
  <c r="CN12" i="2"/>
  <c r="CM12" i="2"/>
  <c r="CL12" i="2"/>
  <c r="CK12" i="2"/>
  <c r="CJ12" i="2"/>
  <c r="CH12" i="2"/>
  <c r="CG12" i="2"/>
  <c r="CF12" i="2"/>
  <c r="CE12" i="2"/>
  <c r="CD12" i="2"/>
  <c r="CN11" i="2"/>
  <c r="CM11" i="2"/>
  <c r="CL11" i="2"/>
  <c r="CL137" i="3" s="1"/>
  <c r="CK11" i="2"/>
  <c r="CJ11" i="2"/>
  <c r="CH11" i="2"/>
  <c r="CG11" i="2"/>
  <c r="CG55" i="3" s="1"/>
  <c r="CF11" i="2"/>
  <c r="CE11" i="2"/>
  <c r="CD11" i="2"/>
  <c r="CD55" i="3"/>
  <c r="BX16" i="2"/>
  <c r="BW16" i="2"/>
  <c r="BV16" i="2"/>
  <c r="BU16" i="2"/>
  <c r="BT16" i="2"/>
  <c r="BS16" i="2"/>
  <c r="BR16" i="2"/>
  <c r="BQ16" i="2"/>
  <c r="BP16" i="2"/>
  <c r="BO16" i="2"/>
  <c r="BN16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X14" i="2"/>
  <c r="BW14" i="2"/>
  <c r="BV14" i="2"/>
  <c r="BU14" i="2"/>
  <c r="BT14" i="2"/>
  <c r="BS14" i="2"/>
  <c r="BR14" i="2"/>
  <c r="BQ14" i="2"/>
  <c r="BP14" i="2"/>
  <c r="BP49" i="2" s="1"/>
  <c r="BP48" i="2" s="1"/>
  <c r="BO14" i="2"/>
  <c r="BN14" i="2"/>
  <c r="BM14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X12" i="2"/>
  <c r="BX79" i="2" s="1"/>
  <c r="BX133" i="2" s="1"/>
  <c r="BW12" i="2"/>
  <c r="BW79" i="2" s="1"/>
  <c r="BV12" i="2"/>
  <c r="BV79" i="2" s="1"/>
  <c r="BV133" i="2" s="1"/>
  <c r="BU12" i="2"/>
  <c r="BU79" i="2" s="1"/>
  <c r="BU133" i="2" s="1"/>
  <c r="BT12" i="2"/>
  <c r="BT79" i="2" s="1"/>
  <c r="BT133" i="2" s="1"/>
  <c r="BS12" i="2"/>
  <c r="BR12" i="2"/>
  <c r="BQ12" i="2"/>
  <c r="BP12" i="2"/>
  <c r="BO12" i="2"/>
  <c r="BO17" i="2" s="1"/>
  <c r="BO24" i="2" s="1"/>
  <c r="BO66" i="3" s="1"/>
  <c r="BN12" i="2"/>
  <c r="BM12" i="2"/>
  <c r="BX11" i="2"/>
  <c r="BX137" i="3" s="1"/>
  <c r="BW11" i="2"/>
  <c r="BW55" i="3" s="1"/>
  <c r="BV11" i="2"/>
  <c r="BU11" i="2"/>
  <c r="BU55" i="3" s="1"/>
  <c r="BT11" i="2"/>
  <c r="BT137" i="3" s="1"/>
  <c r="BT78" i="2"/>
  <c r="BT132" i="2" s="1"/>
  <c r="BS11" i="2"/>
  <c r="BS78" i="2" s="1"/>
  <c r="BR11" i="2"/>
  <c r="BR137" i="3" s="1"/>
  <c r="BQ11" i="2"/>
  <c r="BQ137" i="3" s="1"/>
  <c r="BP11" i="2"/>
  <c r="BO11" i="2"/>
  <c r="BO55" i="3" s="1"/>
  <c r="BN11" i="2"/>
  <c r="BN55" i="3" s="1"/>
  <c r="BM11" i="2"/>
  <c r="CA9" i="2"/>
  <c r="BZ9" i="2"/>
  <c r="BZ9" i="3"/>
  <c r="BY9" i="2"/>
  <c r="BX9" i="2"/>
  <c r="BW9" i="2"/>
  <c r="BW9" i="3"/>
  <c r="BW60" i="3" s="1"/>
  <c r="BW75" i="3" s="1"/>
  <c r="BW83" i="3" s="1"/>
  <c r="BV9" i="2"/>
  <c r="BU9" i="2"/>
  <c r="BU9" i="3" s="1"/>
  <c r="BU91" i="3" s="1"/>
  <c r="BT9" i="2"/>
  <c r="BS9" i="2"/>
  <c r="BS9" i="3" s="1"/>
  <c r="BS60" i="3" s="1"/>
  <c r="BS75" i="3" s="1"/>
  <c r="BS83" i="3" s="1"/>
  <c r="BR9" i="2"/>
  <c r="BQ9" i="2"/>
  <c r="BQ9" i="3"/>
  <c r="BQ91" i="3" s="1"/>
  <c r="BP9" i="2"/>
  <c r="BP9" i="3" s="1"/>
  <c r="BP91" i="3" s="1"/>
  <c r="BO9" i="2"/>
  <c r="BO46" i="2" s="1"/>
  <c r="BO56" i="2" s="1"/>
  <c r="BN9" i="2"/>
  <c r="BN46" i="2" s="1"/>
  <c r="BN56" i="2" s="1"/>
  <c r="BN9" i="3"/>
  <c r="BM9" i="2"/>
  <c r="BM9" i="3" s="1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P7" i="2"/>
  <c r="CP46" i="2"/>
  <c r="CP56" i="2" s="1"/>
  <c r="CO7" i="2"/>
  <c r="CO46" i="2" s="1"/>
  <c r="CO56" i="2" s="1"/>
  <c r="CN7" i="2"/>
  <c r="CN46" i="2" s="1"/>
  <c r="CN56" i="2"/>
  <c r="CN92" i="2" s="1"/>
  <c r="CM7" i="2"/>
  <c r="CM46" i="2" s="1"/>
  <c r="CM56" i="2"/>
  <c r="CL7" i="2"/>
  <c r="CL46" i="2"/>
  <c r="CL56" i="2" s="1"/>
  <c r="CK7" i="2"/>
  <c r="CK46" i="2"/>
  <c r="CK56" i="2" s="1"/>
  <c r="CJ7" i="2"/>
  <c r="CJ46" i="2"/>
  <c r="CJ56" i="2" s="1"/>
  <c r="CI7" i="2"/>
  <c r="CI46" i="2" s="1"/>
  <c r="CI56" i="2" s="1"/>
  <c r="CH7" i="2"/>
  <c r="CH46" i="2" s="1"/>
  <c r="CH56" i="2" s="1"/>
  <c r="CH72" i="2" s="1"/>
  <c r="CG7" i="2"/>
  <c r="CG46" i="2"/>
  <c r="CG56" i="2" s="1"/>
  <c r="CG92" i="2" s="1"/>
  <c r="CF7" i="2"/>
  <c r="CF46" i="2" s="1"/>
  <c r="CF56" i="2"/>
  <c r="CE7" i="2"/>
  <c r="CE46" i="2" s="1"/>
  <c r="CE56" i="2" s="1"/>
  <c r="CD7" i="2"/>
  <c r="CD46" i="2" s="1"/>
  <c r="CD56" i="2"/>
  <c r="CD92" i="2" s="1"/>
  <c r="BG9" i="2"/>
  <c r="BF9" i="2"/>
  <c r="BE9" i="2"/>
  <c r="BD9" i="2"/>
  <c r="BD46" i="2" s="1"/>
  <c r="BD56" i="2" s="1"/>
  <c r="BC9" i="2"/>
  <c r="BC9" i="3" s="1"/>
  <c r="BB9" i="2"/>
  <c r="BA9" i="2"/>
  <c r="BA46" i="2" s="1"/>
  <c r="BA56" i="2" s="1"/>
  <c r="BA9" i="3"/>
  <c r="BA60" i="3" s="1"/>
  <c r="BA75" i="3" s="1"/>
  <c r="BA83" i="3" s="1"/>
  <c r="AZ9" i="2"/>
  <c r="AY9" i="2"/>
  <c r="AY9" i="3"/>
  <c r="AX9" i="2"/>
  <c r="AW9" i="2"/>
  <c r="AV9" i="2"/>
  <c r="AV9" i="3"/>
  <c r="AU9" i="2"/>
  <c r="AT9" i="2"/>
  <c r="AT9" i="3" s="1"/>
  <c r="AT60" i="3" s="1"/>
  <c r="AS9" i="2"/>
  <c r="AS9" i="3" s="1"/>
  <c r="AR9" i="2"/>
  <c r="AR9" i="3"/>
  <c r="AR60" i="3" s="1"/>
  <c r="AR75" i="3" s="1"/>
  <c r="AR83" i="3" s="1"/>
  <c r="AQ9" i="2"/>
  <c r="AQ9" i="3" s="1"/>
  <c r="AQ60" i="3" s="1"/>
  <c r="AP9" i="2"/>
  <c r="AO9" i="2"/>
  <c r="AN9" i="2"/>
  <c r="AN9" i="3" s="1"/>
  <c r="AN91" i="3" s="1"/>
  <c r="AM9" i="2"/>
  <c r="AM9" i="3" s="1"/>
  <c r="AL9" i="2"/>
  <c r="AL9" i="3" s="1"/>
  <c r="AL91" i="3" s="1"/>
  <c r="AK9" i="2"/>
  <c r="AK9" i="3" s="1"/>
  <c r="AJ9" i="2"/>
  <c r="AI9" i="2"/>
  <c r="AI46" i="2" s="1"/>
  <c r="AI56" i="2" s="1"/>
  <c r="AH9" i="2"/>
  <c r="AH9" i="3"/>
  <c r="AG9" i="2"/>
  <c r="AG46" i="2" s="1"/>
  <c r="AG56" i="2" s="1"/>
  <c r="AG92" i="2" s="1"/>
  <c r="AF9" i="2"/>
  <c r="AF46" i="2" s="1"/>
  <c r="AF56" i="2" s="1"/>
  <c r="AF9" i="3"/>
  <c r="AE9" i="2"/>
  <c r="AE46" i="2" s="1"/>
  <c r="AE56" i="2" s="1"/>
  <c r="AE72" i="2" s="1"/>
  <c r="AD9" i="2"/>
  <c r="AD9" i="3" s="1"/>
  <c r="AD60" i="3" s="1"/>
  <c r="AC9" i="2"/>
  <c r="AB9" i="2"/>
  <c r="AB9" i="3"/>
  <c r="AB60" i="3" s="1"/>
  <c r="AA9" i="2"/>
  <c r="Z9" i="2"/>
  <c r="Z9" i="3" s="1"/>
  <c r="Z91" i="3"/>
  <c r="Y9" i="2"/>
  <c r="Y9" i="3" s="1"/>
  <c r="X9" i="2"/>
  <c r="W9" i="2"/>
  <c r="W9" i="3" s="1"/>
  <c r="W91" i="3" s="1"/>
  <c r="W60" i="3"/>
  <c r="W75" i="3" s="1"/>
  <c r="W83" i="3" s="1"/>
  <c r="V9" i="2"/>
  <c r="V9" i="3" s="1"/>
  <c r="U9" i="2"/>
  <c r="U9" i="3" s="1"/>
  <c r="T9" i="2"/>
  <c r="S9" i="2"/>
  <c r="S9" i="3" s="1"/>
  <c r="S60" i="3" s="1"/>
  <c r="S75" i="3" s="1"/>
  <c r="S83" i="3" s="1"/>
  <c r="R9" i="2"/>
  <c r="Q9" i="2"/>
  <c r="Q9" i="3" s="1"/>
  <c r="Q60" i="3" s="1"/>
  <c r="Q75" i="3" s="1"/>
  <c r="Q83" i="3" s="1"/>
  <c r="P9" i="2"/>
  <c r="P9" i="3" s="1"/>
  <c r="O9" i="2"/>
  <c r="N9" i="2"/>
  <c r="M9" i="2"/>
  <c r="M46" i="2" s="1"/>
  <c r="M56" i="2" s="1"/>
  <c r="L9" i="2"/>
  <c r="K9" i="2"/>
  <c r="J9" i="2"/>
  <c r="I9" i="2"/>
  <c r="I9" i="3" s="1"/>
  <c r="I91" i="3" s="1"/>
  <c r="H9" i="2"/>
  <c r="H46" i="2" s="1"/>
  <c r="H56" i="2" s="1"/>
  <c r="G9" i="2"/>
  <c r="F9" i="2"/>
  <c r="E9" i="2"/>
  <c r="D9" i="2"/>
  <c r="D9" i="3" s="1"/>
  <c r="D91" i="3" s="1"/>
  <c r="BG8" i="2"/>
  <c r="BG8" i="3" s="1"/>
  <c r="BF8" i="2"/>
  <c r="BF8" i="3"/>
  <c r="BE8" i="2"/>
  <c r="BE8" i="3" s="1"/>
  <c r="BD8" i="2"/>
  <c r="BD8" i="3" s="1"/>
  <c r="BC8" i="2"/>
  <c r="BC8" i="3" s="1"/>
  <c r="BB8" i="2"/>
  <c r="BB8" i="3"/>
  <c r="BA8" i="2"/>
  <c r="BA8" i="3" s="1"/>
  <c r="AZ8" i="2"/>
  <c r="AZ8" i="3" s="1"/>
  <c r="AY8" i="2"/>
  <c r="AY8" i="3" s="1"/>
  <c r="AX8" i="2"/>
  <c r="AX8" i="3"/>
  <c r="AW8" i="2"/>
  <c r="AW8" i="3" s="1"/>
  <c r="AV8" i="2"/>
  <c r="AV8" i="3" s="1"/>
  <c r="AU8" i="2"/>
  <c r="AU8" i="3" s="1"/>
  <c r="AT8" i="2"/>
  <c r="AT8" i="3" s="1"/>
  <c r="AS8" i="2"/>
  <c r="AS8" i="3" s="1"/>
  <c r="AR8" i="2"/>
  <c r="AR8" i="3"/>
  <c r="AQ8" i="2"/>
  <c r="AQ8" i="3" s="1"/>
  <c r="AP8" i="2"/>
  <c r="AP8" i="3"/>
  <c r="AO8" i="2"/>
  <c r="AO8" i="3" s="1"/>
  <c r="AN8" i="2"/>
  <c r="AN8" i="3" s="1"/>
  <c r="AM8" i="2"/>
  <c r="AM8" i="3" s="1"/>
  <c r="AL8" i="2"/>
  <c r="AL8" i="3"/>
  <c r="AK8" i="2"/>
  <c r="AK8" i="3" s="1"/>
  <c r="AJ8" i="2"/>
  <c r="AJ8" i="3"/>
  <c r="AI8" i="2"/>
  <c r="AI8" i="3" s="1"/>
  <c r="AH8" i="2"/>
  <c r="AH8" i="3"/>
  <c r="AG8" i="2"/>
  <c r="AG8" i="3" s="1"/>
  <c r="AF8" i="2"/>
  <c r="AF8" i="3" s="1"/>
  <c r="AE8" i="2"/>
  <c r="AE8" i="3" s="1"/>
  <c r="AD8" i="2"/>
  <c r="AD8" i="3"/>
  <c r="AC8" i="2"/>
  <c r="AC8" i="3" s="1"/>
  <c r="AB8" i="2"/>
  <c r="AB8" i="3"/>
  <c r="AA8" i="2"/>
  <c r="AA8" i="3" s="1"/>
  <c r="Z8" i="2"/>
  <c r="Z8" i="3"/>
  <c r="Y8" i="2"/>
  <c r="Y8" i="3" s="1"/>
  <c r="X8" i="2"/>
  <c r="X8" i="3" s="1"/>
  <c r="W8" i="2"/>
  <c r="W8" i="3" s="1"/>
  <c r="V8" i="2"/>
  <c r="V8" i="3"/>
  <c r="U8" i="2"/>
  <c r="U8" i="3" s="1"/>
  <c r="T8" i="2"/>
  <c r="T8" i="3" s="1"/>
  <c r="S8" i="2"/>
  <c r="S8" i="3" s="1"/>
  <c r="R8" i="2"/>
  <c r="R8" i="3"/>
  <c r="Q8" i="2"/>
  <c r="Q8" i="3" s="1"/>
  <c r="P8" i="2"/>
  <c r="P8" i="3" s="1"/>
  <c r="O8" i="2"/>
  <c r="O8" i="3" s="1"/>
  <c r="N8" i="2"/>
  <c r="N8" i="3" s="1"/>
  <c r="M8" i="2"/>
  <c r="M8" i="3" s="1"/>
  <c r="L8" i="2"/>
  <c r="L8" i="3"/>
  <c r="K8" i="2"/>
  <c r="K8" i="3" s="1"/>
  <c r="J8" i="2"/>
  <c r="J8" i="3"/>
  <c r="I8" i="2"/>
  <c r="I8" i="3" s="1"/>
  <c r="H8" i="2"/>
  <c r="H8" i="3" s="1"/>
  <c r="G8" i="2"/>
  <c r="G8" i="3" s="1"/>
  <c r="F8" i="2"/>
  <c r="F8" i="3"/>
  <c r="E8" i="2"/>
  <c r="E8" i="3" s="1"/>
  <c r="D8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K112" i="1"/>
  <c r="CK151" i="3" s="1"/>
  <c r="CA112" i="1"/>
  <c r="BZ112" i="1"/>
  <c r="BY112" i="1"/>
  <c r="BZ91" i="13" s="1"/>
  <c r="BX112" i="1"/>
  <c r="BW112" i="1"/>
  <c r="BV112" i="1"/>
  <c r="BV141" i="2" s="1"/>
  <c r="BU112" i="1"/>
  <c r="BU91" i="13" s="1"/>
  <c r="BT112" i="1"/>
  <c r="BT91" i="13" s="1"/>
  <c r="BS112" i="1"/>
  <c r="BS91" i="13" s="1"/>
  <c r="BR112" i="1"/>
  <c r="BG112" i="1"/>
  <c r="BG91" i="13" s="1"/>
  <c r="BF112" i="1"/>
  <c r="BF151" i="3" s="1"/>
  <c r="BE112" i="1"/>
  <c r="BE141" i="2" s="1"/>
  <c r="BE91" i="13"/>
  <c r="BD112" i="1"/>
  <c r="BD91" i="13" s="1"/>
  <c r="BC112" i="1"/>
  <c r="BC91" i="13" s="1"/>
  <c r="BB112" i="1"/>
  <c r="BA112" i="1"/>
  <c r="BA91" i="13" s="1"/>
  <c r="AZ112" i="1"/>
  <c r="AY112" i="1"/>
  <c r="AX112" i="1"/>
  <c r="AX151" i="3" s="1"/>
  <c r="AW112" i="1"/>
  <c r="AW151" i="3"/>
  <c r="AV112" i="1"/>
  <c r="AU112" i="1"/>
  <c r="AT112" i="1"/>
  <c r="AT151" i="3" s="1"/>
  <c r="AS112" i="1"/>
  <c r="AR112" i="1"/>
  <c r="AQ112" i="1"/>
  <c r="AQ91" i="13" s="1"/>
  <c r="AP112" i="1"/>
  <c r="AP141" i="2" s="1"/>
  <c r="AO112" i="1"/>
  <c r="AO151" i="3" s="1"/>
  <c r="AN112" i="1"/>
  <c r="AN141" i="2" s="1"/>
  <c r="AK112" i="1"/>
  <c r="AJ112" i="1"/>
  <c r="AJ141" i="2" s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W91" i="13" s="1"/>
  <c r="V112" i="1"/>
  <c r="CG112" i="1" s="1"/>
  <c r="U112" i="1"/>
  <c r="T112" i="1"/>
  <c r="T141" i="2" s="1"/>
  <c r="S112" i="1"/>
  <c r="S141" i="2" s="1"/>
  <c r="R112" i="1"/>
  <c r="CF112" i="1" s="1"/>
  <c r="Q112" i="1"/>
  <c r="P112" i="1"/>
  <c r="O112" i="1"/>
  <c r="O141" i="2" s="1"/>
  <c r="N112" i="1"/>
  <c r="CE112" i="1" s="1"/>
  <c r="CE141" i="2" s="1"/>
  <c r="M112" i="1"/>
  <c r="M91" i="13" s="1"/>
  <c r="L112" i="1"/>
  <c r="K112" i="1"/>
  <c r="J112" i="1"/>
  <c r="J141" i="2" s="1"/>
  <c r="I112" i="1"/>
  <c r="I91" i="13" s="1"/>
  <c r="H112" i="1"/>
  <c r="G112" i="1"/>
  <c r="G91" i="13" s="1"/>
  <c r="F112" i="1"/>
  <c r="F151" i="3" s="1"/>
  <c r="E112" i="1"/>
  <c r="D112" i="1"/>
  <c r="BL106" i="1"/>
  <c r="AZ106" i="1"/>
  <c r="AY106" i="1"/>
  <c r="AX106" i="1"/>
  <c r="AW106" i="1"/>
  <c r="AV106" i="1"/>
  <c r="AU106" i="1"/>
  <c r="AT106" i="1"/>
  <c r="AS106" i="1"/>
  <c r="AR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AQ105" i="1"/>
  <c r="BV105" i="1" s="1"/>
  <c r="CN105" i="1"/>
  <c r="CL105" i="1"/>
  <c r="CK105" i="1"/>
  <c r="CJ105" i="1"/>
  <c r="CI105" i="1"/>
  <c r="CH105" i="1"/>
  <c r="CG105" i="1"/>
  <c r="CF105" i="1"/>
  <c r="CE105" i="1"/>
  <c r="CD105" i="1"/>
  <c r="CN104" i="1"/>
  <c r="CM104" i="1"/>
  <c r="CL104" i="1"/>
  <c r="CK104" i="1"/>
  <c r="CJ104" i="1"/>
  <c r="CI104" i="1"/>
  <c r="CI106" i="1" s="1"/>
  <c r="CH104" i="1"/>
  <c r="CG104" i="1"/>
  <c r="CF104" i="1"/>
  <c r="CE104" i="1"/>
  <c r="CE106" i="1" s="1"/>
  <c r="CD104" i="1"/>
  <c r="CN103" i="1"/>
  <c r="CM103" i="1"/>
  <c r="CL103" i="1"/>
  <c r="CL106" i="1" s="1"/>
  <c r="CK103" i="1"/>
  <c r="CJ103" i="1"/>
  <c r="CI103" i="1"/>
  <c r="CH103" i="1"/>
  <c r="CH106" i="1" s="1"/>
  <c r="CG103" i="1"/>
  <c r="CF103" i="1"/>
  <c r="CE103" i="1"/>
  <c r="CD103" i="1"/>
  <c r="CD106" i="1" s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BX105" i="1"/>
  <c r="BW105" i="1"/>
  <c r="BU105" i="1"/>
  <c r="BT105" i="1"/>
  <c r="BS105" i="1"/>
  <c r="BR105" i="1"/>
  <c r="BQ105" i="1"/>
  <c r="BP105" i="1"/>
  <c r="BO105" i="1"/>
  <c r="BN105" i="1"/>
  <c r="BM105" i="1"/>
  <c r="BX104" i="1"/>
  <c r="BW104" i="1"/>
  <c r="BV104" i="1"/>
  <c r="BU104" i="1"/>
  <c r="BT104" i="1"/>
  <c r="BS104" i="1"/>
  <c r="BR104" i="1"/>
  <c r="BQ104" i="1"/>
  <c r="BP104" i="1"/>
  <c r="BO104" i="1"/>
  <c r="BN104" i="1"/>
  <c r="BM104" i="1"/>
  <c r="BX103" i="1"/>
  <c r="BW103" i="1"/>
  <c r="BV103" i="1"/>
  <c r="BU103" i="1"/>
  <c r="BU106" i="1" s="1"/>
  <c r="BT103" i="1"/>
  <c r="BT106" i="1" s="1"/>
  <c r="BS103" i="1"/>
  <c r="BR103" i="1"/>
  <c r="BQ103" i="1"/>
  <c r="BP103" i="1"/>
  <c r="BO103" i="1"/>
  <c r="BN103" i="1"/>
  <c r="BN106" i="1" s="1"/>
  <c r="BM103" i="1"/>
  <c r="BM106" i="1" s="1"/>
  <c r="BG102" i="1"/>
  <c r="BF102" i="1"/>
  <c r="BE102" i="1"/>
  <c r="BD102" i="1"/>
  <c r="BC102" i="1"/>
  <c r="BB102" i="1"/>
  <c r="BA102" i="1"/>
  <c r="AZ102" i="1"/>
  <c r="AY102" i="1"/>
  <c r="AX102" i="1"/>
  <c r="AW102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Q96" i="1"/>
  <c r="BP96" i="1"/>
  <c r="BO96" i="1"/>
  <c r="BN96" i="1"/>
  <c r="BM96" i="1"/>
  <c r="AG96" i="1"/>
  <c r="CP95" i="1"/>
  <c r="CO95" i="1"/>
  <c r="CN95" i="1"/>
  <c r="BZ95" i="1"/>
  <c r="BY95" i="1"/>
  <c r="BX95" i="1"/>
  <c r="AF95" i="1"/>
  <c r="T95" i="1"/>
  <c r="L95" i="1"/>
  <c r="D95" i="1"/>
  <c r="CJ93" i="1"/>
  <c r="CI93" i="1"/>
  <c r="BS93" i="1"/>
  <c r="BR93" i="1"/>
  <c r="BQ93" i="1"/>
  <c r="BP93" i="1"/>
  <c r="BO93" i="1"/>
  <c r="BN93" i="1"/>
  <c r="BM93" i="1"/>
  <c r="AZ93" i="1"/>
  <c r="AY93" i="1"/>
  <c r="BX93" i="1" s="1"/>
  <c r="AX93" i="1"/>
  <c r="AW93" i="1"/>
  <c r="AV93" i="1"/>
  <c r="AU93" i="1"/>
  <c r="BW93" i="1" s="1"/>
  <c r="AT93" i="1"/>
  <c r="CM93" i="1" s="1"/>
  <c r="AS93" i="1"/>
  <c r="AR93" i="1"/>
  <c r="AQ93" i="1"/>
  <c r="AP93" i="1"/>
  <c r="CH93" i="1"/>
  <c r="AO93" i="1"/>
  <c r="AN93" i="1"/>
  <c r="AN95" i="1"/>
  <c r="AM93" i="1"/>
  <c r="AL93" i="1"/>
  <c r="CL93" i="1"/>
  <c r="AK93" i="1"/>
  <c r="AJ93" i="1"/>
  <c r="AI93" i="1"/>
  <c r="BT93" i="1"/>
  <c r="AG93" i="1"/>
  <c r="AF93" i="1"/>
  <c r="AZ91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N90" i="1"/>
  <c r="CM90" i="1"/>
  <c r="CL90" i="1"/>
  <c r="CK90" i="1"/>
  <c r="CJ90" i="1"/>
  <c r="CI90" i="1"/>
  <c r="CH90" i="1"/>
  <c r="CH73" i="2" s="1"/>
  <c r="CG90" i="1"/>
  <c r="CG73" i="2" s="1"/>
  <c r="CG74" i="2" s="1"/>
  <c r="CF90" i="1"/>
  <c r="CF73" i="2" s="1"/>
  <c r="CE90" i="1"/>
  <c r="CE73" i="2"/>
  <c r="CE74" i="2" s="1"/>
  <c r="CD90" i="1"/>
  <c r="CN89" i="1"/>
  <c r="CM89" i="1"/>
  <c r="CL89" i="1"/>
  <c r="CK89" i="1"/>
  <c r="CK91" i="1" s="1"/>
  <c r="CJ89" i="1"/>
  <c r="CI89" i="1"/>
  <c r="CH89" i="1"/>
  <c r="CH91" i="1" s="1"/>
  <c r="CG89" i="1"/>
  <c r="CF89" i="1"/>
  <c r="CE89" i="1"/>
  <c r="CE91" i="1" s="1"/>
  <c r="CD89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BX90" i="1"/>
  <c r="BX73" i="2"/>
  <c r="BX74" i="2" s="1"/>
  <c r="BW90" i="1"/>
  <c r="BW73" i="2" s="1"/>
  <c r="BV90" i="1"/>
  <c r="BU90" i="1"/>
  <c r="BU73" i="2" s="1"/>
  <c r="BT90" i="1"/>
  <c r="BS90" i="1"/>
  <c r="BS73" i="2" s="1"/>
  <c r="BR90" i="1"/>
  <c r="BR73" i="2"/>
  <c r="BR74" i="2" s="1"/>
  <c r="BQ90" i="1"/>
  <c r="BQ73" i="2" s="1"/>
  <c r="BQ74" i="2" s="1"/>
  <c r="BP90" i="1"/>
  <c r="BO90" i="1"/>
  <c r="BO73" i="2"/>
  <c r="BN90" i="1"/>
  <c r="BM90" i="1"/>
  <c r="BX89" i="1"/>
  <c r="BW89" i="1"/>
  <c r="BV89" i="1"/>
  <c r="BV91" i="1" s="1"/>
  <c r="BU89" i="1"/>
  <c r="BT89" i="1"/>
  <c r="BS89" i="1"/>
  <c r="BS91" i="1" s="1"/>
  <c r="BR89" i="1"/>
  <c r="BQ89" i="1"/>
  <c r="BP89" i="1"/>
  <c r="BO89" i="1"/>
  <c r="BN89" i="1"/>
  <c r="BM89" i="1"/>
  <c r="BZ88" i="1"/>
  <c r="BZ102" i="1" s="1"/>
  <c r="BY88" i="1"/>
  <c r="BY102" i="1"/>
  <c r="BX88" i="1"/>
  <c r="BX102" i="1" s="1"/>
  <c r="BW88" i="1"/>
  <c r="BW102" i="1" s="1"/>
  <c r="BV88" i="1"/>
  <c r="BV102" i="1" s="1"/>
  <c r="BU88" i="1"/>
  <c r="BU102" i="1" s="1"/>
  <c r="BT88" i="1"/>
  <c r="BT102" i="1" s="1"/>
  <c r="BS88" i="1"/>
  <c r="BS102" i="1"/>
  <c r="BR88" i="1"/>
  <c r="BR102" i="1" s="1"/>
  <c r="BQ88" i="1"/>
  <c r="BQ102" i="1"/>
  <c r="BP88" i="1"/>
  <c r="BP102" i="1" s="1"/>
  <c r="BO88" i="1"/>
  <c r="BO102" i="1" s="1"/>
  <c r="BN88" i="1"/>
  <c r="BN102" i="1" s="1"/>
  <c r="BM88" i="1"/>
  <c r="BM102" i="1"/>
  <c r="BG88" i="1"/>
  <c r="BF88" i="1"/>
  <c r="BE88" i="1"/>
  <c r="BD88" i="1"/>
  <c r="BC88" i="1"/>
  <c r="BB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L77" i="1"/>
  <c r="AY77" i="1"/>
  <c r="AU77" i="1"/>
  <c r="AM77" i="1"/>
  <c r="D77" i="1"/>
  <c r="AZ71" i="1"/>
  <c r="AY71" i="1"/>
  <c r="AV71" i="1"/>
  <c r="AU71" i="1"/>
  <c r="AR71" i="1"/>
  <c r="AQ71" i="1"/>
  <c r="AN71" i="1"/>
  <c r="AM71" i="1"/>
  <c r="AJ71" i="1"/>
  <c r="AF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I70" i="1"/>
  <c r="CH70" i="1"/>
  <c r="CG70" i="1"/>
  <c r="CF70" i="1"/>
  <c r="CE70" i="1"/>
  <c r="CD70" i="1"/>
  <c r="BS70" i="1"/>
  <c r="BS71" i="1" s="1"/>
  <c r="BR70" i="1"/>
  <c r="BQ70" i="1"/>
  <c r="BP70" i="1"/>
  <c r="BO70" i="1"/>
  <c r="BO71" i="1" s="1"/>
  <c r="BN70" i="1"/>
  <c r="BM70" i="1"/>
  <c r="CN67" i="1"/>
  <c r="CM67" i="1"/>
  <c r="CL67" i="1"/>
  <c r="CK67" i="1"/>
  <c r="CI67" i="1"/>
  <c r="CI71" i="1" s="1"/>
  <c r="CH67" i="1"/>
  <c r="CG67" i="1"/>
  <c r="CF67" i="1"/>
  <c r="CF71" i="1" s="1"/>
  <c r="CE67" i="1"/>
  <c r="CD67" i="1"/>
  <c r="CD71" i="1" s="1"/>
  <c r="BX67" i="1"/>
  <c r="BW67" i="1"/>
  <c r="BV67" i="1"/>
  <c r="BU67" i="1"/>
  <c r="BT67" i="1"/>
  <c r="BR67" i="1"/>
  <c r="BR71" i="1" s="1"/>
  <c r="BQ67" i="1"/>
  <c r="BP67" i="1"/>
  <c r="BO67" i="1"/>
  <c r="BN67" i="1"/>
  <c r="BM67" i="1"/>
  <c r="BM71" i="1" s="1"/>
  <c r="BF68" i="1"/>
  <c r="BG68" i="1" s="1"/>
  <c r="AE67" i="1"/>
  <c r="CJ67" i="1"/>
  <c r="BD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P58" i="1"/>
  <c r="BZ58" i="1"/>
  <c r="BY58" i="1"/>
  <c r="BX58" i="1"/>
  <c r="BW58" i="1"/>
  <c r="BV58" i="1"/>
  <c r="BU58" i="1"/>
  <c r="BT58" i="1"/>
  <c r="BS58" i="1"/>
  <c r="BR58" i="1"/>
  <c r="BQ58" i="1"/>
  <c r="BO58" i="1"/>
  <c r="BN58" i="1"/>
  <c r="BM58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O56" i="1"/>
  <c r="CO59" i="1" s="1"/>
  <c r="CN56" i="1"/>
  <c r="CN59" i="1" s="1"/>
  <c r="CM56" i="1"/>
  <c r="CM59" i="1" s="1"/>
  <c r="CL56" i="1"/>
  <c r="CL59" i="1"/>
  <c r="CK56" i="1"/>
  <c r="CK59" i="1" s="1"/>
  <c r="CJ56" i="1"/>
  <c r="CJ59" i="1" s="1"/>
  <c r="CI56" i="1"/>
  <c r="CI55" i="1" s="1"/>
  <c r="CH56" i="1"/>
  <c r="CH59" i="1"/>
  <c r="CG56" i="1"/>
  <c r="CG59" i="1" s="1"/>
  <c r="CF56" i="1"/>
  <c r="CF59" i="1" s="1"/>
  <c r="CE56" i="1"/>
  <c r="CE59" i="1"/>
  <c r="CD56" i="1"/>
  <c r="CD59" i="1" s="1"/>
  <c r="BY56" i="1"/>
  <c r="BY59" i="1" s="1"/>
  <c r="BX56" i="1"/>
  <c r="BW56" i="1"/>
  <c r="BW59" i="1" s="1"/>
  <c r="BV56" i="1"/>
  <c r="BU56" i="1"/>
  <c r="BU59" i="1" s="1"/>
  <c r="BT56" i="1"/>
  <c r="BT59" i="1" s="1"/>
  <c r="BS56" i="1"/>
  <c r="BR56" i="1"/>
  <c r="BR59" i="1"/>
  <c r="BQ56" i="1"/>
  <c r="BQ59" i="1" s="1"/>
  <c r="BP56" i="1"/>
  <c r="BP59" i="1"/>
  <c r="BO56" i="1"/>
  <c r="BO59" i="1" s="1"/>
  <c r="BN56" i="1"/>
  <c r="BM56" i="1"/>
  <c r="BM59" i="1" s="1"/>
  <c r="BM55" i="1"/>
  <c r="BE55" i="1"/>
  <c r="BD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O55" i="1"/>
  <c r="N55" i="1"/>
  <c r="M55" i="1"/>
  <c r="L55" i="1"/>
  <c r="K55" i="1"/>
  <c r="J55" i="1"/>
  <c r="I55" i="1"/>
  <c r="H55" i="1"/>
  <c r="G55" i="1"/>
  <c r="F55" i="1"/>
  <c r="E55" i="1"/>
  <c r="D55" i="1"/>
  <c r="BG42" i="1"/>
  <c r="BZ42" i="1"/>
  <c r="BE42" i="1"/>
  <c r="AQ42" i="1"/>
  <c r="AC42" i="1"/>
  <c r="W42" i="1"/>
  <c r="CH42" i="1" s="1"/>
  <c r="CH41" i="1" s="1"/>
  <c r="CP43" i="1"/>
  <c r="CO43" i="1"/>
  <c r="CN43" i="1"/>
  <c r="CM43" i="1"/>
  <c r="CL43" i="1"/>
  <c r="CK43" i="1"/>
  <c r="CK41" i="1"/>
  <c r="CK44" i="1" s="1"/>
  <c r="CJ43" i="1"/>
  <c r="CI43" i="1"/>
  <c r="CH43" i="1"/>
  <c r="CG43" i="1"/>
  <c r="CF43" i="1"/>
  <c r="CE43" i="1"/>
  <c r="CD43" i="1"/>
  <c r="CO42" i="1"/>
  <c r="CO41" i="1" s="1"/>
  <c r="CO44" i="1" s="1"/>
  <c r="CN42" i="1"/>
  <c r="CL42" i="1"/>
  <c r="CK42" i="1"/>
  <c r="CJ42" i="1"/>
  <c r="CJ41" i="1" s="1"/>
  <c r="CG42" i="1"/>
  <c r="CF42" i="1"/>
  <c r="CE42" i="1"/>
  <c r="CD42" i="1"/>
  <c r="BZ43" i="1"/>
  <c r="BY43" i="1"/>
  <c r="BX43" i="1"/>
  <c r="BW43" i="1"/>
  <c r="BV43" i="1"/>
  <c r="BU43" i="1"/>
  <c r="BT43" i="1"/>
  <c r="BS43" i="1"/>
  <c r="BR43" i="1"/>
  <c r="BQ43" i="1"/>
  <c r="BP43" i="1"/>
  <c r="BO43" i="1"/>
  <c r="BO41" i="1" s="1"/>
  <c r="BO44" i="1" s="1"/>
  <c r="BN43" i="1"/>
  <c r="BM43" i="1"/>
  <c r="BX42" i="1"/>
  <c r="BX41" i="1" s="1"/>
  <c r="BX44" i="1" s="1"/>
  <c r="BW42" i="1"/>
  <c r="BU42" i="1"/>
  <c r="BT42" i="1"/>
  <c r="BR42" i="1"/>
  <c r="BR41" i="1" s="1"/>
  <c r="BP42" i="1"/>
  <c r="BP41" i="1" s="1"/>
  <c r="BP44" i="1" s="1"/>
  <c r="BO42" i="1"/>
  <c r="BN42" i="1"/>
  <c r="BM42" i="1"/>
  <c r="BF41" i="1"/>
  <c r="BF44" i="1" s="1"/>
  <c r="BD41" i="1"/>
  <c r="BD44" i="1" s="1"/>
  <c r="AZ41" i="1"/>
  <c r="AZ46" i="1" s="1"/>
  <c r="AY41" i="1"/>
  <c r="AX41" i="1"/>
  <c r="AX46" i="1" s="1"/>
  <c r="AW41" i="1"/>
  <c r="AW44" i="1" s="1"/>
  <c r="AV41" i="1"/>
  <c r="AV44" i="1" s="1"/>
  <c r="AU41" i="1"/>
  <c r="AT41" i="1"/>
  <c r="AT46" i="1" s="1"/>
  <c r="AS41" i="1"/>
  <c r="AR41" i="1"/>
  <c r="AR44" i="1" s="1"/>
  <c r="AP41" i="1"/>
  <c r="AP44" i="1" s="1"/>
  <c r="AO41" i="1"/>
  <c r="AN41" i="1"/>
  <c r="AM41" i="1"/>
  <c r="AL41" i="1"/>
  <c r="AL46" i="1" s="1"/>
  <c r="AK41" i="1"/>
  <c r="AK46" i="1" s="1"/>
  <c r="AJ41" i="1"/>
  <c r="AJ44" i="1" s="1"/>
  <c r="AI41" i="1"/>
  <c r="AH41" i="1"/>
  <c r="AH44" i="1" s="1"/>
  <c r="AG41" i="1"/>
  <c r="AG46" i="1" s="1"/>
  <c r="AF41" i="1"/>
  <c r="AF46" i="1" s="1"/>
  <c r="AE41" i="1"/>
  <c r="AD41" i="1"/>
  <c r="AD46" i="1" s="1"/>
  <c r="AB41" i="1"/>
  <c r="AB44" i="1" s="1"/>
  <c r="AA41" i="1"/>
  <c r="Z41" i="1"/>
  <c r="Z44" i="1" s="1"/>
  <c r="Y41" i="1"/>
  <c r="X41" i="1"/>
  <c r="V41" i="1"/>
  <c r="U41" i="1"/>
  <c r="U46" i="1" s="1"/>
  <c r="U49" i="1" s="1"/>
  <c r="T41" i="1"/>
  <c r="T46" i="1" s="1"/>
  <c r="S41" i="1"/>
  <c r="R41" i="1"/>
  <c r="R46" i="1"/>
  <c r="Q41" i="1"/>
  <c r="Q44" i="1" s="1"/>
  <c r="P41" i="1"/>
  <c r="P44" i="1" s="1"/>
  <c r="P46" i="1"/>
  <c r="O41" i="1"/>
  <c r="O46" i="1" s="1"/>
  <c r="O49" i="1" s="1"/>
  <c r="O50" i="1" s="1"/>
  <c r="N41" i="1"/>
  <c r="N46" i="1" s="1"/>
  <c r="N49" i="1" s="1"/>
  <c r="M41" i="1"/>
  <c r="M46" i="1" s="1"/>
  <c r="L41" i="1"/>
  <c r="K41" i="1"/>
  <c r="J41" i="1"/>
  <c r="J44" i="1"/>
  <c r="I41" i="1"/>
  <c r="H41" i="1"/>
  <c r="G41" i="1"/>
  <c r="F41" i="1"/>
  <c r="F44" i="1" s="1"/>
  <c r="E41" i="1"/>
  <c r="E44" i="1" s="1"/>
  <c r="D41" i="1"/>
  <c r="D44" i="1" s="1"/>
  <c r="AY38" i="1"/>
  <c r="AY39" i="1" s="1"/>
  <c r="AU38" i="1"/>
  <c r="AU39" i="1" s="1"/>
  <c r="AQ38" i="1"/>
  <c r="AQ39" i="1" s="1"/>
  <c r="AM38" i="1"/>
  <c r="AM39" i="1"/>
  <c r="D38" i="1"/>
  <c r="D39" i="1" s="1"/>
  <c r="AZ37" i="1"/>
  <c r="BA37" i="1" s="1"/>
  <c r="AV37" i="1"/>
  <c r="AV38" i="1" s="1"/>
  <c r="AR37" i="1"/>
  <c r="AN37" i="1"/>
  <c r="AN38" i="1" s="1"/>
  <c r="E37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N34" i="1"/>
  <c r="CM34" i="1"/>
  <c r="CL34" i="1"/>
  <c r="CK34" i="1"/>
  <c r="CK35" i="1" s="1"/>
  <c r="CJ34" i="1"/>
  <c r="CI34" i="1"/>
  <c r="CH34" i="1"/>
  <c r="CG34" i="1"/>
  <c r="CG35" i="1" s="1"/>
  <c r="CF34" i="1"/>
  <c r="CE34" i="1"/>
  <c r="CD34" i="1"/>
  <c r="BX34" i="1"/>
  <c r="BX35" i="1" s="1"/>
  <c r="BW34" i="1"/>
  <c r="BV34" i="1"/>
  <c r="BU34" i="1"/>
  <c r="BT34" i="1"/>
  <c r="BS34" i="1"/>
  <c r="BR34" i="1"/>
  <c r="BQ34" i="1"/>
  <c r="BP34" i="1"/>
  <c r="BP35" i="1" s="1"/>
  <c r="BO34" i="1"/>
  <c r="BN34" i="1"/>
  <c r="BM34" i="1"/>
  <c r="AY31" i="1"/>
  <c r="AU31" i="1"/>
  <c r="AU32" i="1" s="1"/>
  <c r="AQ31" i="1"/>
  <c r="AM31" i="1"/>
  <c r="AM32" i="1" s="1"/>
  <c r="D31" i="1"/>
  <c r="AZ30" i="1"/>
  <c r="BA30" i="1" s="1"/>
  <c r="AV30" i="1"/>
  <c r="AV31" i="1" s="1"/>
  <c r="AR30" i="1"/>
  <c r="AR31" i="1" s="1"/>
  <c r="AR32" i="1" s="1"/>
  <c r="AN30" i="1"/>
  <c r="E30" i="1"/>
  <c r="F30" i="1" s="1"/>
  <c r="F31" i="1" s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N27" i="1"/>
  <c r="CM27" i="1"/>
  <c r="CL27" i="1"/>
  <c r="CK27" i="1"/>
  <c r="CJ27" i="1"/>
  <c r="CI27" i="1"/>
  <c r="CH27" i="1"/>
  <c r="CG27" i="1"/>
  <c r="CG28" i="1" s="1"/>
  <c r="CF27" i="1"/>
  <c r="CE27" i="1"/>
  <c r="CD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E22" i="1"/>
  <c r="BF22" i="1" s="1"/>
  <c r="BG22" i="1" s="1"/>
  <c r="BH22" i="1" s="1"/>
  <c r="BI22" i="1" s="1"/>
  <c r="BJ22" i="1" s="1"/>
  <c r="BK22" i="1" s="1"/>
  <c r="AZ21" i="1"/>
  <c r="AZ22" i="1" s="1"/>
  <c r="AY21" i="1"/>
  <c r="AX21" i="1"/>
  <c r="AX22" i="1"/>
  <c r="AW21" i="1"/>
  <c r="AW22" i="1"/>
  <c r="AV21" i="1"/>
  <c r="AV22" i="1"/>
  <c r="AU21" i="1"/>
  <c r="AT21" i="1"/>
  <c r="AT22" i="1"/>
  <c r="AS21" i="1"/>
  <c r="AS22" i="1" s="1"/>
  <c r="AR21" i="1"/>
  <c r="AQ21" i="1"/>
  <c r="AQ22" i="1" s="1"/>
  <c r="AP21" i="1"/>
  <c r="AP22" i="1"/>
  <c r="AO21" i="1"/>
  <c r="AN21" i="1"/>
  <c r="AN22" i="1" s="1"/>
  <c r="AM21" i="1"/>
  <c r="AM22" i="1"/>
  <c r="AL21" i="1"/>
  <c r="AK21" i="1"/>
  <c r="AJ21" i="1"/>
  <c r="AJ22" i="1" s="1"/>
  <c r="AI21" i="1"/>
  <c r="AH21" i="1"/>
  <c r="AG21" i="1"/>
  <c r="AF21" i="1"/>
  <c r="AF22" i="1" s="1"/>
  <c r="AE21" i="1"/>
  <c r="AD21" i="1"/>
  <c r="AC21" i="1"/>
  <c r="AC22" i="1" s="1"/>
  <c r="AB21" i="1"/>
  <c r="AA21" i="1"/>
  <c r="Z21" i="1"/>
  <c r="Y21" i="1"/>
  <c r="Y22" i="1" s="1"/>
  <c r="X21" i="1"/>
  <c r="X22" i="1" s="1"/>
  <c r="W21" i="1"/>
  <c r="W22" i="1" s="1"/>
  <c r="V21" i="1"/>
  <c r="V22" i="1" s="1"/>
  <c r="U21" i="1"/>
  <c r="U22" i="1" s="1"/>
  <c r="T21" i="1"/>
  <c r="S21" i="1"/>
  <c r="R21" i="1"/>
  <c r="Q21" i="1"/>
  <c r="Q22" i="1"/>
  <c r="P21" i="1"/>
  <c r="P49" i="1" s="1"/>
  <c r="P50" i="1" s="1"/>
  <c r="O21" i="1"/>
  <c r="N21" i="1"/>
  <c r="M21" i="1"/>
  <c r="M22" i="1" s="1"/>
  <c r="L21" i="1"/>
  <c r="L22" i="1" s="1"/>
  <c r="K21" i="1"/>
  <c r="K22" i="1" s="1"/>
  <c r="J21" i="1"/>
  <c r="J22" i="1" s="1"/>
  <c r="I21" i="1"/>
  <c r="I22" i="1" s="1"/>
  <c r="H21" i="1"/>
  <c r="H22" i="1" s="1"/>
  <c r="G21" i="1"/>
  <c r="G22" i="1" s="1"/>
  <c r="F21" i="1"/>
  <c r="E21" i="1"/>
  <c r="E22" i="1" s="1"/>
  <c r="D21" i="1"/>
  <c r="D22" i="1" s="1"/>
  <c r="AY18" i="1"/>
  <c r="AY19" i="1" s="1"/>
  <c r="AU18" i="1"/>
  <c r="AU19" i="1" s="1"/>
  <c r="AQ18" i="1"/>
  <c r="AQ24" i="1" s="1"/>
  <c r="AQ25" i="1" s="1"/>
  <c r="AM18" i="1"/>
  <c r="AM24" i="1" s="1"/>
  <c r="AM25" i="1" s="1"/>
  <c r="D18" i="1"/>
  <c r="AZ17" i="1"/>
  <c r="BA17" i="1"/>
  <c r="CO17" i="1" s="1"/>
  <c r="CO18" i="1" s="1"/>
  <c r="BB17" i="1"/>
  <c r="BY17" i="1" s="1"/>
  <c r="AV17" i="1"/>
  <c r="AR17" i="1"/>
  <c r="AN17" i="1"/>
  <c r="AO17" i="1" s="1"/>
  <c r="AP17" i="1" s="1"/>
  <c r="E17" i="1"/>
  <c r="E18" i="1" s="1"/>
  <c r="E24" i="1" s="1"/>
  <c r="E25" i="1" s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N14" i="1"/>
  <c r="CN53" i="2"/>
  <c r="CN49" i="2" s="1"/>
  <c r="CM14" i="1"/>
  <c r="CL14" i="1"/>
  <c r="CL53" i="2" s="1"/>
  <c r="CK14" i="1"/>
  <c r="CK53" i="2"/>
  <c r="CK50" i="2" s="1"/>
  <c r="CJ14" i="1"/>
  <c r="CJ53" i="2" s="1"/>
  <c r="CJ49" i="2" s="1"/>
  <c r="CJ48" i="2" s="1"/>
  <c r="CI14" i="1"/>
  <c r="CI53" i="2" s="1"/>
  <c r="CH14" i="1"/>
  <c r="CH53" i="2"/>
  <c r="CG14" i="1"/>
  <c r="CF14" i="1"/>
  <c r="CF53" i="2" s="1"/>
  <c r="CF49" i="2"/>
  <c r="CF48" i="2" s="1"/>
  <c r="CE14" i="1"/>
  <c r="CD14" i="1"/>
  <c r="CD21" i="1" s="1"/>
  <c r="BX14" i="1"/>
  <c r="BX53" i="2" s="1"/>
  <c r="BW14" i="1"/>
  <c r="BV14" i="1"/>
  <c r="BU14" i="1"/>
  <c r="BU53" i="2" s="1"/>
  <c r="BU49" i="2" s="1"/>
  <c r="BU48" i="2" s="1"/>
  <c r="BT14" i="1"/>
  <c r="BT53" i="2" s="1"/>
  <c r="BS14" i="1"/>
  <c r="BS53" i="2"/>
  <c r="BR14" i="1"/>
  <c r="BQ14" i="1"/>
  <c r="BQ53" i="2" s="1"/>
  <c r="BQ49" i="2" s="1"/>
  <c r="BP14" i="1"/>
  <c r="BP53" i="2"/>
  <c r="BO14" i="1"/>
  <c r="BN14" i="1"/>
  <c r="BN53" i="2"/>
  <c r="BM14" i="1"/>
  <c r="BM53" i="2" s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CN10" i="1"/>
  <c r="CM10" i="1"/>
  <c r="CM52" i="2" s="1"/>
  <c r="CM47" i="2" s="1"/>
  <c r="CL10" i="1"/>
  <c r="CK10" i="1"/>
  <c r="CJ10" i="1"/>
  <c r="CJ52" i="2" s="1"/>
  <c r="CI10" i="1"/>
  <c r="CH10" i="1"/>
  <c r="CH52" i="2" s="1"/>
  <c r="CG10" i="1"/>
  <c r="CG15" i="1" s="1"/>
  <c r="CG21" i="1"/>
  <c r="CF10" i="1"/>
  <c r="CE10" i="1"/>
  <c r="CD10" i="1"/>
  <c r="BX10" i="1"/>
  <c r="BX21" i="1"/>
  <c r="BX22" i="1" s="1"/>
  <c r="BW10" i="1"/>
  <c r="BV10" i="1"/>
  <c r="BU10" i="1"/>
  <c r="BT10" i="1"/>
  <c r="BT52" i="2" s="1"/>
  <c r="BS10" i="1"/>
  <c r="BR10" i="1"/>
  <c r="BQ10" i="1"/>
  <c r="BP10" i="1"/>
  <c r="BO10" i="1"/>
  <c r="BN10" i="1"/>
  <c r="BM10" i="1"/>
  <c r="AP80" i="13"/>
  <c r="AM60" i="13"/>
  <c r="O16" i="13"/>
  <c r="U42" i="13"/>
  <c r="AE80" i="13"/>
  <c r="U70" i="13"/>
  <c r="W59" i="13"/>
  <c r="U87" i="13"/>
  <c r="U88" i="13"/>
  <c r="Y87" i="13"/>
  <c r="Y86" i="13"/>
  <c r="Y85" i="13"/>
  <c r="Y84" i="13"/>
  <c r="AG72" i="13"/>
  <c r="U84" i="13"/>
  <c r="AF71" i="13"/>
  <c r="I15" i="3"/>
  <c r="Y15" i="3"/>
  <c r="Z15" i="3" s="1"/>
  <c r="AA15" i="3" s="1"/>
  <c r="U17" i="3"/>
  <c r="V17" i="3" s="1"/>
  <c r="W17" i="3" s="1"/>
  <c r="AG18" i="3"/>
  <c r="AW14" i="3"/>
  <c r="AX14" i="3" s="1"/>
  <c r="AY14" i="3" s="1"/>
  <c r="CO14" i="3" s="1"/>
  <c r="CO96" i="3" s="1"/>
  <c r="I21" i="3"/>
  <c r="J21" i="3" s="1"/>
  <c r="K21" i="3" s="1"/>
  <c r="AK21" i="3"/>
  <c r="AT21" i="3"/>
  <c r="AC22" i="3"/>
  <c r="AS23" i="3"/>
  <c r="E24" i="3"/>
  <c r="AE24" i="3"/>
  <c r="AK24" i="3"/>
  <c r="AS24" i="3"/>
  <c r="AS25" i="3"/>
  <c r="AT25" i="3" s="1"/>
  <c r="AU25" i="3" s="1"/>
  <c r="M27" i="3"/>
  <c r="N27" i="3" s="1"/>
  <c r="U27" i="3"/>
  <c r="AS27" i="3"/>
  <c r="E28" i="3"/>
  <c r="N28" i="3"/>
  <c r="AC28" i="3"/>
  <c r="AK28" i="3"/>
  <c r="AS28" i="3"/>
  <c r="AT28" i="3"/>
  <c r="AU28" i="3" s="1"/>
  <c r="AK29" i="3"/>
  <c r="AS29" i="3"/>
  <c r="AT29" i="3"/>
  <c r="T61" i="3"/>
  <c r="T63" i="3" s="1"/>
  <c r="U33" i="3"/>
  <c r="Q14" i="3"/>
  <c r="R14" i="3" s="1"/>
  <c r="AC16" i="3"/>
  <c r="I18" i="3"/>
  <c r="J18" i="3" s="1"/>
  <c r="AG14" i="3"/>
  <c r="AT14" i="3"/>
  <c r="AU14" i="3" s="1"/>
  <c r="AW18" i="3"/>
  <c r="AX18" i="3" s="1"/>
  <c r="Q21" i="3"/>
  <c r="R21" i="3" s="1"/>
  <c r="AG21" i="3"/>
  <c r="AH21" i="3" s="1"/>
  <c r="AI21" i="3" s="1"/>
  <c r="BT21" i="3" s="1"/>
  <c r="AW21" i="3"/>
  <c r="J22" i="3"/>
  <c r="S22" i="3"/>
  <c r="AO22" i="3"/>
  <c r="Y23" i="3"/>
  <c r="Z23" i="3" s="1"/>
  <c r="AA23" i="3" s="1"/>
  <c r="AO23" i="3"/>
  <c r="AP23" i="3" s="1"/>
  <c r="Q25" i="3"/>
  <c r="R25" i="3"/>
  <c r="AG25" i="3"/>
  <c r="Q26" i="3"/>
  <c r="AO26" i="3"/>
  <c r="AP26" i="3" s="1"/>
  <c r="Q28" i="3"/>
  <c r="R28" i="3" s="1"/>
  <c r="S28" i="3" s="1"/>
  <c r="AW28" i="3"/>
  <c r="AX28" i="3" s="1"/>
  <c r="AY28" i="3" s="1"/>
  <c r="Q29" i="3"/>
  <c r="R29" i="3" s="1"/>
  <c r="S29" i="3" s="1"/>
  <c r="AZ38" i="3"/>
  <c r="L61" i="3"/>
  <c r="L63" i="3" s="1"/>
  <c r="AK41" i="3"/>
  <c r="AL41" i="3" s="1"/>
  <c r="BT48" i="3"/>
  <c r="M33" i="3"/>
  <c r="N33" i="3" s="1"/>
  <c r="X61" i="3"/>
  <c r="X63" i="3" s="1"/>
  <c r="AC33" i="3"/>
  <c r="AC61" i="3" s="1"/>
  <c r="AC63" i="3" s="1"/>
  <c r="AN61" i="3"/>
  <c r="AN63" i="3" s="1"/>
  <c r="I34" i="3"/>
  <c r="J34" i="3"/>
  <c r="Z34" i="3"/>
  <c r="BR35" i="3"/>
  <c r="V36" i="3"/>
  <c r="W36" i="3" s="1"/>
  <c r="AO37" i="3"/>
  <c r="AP37" i="3" s="1"/>
  <c r="AQ37" i="3" s="1"/>
  <c r="M43" i="3"/>
  <c r="N43" i="3" s="1"/>
  <c r="AH43" i="3"/>
  <c r="AI43" i="3" s="1"/>
  <c r="E48" i="3"/>
  <c r="F48" i="3" s="1"/>
  <c r="N48" i="3"/>
  <c r="M41" i="3"/>
  <c r="N41" i="3"/>
  <c r="O41" i="3" s="1"/>
  <c r="AD41" i="3"/>
  <c r="AF61" i="3"/>
  <c r="AF63" i="3" s="1"/>
  <c r="Q37" i="3"/>
  <c r="I41" i="3"/>
  <c r="Y48" i="3"/>
  <c r="Z48" i="3" s="1"/>
  <c r="AA48" i="3" s="1"/>
  <c r="CI48" i="3" s="1"/>
  <c r="CI130" i="3" s="1"/>
  <c r="AD68" i="3"/>
  <c r="AD71" i="3" s="1"/>
  <c r="CE68" i="3"/>
  <c r="CI65" i="3"/>
  <c r="BO68" i="3"/>
  <c r="E71" i="3"/>
  <c r="BE124" i="3"/>
  <c r="BU127" i="3"/>
  <c r="BO119" i="3"/>
  <c r="AL24" i="2"/>
  <c r="AL66" i="3" s="1"/>
  <c r="AT24" i="2"/>
  <c r="AT66" i="3" s="1"/>
  <c r="BQ33" i="2"/>
  <c r="BU17" i="2"/>
  <c r="BU24" i="2" s="1"/>
  <c r="BU66" i="3" s="1"/>
  <c r="BY32" i="2"/>
  <c r="AK68" i="2"/>
  <c r="AM33" i="2"/>
  <c r="AU33" i="2"/>
  <c r="BW78" i="2"/>
  <c r="BW132" i="2" s="1"/>
  <c r="Q66" i="3"/>
  <c r="U89" i="2"/>
  <c r="Y66" i="3"/>
  <c r="AG24" i="2"/>
  <c r="AG66" i="3" s="1"/>
  <c r="AO24" i="2"/>
  <c r="AO66" i="3" s="1"/>
  <c r="AW24" i="2"/>
  <c r="AW66" i="3" s="1"/>
  <c r="BP33" i="2"/>
  <c r="CO36" i="2"/>
  <c r="AL59" i="2"/>
  <c r="CK59" i="2" s="1"/>
  <c r="CK57" i="2"/>
  <c r="CO57" i="2"/>
  <c r="BC57" i="2"/>
  <c r="T89" i="2"/>
  <c r="AJ75" i="2"/>
  <c r="AJ76" i="2" s="1"/>
  <c r="AP75" i="2"/>
  <c r="CL39" i="2"/>
  <c r="AY57" i="2"/>
  <c r="AY61" i="2" s="1"/>
  <c r="AY66" i="2" s="1"/>
  <c r="CN57" i="2"/>
  <c r="CN61" i="2" s="1"/>
  <c r="CN66" i="2" s="1"/>
  <c r="AH66" i="2"/>
  <c r="CJ75" i="2"/>
  <c r="AP59" i="2"/>
  <c r="AO59" i="2"/>
  <c r="AO61" i="2" s="1"/>
  <c r="AW66" i="2"/>
  <c r="AW69" i="2" s="1"/>
  <c r="BM16" i="2"/>
  <c r="P66" i="3"/>
  <c r="X66" i="3"/>
  <c r="AF24" i="2"/>
  <c r="AF66" i="3" s="1"/>
  <c r="AN75" i="2"/>
  <c r="AN76" i="2" s="1"/>
  <c r="I66" i="2"/>
  <c r="I69" i="2"/>
  <c r="Q66" i="2"/>
  <c r="Q69" i="2" s="1"/>
  <c r="Y66" i="2"/>
  <c r="AF66" i="2"/>
  <c r="AF69" i="2"/>
  <c r="AR66" i="2"/>
  <c r="AR69" i="2" s="1"/>
  <c r="AV69" i="2"/>
  <c r="BM68" i="2"/>
  <c r="BQ68" i="2"/>
  <c r="CM68" i="2"/>
  <c r="G66" i="2"/>
  <c r="G69" i="2" s="1"/>
  <c r="K66" i="2"/>
  <c r="O66" i="2"/>
  <c r="S66" i="2"/>
  <c r="S69" i="2" s="1"/>
  <c r="W66" i="2"/>
  <c r="AA66" i="2"/>
  <c r="AU66" i="2"/>
  <c r="AU69" i="2" s="1"/>
  <c r="AM132" i="2"/>
  <c r="AQ132" i="2"/>
  <c r="AP132" i="2"/>
  <c r="AT132" i="2"/>
  <c r="AX132" i="2"/>
  <c r="AN120" i="2"/>
  <c r="M61" i="3"/>
  <c r="M63" i="3" s="1"/>
  <c r="BH46" i="2"/>
  <c r="BH56" i="2"/>
  <c r="BJ46" i="2"/>
  <c r="BJ56" i="2" s="1"/>
  <c r="BI123" i="3"/>
  <c r="X42" i="13"/>
  <c r="AE71" i="3"/>
  <c r="AY71" i="3"/>
  <c r="AZ71" i="3"/>
  <c r="AH71" i="3"/>
  <c r="D71" i="3"/>
  <c r="H80" i="3"/>
  <c r="F28" i="3"/>
  <c r="AO19" i="3"/>
  <c r="AG15" i="3"/>
  <c r="AK23" i="3"/>
  <c r="AL23" i="3" s="1"/>
  <c r="AW23" i="3"/>
  <c r="AG24" i="3"/>
  <c r="AC25" i="3"/>
  <c r="AO25" i="3"/>
  <c r="AG26" i="3"/>
  <c r="AS26" i="3"/>
  <c r="AG35" i="3"/>
  <c r="AH35" i="3" s="1"/>
  <c r="AO44" i="3"/>
  <c r="AP44" i="3"/>
  <c r="AQ44" i="3" s="1"/>
  <c r="AG36" i="3"/>
  <c r="AH36" i="3" s="1"/>
  <c r="AW44" i="3"/>
  <c r="AC45" i="3"/>
  <c r="AS45" i="3"/>
  <c r="AT45" i="3" s="1"/>
  <c r="AU45" i="3" s="1"/>
  <c r="BW45" i="3" s="1"/>
  <c r="CM48" i="3"/>
  <c r="CM130" i="3" s="1"/>
  <c r="BW48" i="3"/>
  <c r="M45" i="3"/>
  <c r="CN68" i="3"/>
  <c r="BN68" i="3"/>
  <c r="BR68" i="3"/>
  <c r="J71" i="3"/>
  <c r="N71" i="3"/>
  <c r="R71" i="3"/>
  <c r="V71" i="3"/>
  <c r="Z71" i="3"/>
  <c r="AL71" i="3"/>
  <c r="AR71" i="3"/>
  <c r="AT71" i="3"/>
  <c r="I71" i="3"/>
  <c r="K71" i="3"/>
  <c r="M71" i="3"/>
  <c r="Q71" i="3"/>
  <c r="S71" i="3"/>
  <c r="U71" i="3"/>
  <c r="Y71" i="3"/>
  <c r="AA71" i="3"/>
  <c r="AC71" i="3"/>
  <c r="AQ71" i="3"/>
  <c r="AS71" i="3"/>
  <c r="AU71" i="3"/>
  <c r="G71" i="3"/>
  <c r="AM71" i="3"/>
  <c r="AO71" i="3"/>
  <c r="BY27" i="2"/>
  <c r="CO27" i="2"/>
  <c r="CO32" i="2"/>
  <c r="CO16" i="2"/>
  <c r="BO137" i="3"/>
  <c r="CH137" i="3"/>
  <c r="CH55" i="3"/>
  <c r="CK137" i="3"/>
  <c r="O89" i="2"/>
  <c r="R89" i="2"/>
  <c r="BB80" i="2"/>
  <c r="BB134" i="2"/>
  <c r="BU67" i="3"/>
  <c r="BU68" i="3" s="1"/>
  <c r="BU71" i="3" s="1"/>
  <c r="BU70" i="3"/>
  <c r="AV75" i="2"/>
  <c r="CO29" i="2"/>
  <c r="BS137" i="3"/>
  <c r="BS55" i="3"/>
  <c r="BT55" i="3"/>
  <c r="BW137" i="3"/>
  <c r="CD137" i="3"/>
  <c r="CE55" i="3"/>
  <c r="CE137" i="3"/>
  <c r="CM55" i="3"/>
  <c r="CM137" i="3"/>
  <c r="AR33" i="2"/>
  <c r="CO37" i="2"/>
  <c r="Q50" i="2"/>
  <c r="AU50" i="2"/>
  <c r="BC63" i="2"/>
  <c r="H76" i="2"/>
  <c r="Z76" i="2"/>
  <c r="F71" i="3"/>
  <c r="AX71" i="3"/>
  <c r="CO35" i="2"/>
  <c r="AE37" i="13"/>
  <c r="U37" i="13"/>
  <c r="AU80" i="13"/>
  <c r="G22" i="13"/>
  <c r="L22" i="13"/>
  <c r="AK74" i="2"/>
  <c r="CF91" i="1"/>
  <c r="AQ74" i="2"/>
  <c r="AF42" i="13"/>
  <c r="BB93" i="1"/>
  <c r="AB42" i="13"/>
  <c r="AH22" i="13"/>
  <c r="CD41" i="1"/>
  <c r="CD44" i="1" s="1"/>
  <c r="AS49" i="2"/>
  <c r="AS48" i="2" s="1"/>
  <c r="BP60" i="3"/>
  <c r="BP75" i="3" s="1"/>
  <c r="BP83" i="3" s="1"/>
  <c r="R35" i="13"/>
  <c r="AN59" i="13"/>
  <c r="AL60" i="13"/>
  <c r="N44" i="1"/>
  <c r="AW46" i="1"/>
  <c r="AW49" i="1" s="1"/>
  <c r="V50" i="2"/>
  <c r="V49" i="2"/>
  <c r="V48" i="2" s="1"/>
  <c r="H16" i="13"/>
  <c r="V10" i="13"/>
  <c r="X10" i="13"/>
  <c r="AB10" i="13"/>
  <c r="AH16" i="13"/>
  <c r="AH10" i="13"/>
  <c r="AH42" i="13"/>
  <c r="AL80" i="13"/>
  <c r="AN22" i="13"/>
  <c r="AN41" i="13"/>
  <c r="AP79" i="13"/>
  <c r="AP78" i="13"/>
  <c r="AQ80" i="13"/>
  <c r="AQ61" i="13"/>
  <c r="AB49" i="2"/>
  <c r="AB48" i="2" s="1"/>
  <c r="BN21" i="1"/>
  <c r="BN22" i="1"/>
  <c r="BN15" i="1"/>
  <c r="CN93" i="1"/>
  <c r="E16" i="13"/>
  <c r="E10" i="13"/>
  <c r="G16" i="13"/>
  <c r="N35" i="13"/>
  <c r="O35" i="13"/>
  <c r="Q28" i="13"/>
  <c r="AA37" i="13"/>
  <c r="AI67" i="13"/>
  <c r="AI61" i="13" s="1"/>
  <c r="AM62" i="13"/>
  <c r="AM79" i="13"/>
  <c r="BW21" i="1"/>
  <c r="BW22" i="1" s="1"/>
  <c r="BS12" i="1"/>
  <c r="CF21" i="1"/>
  <c r="CF22" i="1" s="1"/>
  <c r="CJ28" i="1"/>
  <c r="BQ15" i="1"/>
  <c r="BE41" i="1"/>
  <c r="BE44" i="1" s="1"/>
  <c r="AQ22" i="13"/>
  <c r="AQ23" i="13" s="1"/>
  <c r="AS80" i="13"/>
  <c r="AS28" i="13"/>
  <c r="AS79" i="13"/>
  <c r="AU16" i="13"/>
  <c r="AW22" i="13"/>
  <c r="AW10" i="13"/>
  <c r="AY10" i="13"/>
  <c r="AZ11" i="13" s="1"/>
  <c r="AS61" i="13"/>
  <c r="AY80" i="13"/>
  <c r="BN52" i="2"/>
  <c r="BN28" i="1"/>
  <c r="BR15" i="1"/>
  <c r="CG52" i="2"/>
  <c r="BN35" i="1"/>
  <c r="BR35" i="1"/>
  <c r="CE35" i="1"/>
  <c r="BS67" i="1"/>
  <c r="AE71" i="1"/>
  <c r="BV73" i="2"/>
  <c r="F50" i="2"/>
  <c r="P50" i="2"/>
  <c r="X49" i="2"/>
  <c r="X48" i="2" s="1"/>
  <c r="AD49" i="2"/>
  <c r="AD48" i="2" s="1"/>
  <c r="AF49" i="2"/>
  <c r="AF48" i="2" s="1"/>
  <c r="AT50" i="2"/>
  <c r="AS16" i="13"/>
  <c r="BS35" i="1"/>
  <c r="BO91" i="1"/>
  <c r="CH74" i="2"/>
  <c r="AM49" i="2"/>
  <c r="AM48" i="2" s="1"/>
  <c r="J10" i="13"/>
  <c r="J28" i="13"/>
  <c r="J16" i="13"/>
  <c r="N28" i="13"/>
  <c r="N10" i="13"/>
  <c r="N13" i="13" s="1"/>
  <c r="AD16" i="13"/>
  <c r="AD28" i="13"/>
  <c r="AD29" i="13" s="1"/>
  <c r="AD22" i="13"/>
  <c r="AD10" i="13"/>
  <c r="AL10" i="13"/>
  <c r="AL11" i="13" s="1"/>
  <c r="CH15" i="1"/>
  <c r="CN35" i="1"/>
  <c r="BO15" i="1"/>
  <c r="AM19" i="1"/>
  <c r="AU24" i="1"/>
  <c r="AU25" i="1" s="1"/>
  <c r="F22" i="1"/>
  <c r="BW35" i="1"/>
  <c r="J46" i="1"/>
  <c r="J49" i="1" s="1"/>
  <c r="AT44" i="1"/>
  <c r="D46" i="1"/>
  <c r="D49" i="1" s="1"/>
  <c r="D61" i="1" s="1"/>
  <c r="D74" i="1" s="1"/>
  <c r="O91" i="13"/>
  <c r="BM21" i="1"/>
  <c r="BP52" i="2"/>
  <c r="BP47" i="2" s="1"/>
  <c r="CH12" i="1"/>
  <c r="CK52" i="2"/>
  <c r="BV21" i="1"/>
  <c r="BX50" i="2"/>
  <c r="BX15" i="1"/>
  <c r="E31" i="1"/>
  <c r="AS30" i="1"/>
  <c r="I46" i="1"/>
  <c r="I44" i="1"/>
  <c r="BM73" i="2"/>
  <c r="BM74" i="2" s="1"/>
  <c r="CF93" i="1"/>
  <c r="BV93" i="1"/>
  <c r="AE91" i="13"/>
  <c r="BR34" i="13"/>
  <c r="BR37" i="13" s="1"/>
  <c r="BR52" i="2"/>
  <c r="BR47" i="2"/>
  <c r="BV52" i="2"/>
  <c r="BV47" i="2"/>
  <c r="BX52" i="2"/>
  <c r="CD73" i="2"/>
  <c r="CD74" i="2" s="1"/>
  <c r="CK73" i="2"/>
  <c r="CK74" i="2" s="1"/>
  <c r="I151" i="3"/>
  <c r="W141" i="2"/>
  <c r="Y151" i="3"/>
  <c r="BT141" i="2"/>
  <c r="BA151" i="3"/>
  <c r="E22" i="13"/>
  <c r="I28" i="13"/>
  <c r="O28" i="13"/>
  <c r="O29" i="13" s="1"/>
  <c r="O10" i="13"/>
  <c r="O11" i="13" s="1"/>
  <c r="Q22" i="13"/>
  <c r="Q16" i="13"/>
  <c r="K91" i="13"/>
  <c r="U91" i="13"/>
  <c r="AK91" i="13"/>
  <c r="AU151" i="3"/>
  <c r="AW91" i="13"/>
  <c r="BS151" i="3"/>
  <c r="BW91" i="13"/>
  <c r="AM46" i="2"/>
  <c r="AM56" i="2"/>
  <c r="AM130" i="2" s="1"/>
  <c r="M141" i="2"/>
  <c r="AC141" i="2"/>
  <c r="AO141" i="2"/>
  <c r="AS141" i="2"/>
  <c r="AW141" i="2"/>
  <c r="K151" i="3"/>
  <c r="M151" i="3"/>
  <c r="Q10" i="13"/>
  <c r="W37" i="13"/>
  <c r="W35" i="13"/>
  <c r="AZ10" i="13"/>
  <c r="AR59" i="13"/>
  <c r="AM59" i="13"/>
  <c r="AM16" i="13"/>
  <c r="AP60" i="13"/>
  <c r="X9" i="3"/>
  <c r="X46" i="2"/>
  <c r="X56" i="2" s="1"/>
  <c r="I49" i="2"/>
  <c r="I48" i="2" s="1"/>
  <c r="AC49" i="2"/>
  <c r="AC48" i="2" s="1"/>
  <c r="N22" i="1"/>
  <c r="E50" i="2"/>
  <c r="E49" i="2"/>
  <c r="E48" i="2" s="1"/>
  <c r="AI49" i="2"/>
  <c r="AI48" i="2" s="1"/>
  <c r="AI50" i="2"/>
  <c r="AZ50" i="2"/>
  <c r="AH74" i="2"/>
  <c r="AL74" i="2"/>
  <c r="X35" i="13"/>
  <c r="W10" i="13"/>
  <c r="W28" i="13"/>
  <c r="W16" i="13"/>
  <c r="Y45" i="13"/>
  <c r="X45" i="13" s="1"/>
  <c r="AA22" i="13"/>
  <c r="AA35" i="13"/>
  <c r="AG10" i="13"/>
  <c r="AH35" i="13"/>
  <c r="AI35" i="13"/>
  <c r="AM22" i="13"/>
  <c r="AM80" i="13"/>
  <c r="AM61" i="13"/>
  <c r="AM78" i="13"/>
  <c r="AM77" i="13"/>
  <c r="AN35" i="13"/>
  <c r="AP59" i="13"/>
  <c r="AP62" i="13"/>
  <c r="AP22" i="13"/>
  <c r="AP77" i="13"/>
  <c r="AP61" i="13"/>
  <c r="AQ35" i="13"/>
  <c r="AR22" i="13"/>
  <c r="AR16" i="13"/>
  <c r="AR17" i="13" s="1"/>
  <c r="AV62" i="13"/>
  <c r="AS35" i="13"/>
  <c r="AZ22" i="13"/>
  <c r="AZ28" i="13"/>
  <c r="AQ77" i="13"/>
  <c r="R22" i="13"/>
  <c r="R16" i="13"/>
  <c r="R10" i="13"/>
  <c r="V22" i="13"/>
  <c r="N9" i="3"/>
  <c r="N91" i="3" s="1"/>
  <c r="N46" i="2"/>
  <c r="N56" i="2" s="1"/>
  <c r="N130" i="2" s="1"/>
  <c r="AS46" i="2"/>
  <c r="AS56" i="2" s="1"/>
  <c r="BO9" i="3"/>
  <c r="H9" i="3"/>
  <c r="H91" i="3" s="1"/>
  <c r="H60" i="3"/>
  <c r="H75" i="3" s="1"/>
  <c r="H83" i="3" s="1"/>
  <c r="AW9" i="3"/>
  <c r="AW91" i="3" s="1"/>
  <c r="AW46" i="2"/>
  <c r="AW56" i="2" s="1"/>
  <c r="BD9" i="3"/>
  <c r="BR9" i="3"/>
  <c r="BR60" i="3" s="1"/>
  <c r="BR75" i="3" s="1"/>
  <c r="BR83" i="3" s="1"/>
  <c r="BR46" i="2"/>
  <c r="BR56" i="2" s="1"/>
  <c r="BR72" i="2" s="1"/>
  <c r="R50" i="2"/>
  <c r="R49" i="2"/>
  <c r="R48" i="2" s="1"/>
  <c r="T49" i="2"/>
  <c r="T48" i="2" s="1"/>
  <c r="Z50" i="2"/>
  <c r="Z49" i="2"/>
  <c r="Z48" i="2"/>
  <c r="AW49" i="2"/>
  <c r="AW48" i="2" s="1"/>
  <c r="AY50" i="2"/>
  <c r="U50" i="2"/>
  <c r="U49" i="2"/>
  <c r="U48" i="2" s="1"/>
  <c r="Y50" i="2"/>
  <c r="Y49" i="2"/>
  <c r="Y48" i="2"/>
  <c r="AE48" i="2"/>
  <c r="AE50" i="2"/>
  <c r="AG48" i="2"/>
  <c r="AG50" i="2"/>
  <c r="D74" i="2"/>
  <c r="F76" i="2"/>
  <c r="F74" i="2"/>
  <c r="N76" i="2"/>
  <c r="N74" i="2"/>
  <c r="AY74" i="2"/>
  <c r="D16" i="13"/>
  <c r="AE28" i="13"/>
  <c r="AE22" i="13"/>
  <c r="AE10" i="13"/>
  <c r="AG42" i="13"/>
  <c r="AG22" i="13"/>
  <c r="AK45" i="13"/>
  <c r="AK28" i="13"/>
  <c r="AK22" i="13"/>
  <c r="AK16" i="13"/>
  <c r="AK10" i="13"/>
  <c r="AM10" i="13"/>
  <c r="AM11" i="13" s="1"/>
  <c r="AP16" i="13"/>
  <c r="AP10" i="13"/>
  <c r="K37" i="13"/>
  <c r="M28" i="13"/>
  <c r="M16" i="13"/>
  <c r="N17" i="13" s="1"/>
  <c r="U22" i="13"/>
  <c r="U16" i="13"/>
  <c r="X41" i="13"/>
  <c r="X43" i="13" s="1"/>
  <c r="AF22" i="13"/>
  <c r="AU28" i="13"/>
  <c r="AW78" i="13"/>
  <c r="AW28" i="13"/>
  <c r="AW31" i="13" s="1"/>
  <c r="AW16" i="13"/>
  <c r="AW19" i="13" s="1"/>
  <c r="N37" i="13"/>
  <c r="T22" i="1"/>
  <c r="AD22" i="1"/>
  <c r="BY104" i="1"/>
  <c r="CO104" i="1"/>
  <c r="Z22" i="1"/>
  <c r="R44" i="1"/>
  <c r="AD44" i="1"/>
  <c r="BA106" i="1"/>
  <c r="S46" i="2"/>
  <c r="S56" i="2" s="1"/>
  <c r="W46" i="2"/>
  <c r="W56" i="2" s="1"/>
  <c r="Z46" i="2"/>
  <c r="Z56" i="2" s="1"/>
  <c r="AD46" i="2"/>
  <c r="AD56" i="2" s="1"/>
  <c r="AD92" i="2" s="1"/>
  <c r="AH46" i="2"/>
  <c r="AH56" i="2" s="1"/>
  <c r="AL46" i="2"/>
  <c r="AL56" i="2" s="1"/>
  <c r="AN46" i="2"/>
  <c r="AN56" i="2" s="1"/>
  <c r="AN72" i="2" s="1"/>
  <c r="AT46" i="2"/>
  <c r="AT56" i="2"/>
  <c r="AY46" i="2"/>
  <c r="AY56" i="2"/>
  <c r="BP46" i="2"/>
  <c r="BP56" i="2" s="1"/>
  <c r="BQ46" i="2"/>
  <c r="BQ56" i="2" s="1"/>
  <c r="BQ72" i="2" s="1"/>
  <c r="D46" i="2"/>
  <c r="D56" i="2"/>
  <c r="D72" i="2" s="1"/>
  <c r="P46" i="2"/>
  <c r="P56" i="2" s="1"/>
  <c r="AB46" i="2"/>
  <c r="AB56" i="2" s="1"/>
  <c r="AR46" i="2"/>
  <c r="AR56" i="2" s="1"/>
  <c r="AR92" i="2" s="1"/>
  <c r="AV46" i="2"/>
  <c r="AV56" i="2" s="1"/>
  <c r="AV72" i="2" s="1"/>
  <c r="BW46" i="2"/>
  <c r="BW56" i="2"/>
  <c r="BW130" i="2" s="1"/>
  <c r="H74" i="2"/>
  <c r="L74" i="2"/>
  <c r="AF74" i="2"/>
  <c r="V76" i="2"/>
  <c r="AE76" i="2"/>
  <c r="D8" i="3"/>
  <c r="AF44" i="1"/>
  <c r="BZ46" i="2"/>
  <c r="BZ56" i="2"/>
  <c r="BZ130" i="2" s="1"/>
  <c r="S74" i="2"/>
  <c r="Z74" i="2"/>
  <c r="AB74" i="2"/>
  <c r="R37" i="13"/>
  <c r="R42" i="13"/>
  <c r="AW37" i="13"/>
  <c r="AK42" i="13"/>
  <c r="AS59" i="13"/>
  <c r="AS60" i="13"/>
  <c r="AS77" i="13"/>
  <c r="AS81" i="13" s="1"/>
  <c r="AS88" i="13" s="1"/>
  <c r="AW79" i="13"/>
  <c r="AW80" i="13"/>
  <c r="AS78" i="13"/>
  <c r="Z37" i="13"/>
  <c r="AW59" i="13"/>
  <c r="AW60" i="13"/>
  <c r="AW61" i="13"/>
  <c r="AS62" i="13"/>
  <c r="AS67" i="13" s="1"/>
  <c r="BC123" i="3"/>
  <c r="AI36" i="3"/>
  <c r="BT36" i="3" s="1"/>
  <c r="AM23" i="3"/>
  <c r="BO15" i="3"/>
  <c r="BD27" i="2"/>
  <c r="BE27" i="2" s="1"/>
  <c r="BF27" i="2" s="1"/>
  <c r="BG27" i="2" s="1"/>
  <c r="BH27" i="2" s="1"/>
  <c r="BI27" i="2" s="1"/>
  <c r="BJ27" i="2" s="1"/>
  <c r="BK27" i="2" s="1"/>
  <c r="CA27" i="2" s="1"/>
  <c r="BY30" i="2"/>
  <c r="BY16" i="2"/>
  <c r="BD16" i="2"/>
  <c r="BE16" i="2" s="1"/>
  <c r="BF16" i="2" s="1"/>
  <c r="CO31" i="2"/>
  <c r="BB73" i="2"/>
  <c r="BB74" i="2" s="1"/>
  <c r="CO90" i="1"/>
  <c r="CO105" i="1"/>
  <c r="AE23" i="13"/>
  <c r="BD104" i="1"/>
  <c r="BE104" i="1"/>
  <c r="BD30" i="2"/>
  <c r="BD28" i="3" s="1"/>
  <c r="BD110" i="3" s="1"/>
  <c r="BD31" i="2"/>
  <c r="BE31" i="2" s="1"/>
  <c r="BY31" i="2"/>
  <c r="BA76" i="2"/>
  <c r="BY35" i="2"/>
  <c r="BD35" i="2"/>
  <c r="BE35" i="2" s="1"/>
  <c r="BF35" i="2"/>
  <c r="BY37" i="2"/>
  <c r="BD37" i="2"/>
  <c r="BE37" i="2" s="1"/>
  <c r="BF37" i="2" s="1"/>
  <c r="CO30" i="2"/>
  <c r="CO20" i="2"/>
  <c r="BY20" i="2"/>
  <c r="BY80" i="2"/>
  <c r="BY134" i="2" s="1"/>
  <c r="BA133" i="2"/>
  <c r="BY29" i="2"/>
  <c r="BD29" i="2"/>
  <c r="BE29" i="2" s="1"/>
  <c r="AY69" i="2"/>
  <c r="BX57" i="2"/>
  <c r="BD103" i="1"/>
  <c r="BE103" i="1" s="1"/>
  <c r="BF103" i="1" s="1"/>
  <c r="BG103" i="1" s="1"/>
  <c r="BH103" i="1" s="1"/>
  <c r="BI103" i="1" s="1"/>
  <c r="BY103" i="1"/>
  <c r="CO103" i="1"/>
  <c r="BA44" i="1"/>
  <c r="BA22" i="1"/>
  <c r="CO89" i="1"/>
  <c r="BC93" i="1"/>
  <c r="BY93" i="1" s="1"/>
  <c r="CQ42" i="1"/>
  <c r="CQ41" i="1" s="1"/>
  <c r="CQ44" i="1" s="1"/>
  <c r="CI73" i="2"/>
  <c r="BB91" i="1"/>
  <c r="N22" i="13"/>
  <c r="N25" i="13" s="1"/>
  <c r="BH141" i="2"/>
  <c r="BJ141" i="2"/>
  <c r="BH151" i="3"/>
  <c r="BK141" i="2"/>
  <c r="BK151" i="3"/>
  <c r="CO15" i="2"/>
  <c r="BC23" i="3"/>
  <c r="BC105" i="3" s="1"/>
  <c r="BY105" i="3" s="1"/>
  <c r="BD15" i="2"/>
  <c r="BD23" i="3"/>
  <c r="BD105" i="3"/>
  <c r="BA61" i="3"/>
  <c r="BA70" i="3"/>
  <c r="BA71" i="3"/>
  <c r="AI22" i="1"/>
  <c r="AW77" i="13"/>
  <c r="BA49" i="2"/>
  <c r="BA48" i="2" s="1"/>
  <c r="BH35" i="1"/>
  <c r="BI35" i="1" s="1"/>
  <c r="BJ35" i="1" s="1"/>
  <c r="BK35" i="1" s="1"/>
  <c r="BY105" i="1"/>
  <c r="BD105" i="1"/>
  <c r="BE105" i="1"/>
  <c r="BF105" i="1" s="1"/>
  <c r="BG105" i="1" s="1"/>
  <c r="BY36" i="2"/>
  <c r="BD36" i="2"/>
  <c r="BE36" i="2" s="1"/>
  <c r="BF36" i="2" s="1"/>
  <c r="CJ130" i="3"/>
  <c r="BS48" i="3"/>
  <c r="V27" i="3"/>
  <c r="AZ31" i="1"/>
  <c r="AZ32" i="1" s="1"/>
  <c r="AH13" i="3"/>
  <c r="AH79" i="3" s="1"/>
  <c r="AH77" i="3" s="1"/>
  <c r="AH76" i="3" s="1"/>
  <c r="AT42" i="3"/>
  <c r="AU42" i="3" s="1"/>
  <c r="CN42" i="3" s="1"/>
  <c r="CN124" i="3" s="1"/>
  <c r="AL14" i="3"/>
  <c r="AM14" i="3" s="1"/>
  <c r="AZ64" i="3"/>
  <c r="AP43" i="3"/>
  <c r="AQ43" i="3" s="1"/>
  <c r="BV43" i="3"/>
  <c r="AJ86" i="13"/>
  <c r="AJ70" i="13"/>
  <c r="BX125" i="3"/>
  <c r="AS22" i="13"/>
  <c r="AS23" i="13" s="1"/>
  <c r="Z70" i="13"/>
  <c r="Z73" i="13"/>
  <c r="AF73" i="13"/>
  <c r="AH73" i="13"/>
  <c r="AK72" i="13"/>
  <c r="W80" i="13"/>
  <c r="Z84" i="13"/>
  <c r="AC87" i="13"/>
  <c r="AH84" i="13"/>
  <c r="BR87" i="13"/>
  <c r="V85" i="13"/>
  <c r="Z85" i="13"/>
  <c r="AC85" i="13"/>
  <c r="Z86" i="13"/>
  <c r="V87" i="13"/>
  <c r="AF84" i="13"/>
  <c r="AH85" i="13"/>
  <c r="BR85" i="13"/>
  <c r="BR88" i="13"/>
  <c r="AC86" i="13"/>
  <c r="Z87" i="13"/>
  <c r="AF85" i="13"/>
  <c r="AK86" i="13"/>
  <c r="BR84" i="13"/>
  <c r="AQ29" i="3"/>
  <c r="BV29" i="3" s="1"/>
  <c r="AA22" i="3"/>
  <c r="BR22" i="3" s="1"/>
  <c r="N14" i="3"/>
  <c r="O14" i="3" s="1"/>
  <c r="CF14" i="3" s="1"/>
  <c r="CF96" i="3" s="1"/>
  <c r="BO14" i="3"/>
  <c r="T76" i="3"/>
  <c r="T80" i="3" s="1"/>
  <c r="Q15" i="3"/>
  <c r="R15" i="3" s="1"/>
  <c r="S15" i="3" s="1"/>
  <c r="CG15" i="3" s="1"/>
  <c r="CG97" i="3" s="1"/>
  <c r="AK16" i="3"/>
  <c r="AK64" i="3" s="1"/>
  <c r="AS18" i="3"/>
  <c r="AX27" i="3"/>
  <c r="AY27" i="3"/>
  <c r="AK45" i="3"/>
  <c r="AL45" i="3" s="1"/>
  <c r="BX118" i="3"/>
  <c r="BF47" i="2"/>
  <c r="BA18" i="1"/>
  <c r="BA19" i="1" s="1"/>
  <c r="Q46" i="1"/>
  <c r="E46" i="1"/>
  <c r="AN46" i="1"/>
  <c r="AN49" i="1" s="1"/>
  <c r="AN44" i="1"/>
  <c r="M44" i="1"/>
  <c r="AL44" i="1"/>
  <c r="BA61" i="2"/>
  <c r="BA66" i="2" s="1"/>
  <c r="BA69" i="2"/>
  <c r="BI47" i="2"/>
  <c r="BJ47" i="2" s="1"/>
  <c r="BK47" i="2" s="1"/>
  <c r="BY96" i="3"/>
  <c r="BY118" i="3"/>
  <c r="X79" i="3"/>
  <c r="X77" i="3" s="1"/>
  <c r="X76" i="3" s="1"/>
  <c r="X80" i="3"/>
  <c r="AO15" i="3"/>
  <c r="AP15" i="3"/>
  <c r="AQ15" i="3"/>
  <c r="CO23" i="2"/>
  <c r="BA24" i="2"/>
  <c r="BA66" i="3"/>
  <c r="BY126" i="3"/>
  <c r="BA68" i="3"/>
  <c r="V25" i="13"/>
  <c r="R23" i="13"/>
  <c r="BD90" i="1"/>
  <c r="BD73" i="2" s="1"/>
  <c r="BY73" i="2"/>
  <c r="BC73" i="2"/>
  <c r="BC91" i="1"/>
  <c r="AE11" i="13"/>
  <c r="BX91" i="1"/>
  <c r="O17" i="13"/>
  <c r="CO60" i="2"/>
  <c r="I60" i="3"/>
  <c r="I75" i="3" s="1"/>
  <c r="I83" i="3" s="1"/>
  <c r="Z60" i="3"/>
  <c r="Z75" i="3"/>
  <c r="Z83" i="3" s="1"/>
  <c r="V15" i="3"/>
  <c r="W15" i="3"/>
  <c r="CH15" i="3" s="1"/>
  <c r="CH97" i="3" s="1"/>
  <c r="Z33" i="3"/>
  <c r="R42" i="3"/>
  <c r="BP42" i="3" s="1"/>
  <c r="AX42" i="3"/>
  <c r="AY42" i="3" s="1"/>
  <c r="F44" i="3"/>
  <c r="V45" i="3"/>
  <c r="BJ60" i="3"/>
  <c r="BJ75" i="3" s="1"/>
  <c r="BJ83" i="3"/>
  <c r="BJ91" i="3"/>
  <c r="BY15" i="2"/>
  <c r="BC28" i="3"/>
  <c r="S91" i="3"/>
  <c r="BU60" i="3"/>
  <c r="BU75" i="3" s="1"/>
  <c r="BU83" i="3" s="1"/>
  <c r="N24" i="2"/>
  <c r="N66" i="3" s="1"/>
  <c r="BC80" i="2"/>
  <c r="BC24" i="3"/>
  <c r="BC106" i="3" s="1"/>
  <c r="BY106" i="3" s="1"/>
  <c r="BD20" i="2"/>
  <c r="BE20" i="2" s="1"/>
  <c r="BE80" i="2" s="1"/>
  <c r="BD80" i="2"/>
  <c r="BD134" i="2" s="1"/>
  <c r="BL137" i="2"/>
  <c r="R17" i="3"/>
  <c r="S17" i="3" s="1"/>
  <c r="W21" i="3"/>
  <c r="AT22" i="3"/>
  <c r="R23" i="3"/>
  <c r="V24" i="3"/>
  <c r="W24" i="3"/>
  <c r="AP33" i="3"/>
  <c r="AO61" i="3"/>
  <c r="AO63" i="3" s="1"/>
  <c r="F34" i="3"/>
  <c r="G34" i="3"/>
  <c r="BM34" i="3" s="1"/>
  <c r="AT34" i="3"/>
  <c r="AU34" i="3" s="1"/>
  <c r="S36" i="3"/>
  <c r="BP36" i="3" s="1"/>
  <c r="BN37" i="3"/>
  <c r="F42" i="3"/>
  <c r="N42" i="3"/>
  <c r="O42" i="3" s="1"/>
  <c r="CF42" i="3" s="1"/>
  <c r="CF124" i="3" s="1"/>
  <c r="V42" i="3"/>
  <c r="W42" i="3" s="1"/>
  <c r="R43" i="3"/>
  <c r="Z43" i="3"/>
  <c r="AA43" i="3" s="1"/>
  <c r="BH60" i="3"/>
  <c r="BH75" i="3"/>
  <c r="BH83" i="3" s="1"/>
  <c r="CQ130" i="2"/>
  <c r="O22" i="1"/>
  <c r="AB22" i="1"/>
  <c r="AU22" i="1"/>
  <c r="AY22" i="1"/>
  <c r="CE16" i="2"/>
  <c r="BA43" i="3"/>
  <c r="BR127" i="3"/>
  <c r="BQ70" i="13"/>
  <c r="V88" i="13"/>
  <c r="BA21" i="3"/>
  <c r="BA13" i="3"/>
  <c r="BY89" i="1"/>
  <c r="BY91" i="1"/>
  <c r="BN35" i="3"/>
  <c r="CO10" i="1"/>
  <c r="CO52" i="2" s="1"/>
  <c r="BX42" i="3"/>
  <c r="CO27" i="1"/>
  <c r="CO28" i="1" s="1"/>
  <c r="CO65" i="3"/>
  <c r="CO68" i="3" s="1"/>
  <c r="CO34" i="1"/>
  <c r="CO14" i="1"/>
  <c r="CO53" i="2"/>
  <c r="CO14" i="2"/>
  <c r="CO67" i="1"/>
  <c r="BC58" i="2"/>
  <c r="BD58" i="2" s="1"/>
  <c r="BE58" i="2" s="1"/>
  <c r="BF58" i="2" s="1"/>
  <c r="CO58" i="2"/>
  <c r="BB78" i="13"/>
  <c r="BB79" i="13"/>
  <c r="BB77" i="13"/>
  <c r="BD59" i="2"/>
  <c r="BE59" i="2" s="1"/>
  <c r="BF59" i="2"/>
  <c r="BB33" i="2"/>
  <c r="BB41" i="2" s="1"/>
  <c r="BQ92" i="2"/>
  <c r="BQ130" i="2"/>
  <c r="CO19" i="2"/>
  <c r="CO70" i="3" s="1"/>
  <c r="BB70" i="3"/>
  <c r="CO28" i="2"/>
  <c r="CO33" i="2"/>
  <c r="CO41" i="2" s="1"/>
  <c r="CO13" i="2"/>
  <c r="CO47" i="2" s="1"/>
  <c r="CO22" i="2"/>
  <c r="BB71" i="1"/>
  <c r="CO64" i="2"/>
  <c r="CO67" i="3"/>
  <c r="BB68" i="3"/>
  <c r="BB68" i="2"/>
  <c r="CO68" i="2" s="1"/>
  <c r="BB75" i="2"/>
  <c r="BB76" i="2" s="1"/>
  <c r="CO39" i="2"/>
  <c r="CO12" i="2"/>
  <c r="BB79" i="2"/>
  <c r="BB81" i="2" s="1"/>
  <c r="BB84" i="2" s="1"/>
  <c r="BB85" i="2" s="1"/>
  <c r="CO85" i="2" s="1"/>
  <c r="BB133" i="2"/>
  <c r="CO11" i="2"/>
  <c r="CO137" i="3" s="1"/>
  <c r="BB17" i="2"/>
  <c r="BB24" i="2"/>
  <c r="BB66" i="3"/>
  <c r="BB78" i="2"/>
  <c r="BB132" i="2" s="1"/>
  <c r="BC127" i="3"/>
  <c r="BY127" i="3" s="1"/>
  <c r="CO65" i="2"/>
  <c r="BY51" i="3"/>
  <c r="AO37" i="1"/>
  <c r="AO38" i="1" s="1"/>
  <c r="AO39" i="1" s="1"/>
  <c r="BB44" i="1"/>
  <c r="BD17" i="1"/>
  <c r="BE17" i="1"/>
  <c r="BF17" i="1" s="1"/>
  <c r="BG17" i="1" s="1"/>
  <c r="BH17" i="1" s="1"/>
  <c r="BD30" i="1"/>
  <c r="BE30" i="1" s="1"/>
  <c r="BY130" i="3"/>
  <c r="BE134" i="2"/>
  <c r="BD12" i="2"/>
  <c r="BD79" i="2"/>
  <c r="BD133" i="2" s="1"/>
  <c r="BY12" i="2"/>
  <c r="BY79" i="2"/>
  <c r="BY133" i="2" s="1"/>
  <c r="BY95" i="3"/>
  <c r="BB71" i="3"/>
  <c r="CO12" i="1"/>
  <c r="BQ18" i="3"/>
  <c r="BX28" i="1"/>
  <c r="BM91" i="1"/>
  <c r="K76" i="2"/>
  <c r="AA76" i="2"/>
  <c r="AF46" i="3"/>
  <c r="U86" i="13"/>
  <c r="AQ17" i="13"/>
  <c r="AQ26" i="3"/>
  <c r="BV26" i="3" s="1"/>
  <c r="N61" i="3"/>
  <c r="N63" i="3" s="1"/>
  <c r="CK12" i="1"/>
  <c r="BE50" i="2"/>
  <c r="BF50" i="2"/>
  <c r="BG50" i="2" s="1"/>
  <c r="BI50" i="2"/>
  <c r="BJ50" i="2" s="1"/>
  <c r="BK50" i="2"/>
  <c r="BR17" i="3"/>
  <c r="CO106" i="1"/>
  <c r="AQ75" i="3"/>
  <c r="AQ83" i="3" s="1"/>
  <c r="K18" i="3"/>
  <c r="CE18" i="3" s="1"/>
  <c r="CE100" i="3" s="1"/>
  <c r="BQ21" i="1"/>
  <c r="BQ22" i="1"/>
  <c r="BQ34" i="13"/>
  <c r="BQ41" i="13" s="1"/>
  <c r="BS34" i="13"/>
  <c r="BS42" i="13" s="1"/>
  <c r="BU52" i="2"/>
  <c r="BU47" i="2"/>
  <c r="BW12" i="1"/>
  <c r="CF28" i="1"/>
  <c r="CG12" i="1"/>
  <c r="CL15" i="1"/>
  <c r="CN52" i="2"/>
  <c r="BW15" i="1"/>
  <c r="BW53" i="2"/>
  <c r="CD53" i="2"/>
  <c r="BO35" i="1"/>
  <c r="BQ35" i="1"/>
  <c r="CF35" i="1"/>
  <c r="CJ35" i="1"/>
  <c r="AR38" i="1"/>
  <c r="L46" i="1"/>
  <c r="L44" i="1"/>
  <c r="AB46" i="1"/>
  <c r="AB49" i="1" s="1"/>
  <c r="AB50" i="1" s="1"/>
  <c r="BX49" i="2"/>
  <c r="BX48" i="2" s="1"/>
  <c r="AX44" i="1"/>
  <c r="CN73" i="2"/>
  <c r="AR46" i="1"/>
  <c r="BO28" i="1"/>
  <c r="BS28" i="1"/>
  <c r="BW28" i="1"/>
  <c r="CN28" i="1"/>
  <c r="BQ71" i="1"/>
  <c r="BS74" i="2"/>
  <c r="BR106" i="1"/>
  <c r="BV106" i="1"/>
  <c r="BM61" i="2"/>
  <c r="BQ61" i="2"/>
  <c r="AX15" i="3"/>
  <c r="AH22" i="3"/>
  <c r="AH23" i="3"/>
  <c r="AI23" i="3" s="1"/>
  <c r="CK23" i="3" s="1"/>
  <c r="BQ120" i="3"/>
  <c r="Y70" i="13"/>
  <c r="BB34" i="3"/>
  <c r="BY34" i="3" s="1"/>
  <c r="BC41" i="1"/>
  <c r="AE15" i="3"/>
  <c r="CK105" i="3"/>
  <c r="S27" i="3"/>
  <c r="AH27" i="3"/>
  <c r="AI27" i="3"/>
  <c r="AG63" i="3"/>
  <c r="AP36" i="3"/>
  <c r="K45" i="3"/>
  <c r="R45" i="3"/>
  <c r="S45" i="3" s="1"/>
  <c r="CG45" i="3" s="1"/>
  <c r="CG127" i="3" s="1"/>
  <c r="S24" i="3"/>
  <c r="CG24" i="3"/>
  <c r="CG106" i="3" s="1"/>
  <c r="S14" i="3"/>
  <c r="G26" i="3"/>
  <c r="N29" i="3"/>
  <c r="O29" i="3" s="1"/>
  <c r="CF29" i="3" s="1"/>
  <c r="CF111" i="3" s="1"/>
  <c r="Z29" i="3"/>
  <c r="Z41" i="3"/>
  <c r="AA41" i="3" s="1"/>
  <c r="CI41" i="3" s="1"/>
  <c r="CI123" i="3" s="1"/>
  <c r="AT83" i="2"/>
  <c r="CM32" i="2"/>
  <c r="BA24" i="3"/>
  <c r="BB24" i="3"/>
  <c r="BY24" i="3" s="1"/>
  <c r="BA28" i="3"/>
  <c r="BB28" i="3"/>
  <c r="CI68" i="3"/>
  <c r="V86" i="13"/>
  <c r="V73" i="13"/>
  <c r="X86" i="13"/>
  <c r="X70" i="13"/>
  <c r="Z88" i="13"/>
  <c r="Z71" i="13"/>
  <c r="AD85" i="13"/>
  <c r="AD86" i="13"/>
  <c r="AD88" i="13" s="1"/>
  <c r="AD87" i="13"/>
  <c r="BB128" i="3"/>
  <c r="BT42" i="3"/>
  <c r="CO55" i="3"/>
  <c r="K29" i="3"/>
  <c r="CE29" i="3" s="1"/>
  <c r="CE111" i="3" s="1"/>
  <c r="O33" i="3"/>
  <c r="R29" i="13"/>
  <c r="W41" i="1"/>
  <c r="AZ49" i="1"/>
  <c r="AZ61" i="1" s="1"/>
  <c r="AV130" i="2"/>
  <c r="BF56" i="1"/>
  <c r="CP56" i="1" s="1"/>
  <c r="CP55" i="1" s="1"/>
  <c r="BG41" i="1"/>
  <c r="BG44" i="1"/>
  <c r="U25" i="13"/>
  <c r="BE30" i="2"/>
  <c r="BE28" i="3" s="1"/>
  <c r="U19" i="13"/>
  <c r="K74" i="2"/>
  <c r="AA74" i="2"/>
  <c r="Y46" i="2"/>
  <c r="Y56" i="2" s="1"/>
  <c r="U46" i="2"/>
  <c r="U56" i="2"/>
  <c r="Q46" i="2"/>
  <c r="Q56" i="2" s="1"/>
  <c r="I46" i="2"/>
  <c r="I56" i="2"/>
  <c r="T44" i="1"/>
  <c r="AW30" i="1"/>
  <c r="AG44" i="1"/>
  <c r="CK141" i="2"/>
  <c r="AP91" i="13"/>
  <c r="BT151" i="3"/>
  <c r="T91" i="13"/>
  <c r="BS52" i="2"/>
  <c r="BQ52" i="2"/>
  <c r="BQ47" i="2" s="1"/>
  <c r="I49" i="1"/>
  <c r="I50" i="1" s="1"/>
  <c r="CG53" i="2"/>
  <c r="BW52" i="2"/>
  <c r="J151" i="3"/>
  <c r="BE59" i="1"/>
  <c r="BP12" i="1"/>
  <c r="AQ77" i="1"/>
  <c r="BN47" i="2"/>
  <c r="CJ21" i="1"/>
  <c r="CF15" i="1"/>
  <c r="AR10" i="13"/>
  <c r="AI76" i="2"/>
  <c r="AZ18" i="1"/>
  <c r="CK93" i="1"/>
  <c r="AZ78" i="13"/>
  <c r="AA89" i="2"/>
  <c r="AD55" i="3"/>
  <c r="CD93" i="1"/>
  <c r="AT33" i="2"/>
  <c r="AT41" i="2" s="1"/>
  <c r="J69" i="2"/>
  <c r="AT41" i="3"/>
  <c r="AH33" i="3"/>
  <c r="AH61" i="3" s="1"/>
  <c r="AH63" i="3" s="1"/>
  <c r="P38" i="3"/>
  <c r="AS33" i="3"/>
  <c r="AT33" i="3" s="1"/>
  <c r="AJ46" i="3"/>
  <c r="AL15" i="3"/>
  <c r="AM15" i="3" s="1"/>
  <c r="U13" i="3"/>
  <c r="AP14" i="3"/>
  <c r="V67" i="13"/>
  <c r="V74" i="13" s="1"/>
  <c r="BP21" i="1"/>
  <c r="BP22" i="1" s="1"/>
  <c r="AH22" i="1"/>
  <c r="CI11" i="2"/>
  <c r="CI137" i="3" s="1"/>
  <c r="CL32" i="2"/>
  <c r="AY33" i="2"/>
  <c r="AY41" i="2" s="1"/>
  <c r="BX32" i="2"/>
  <c r="BX33" i="2"/>
  <c r="AC41" i="2"/>
  <c r="AP17" i="3"/>
  <c r="BA16" i="3"/>
  <c r="BA64" i="3" s="1"/>
  <c r="BB26" i="3"/>
  <c r="BA33" i="3"/>
  <c r="AD36" i="3"/>
  <c r="AE36" i="3" s="1"/>
  <c r="CJ36" i="3" s="1"/>
  <c r="CJ118" i="3" s="1"/>
  <c r="BA36" i="3"/>
  <c r="AK19" i="3"/>
  <c r="Z74" i="13"/>
  <c r="V84" i="13"/>
  <c r="X84" i="13"/>
  <c r="AD84" i="13"/>
  <c r="BB29" i="3"/>
  <c r="BC79" i="13"/>
  <c r="BC28" i="13"/>
  <c r="BD28" i="13" s="1"/>
  <c r="BW75" i="2"/>
  <c r="BW76" i="2" s="1"/>
  <c r="CL71" i="3"/>
  <c r="X43" i="2"/>
  <c r="BC23" i="2"/>
  <c r="BY23" i="2" s="1"/>
  <c r="AB75" i="3"/>
  <c r="AB83" i="3" s="1"/>
  <c r="AN39" i="1"/>
  <c r="BR91" i="3"/>
  <c r="AW60" i="3"/>
  <c r="AW75" i="3" s="1"/>
  <c r="AW83" i="3" s="1"/>
  <c r="R13" i="13"/>
  <c r="BQ42" i="13"/>
  <c r="BJ130" i="2"/>
  <c r="AD91" i="3"/>
  <c r="AD75" i="3"/>
  <c r="AD83" i="3" s="1"/>
  <c r="BC37" i="13"/>
  <c r="AP151" i="3"/>
  <c r="BD141" i="2"/>
  <c r="X91" i="13"/>
  <c r="H91" i="13"/>
  <c r="AT141" i="2"/>
  <c r="BX91" i="13"/>
  <c r="AB91" i="13"/>
  <c r="CL112" i="1"/>
  <c r="CL151" i="3" s="1"/>
  <c r="D151" i="3"/>
  <c r="BW141" i="2"/>
  <c r="BS141" i="2"/>
  <c r="AQ141" i="2"/>
  <c r="AK141" i="2"/>
  <c r="BW151" i="3"/>
  <c r="AU91" i="13"/>
  <c r="Y141" i="2"/>
  <c r="Y91" i="13"/>
  <c r="AE141" i="2"/>
  <c r="AE151" i="3"/>
  <c r="BC80" i="13"/>
  <c r="BC35" i="13"/>
  <c r="CP32" i="2"/>
  <c r="BF29" i="2"/>
  <c r="CP27" i="2"/>
  <c r="BW92" i="2"/>
  <c r="BW72" i="2"/>
  <c r="X89" i="2"/>
  <c r="AH33" i="2"/>
  <c r="AN132" i="2"/>
  <c r="AI83" i="2"/>
  <c r="BT83" i="2" s="1"/>
  <c r="CN68" i="2"/>
  <c r="AX69" i="2"/>
  <c r="BD106" i="1"/>
  <c r="BY55" i="1"/>
  <c r="BD37" i="1"/>
  <c r="BE37" i="1" s="1"/>
  <c r="BF37" i="1" s="1"/>
  <c r="U151" i="3"/>
  <c r="U141" i="2"/>
  <c r="AK151" i="3"/>
  <c r="I141" i="2"/>
  <c r="AB151" i="3"/>
  <c r="Q141" i="2"/>
  <c r="Q91" i="13"/>
  <c r="BT27" i="3"/>
  <c r="BM15" i="3"/>
  <c r="Y79" i="3"/>
  <c r="AI22" i="3"/>
  <c r="BT22" i="3" s="1"/>
  <c r="BS41" i="13"/>
  <c r="V13" i="3"/>
  <c r="V79" i="3" s="1"/>
  <c r="V77" i="3" s="1"/>
  <c r="V76" i="3" s="1"/>
  <c r="J19" i="3"/>
  <c r="BB33" i="3"/>
  <c r="AQ17" i="3"/>
  <c r="AS61" i="3"/>
  <c r="AU41" i="3"/>
  <c r="AT43" i="2"/>
  <c r="AP135" i="2"/>
  <c r="AQ138" i="2" s="1"/>
  <c r="AW31" i="1"/>
  <c r="U130" i="2"/>
  <c r="AZ50" i="1"/>
  <c r="BP28" i="3"/>
  <c r="CO84" i="2"/>
  <c r="CL141" i="2"/>
  <c r="BH32" i="2"/>
  <c r="BI32" i="2" s="1"/>
  <c r="BJ32" i="2" s="1"/>
  <c r="BZ27" i="2"/>
  <c r="BC61" i="3"/>
  <c r="BY10" i="1"/>
  <c r="BY12" i="1" s="1"/>
  <c r="BS36" i="3"/>
  <c r="BW41" i="3"/>
  <c r="AS63" i="3"/>
  <c r="BC33" i="3"/>
  <c r="BV41" i="3"/>
  <c r="AU33" i="3"/>
  <c r="BU15" i="3"/>
  <c r="BY13" i="2"/>
  <c r="BC21" i="3"/>
  <c r="BC103" i="3" s="1"/>
  <c r="BY103" i="3" s="1"/>
  <c r="BY27" i="1"/>
  <c r="BY52" i="2"/>
  <c r="BY47" i="2" s="1"/>
  <c r="BY14" i="1"/>
  <c r="BY34" i="1"/>
  <c r="BY35" i="1"/>
  <c r="BY14" i="2"/>
  <c r="BC22" i="3"/>
  <c r="BY115" i="3"/>
  <c r="BC70" i="3"/>
  <c r="BY19" i="2"/>
  <c r="BY67" i="1"/>
  <c r="BC104" i="3"/>
  <c r="BY104" i="3"/>
  <c r="BC68" i="2"/>
  <c r="BY68" i="2" s="1"/>
  <c r="BY39" i="2"/>
  <c r="BY74" i="2"/>
  <c r="BC74" i="2"/>
  <c r="BC75" i="2"/>
  <c r="J50" i="1"/>
  <c r="BR44" i="1"/>
  <c r="BF30" i="1"/>
  <c r="BG30" i="1" s="1"/>
  <c r="CP17" i="1"/>
  <c r="AE25" i="13"/>
  <c r="AA25" i="13"/>
  <c r="AD130" i="2"/>
  <c r="AD72" i="2"/>
  <c r="Q91" i="3"/>
  <c r="S130" i="2"/>
  <c r="AL60" i="3"/>
  <c r="AL75" i="3" s="1"/>
  <c r="AL83" i="3" s="1"/>
  <c r="L50" i="2"/>
  <c r="L49" i="2"/>
  <c r="L48" i="2" s="1"/>
  <c r="AK49" i="2"/>
  <c r="AK48" i="2" s="1"/>
  <c r="AK50" i="2"/>
  <c r="K22" i="13"/>
  <c r="K25" i="13" s="1"/>
  <c r="O37" i="13"/>
  <c r="K16" i="13"/>
  <c r="O19" i="13" s="1"/>
  <c r="K28" i="13"/>
  <c r="AC28" i="13"/>
  <c r="AN37" i="13"/>
  <c r="AJ41" i="13"/>
  <c r="AK41" i="13" s="1"/>
  <c r="AJ28" i="13"/>
  <c r="AJ37" i="13"/>
  <c r="AO61" i="13"/>
  <c r="X44" i="13"/>
  <c r="AI9" i="3"/>
  <c r="AI60" i="3" s="1"/>
  <c r="AI75" i="3" s="1"/>
  <c r="AI83" i="3" s="1"/>
  <c r="U74" i="2"/>
  <c r="F32" i="1"/>
  <c r="AP37" i="1"/>
  <c r="AB61" i="1"/>
  <c r="AB62" i="1" s="1"/>
  <c r="CE41" i="1"/>
  <c r="CF41" i="1"/>
  <c r="CF46" i="1" s="1"/>
  <c r="CF49" i="1" s="1"/>
  <c r="CP59" i="1"/>
  <c r="BF59" i="1"/>
  <c r="BF55" i="1"/>
  <c r="CL55" i="1"/>
  <c r="BS59" i="1"/>
  <c r="CH55" i="1"/>
  <c r="BG56" i="1"/>
  <c r="BG59" i="1" s="1"/>
  <c r="BZ56" i="1"/>
  <c r="CQ27" i="2"/>
  <c r="AE92" i="2"/>
  <c r="AP61" i="2"/>
  <c r="AP66" i="2" s="1"/>
  <c r="AP69" i="2" s="1"/>
  <c r="CL59" i="2"/>
  <c r="CL61" i="2"/>
  <c r="S25" i="3"/>
  <c r="BP25" i="3" s="1"/>
  <c r="BP22" i="3"/>
  <c r="S21" i="3"/>
  <c r="O23" i="3"/>
  <c r="BQ17" i="3"/>
  <c r="AR91" i="3"/>
  <c r="CH92" i="2"/>
  <c r="AL111" i="2"/>
  <c r="BM18" i="3"/>
  <c r="P130" i="2"/>
  <c r="AI35" i="3"/>
  <c r="BR48" i="3"/>
  <c r="AE41" i="3"/>
  <c r="BS41" i="3" s="1"/>
  <c r="AA34" i="3"/>
  <c r="AY18" i="3"/>
  <c r="CN48" i="2"/>
  <c r="BV17" i="1"/>
  <c r="D60" i="3"/>
  <c r="D75" i="3" s="1"/>
  <c r="D83" i="3" s="1"/>
  <c r="AM91" i="3"/>
  <c r="AM60" i="3"/>
  <c r="AM75" i="3" s="1"/>
  <c r="AM83" i="3" s="1"/>
  <c r="CM130" i="2"/>
  <c r="BU75" i="2"/>
  <c r="BU76" i="2" s="1"/>
  <c r="P76" i="3"/>
  <c r="P80" i="3" s="1"/>
  <c r="F16" i="3"/>
  <c r="BM26" i="3"/>
  <c r="CD34" i="3"/>
  <c r="CD116" i="3" s="1"/>
  <c r="BU23" i="3"/>
  <c r="AR72" i="2"/>
  <c r="O43" i="3"/>
  <c r="BO43" i="3" s="1"/>
  <c r="BR24" i="3"/>
  <c r="BM50" i="2"/>
  <c r="BM49" i="2"/>
  <c r="BM48" i="2" s="1"/>
  <c r="BQ48" i="2"/>
  <c r="BO46" i="1"/>
  <c r="CF74" i="2"/>
  <c r="U91" i="3"/>
  <c r="U60" i="3"/>
  <c r="U75" i="3"/>
  <c r="U83" i="3"/>
  <c r="AT75" i="3"/>
  <c r="AT83" i="3" s="1"/>
  <c r="CP92" i="2"/>
  <c r="BW133" i="2"/>
  <c r="AJ89" i="2"/>
  <c r="AA43" i="2"/>
  <c r="BP15" i="3"/>
  <c r="BN16" i="3"/>
  <c r="BN64" i="3" s="1"/>
  <c r="BH130" i="2"/>
  <c r="BH92" i="2"/>
  <c r="BH72" i="2"/>
  <c r="O28" i="3"/>
  <c r="CF28" i="3" s="1"/>
  <c r="CF110" i="3"/>
  <c r="O27" i="3"/>
  <c r="BN49" i="2"/>
  <c r="BN48" i="2" s="1"/>
  <c r="CL72" i="2"/>
  <c r="BQ60" i="3"/>
  <c r="BQ75" i="3" s="1"/>
  <c r="BQ83" i="3" s="1"/>
  <c r="AK89" i="2"/>
  <c r="W16" i="3"/>
  <c r="BE12" i="2"/>
  <c r="BF12" i="2" s="1"/>
  <c r="CP12" i="2" s="1"/>
  <c r="CG36" i="3"/>
  <c r="CG118" i="3" s="1"/>
  <c r="S42" i="3"/>
  <c r="BE15" i="2"/>
  <c r="BE23" i="3" s="1"/>
  <c r="J27" i="3"/>
  <c r="AV32" i="1"/>
  <c r="CG55" i="1"/>
  <c r="CO21" i="1"/>
  <c r="AG22" i="1"/>
  <c r="AF77" i="3"/>
  <c r="AF76" i="3"/>
  <c r="AF80" i="3" s="1"/>
  <c r="AT35" i="3"/>
  <c r="CB141" i="2"/>
  <c r="BG37" i="1"/>
  <c r="BH37" i="1" s="1"/>
  <c r="O61" i="1"/>
  <c r="O62" i="1" s="1"/>
  <c r="CG42" i="3"/>
  <c r="CG124" i="3" s="1"/>
  <c r="BX14" i="3"/>
  <c r="CO22" i="1"/>
  <c r="CK35" i="3"/>
  <c r="CK117" i="3" s="1"/>
  <c r="CF23" i="3"/>
  <c r="CF105" i="3" s="1"/>
  <c r="CL66" i="2"/>
  <c r="CL69" i="2"/>
  <c r="AU35" i="3"/>
  <c r="CN35" i="3" s="1"/>
  <c r="CN117" i="3" s="1"/>
  <c r="BW35" i="3"/>
  <c r="BT35" i="3"/>
  <c r="BZ37" i="1"/>
  <c r="BF79" i="2"/>
  <c r="BF133" i="2" s="1"/>
  <c r="J91" i="13" l="1"/>
  <c r="BG141" i="2"/>
  <c r="CD112" i="1"/>
  <c r="F91" i="13"/>
  <c r="AQ151" i="3"/>
  <c r="O151" i="3"/>
  <c r="W151" i="3"/>
  <c r="BE151" i="3"/>
  <c r="BY91" i="13"/>
  <c r="F141" i="2"/>
  <c r="BJ151" i="3"/>
  <c r="BY141" i="2"/>
  <c r="AO91" i="13"/>
  <c r="S91" i="13"/>
  <c r="S151" i="3"/>
  <c r="BG151" i="3"/>
  <c r="BY151" i="3"/>
  <c r="BA141" i="2"/>
  <c r="CM112" i="1"/>
  <c r="CJ55" i="1"/>
  <c r="BQ55" i="1"/>
  <c r="CD55" i="1"/>
  <c r="CK55" i="1"/>
  <c r="BS55" i="1"/>
  <c r="BW55" i="1"/>
  <c r="AB68" i="1"/>
  <c r="N50" i="1"/>
  <c r="N61" i="1"/>
  <c r="D47" i="1"/>
  <c r="AJ46" i="1"/>
  <c r="AJ49" i="1" s="1"/>
  <c r="BT41" i="1"/>
  <c r="BT44" i="1" s="1"/>
  <c r="AH46" i="1"/>
  <c r="BN41" i="1"/>
  <c r="BN44" i="1" s="1"/>
  <c r="BZ41" i="1"/>
  <c r="BZ44" i="1" s="1"/>
  <c r="AQ23" i="3"/>
  <c r="BV23" i="3"/>
  <c r="CI92" i="2"/>
  <c r="CI72" i="2"/>
  <c r="CI130" i="2"/>
  <c r="AE63" i="2"/>
  <c r="BS63" i="2" s="1"/>
  <c r="CI63" i="2"/>
  <c r="CN83" i="2"/>
  <c r="AY83" i="2"/>
  <c r="AP120" i="2"/>
  <c r="AQ111" i="2"/>
  <c r="CF16" i="3"/>
  <c r="CF98" i="3" s="1"/>
  <c r="CB42" i="1"/>
  <c r="CB41" i="1" s="1"/>
  <c r="CB44" i="1" s="1"/>
  <c r="CA41" i="1"/>
  <c r="CA44" i="1" s="1"/>
  <c r="BK32" i="2"/>
  <c r="CA32" i="2" s="1"/>
  <c r="CB32" i="2" s="1"/>
  <c r="CQ32" i="2"/>
  <c r="BN21" i="3"/>
  <c r="CE21" i="3"/>
  <c r="CE103" i="3" s="1"/>
  <c r="U50" i="1"/>
  <c r="U61" i="1"/>
  <c r="BA72" i="2"/>
  <c r="BA130" i="2"/>
  <c r="BA92" i="2"/>
  <c r="CP58" i="2"/>
  <c r="BG58" i="2"/>
  <c r="BH58" i="2" s="1"/>
  <c r="BI58" i="2" s="1"/>
  <c r="BJ58" i="2" s="1"/>
  <c r="CQ58" i="2" s="1"/>
  <c r="BE29" i="3"/>
  <c r="BF31" i="2"/>
  <c r="CE72" i="2"/>
  <c r="CE130" i="2"/>
  <c r="BY16" i="3"/>
  <c r="BY64" i="3" s="1"/>
  <c r="Q61" i="3"/>
  <c r="Q63" i="3" s="1"/>
  <c r="R33" i="3"/>
  <c r="L77" i="3"/>
  <c r="L76" i="3" s="1"/>
  <c r="L80" i="3"/>
  <c r="BD31" i="13"/>
  <c r="BE28" i="13"/>
  <c r="BF28" i="13" s="1"/>
  <c r="BG28" i="13" s="1"/>
  <c r="Q92" i="2"/>
  <c r="Q130" i="2"/>
  <c r="Q72" i="2"/>
  <c r="CP37" i="2"/>
  <c r="BG37" i="2"/>
  <c r="BH37" i="2" s="1"/>
  <c r="BI37" i="2" s="1"/>
  <c r="BJ37" i="2" s="1"/>
  <c r="CO24" i="1"/>
  <c r="CO25" i="1" s="1"/>
  <c r="BM91" i="3"/>
  <c r="BM60" i="3"/>
  <c r="BM75" i="3" s="1"/>
  <c r="BM83" i="3" s="1"/>
  <c r="I89" i="2"/>
  <c r="I24" i="2"/>
  <c r="AK43" i="2"/>
  <c r="G17" i="3"/>
  <c r="CD17" i="3" s="1"/>
  <c r="CD99" i="3" s="1"/>
  <c r="BM17" i="3"/>
  <c r="AL64" i="3"/>
  <c r="CK64" i="3" s="1"/>
  <c r="AM16" i="3"/>
  <c r="AM64" i="3" s="1"/>
  <c r="AY35" i="3"/>
  <c r="BX35" i="3"/>
  <c r="BY65" i="3"/>
  <c r="CH16" i="3"/>
  <c r="CH98" i="3" s="1"/>
  <c r="K29" i="13"/>
  <c r="O31" i="13"/>
  <c r="I92" i="2"/>
  <c r="I72" i="2"/>
  <c r="BB43" i="3"/>
  <c r="BY43" i="3"/>
  <c r="BQ21" i="3"/>
  <c r="CH21" i="3"/>
  <c r="CH103" i="3" s="1"/>
  <c r="BD60" i="3"/>
  <c r="BD75" i="3" s="1"/>
  <c r="BD83" i="3" s="1"/>
  <c r="BD91" i="3"/>
  <c r="E11" i="13"/>
  <c r="H19" i="13"/>
  <c r="AW61" i="1"/>
  <c r="AW50" i="1"/>
  <c r="J38" i="3"/>
  <c r="K34" i="3"/>
  <c r="F24" i="3"/>
  <c r="G24" i="3" s="1"/>
  <c r="CD24" i="3" s="1"/>
  <c r="CD106" i="3" s="1"/>
  <c r="BM24" i="3"/>
  <c r="AU21" i="3"/>
  <c r="BW21" i="3" s="1"/>
  <c r="AR49" i="1"/>
  <c r="AR22" i="1"/>
  <c r="AO46" i="1"/>
  <c r="AO49" i="1" s="1"/>
  <c r="AO44" i="1"/>
  <c r="CH44" i="1"/>
  <c r="CH46" i="1"/>
  <c r="CH49" i="1" s="1"/>
  <c r="CH61" i="1" s="1"/>
  <c r="BX59" i="1"/>
  <c r="BX55" i="1"/>
  <c r="BT73" i="2"/>
  <c r="BT91" i="1"/>
  <c r="AO95" i="1"/>
  <c r="CM95" i="1" s="1"/>
  <c r="CG93" i="1"/>
  <c r="AA151" i="3"/>
  <c r="AA141" i="2"/>
  <c r="AJ151" i="3"/>
  <c r="AY141" i="2"/>
  <c r="AY91" i="13"/>
  <c r="BU151" i="3"/>
  <c r="BU141" i="2"/>
  <c r="F9" i="3"/>
  <c r="F46" i="2"/>
  <c r="F56" i="2" s="1"/>
  <c r="AU46" i="2"/>
  <c r="AU56" i="2" s="1"/>
  <c r="AU9" i="3"/>
  <c r="AX46" i="2"/>
  <c r="AX56" i="2" s="1"/>
  <c r="AX9" i="3"/>
  <c r="BG9" i="3"/>
  <c r="BG46" i="2"/>
  <c r="BG56" i="2" s="1"/>
  <c r="BG92" i="2" s="1"/>
  <c r="AU24" i="2"/>
  <c r="AU66" i="3" s="1"/>
  <c r="AU89" i="2"/>
  <c r="AJ68" i="2"/>
  <c r="AJ41" i="2"/>
  <c r="AJ43" i="2" s="1"/>
  <c r="O50" i="2"/>
  <c r="O49" i="2"/>
  <c r="O48" i="2" s="1"/>
  <c r="AN50" i="2"/>
  <c r="AN49" i="2"/>
  <c r="AN48" i="2" s="1"/>
  <c r="AN133" i="2"/>
  <c r="AN81" i="2"/>
  <c r="AN107" i="2"/>
  <c r="AO107" i="2" s="1"/>
  <c r="BU107" i="2"/>
  <c r="AK108" i="2"/>
  <c r="AL108" i="2" s="1"/>
  <c r="AJ116" i="2"/>
  <c r="BS15" i="3"/>
  <c r="AT26" i="3"/>
  <c r="AU26" i="3" s="1"/>
  <c r="R35" i="3"/>
  <c r="S35" i="3" s="1"/>
  <c r="CG35" i="3" s="1"/>
  <c r="CG117" i="3" s="1"/>
  <c r="BU128" i="3"/>
  <c r="AM128" i="3"/>
  <c r="AM45" i="3"/>
  <c r="CL45" i="3" s="1"/>
  <c r="CL127" i="3" s="1"/>
  <c r="D10" i="13"/>
  <c r="D28" i="13"/>
  <c r="H37" i="13"/>
  <c r="H35" i="13"/>
  <c r="Y42" i="13"/>
  <c r="Y10" i="13"/>
  <c r="Y11" i="13" s="1"/>
  <c r="Y22" i="13"/>
  <c r="Y25" i="13" s="1"/>
  <c r="Y35" i="13"/>
  <c r="AC10" i="13"/>
  <c r="AD11" i="13" s="1"/>
  <c r="AC45" i="13"/>
  <c r="AB45" i="13" s="1"/>
  <c r="AI10" i="13"/>
  <c r="AM13" i="13" s="1"/>
  <c r="AM37" i="13"/>
  <c r="AL62" i="13"/>
  <c r="AL61" i="13"/>
  <c r="AL78" i="13"/>
  <c r="AL81" i="13" s="1"/>
  <c r="AL77" i="13"/>
  <c r="AL28" i="13"/>
  <c r="AP37" i="13"/>
  <c r="AO22" i="13"/>
  <c r="AO25" i="13" s="1"/>
  <c r="AP35" i="13"/>
  <c r="BS71" i="13"/>
  <c r="BS73" i="13"/>
  <c r="BS70" i="13"/>
  <c r="BX18" i="3"/>
  <c r="BO16" i="3"/>
  <c r="BO64" i="3" s="1"/>
  <c r="CF44" i="1"/>
  <c r="AO120" i="2"/>
  <c r="BA91" i="3"/>
  <c r="BW81" i="2"/>
  <c r="BW135" i="2" s="1"/>
  <c r="BX138" i="2" s="1"/>
  <c r="CM26" i="3"/>
  <c r="CM108" i="3" s="1"/>
  <c r="AJ44" i="13"/>
  <c r="AJ47" i="13" s="1"/>
  <c r="AJ53" i="13" s="1"/>
  <c r="AJ56" i="13" s="1"/>
  <c r="AO16" i="13"/>
  <c r="AO19" i="13" s="1"/>
  <c r="AC37" i="13"/>
  <c r="BY21" i="1"/>
  <c r="BY22" i="1" s="1"/>
  <c r="BY15" i="1"/>
  <c r="BB16" i="3"/>
  <c r="BB64" i="3" s="1"/>
  <c r="CO64" i="3" s="1"/>
  <c r="CI55" i="3"/>
  <c r="BN18" i="3"/>
  <c r="AG91" i="13"/>
  <c r="V91" i="13"/>
  <c r="I130" i="2"/>
  <c r="AG151" i="3"/>
  <c r="AG141" i="2"/>
  <c r="H61" i="3"/>
  <c r="H63" i="3" s="1"/>
  <c r="AQ106" i="1"/>
  <c r="BX141" i="2"/>
  <c r="M31" i="13"/>
  <c r="AU81" i="2"/>
  <c r="AU135" i="2" s="1"/>
  <c r="AV138" i="2" s="1"/>
  <c r="BN17" i="2"/>
  <c r="Z46" i="1"/>
  <c r="Z49" i="1" s="1"/>
  <c r="Z50" i="1" s="1"/>
  <c r="AI62" i="13"/>
  <c r="BQ42" i="3"/>
  <c r="BQ91" i="1"/>
  <c r="J29" i="13"/>
  <c r="BD24" i="3"/>
  <c r="BD106" i="3" s="1"/>
  <c r="CP59" i="2"/>
  <c r="BG59" i="2"/>
  <c r="W77" i="13"/>
  <c r="BM27" i="3"/>
  <c r="AP61" i="3"/>
  <c r="AP63" i="3" s="1"/>
  <c r="AQ33" i="3"/>
  <c r="AQ61" i="3" s="1"/>
  <c r="BD29" i="3"/>
  <c r="BD111" i="3" s="1"/>
  <c r="BE111" i="3" s="1"/>
  <c r="BW91" i="3"/>
  <c r="BS72" i="13"/>
  <c r="AL18" i="3"/>
  <c r="BZ105" i="1"/>
  <c r="AI59" i="13"/>
  <c r="BR41" i="13"/>
  <c r="BE110" i="3"/>
  <c r="BR42" i="13"/>
  <c r="AL72" i="2"/>
  <c r="AL92" i="2"/>
  <c r="E35" i="13"/>
  <c r="AI22" i="13"/>
  <c r="AM25" i="13" s="1"/>
  <c r="D22" i="13"/>
  <c r="E23" i="13" s="1"/>
  <c r="J74" i="2"/>
  <c r="AW130" i="2"/>
  <c r="AW92" i="2"/>
  <c r="AW72" i="2"/>
  <c r="AG9" i="3"/>
  <c r="AI37" i="13"/>
  <c r="AL16" i="13"/>
  <c r="AP19" i="13" s="1"/>
  <c r="I35" i="13"/>
  <c r="AL22" i="13"/>
  <c r="AM23" i="13" s="1"/>
  <c r="AK44" i="1"/>
  <c r="CL55" i="3"/>
  <c r="BR55" i="3"/>
  <c r="CN14" i="3"/>
  <c r="CN96" i="3" s="1"/>
  <c r="Y67" i="13"/>
  <c r="Y74" i="13" s="1"/>
  <c r="CE52" i="2"/>
  <c r="CE47" i="2" s="1"/>
  <c r="CE15" i="1"/>
  <c r="AI46" i="1"/>
  <c r="AI49" i="1" s="1"/>
  <c r="AI44" i="1"/>
  <c r="BW41" i="1"/>
  <c r="BW44" i="1" s="1"/>
  <c r="CJ44" i="1"/>
  <c r="CJ46" i="1"/>
  <c r="CH71" i="1"/>
  <c r="BU93" i="1"/>
  <c r="CE93" i="1"/>
  <c r="P91" i="13"/>
  <c r="CO112" i="1"/>
  <c r="AS91" i="13"/>
  <c r="R9" i="3"/>
  <c r="R46" i="2"/>
  <c r="R56" i="2" s="1"/>
  <c r="R130" i="2" s="1"/>
  <c r="AO46" i="2"/>
  <c r="AO56" i="2" s="1"/>
  <c r="AO9" i="3"/>
  <c r="CJ130" i="2"/>
  <c r="CJ92" i="2"/>
  <c r="CL92" i="2"/>
  <c r="CL130" i="2"/>
  <c r="W43" i="2"/>
  <c r="AE24" i="2"/>
  <c r="AE89" i="2"/>
  <c r="CK76" i="2"/>
  <c r="F24" i="2"/>
  <c r="BR50" i="2"/>
  <c r="AN33" i="2"/>
  <c r="AN83" i="2"/>
  <c r="AJ77" i="3"/>
  <c r="AJ76" i="3" s="1"/>
  <c r="AJ80" i="3"/>
  <c r="Q41" i="3"/>
  <c r="R41" i="3" s="1"/>
  <c r="S41" i="3" s="1"/>
  <c r="BP41" i="3"/>
  <c r="Z44" i="3"/>
  <c r="Y95" i="1"/>
  <c r="R13" i="3"/>
  <c r="R79" i="3" s="1"/>
  <c r="AG19" i="3"/>
  <c r="AH19" i="3" s="1"/>
  <c r="AI19" i="3" s="1"/>
  <c r="CK19" i="3" s="1"/>
  <c r="CK101" i="3" s="1"/>
  <c r="CJ26" i="3"/>
  <c r="CJ108" i="3" s="1"/>
  <c r="AD128" i="3"/>
  <c r="I16" i="13"/>
  <c r="I17" i="13" s="1"/>
  <c r="I37" i="13"/>
  <c r="AF28" i="13"/>
  <c r="AF29" i="13" s="1"/>
  <c r="AG35" i="13"/>
  <c r="AF16" i="13"/>
  <c r="AF17" i="13" s="1"/>
  <c r="AJ22" i="13"/>
  <c r="AJ16" i="13"/>
  <c r="BU16" i="13" s="1"/>
  <c r="AJ42" i="13"/>
  <c r="AJ43" i="13" s="1"/>
  <c r="AV59" i="13"/>
  <c r="AV67" i="13" s="1"/>
  <c r="AV77" i="13" s="1"/>
  <c r="AR61" i="13"/>
  <c r="AY78" i="13"/>
  <c r="AY37" i="13"/>
  <c r="AY22" i="13"/>
  <c r="AF88" i="13"/>
  <c r="AF86" i="13"/>
  <c r="AF74" i="13"/>
  <c r="AF72" i="13"/>
  <c r="CB46" i="2"/>
  <c r="CB56" i="2" s="1"/>
  <c r="CB9" i="3"/>
  <c r="O68" i="1"/>
  <c r="BO41" i="3"/>
  <c r="BH56" i="1"/>
  <c r="BH55" i="1" s="1"/>
  <c r="BA24" i="1"/>
  <c r="BA25" i="1" s="1"/>
  <c r="AV92" i="2"/>
  <c r="BQ15" i="3"/>
  <c r="CN130" i="2"/>
  <c r="AO18" i="1"/>
  <c r="BN24" i="3"/>
  <c r="BU28" i="13"/>
  <c r="AI91" i="3"/>
  <c r="AO80" i="13"/>
  <c r="AO79" i="13"/>
  <c r="AJ10" i="13"/>
  <c r="AD35" i="13"/>
  <c r="AC42" i="13"/>
  <c r="CJ72" i="2"/>
  <c r="AM72" i="2"/>
  <c r="CO46" i="1"/>
  <c r="CO49" i="1" s="1"/>
  <c r="CO50" i="1" s="1"/>
  <c r="AW32" i="1"/>
  <c r="BP27" i="3"/>
  <c r="AI33" i="3"/>
  <c r="BT33" i="3" s="1"/>
  <c r="BS37" i="13"/>
  <c r="V141" i="2"/>
  <c r="CP103" i="1"/>
  <c r="CN69" i="2"/>
  <c r="AH89" i="2"/>
  <c r="AN130" i="2"/>
  <c r="BC141" i="2"/>
  <c r="AQ25" i="13"/>
  <c r="BX130" i="3"/>
  <c r="CH17" i="2"/>
  <c r="AJ91" i="13"/>
  <c r="BV151" i="3"/>
  <c r="BN17" i="3"/>
  <c r="O61" i="3"/>
  <c r="CO15" i="1"/>
  <c r="BW25" i="3"/>
  <c r="AM81" i="2"/>
  <c r="AM135" i="2" s="1"/>
  <c r="AN138" i="2" s="1"/>
  <c r="BU91" i="1"/>
  <c r="H17" i="13"/>
  <c r="BB17" i="3"/>
  <c r="F46" i="1"/>
  <c r="F49" i="1" s="1"/>
  <c r="F61" i="1" s="1"/>
  <c r="AQ19" i="1"/>
  <c r="BY58" i="2"/>
  <c r="BU55" i="1"/>
  <c r="BD22" i="2"/>
  <c r="BE22" i="2" s="1"/>
  <c r="BF22" i="2" s="1"/>
  <c r="BG22" i="2" s="1"/>
  <c r="BZ22" i="2" s="1"/>
  <c r="BZ17" i="1"/>
  <c r="G42" i="3"/>
  <c r="BM42" i="3"/>
  <c r="J33" i="3"/>
  <c r="S23" i="3"/>
  <c r="BP23" i="3" s="1"/>
  <c r="BU14" i="3"/>
  <c r="BI41" i="1"/>
  <c r="BI44" i="1" s="1"/>
  <c r="BX61" i="2"/>
  <c r="BX66" i="2" s="1"/>
  <c r="BX69" i="2" s="1"/>
  <c r="CP35" i="2"/>
  <c r="BG35" i="2"/>
  <c r="BZ35" i="2" s="1"/>
  <c r="BD21" i="2"/>
  <c r="BE21" i="2" s="1"/>
  <c r="BF21" i="2" s="1"/>
  <c r="BS46" i="2"/>
  <c r="BS56" i="2" s="1"/>
  <c r="S92" i="2"/>
  <c r="S72" i="2"/>
  <c r="AY28" i="13"/>
  <c r="AY31" i="13" s="1"/>
  <c r="AU10" i="13"/>
  <c r="AF35" i="13"/>
  <c r="AI28" i="13"/>
  <c r="V46" i="2"/>
  <c r="V56" i="2" s="1"/>
  <c r="V130" i="2" s="1"/>
  <c r="O44" i="1"/>
  <c r="AK46" i="2"/>
  <c r="AK56" i="2" s="1"/>
  <c r="U44" i="1"/>
  <c r="AV10" i="13"/>
  <c r="AR28" i="13"/>
  <c r="AM81" i="13"/>
  <c r="AM88" i="13" s="1"/>
  <c r="Y16" i="13"/>
  <c r="Y19" i="13" s="1"/>
  <c r="K50" i="2"/>
  <c r="BM46" i="2"/>
  <c r="BM56" i="2" s="1"/>
  <c r="AR60" i="13"/>
  <c r="AW35" i="13"/>
  <c r="AY151" i="3"/>
  <c r="I10" i="13"/>
  <c r="I13" i="13" s="1"/>
  <c r="E28" i="13"/>
  <c r="I31" i="13" s="1"/>
  <c r="E32" i="1"/>
  <c r="J61" i="1"/>
  <c r="BM15" i="1"/>
  <c r="AN18" i="1"/>
  <c r="J11" i="13"/>
  <c r="AY77" i="13"/>
  <c r="AW25" i="13"/>
  <c r="AS29" i="13"/>
  <c r="J35" i="13"/>
  <c r="AR62" i="13"/>
  <c r="AL59" i="13"/>
  <c r="AF37" i="13"/>
  <c r="P16" i="13"/>
  <c r="P17" i="13" s="1"/>
  <c r="AL42" i="13"/>
  <c r="I22" i="13"/>
  <c r="AR89" i="2"/>
  <c r="BT26" i="3"/>
  <c r="AV81" i="2"/>
  <c r="AV135" i="2" s="1"/>
  <c r="AW138" i="2" s="1"/>
  <c r="AU83" i="2"/>
  <c r="M46" i="3"/>
  <c r="AK22" i="3"/>
  <c r="AF87" i="13"/>
  <c r="BQ12" i="1"/>
  <c r="BP34" i="13"/>
  <c r="CF12" i="1"/>
  <c r="BS21" i="1"/>
  <c r="BS22" i="1" s="1"/>
  <c r="BS15" i="1"/>
  <c r="BA31" i="1"/>
  <c r="BA32" i="1" s="1"/>
  <c r="BB30" i="1"/>
  <c r="E38" i="1"/>
  <c r="E39" i="1" s="1"/>
  <c r="F37" i="1"/>
  <c r="BV59" i="1"/>
  <c r="BV55" i="1"/>
  <c r="CO55" i="1"/>
  <c r="CO61" i="1" s="1"/>
  <c r="BO55" i="1"/>
  <c r="CE71" i="1"/>
  <c r="CF76" i="2"/>
  <c r="D91" i="13"/>
  <c r="D141" i="2"/>
  <c r="AC151" i="3"/>
  <c r="AF141" i="2"/>
  <c r="AF151" i="3"/>
  <c r="AN151" i="3"/>
  <c r="O46" i="2"/>
  <c r="O56" i="2" s="1"/>
  <c r="O72" i="2" s="1"/>
  <c r="O9" i="3"/>
  <c r="O91" i="3" s="1"/>
  <c r="BS79" i="2"/>
  <c r="BS17" i="2"/>
  <c r="BS24" i="2" s="1"/>
  <c r="BS66" i="3" s="1"/>
  <c r="AV23" i="2"/>
  <c r="AV24" i="2"/>
  <c r="AV66" i="3" s="1"/>
  <c r="BW33" i="2"/>
  <c r="BW41" i="2" s="1"/>
  <c r="BS50" i="2"/>
  <c r="BW50" i="2"/>
  <c r="CF33" i="2"/>
  <c r="CF41" i="2" s="1"/>
  <c r="CD50" i="2"/>
  <c r="CG33" i="2"/>
  <c r="AV29" i="2"/>
  <c r="AV33" i="2" s="1"/>
  <c r="AV41" i="2" s="1"/>
  <c r="AV43" i="2" s="1"/>
  <c r="H43" i="2"/>
  <c r="N41" i="2"/>
  <c r="N43" i="2" s="1"/>
  <c r="BU74" i="2"/>
  <c r="AP49" i="2"/>
  <c r="AP48" i="2" s="1"/>
  <c r="AP50" i="2"/>
  <c r="BT61" i="2"/>
  <c r="CD61" i="2"/>
  <c r="CD66" i="2" s="1"/>
  <c r="CD69" i="2" s="1"/>
  <c r="BO68" i="2"/>
  <c r="O69" i="2"/>
  <c r="W76" i="2"/>
  <c r="AL76" i="2"/>
  <c r="AL81" i="2"/>
  <c r="AL135" i="2" s="1"/>
  <c r="AL132" i="2"/>
  <c r="AT133" i="2"/>
  <c r="AT81" i="2"/>
  <c r="AT135" i="2" s="1"/>
  <c r="AU138" i="2" s="1"/>
  <c r="AI103" i="2"/>
  <c r="BT103" i="2" s="1"/>
  <c r="Q16" i="3"/>
  <c r="R16" i="3" s="1"/>
  <c r="S16" i="3" s="1"/>
  <c r="BP16" i="3"/>
  <c r="BP64" i="3" s="1"/>
  <c r="Y16" i="3"/>
  <c r="Z16" i="3" s="1"/>
  <c r="AA16" i="3" s="1"/>
  <c r="BR16" i="3"/>
  <c r="BR64" i="3" s="1"/>
  <c r="CF17" i="3"/>
  <c r="CF99" i="3" s="1"/>
  <c r="BA19" i="3"/>
  <c r="BB19" i="3"/>
  <c r="BR43" i="3"/>
  <c r="H95" i="1"/>
  <c r="I44" i="3"/>
  <c r="I95" i="1" s="1"/>
  <c r="AB71" i="3"/>
  <c r="I13" i="3"/>
  <c r="AV77" i="3"/>
  <c r="AV76" i="3" s="1"/>
  <c r="AV80" i="3"/>
  <c r="AZ80" i="3"/>
  <c r="AZ77" i="3"/>
  <c r="BP120" i="3"/>
  <c r="BW120" i="3"/>
  <c r="AD35" i="3"/>
  <c r="AE35" i="3" s="1"/>
  <c r="CJ35" i="3" s="1"/>
  <c r="CJ117" i="3" s="1"/>
  <c r="BS128" i="3"/>
  <c r="BN128" i="3"/>
  <c r="BR128" i="3"/>
  <c r="BV128" i="3"/>
  <c r="BT128" i="3"/>
  <c r="AF70" i="13"/>
  <c r="BG12" i="2"/>
  <c r="O74" i="1"/>
  <c r="O81" i="1" s="1"/>
  <c r="O84" i="1" s="1"/>
  <c r="BO23" i="3"/>
  <c r="BW28" i="3"/>
  <c r="BG55" i="1"/>
  <c r="P22" i="1"/>
  <c r="BO17" i="3"/>
  <c r="AE22" i="3"/>
  <c r="AR130" i="2"/>
  <c r="CN50" i="2"/>
  <c r="O25" i="13"/>
  <c r="W66" i="3"/>
  <c r="BB18" i="1"/>
  <c r="BB19" i="1" s="1"/>
  <c r="AE130" i="2"/>
  <c r="AB74" i="1"/>
  <c r="AE9" i="3"/>
  <c r="Y41" i="13"/>
  <c r="Y43" i="13" s="1"/>
  <c r="AS37" i="13"/>
  <c r="AJ35" i="13"/>
  <c r="AC16" i="13"/>
  <c r="AD17" i="13" s="1"/>
  <c r="AC22" i="13"/>
  <c r="L23" i="13"/>
  <c r="AM92" i="2"/>
  <c r="CI59" i="1"/>
  <c r="BC76" i="2"/>
  <c r="AH41" i="2"/>
  <c r="AH43" i="2" s="1"/>
  <c r="BF30" i="2"/>
  <c r="BF28" i="3" s="1"/>
  <c r="AT89" i="2"/>
  <c r="BT23" i="3"/>
  <c r="AY89" i="2"/>
  <c r="G141" i="2"/>
  <c r="P89" i="2"/>
  <c r="AN92" i="2"/>
  <c r="Q151" i="3"/>
  <c r="AC91" i="13"/>
  <c r="AS151" i="3"/>
  <c r="BC151" i="3"/>
  <c r="T151" i="3"/>
  <c r="AB91" i="3"/>
  <c r="AG41" i="2"/>
  <c r="AG43" i="2" s="1"/>
  <c r="BY19" i="3"/>
  <c r="BB22" i="3"/>
  <c r="BY22" i="3" s="1"/>
  <c r="AP76" i="2"/>
  <c r="AR81" i="2"/>
  <c r="CN55" i="1"/>
  <c r="CN12" i="1"/>
  <c r="BU15" i="1"/>
  <c r="BD151" i="3"/>
  <c r="AF91" i="13"/>
  <c r="M49" i="1"/>
  <c r="I38" i="3"/>
  <c r="BR26" i="3"/>
  <c r="CO35" i="1"/>
  <c r="BB44" i="3"/>
  <c r="BC44" i="3" s="1"/>
  <c r="AI13" i="3"/>
  <c r="AI79" i="3" s="1"/>
  <c r="AI77" i="3" s="1"/>
  <c r="AS17" i="13"/>
  <c r="AW13" i="3"/>
  <c r="L49" i="1"/>
  <c r="CF52" i="2"/>
  <c r="AE42" i="13"/>
  <c r="BB89" i="2"/>
  <c r="CE28" i="1"/>
  <c r="BO42" i="3"/>
  <c r="BD27" i="3"/>
  <c r="BD109" i="3" s="1"/>
  <c r="BF20" i="2"/>
  <c r="BG20" i="2" s="1"/>
  <c r="BD89" i="1"/>
  <c r="CO75" i="2"/>
  <c r="AL27" i="3"/>
  <c r="BA89" i="2"/>
  <c r="BQ42" i="1"/>
  <c r="T86" i="13"/>
  <c r="T70" i="13"/>
  <c r="AX17" i="3"/>
  <c r="AL130" i="2"/>
  <c r="CO91" i="1"/>
  <c r="P92" i="2"/>
  <c r="P72" i="2"/>
  <c r="BC46" i="2"/>
  <c r="BC56" i="2" s="1"/>
  <c r="AL35" i="13"/>
  <c r="AU22" i="13"/>
  <c r="AU25" i="13" s="1"/>
  <c r="Z28" i="13"/>
  <c r="T35" i="13"/>
  <c r="AP13" i="13"/>
  <c r="AM35" i="13"/>
  <c r="AK29" i="13"/>
  <c r="AV61" i="13"/>
  <c r="Y37" i="13"/>
  <c r="Y28" i="13"/>
  <c r="AC31" i="13" s="1"/>
  <c r="AX50" i="2"/>
  <c r="AM17" i="13"/>
  <c r="AA91" i="13"/>
  <c r="AV77" i="1"/>
  <c r="AW37" i="1"/>
  <c r="AK35" i="13"/>
  <c r="CM105" i="1"/>
  <c r="CM106" i="1" s="1"/>
  <c r="AU79" i="13"/>
  <c r="AY79" i="13"/>
  <c r="AU78" i="13"/>
  <c r="AI16" i="13"/>
  <c r="AL37" i="13"/>
  <c r="H10" i="13"/>
  <c r="BS91" i="3"/>
  <c r="G50" i="2"/>
  <c r="AF10" i="13"/>
  <c r="AG11" i="13" s="1"/>
  <c r="R76" i="2"/>
  <c r="AO50" i="2"/>
  <c r="CG137" i="3"/>
  <c r="Z89" i="2"/>
  <c r="BN137" i="3"/>
  <c r="AP25" i="3"/>
  <c r="AQ25" i="3" s="1"/>
  <c r="CM25" i="3" s="1"/>
  <c r="CM107" i="3" s="1"/>
  <c r="BV25" i="3"/>
  <c r="AO108" i="2"/>
  <c r="AM68" i="2"/>
  <c r="AM41" i="2"/>
  <c r="AW37" i="3"/>
  <c r="AX37" i="3" s="1"/>
  <c r="AY37" i="3" s="1"/>
  <c r="P61" i="3"/>
  <c r="P63" i="3" s="1"/>
  <c r="O48" i="3"/>
  <c r="CF48" i="3" s="1"/>
  <c r="CF130" i="3" s="1"/>
  <c r="BO48" i="3"/>
  <c r="H38" i="3"/>
  <c r="AT17" i="3"/>
  <c r="AU17" i="3" s="1"/>
  <c r="CN17" i="3" s="1"/>
  <c r="CN99" i="3" s="1"/>
  <c r="CH17" i="3"/>
  <c r="CH99" i="3" s="1"/>
  <c r="T85" i="13"/>
  <c r="BR12" i="1"/>
  <c r="BU12" i="1"/>
  <c r="BU21" i="1"/>
  <c r="BU22" i="1" s="1"/>
  <c r="BV12" i="1"/>
  <c r="BX12" i="1"/>
  <c r="CN21" i="1"/>
  <c r="CN15" i="1"/>
  <c r="BT49" i="2"/>
  <c r="BT48" i="2" s="1"/>
  <c r="D19" i="1"/>
  <c r="D24" i="1"/>
  <c r="D52" i="1" s="1"/>
  <c r="D64" i="1" s="1"/>
  <c r="AY24" i="1"/>
  <c r="AY25" i="1" s="1"/>
  <c r="AK49" i="1"/>
  <c r="AK22" i="1"/>
  <c r="AT49" i="1"/>
  <c r="AT61" i="1" s="1"/>
  <c r="BR28" i="1"/>
  <c r="BR46" i="1"/>
  <c r="AZ38" i="1"/>
  <c r="AZ39" i="1" s="1"/>
  <c r="AZ77" i="1"/>
  <c r="H151" i="3"/>
  <c r="H141" i="2"/>
  <c r="K141" i="2"/>
  <c r="AI91" i="13"/>
  <c r="AI141" i="2"/>
  <c r="AI151" i="3"/>
  <c r="AU141" i="2"/>
  <c r="E9" i="3"/>
  <c r="E46" i="2"/>
  <c r="E56" i="2" s="1"/>
  <c r="E130" i="2" s="1"/>
  <c r="M9" i="3"/>
  <c r="M91" i="3" s="1"/>
  <c r="P60" i="3"/>
  <c r="P75" i="3" s="1"/>
  <c r="P83" i="3" s="1"/>
  <c r="P91" i="3"/>
  <c r="T46" i="2"/>
  <c r="T56" i="2" s="1"/>
  <c r="T130" i="2" s="1"/>
  <c r="T9" i="3"/>
  <c r="AC46" i="2"/>
  <c r="AC56" i="2" s="1"/>
  <c r="AC92" i="2" s="1"/>
  <c r="AC9" i="3"/>
  <c r="BV9" i="3"/>
  <c r="BV46" i="2"/>
  <c r="BV56" i="2" s="1"/>
  <c r="BV92" i="2" s="1"/>
  <c r="CF137" i="3"/>
  <c r="CF55" i="3"/>
  <c r="CF47" i="2"/>
  <c r="CJ47" i="2"/>
  <c r="CN47" i="2"/>
  <c r="K89" i="2"/>
  <c r="K24" i="2"/>
  <c r="K66" i="3" s="1"/>
  <c r="BQ71" i="3"/>
  <c r="CF71" i="3"/>
  <c r="CI71" i="3"/>
  <c r="BP50" i="2"/>
  <c r="AS41" i="2"/>
  <c r="R41" i="2"/>
  <c r="R43" i="2" s="1"/>
  <c r="BX75" i="2"/>
  <c r="BX76" i="2" s="1"/>
  <c r="D50" i="2"/>
  <c r="CI60" i="2"/>
  <c r="AD61" i="2"/>
  <c r="AD66" i="2" s="1"/>
  <c r="U66" i="2"/>
  <c r="U69" i="2" s="1"/>
  <c r="AC69" i="2"/>
  <c r="W69" i="2"/>
  <c r="L76" i="2"/>
  <c r="P76" i="2"/>
  <c r="T76" i="2"/>
  <c r="AZ76" i="2"/>
  <c r="AI126" i="2"/>
  <c r="AG17" i="3"/>
  <c r="AH17" i="3"/>
  <c r="AI17" i="3" s="1"/>
  <c r="AK17" i="3"/>
  <c r="AL17" i="3" s="1"/>
  <c r="AM17" i="3" s="1"/>
  <c r="CL17" i="3" s="1"/>
  <c r="CL99" i="3" s="1"/>
  <c r="BU17" i="3"/>
  <c r="AL28" i="3"/>
  <c r="AM28" i="3" s="1"/>
  <c r="BP29" i="3"/>
  <c r="AV61" i="3"/>
  <c r="AV63" i="3" s="1"/>
  <c r="AV38" i="3"/>
  <c r="CE42" i="3"/>
  <c r="CE124" i="3" s="1"/>
  <c r="N44" i="3"/>
  <c r="M95" i="1"/>
  <c r="G10" i="13"/>
  <c r="K13" i="13" s="1"/>
  <c r="G28" i="13"/>
  <c r="K35" i="13"/>
  <c r="K10" i="13"/>
  <c r="K11" i="13" s="1"/>
  <c r="U10" i="13"/>
  <c r="V11" i="13" s="1"/>
  <c r="V35" i="13"/>
  <c r="U28" i="13"/>
  <c r="U31" i="13" s="1"/>
  <c r="AE16" i="13"/>
  <c r="AE17" i="13" s="1"/>
  <c r="AE35" i="13"/>
  <c r="AM36" i="13" s="1"/>
  <c r="AL79" i="13"/>
  <c r="AN16" i="13"/>
  <c r="AN19" i="13" s="1"/>
  <c r="AN60" i="13"/>
  <c r="AU19" i="13"/>
  <c r="AQ19" i="13"/>
  <c r="AX29" i="13"/>
  <c r="W62" i="13"/>
  <c r="AG74" i="13"/>
  <c r="AC88" i="13"/>
  <c r="AC84" i="13"/>
  <c r="AH87" i="13"/>
  <c r="AH71" i="13"/>
  <c r="AH70" i="13"/>
  <c r="AH74" i="13" s="1"/>
  <c r="AH86" i="13"/>
  <c r="AH88" i="13" s="1"/>
  <c r="AH72" i="13"/>
  <c r="CO83" i="2"/>
  <c r="BC83" i="2"/>
  <c r="BC79" i="2"/>
  <c r="BC133" i="2" s="1"/>
  <c r="BC11" i="2"/>
  <c r="CL15" i="3"/>
  <c r="CL97" i="3" s="1"/>
  <c r="CO50" i="2"/>
  <c r="CO61" i="2"/>
  <c r="CO66" i="2" s="1"/>
  <c r="CO69" i="2" s="1"/>
  <c r="Q49" i="1"/>
  <c r="Q50" i="1" s="1"/>
  <c r="BY75" i="2"/>
  <c r="BY76" i="2" s="1"/>
  <c r="AI42" i="13"/>
  <c r="AM67" i="13"/>
  <c r="AM74" i="13" s="1"/>
  <c r="BN71" i="3"/>
  <c r="CO28" i="3"/>
  <c r="CO110" i="3" s="1"/>
  <c r="AP81" i="13"/>
  <c r="AP88" i="13" s="1"/>
  <c r="BR21" i="1"/>
  <c r="BR22" i="1" s="1"/>
  <c r="BR53" i="2"/>
  <c r="BR49" i="2" s="1"/>
  <c r="BR48" i="2" s="1"/>
  <c r="CH21" i="1"/>
  <c r="CH22" i="1" s="1"/>
  <c r="AX49" i="1"/>
  <c r="CH28" i="1"/>
  <c r="T49" i="1"/>
  <c r="BN55" i="1"/>
  <c r="BN59" i="1"/>
  <c r="CG91" i="1"/>
  <c r="CD91" i="1"/>
  <c r="CI91" i="1"/>
  <c r="BS81" i="2"/>
  <c r="BR17" i="2"/>
  <c r="CH47" i="2"/>
  <c r="CI49" i="2"/>
  <c r="CI48" i="2" s="1"/>
  <c r="BQ75" i="2"/>
  <c r="BQ76" i="2" s="1"/>
  <c r="Y41" i="2"/>
  <c r="Y43" i="2" s="1"/>
  <c r="Y89" i="2"/>
  <c r="BP75" i="2"/>
  <c r="CF66" i="2"/>
  <c r="AN66" i="2"/>
  <c r="AN69" i="2" s="1"/>
  <c r="Y69" i="2"/>
  <c r="CE16" i="3"/>
  <c r="CE98" i="3" s="1"/>
  <c r="AT24" i="3"/>
  <c r="AU24" i="3" s="1"/>
  <c r="AH26" i="3"/>
  <c r="AI26" i="3" s="1"/>
  <c r="AX44" i="3"/>
  <c r="AY44" i="3" s="1"/>
  <c r="BM68" i="3"/>
  <c r="BM71" i="3" s="1"/>
  <c r="BT67" i="3"/>
  <c r="BT68" i="3" s="1"/>
  <c r="BT71" i="3" s="1"/>
  <c r="AK71" i="3"/>
  <c r="M13" i="3"/>
  <c r="AO13" i="3"/>
  <c r="AO79" i="3" s="1"/>
  <c r="AO77" i="3" s="1"/>
  <c r="AO76" i="3" s="1"/>
  <c r="E19" i="3"/>
  <c r="CB98" i="2"/>
  <c r="AK69" i="2"/>
  <c r="BQ41" i="2"/>
  <c r="BO28" i="3"/>
  <c r="BV15" i="1"/>
  <c r="BU35" i="1"/>
  <c r="CD35" i="1"/>
  <c r="CH35" i="1"/>
  <c r="BU41" i="1"/>
  <c r="BU44" i="1" s="1"/>
  <c r="CN41" i="1"/>
  <c r="Q61" i="1"/>
  <c r="BR55" i="1"/>
  <c r="CE55" i="1"/>
  <c r="CM55" i="1"/>
  <c r="CG71" i="1"/>
  <c r="BP106" i="1"/>
  <c r="BW106" i="1"/>
  <c r="BO106" i="1"/>
  <c r="BS106" i="1"/>
  <c r="CF106" i="1"/>
  <c r="CJ106" i="1"/>
  <c r="CN106" i="1"/>
  <c r="CG106" i="1"/>
  <c r="CK106" i="1"/>
  <c r="BS47" i="2"/>
  <c r="BS49" i="2"/>
  <c r="BS48" i="2" s="1"/>
  <c r="BW49" i="2"/>
  <c r="BW48" i="2" s="1"/>
  <c r="CG17" i="2"/>
  <c r="CG24" i="2" s="1"/>
  <c r="CG66" i="3" s="1"/>
  <c r="H24" i="2"/>
  <c r="H66" i="3" s="1"/>
  <c r="AF89" i="2"/>
  <c r="L24" i="2"/>
  <c r="L66" i="3" s="1"/>
  <c r="BQ50" i="2"/>
  <c r="BU50" i="2"/>
  <c r="CF50" i="2"/>
  <c r="CE33" i="2"/>
  <c r="O41" i="2"/>
  <c r="W89" i="2"/>
  <c r="BP41" i="2"/>
  <c r="AK76" i="2"/>
  <c r="BN61" i="2"/>
  <c r="BN66" i="2" s="1"/>
  <c r="BR61" i="2"/>
  <c r="BR66" i="2" s="1"/>
  <c r="BV61" i="2"/>
  <c r="BV66" i="2" s="1"/>
  <c r="BO61" i="2"/>
  <c r="CF61" i="2"/>
  <c r="AJ74" i="2"/>
  <c r="AN74" i="2"/>
  <c r="E76" i="2"/>
  <c r="I76" i="2"/>
  <c r="M76" i="2"/>
  <c r="Q76" i="2"/>
  <c r="U76" i="2"/>
  <c r="Y76" i="2"/>
  <c r="AC76" i="2"/>
  <c r="AH76" i="2"/>
  <c r="AR76" i="2"/>
  <c r="AW76" i="2"/>
  <c r="AG81" i="2"/>
  <c r="CG68" i="3"/>
  <c r="CG71" i="3" s="1"/>
  <c r="Q13" i="3"/>
  <c r="Q79" i="3" s="1"/>
  <c r="Q77" i="3" s="1"/>
  <c r="Q76" i="3" s="1"/>
  <c r="Q80" i="3" s="1"/>
  <c r="AD25" i="3"/>
  <c r="CK68" i="3"/>
  <c r="CK71" i="3" s="1"/>
  <c r="CH68" i="3"/>
  <c r="CH71" i="3" s="1"/>
  <c r="Z13" i="3"/>
  <c r="F19" i="3"/>
  <c r="BO120" i="3"/>
  <c r="BS120" i="3"/>
  <c r="T71" i="13"/>
  <c r="BS81" i="13"/>
  <c r="BJ28" i="1"/>
  <c r="BK28" i="1" s="1"/>
  <c r="CG41" i="2"/>
  <c r="CG43" i="2" s="1"/>
  <c r="CG89" i="2"/>
  <c r="O11" i="3"/>
  <c r="AR111" i="2"/>
  <c r="AQ120" i="2"/>
  <c r="D143" i="2"/>
  <c r="D75" i="1"/>
  <c r="D81" i="1"/>
  <c r="BU45" i="3"/>
  <c r="AV79" i="13"/>
  <c r="CM17" i="3"/>
  <c r="CM99" i="3" s="1"/>
  <c r="BV17" i="3"/>
  <c r="CP16" i="2"/>
  <c r="BG16" i="2"/>
  <c r="CJ49" i="1"/>
  <c r="CJ22" i="1"/>
  <c r="AG80" i="3"/>
  <c r="AG77" i="3"/>
  <c r="AG76" i="3" s="1"/>
  <c r="W44" i="1"/>
  <c r="W46" i="1"/>
  <c r="W49" i="1" s="1"/>
  <c r="AW79" i="3"/>
  <c r="BA79" i="3"/>
  <c r="BB13" i="3"/>
  <c r="BP72" i="2"/>
  <c r="BP92" i="2"/>
  <c r="BD92" i="2"/>
  <c r="BD130" i="2"/>
  <c r="BD72" i="2"/>
  <c r="AO60" i="3"/>
  <c r="AO75" i="3" s="1"/>
  <c r="AO83" i="3" s="1"/>
  <c r="AO91" i="3"/>
  <c r="V60" i="3"/>
  <c r="V75" i="3" s="1"/>
  <c r="V83" i="3" s="1"/>
  <c r="V91" i="3"/>
  <c r="AC91" i="3"/>
  <c r="AC60" i="3"/>
  <c r="AC75" i="3" s="1"/>
  <c r="AC83" i="3" s="1"/>
  <c r="AG13" i="13"/>
  <c r="AU91" i="3"/>
  <c r="AU60" i="3"/>
  <c r="AU75" i="3" s="1"/>
  <c r="AU83" i="3" s="1"/>
  <c r="AN17" i="13"/>
  <c r="AR19" i="13"/>
  <c r="BV16" i="13"/>
  <c r="BY63" i="2"/>
  <c r="BD63" i="2"/>
  <c r="BE63" i="2" s="1"/>
  <c r="BF63" i="2" s="1"/>
  <c r="R37" i="3"/>
  <c r="S37" i="3" s="1"/>
  <c r="BP37" i="3"/>
  <c r="G48" i="3"/>
  <c r="BM48" i="3" s="1"/>
  <c r="AL22" i="1"/>
  <c r="AL49" i="1"/>
  <c r="AO22" i="1"/>
  <c r="AT50" i="1"/>
  <c r="CO74" i="1"/>
  <c r="CO62" i="1"/>
  <c r="AI130" i="2"/>
  <c r="AI92" i="2"/>
  <c r="BO130" i="2"/>
  <c r="BO72" i="2"/>
  <c r="AZ43" i="2"/>
  <c r="J50" i="2"/>
  <c r="J49" i="2"/>
  <c r="J48" i="2" s="1"/>
  <c r="N49" i="2"/>
  <c r="N48" i="2" s="1"/>
  <c r="N50" i="2"/>
  <c r="S49" i="2"/>
  <c r="S48" i="2" s="1"/>
  <c r="S50" i="2"/>
  <c r="W49" i="2"/>
  <c r="W48" i="2" s="1"/>
  <c r="W50" i="2"/>
  <c r="AH49" i="2"/>
  <c r="AH48" i="2" s="1"/>
  <c r="AH50" i="2"/>
  <c r="AL49" i="2"/>
  <c r="AL48" i="2" s="1"/>
  <c r="AL50" i="2"/>
  <c r="AQ49" i="2"/>
  <c r="AQ48" i="2" s="1"/>
  <c r="AQ50" i="2"/>
  <c r="BT66" i="2"/>
  <c r="BT69" i="2" s="1"/>
  <c r="BX97" i="3"/>
  <c r="AY15" i="3"/>
  <c r="BP101" i="3"/>
  <c r="S19" i="3"/>
  <c r="BK130" i="2"/>
  <c r="BK72" i="2"/>
  <c r="BV111" i="2"/>
  <c r="BI37" i="1"/>
  <c r="BS35" i="3"/>
  <c r="BR15" i="3"/>
  <c r="CI15" i="3"/>
  <c r="CI97" i="3" s="1"/>
  <c r="BK92" i="2"/>
  <c r="CE46" i="1"/>
  <c r="CE44" i="1"/>
  <c r="BV37" i="1"/>
  <c r="BV38" i="1" s="1"/>
  <c r="BV39" i="1" s="1"/>
  <c r="CL37" i="1"/>
  <c r="CL38" i="1" s="1"/>
  <c r="AS25" i="13"/>
  <c r="AJ17" i="13"/>
  <c r="AJ19" i="13"/>
  <c r="AK23" i="13"/>
  <c r="AJ25" i="13"/>
  <c r="BO92" i="2"/>
  <c r="AU61" i="3"/>
  <c r="AQ63" i="3"/>
  <c r="K43" i="2"/>
  <c r="BF27" i="3"/>
  <c r="BG29" i="2"/>
  <c r="CP29" i="2"/>
  <c r="CF151" i="3"/>
  <c r="CF141" i="2"/>
  <c r="V13" i="13"/>
  <c r="AM19" i="3"/>
  <c r="CL19" i="3" s="1"/>
  <c r="CL101" i="3" s="1"/>
  <c r="CG50" i="2"/>
  <c r="CG49" i="2"/>
  <c r="CG48" i="2" s="1"/>
  <c r="CM83" i="2"/>
  <c r="CG14" i="3"/>
  <c r="CG96" i="3" s="1"/>
  <c r="CP20" i="2"/>
  <c r="BF80" i="2"/>
  <c r="BF134" i="2" s="1"/>
  <c r="AM41" i="3"/>
  <c r="D130" i="2"/>
  <c r="D92" i="2"/>
  <c r="AI23" i="13"/>
  <c r="AI25" i="13"/>
  <c r="AS130" i="2"/>
  <c r="AS92" i="2"/>
  <c r="AS72" i="2"/>
  <c r="W13" i="13"/>
  <c r="W11" i="13"/>
  <c r="AA50" i="2"/>
  <c r="X60" i="3"/>
  <c r="X75" i="3" s="1"/>
  <c r="X83" i="3" s="1"/>
  <c r="X91" i="3"/>
  <c r="AT30" i="1"/>
  <c r="AT31" i="1" s="1"/>
  <c r="BW30" i="1"/>
  <c r="BW31" i="1" s="1"/>
  <c r="AS31" i="1"/>
  <c r="AN23" i="13"/>
  <c r="AN25" i="13"/>
  <c r="AR25" i="13"/>
  <c r="AL25" i="13"/>
  <c r="AH13" i="13"/>
  <c r="AI11" i="13"/>
  <c r="AH11" i="13"/>
  <c r="AL13" i="13"/>
  <c r="BS10" i="13"/>
  <c r="AB13" i="13"/>
  <c r="AO80" i="3"/>
  <c r="BJ123" i="3"/>
  <c r="CG66" i="2"/>
  <c r="CG69" i="2" s="1"/>
  <c r="BF124" i="3"/>
  <c r="J41" i="3"/>
  <c r="AC64" i="3"/>
  <c r="AD16" i="3"/>
  <c r="AU29" i="3"/>
  <c r="CM29" i="3"/>
  <c r="CM111" i="3" s="1"/>
  <c r="W26" i="3"/>
  <c r="CH26" i="3" s="1"/>
  <c r="CH108" i="3" s="1"/>
  <c r="AA22" i="1"/>
  <c r="AE22" i="1"/>
  <c r="AR61" i="1"/>
  <c r="AR50" i="1"/>
  <c r="H46" i="1"/>
  <c r="H49" i="1" s="1"/>
  <c r="H44" i="1"/>
  <c r="K44" i="1"/>
  <c r="K46" i="1"/>
  <c r="S46" i="1"/>
  <c r="S49" i="1" s="1"/>
  <c r="S44" i="1"/>
  <c r="V44" i="1"/>
  <c r="V46" i="1"/>
  <c r="AA44" i="1"/>
  <c r="AA46" i="1"/>
  <c r="AA49" i="1" s="1"/>
  <c r="AE44" i="1"/>
  <c r="AE46" i="1"/>
  <c r="AE49" i="1" s="1"/>
  <c r="CI14" i="3"/>
  <c r="CI96" i="3" s="1"/>
  <c r="BS14" i="3"/>
  <c r="U34" i="3"/>
  <c r="V34" i="3" s="1"/>
  <c r="W34" i="3" s="1"/>
  <c r="CH34" i="3" s="1"/>
  <c r="CH116" i="3" s="1"/>
  <c r="T38" i="3"/>
  <c r="BQ34" i="3"/>
  <c r="AK34" i="3"/>
  <c r="AL34" i="3"/>
  <c r="AM34" i="3" s="1"/>
  <c r="BU34" i="3"/>
  <c r="N35" i="3"/>
  <c r="O35" i="3" s="1"/>
  <c r="CE35" i="3"/>
  <c r="CE117" i="3" s="1"/>
  <c r="BO35" i="3"/>
  <c r="U35" i="3"/>
  <c r="V35" i="3" s="1"/>
  <c r="W35" i="3" s="1"/>
  <c r="CH35" i="3" s="1"/>
  <c r="CH117" i="3" s="1"/>
  <c r="AC42" i="3"/>
  <c r="AB46" i="3"/>
  <c r="AO42" i="3"/>
  <c r="AO46" i="3" s="1"/>
  <c r="AN46" i="3"/>
  <c r="BB42" i="3"/>
  <c r="BC42" i="3" s="1"/>
  <c r="I43" i="3"/>
  <c r="J43" i="3" s="1"/>
  <c r="K43" i="3" s="1"/>
  <c r="CE43" i="3" s="1"/>
  <c r="CE125" i="3" s="1"/>
  <c r="BN43" i="3"/>
  <c r="V43" i="3"/>
  <c r="W43" i="3" s="1"/>
  <c r="CH43" i="3" s="1"/>
  <c r="CH125" i="3" s="1"/>
  <c r="AL43" i="3"/>
  <c r="AM43" i="3" s="1"/>
  <c r="CL43" i="3" s="1"/>
  <c r="CL125" i="3" s="1"/>
  <c r="AS43" i="3"/>
  <c r="AT43" i="3" s="1"/>
  <c r="AR46" i="3"/>
  <c r="CP123" i="3"/>
  <c r="BZ42" i="3"/>
  <c r="J44" i="3"/>
  <c r="P95" i="1"/>
  <c r="Q44" i="3"/>
  <c r="P46" i="3"/>
  <c r="Z95" i="1"/>
  <c r="AA44" i="3"/>
  <c r="BR44" i="3" s="1"/>
  <c r="AH44" i="3"/>
  <c r="F45" i="3"/>
  <c r="G45" i="3" s="1"/>
  <c r="CD45" i="3" s="1"/>
  <c r="CD127" i="3" s="1"/>
  <c r="BM45" i="3"/>
  <c r="AX45" i="3"/>
  <c r="AY45" i="3" s="1"/>
  <c r="CO45" i="3" s="1"/>
  <c r="CO127" i="3" s="1"/>
  <c r="I48" i="3"/>
  <c r="J48" i="3" s="1"/>
  <c r="K48" i="3" s="1"/>
  <c r="CE48" i="3" s="1"/>
  <c r="CE130" i="3" s="1"/>
  <c r="U48" i="3"/>
  <c r="V48" i="3" s="1"/>
  <c r="W48" i="3" s="1"/>
  <c r="CH48" i="3" s="1"/>
  <c r="CH130" i="3" s="1"/>
  <c r="BQ48" i="3"/>
  <c r="AM48" i="3"/>
  <c r="CL48" i="3" s="1"/>
  <c r="CL130" i="3" s="1"/>
  <c r="CK48" i="3"/>
  <c r="CK130" i="3" s="1"/>
  <c r="AX13" i="3"/>
  <c r="BI56" i="1"/>
  <c r="BH59" i="1"/>
  <c r="K27" i="3"/>
  <c r="CE27" i="3" s="1"/>
  <c r="CE109" i="3" s="1"/>
  <c r="V80" i="3"/>
  <c r="CH50" i="1"/>
  <c r="BU28" i="3"/>
  <c r="O13" i="13"/>
  <c r="BP130" i="2"/>
  <c r="N68" i="1"/>
  <c r="N74" i="1"/>
  <c r="N62" i="1"/>
  <c r="BY70" i="3"/>
  <c r="BY67" i="3"/>
  <c r="BY68" i="3" s="1"/>
  <c r="BJ103" i="1"/>
  <c r="CQ103" i="1"/>
  <c r="AT61" i="3"/>
  <c r="AT63" i="3" s="1"/>
  <c r="BW33" i="3"/>
  <c r="BZ59" i="2"/>
  <c r="BH59" i="2"/>
  <c r="BI59" i="2" s="1"/>
  <c r="BJ59" i="2" s="1"/>
  <c r="CG151" i="3"/>
  <c r="CG141" i="2"/>
  <c r="CH24" i="2"/>
  <c r="CH66" i="3" s="1"/>
  <c r="AQ14" i="3"/>
  <c r="CM14" i="3" s="1"/>
  <c r="CM96" i="3" s="1"/>
  <c r="CL14" i="3"/>
  <c r="CL96" i="3" s="1"/>
  <c r="CD22" i="1"/>
  <c r="CO44" i="3"/>
  <c r="CO126" i="3" s="1"/>
  <c r="AA29" i="3"/>
  <c r="BC44" i="1"/>
  <c r="BC47" i="1" s="1"/>
  <c r="BC46" i="1"/>
  <c r="BC49" i="1" s="1"/>
  <c r="BB18" i="3"/>
  <c r="BY18" i="3"/>
  <c r="CO18" i="3"/>
  <c r="CO100" i="3" s="1"/>
  <c r="BM66" i="2"/>
  <c r="BM69" i="2" s="1"/>
  <c r="AR39" i="1"/>
  <c r="AR47" i="1"/>
  <c r="AL17" i="13"/>
  <c r="BZ130" i="3"/>
  <c r="BH130" i="3"/>
  <c r="BI130" i="3" s="1"/>
  <c r="BJ130" i="3" s="1"/>
  <c r="BK130" i="3" s="1"/>
  <c r="CA130" i="3" s="1"/>
  <c r="S43" i="3"/>
  <c r="CF43" i="3"/>
  <c r="CF125" i="3" s="1"/>
  <c r="AU22" i="3"/>
  <c r="BW22" i="3" s="1"/>
  <c r="BC134" i="2"/>
  <c r="AB130" i="2"/>
  <c r="AB72" i="2"/>
  <c r="AB92" i="2"/>
  <c r="BG130" i="2"/>
  <c r="AY72" i="2"/>
  <c r="AY130" i="2"/>
  <c r="AY92" i="2"/>
  <c r="AH130" i="2"/>
  <c r="AH92" i="2"/>
  <c r="AH72" i="2"/>
  <c r="W72" i="2"/>
  <c r="W92" i="2"/>
  <c r="BO91" i="3"/>
  <c r="BO60" i="3"/>
  <c r="BO75" i="3" s="1"/>
  <c r="BO83" i="3" s="1"/>
  <c r="BM22" i="1"/>
  <c r="D68" i="1"/>
  <c r="D62" i="1"/>
  <c r="N45" i="3"/>
  <c r="CE45" i="3" s="1"/>
  <c r="CE127" i="3" s="1"/>
  <c r="AA18" i="3"/>
  <c r="CI18" i="3" s="1"/>
  <c r="CI100" i="3" s="1"/>
  <c r="AO66" i="2"/>
  <c r="AO69" i="2" s="1"/>
  <c r="J26" i="3"/>
  <c r="K26" i="3" s="1"/>
  <c r="U61" i="3"/>
  <c r="V33" i="3"/>
  <c r="AT27" i="3"/>
  <c r="AU27" i="3" s="1"/>
  <c r="CN27" i="3" s="1"/>
  <c r="CN109" i="3" s="1"/>
  <c r="J15" i="3"/>
  <c r="K15" i="3" s="1"/>
  <c r="CE15" i="3" s="1"/>
  <c r="CE97" i="3" s="1"/>
  <c r="CD15" i="3"/>
  <c r="CD97" i="3" s="1"/>
  <c r="BN15" i="3"/>
  <c r="AO30" i="1"/>
  <c r="AN31" i="1"/>
  <c r="AN77" i="1"/>
  <c r="AQ32" i="1"/>
  <c r="BM35" i="1"/>
  <c r="CL35" i="1"/>
  <c r="AV39" i="1"/>
  <c r="AV47" i="1"/>
  <c r="Q74" i="1"/>
  <c r="Q68" i="1"/>
  <c r="Q62" i="1"/>
  <c r="BT96" i="1"/>
  <c r="L91" i="13"/>
  <c r="L141" i="2"/>
  <c r="L151" i="3"/>
  <c r="R91" i="13"/>
  <c r="R151" i="3"/>
  <c r="R141" i="2"/>
  <c r="Z91" i="13"/>
  <c r="Z151" i="3"/>
  <c r="Z141" i="2"/>
  <c r="CH112" i="1"/>
  <c r="AH91" i="13"/>
  <c r="CJ112" i="1"/>
  <c r="AH141" i="2"/>
  <c r="AH151" i="3"/>
  <c r="AR151" i="3"/>
  <c r="CN112" i="1"/>
  <c r="AR141" i="2"/>
  <c r="AR91" i="13"/>
  <c r="AZ91" i="13"/>
  <c r="AZ151" i="3"/>
  <c r="AZ141" i="2"/>
  <c r="BR91" i="13"/>
  <c r="BR151" i="3"/>
  <c r="BR141" i="2"/>
  <c r="BZ141" i="2"/>
  <c r="CA91" i="13"/>
  <c r="BZ151" i="3"/>
  <c r="L9" i="3"/>
  <c r="L46" i="2"/>
  <c r="L56" i="2" s="1"/>
  <c r="O60" i="3"/>
  <c r="O75" i="3" s="1"/>
  <c r="O83" i="3" s="1"/>
  <c r="R72" i="2"/>
  <c r="T60" i="3"/>
  <c r="T75" i="3" s="1"/>
  <c r="T83" i="3" s="1"/>
  <c r="T91" i="3"/>
  <c r="Y60" i="3"/>
  <c r="Y75" i="3" s="1"/>
  <c r="Y83" i="3" s="1"/>
  <c r="Y91" i="3"/>
  <c r="AC72" i="2"/>
  <c r="AF60" i="3"/>
  <c r="AF75" i="3" s="1"/>
  <c r="AF83" i="3" s="1"/>
  <c r="AF91" i="3"/>
  <c r="AH60" i="3"/>
  <c r="AH75" i="3" s="1"/>
  <c r="AH83" i="3" s="1"/>
  <c r="AH91" i="3"/>
  <c r="AP9" i="3"/>
  <c r="AP46" i="2"/>
  <c r="AP56" i="2" s="1"/>
  <c r="AS91" i="3"/>
  <c r="AS60" i="3"/>
  <c r="AS75" i="3" s="1"/>
  <c r="AS83" i="3" s="1"/>
  <c r="AV91" i="3"/>
  <c r="AV60" i="3"/>
  <c r="AV75" i="3" s="1"/>
  <c r="AV83" i="3" s="1"/>
  <c r="AY91" i="3"/>
  <c r="AY60" i="3"/>
  <c r="AY75" i="3" s="1"/>
  <c r="AY83" i="3" s="1"/>
  <c r="CD130" i="2"/>
  <c r="CD72" i="2"/>
  <c r="CF92" i="2"/>
  <c r="CF130" i="2"/>
  <c r="CF72" i="2"/>
  <c r="CK92" i="2"/>
  <c r="CK130" i="2"/>
  <c r="CM92" i="2"/>
  <c r="CM72" i="2"/>
  <c r="CP130" i="2"/>
  <c r="CP72" i="2"/>
  <c r="BN60" i="3"/>
  <c r="BN75" i="3" s="1"/>
  <c r="BN83" i="3" s="1"/>
  <c r="BN91" i="3"/>
  <c r="BT9" i="3"/>
  <c r="BT46" i="2"/>
  <c r="BT56" i="2" s="1"/>
  <c r="CE17" i="2"/>
  <c r="CM49" i="2"/>
  <c r="CM48" i="2" s="1"/>
  <c r="AS79" i="2"/>
  <c r="AS17" i="2"/>
  <c r="G89" i="2"/>
  <c r="G24" i="2"/>
  <c r="G66" i="3" s="1"/>
  <c r="BO33" i="2"/>
  <c r="CH50" i="2"/>
  <c r="CH33" i="2"/>
  <c r="CH41" i="2" s="1"/>
  <c r="AV89" i="2"/>
  <c r="M41" i="2"/>
  <c r="M43" i="2" s="1"/>
  <c r="M89" i="2"/>
  <c r="AX76" i="2"/>
  <c r="AX74" i="2"/>
  <c r="AI133" i="2"/>
  <c r="AI81" i="2"/>
  <c r="AQ134" i="2"/>
  <c r="AQ81" i="2"/>
  <c r="AY134" i="2"/>
  <c r="AY81" i="2"/>
  <c r="AJ120" i="2"/>
  <c r="AJ98" i="2"/>
  <c r="AJ83" i="2" s="1"/>
  <c r="AK83" i="2" s="1"/>
  <c r="AL83" i="2" s="1"/>
  <c r="AK95" i="2"/>
  <c r="BU101" i="2"/>
  <c r="AM103" i="2"/>
  <c r="BU103" i="2" s="1"/>
  <c r="AM115" i="2"/>
  <c r="AN121" i="2"/>
  <c r="AO112" i="2"/>
  <c r="AX19" i="3"/>
  <c r="AY19" i="3" s="1"/>
  <c r="BX19" i="3"/>
  <c r="E23" i="3"/>
  <c r="F23" i="3" s="1"/>
  <c r="G23" i="3" s="1"/>
  <c r="CD23" i="3" s="1"/>
  <c r="CD105" i="3" s="1"/>
  <c r="U23" i="3"/>
  <c r="V23" i="3" s="1"/>
  <c r="W23" i="3" s="1"/>
  <c r="CH23" i="3" s="1"/>
  <c r="CH105" i="3" s="1"/>
  <c r="BQ23" i="3"/>
  <c r="BA23" i="3"/>
  <c r="BB23" i="3"/>
  <c r="BY23" i="3" s="1"/>
  <c r="M24" i="3"/>
  <c r="N24" i="3" s="1"/>
  <c r="O24" i="3" s="1"/>
  <c r="CF24" i="3" s="1"/>
  <c r="CF106" i="3" s="1"/>
  <c r="BO24" i="3"/>
  <c r="AO24" i="3"/>
  <c r="AP24" i="3" s="1"/>
  <c r="AQ24" i="3" s="1"/>
  <c r="E25" i="3"/>
  <c r="F25" i="3" s="1"/>
  <c r="G25" i="3" s="1"/>
  <c r="U25" i="3"/>
  <c r="V25" i="3" s="1"/>
  <c r="W25" i="3" s="1"/>
  <c r="BQ25" i="3"/>
  <c r="AW25" i="3"/>
  <c r="AX25" i="3"/>
  <c r="AY25" i="3" s="1"/>
  <c r="CO25" i="3" s="1"/>
  <c r="CO107" i="3" s="1"/>
  <c r="CN25" i="3"/>
  <c r="CN107" i="3" s="1"/>
  <c r="BX25" i="3"/>
  <c r="AW26" i="3"/>
  <c r="AX26" i="3"/>
  <c r="AY26" i="3" s="1"/>
  <c r="CO26" i="3" s="1"/>
  <c r="CO108" i="3" s="1"/>
  <c r="BX26" i="3"/>
  <c r="Y28" i="3"/>
  <c r="Z28" i="3" s="1"/>
  <c r="AA28" i="3" s="1"/>
  <c r="BW42" i="3"/>
  <c r="AU59" i="13"/>
  <c r="AU35" i="13"/>
  <c r="AT62" i="13"/>
  <c r="AT10" i="13"/>
  <c r="AT37" i="13"/>
  <c r="AT35" i="13"/>
  <c r="AX36" i="13" s="1"/>
  <c r="AU60" i="13"/>
  <c r="AT77" i="13"/>
  <c r="AT78" i="13"/>
  <c r="AT79" i="13"/>
  <c r="AU61" i="13"/>
  <c r="AT59" i="13"/>
  <c r="AT28" i="13"/>
  <c r="AT22" i="13"/>
  <c r="AT61" i="13"/>
  <c r="AT60" i="13"/>
  <c r="AT16" i="13"/>
  <c r="AU62" i="13"/>
  <c r="AX79" i="13"/>
  <c r="AX16" i="13"/>
  <c r="AX80" i="13"/>
  <c r="AX22" i="13"/>
  <c r="AX35" i="13"/>
  <c r="BB36" i="13" s="1"/>
  <c r="AX37" i="13"/>
  <c r="AX10" i="13"/>
  <c r="AY35" i="13"/>
  <c r="AX78" i="13"/>
  <c r="BB37" i="13"/>
  <c r="AX77" i="13"/>
  <c r="U71" i="13"/>
  <c r="U67" i="13"/>
  <c r="U74" i="13" s="1"/>
  <c r="W60" i="13"/>
  <c r="U72" i="13"/>
  <c r="W61" i="13"/>
  <c r="AA61" i="13"/>
  <c r="X67" i="13"/>
  <c r="X74" i="13" s="1"/>
  <c r="X72" i="13"/>
  <c r="BR70" i="13"/>
  <c r="BR72" i="13"/>
  <c r="BR73" i="13"/>
  <c r="BR71" i="13"/>
  <c r="CQ92" i="2"/>
  <c r="CQ72" i="2"/>
  <c r="BW67" i="3"/>
  <c r="BW68" i="3" s="1"/>
  <c r="BW71" i="3" s="1"/>
  <c r="BA78" i="13"/>
  <c r="BA16" i="13"/>
  <c r="BA28" i="13"/>
  <c r="BA77" i="13"/>
  <c r="BA10" i="13"/>
  <c r="BA35" i="13"/>
  <c r="BA22" i="13"/>
  <c r="BA80" i="13"/>
  <c r="BA37" i="13"/>
  <c r="BA79" i="13"/>
  <c r="BB22" i="1"/>
  <c r="BB49" i="1"/>
  <c r="BB25" i="13"/>
  <c r="BB23" i="13"/>
  <c r="CO68" i="1"/>
  <c r="CF50" i="1"/>
  <c r="AP38" i="1"/>
  <c r="AP39" i="1" s="1"/>
  <c r="AZ89" i="2"/>
  <c r="G16" i="3"/>
  <c r="CD16" i="3" s="1"/>
  <c r="CD98" i="3" s="1"/>
  <c r="W130" i="2"/>
  <c r="CG21" i="3"/>
  <c r="CG103" i="3" s="1"/>
  <c r="BP21" i="3"/>
  <c r="AH80" i="3"/>
  <c r="BI17" i="1"/>
  <c r="AI72" i="2"/>
  <c r="CB27" i="2"/>
  <c r="BZ55" i="1"/>
  <c r="BZ59" i="1"/>
  <c r="AZ68" i="1"/>
  <c r="AZ74" i="1"/>
  <c r="AZ62" i="1"/>
  <c r="AK17" i="13"/>
  <c r="X46" i="13"/>
  <c r="X47" i="13"/>
  <c r="X54" i="13" s="1"/>
  <c r="BY28" i="1"/>
  <c r="BK58" i="2"/>
  <c r="CA58" i="2" s="1"/>
  <c r="CB58" i="2" s="1"/>
  <c r="Y77" i="3"/>
  <c r="Y76" i="3" s="1"/>
  <c r="Y80" i="3" s="1"/>
  <c r="BH105" i="1"/>
  <c r="CD141" i="2"/>
  <c r="CD151" i="3"/>
  <c r="AK13" i="13"/>
  <c r="AH96" i="1"/>
  <c r="AI96" i="1" s="1"/>
  <c r="AX84" i="2"/>
  <c r="AX86" i="2"/>
  <c r="AZ24" i="1"/>
  <c r="AZ19" i="1"/>
  <c r="E72" i="2"/>
  <c r="M130" i="2"/>
  <c r="M92" i="2"/>
  <c r="M72" i="2"/>
  <c r="U92" i="2"/>
  <c r="U72" i="2"/>
  <c r="AQ36" i="3"/>
  <c r="AV46" i="1"/>
  <c r="AV49" i="1" s="1"/>
  <c r="CM33" i="3"/>
  <c r="BV33" i="3"/>
  <c r="CO71" i="3"/>
  <c r="CK72" i="2"/>
  <c r="CO49" i="2"/>
  <c r="CO48" i="2" s="1"/>
  <c r="CO17" i="2"/>
  <c r="CH24" i="3"/>
  <c r="CH106" i="3" s="1"/>
  <c r="W45" i="3"/>
  <c r="AW41" i="2"/>
  <c r="AW43" i="2" s="1"/>
  <c r="AT18" i="3"/>
  <c r="AU18" i="3" s="1"/>
  <c r="CN18" i="3" s="1"/>
  <c r="CN100" i="3" s="1"/>
  <c r="BW18" i="3"/>
  <c r="BE106" i="1"/>
  <c r="BF104" i="1"/>
  <c r="AW67" i="13"/>
  <c r="AD31" i="13"/>
  <c r="R17" i="13"/>
  <c r="R19" i="13"/>
  <c r="AT80" i="13"/>
  <c r="S11" i="13"/>
  <c r="S13" i="13"/>
  <c r="AV83" i="2"/>
  <c r="BW83" i="2"/>
  <c r="BR34" i="3"/>
  <c r="AD61" i="3"/>
  <c r="AD63" i="3" s="1"/>
  <c r="AE33" i="3"/>
  <c r="BS33" i="3" s="1"/>
  <c r="BR21" i="3"/>
  <c r="AL24" i="3"/>
  <c r="AM24" i="3" s="1"/>
  <c r="BU24" i="3"/>
  <c r="BP28" i="1"/>
  <c r="BP46" i="1"/>
  <c r="BP49" i="1" s="1"/>
  <c r="BT28" i="1"/>
  <c r="BT46" i="1"/>
  <c r="BX46" i="1"/>
  <c r="BX49" i="1" s="1"/>
  <c r="CK28" i="1"/>
  <c r="CK46" i="1"/>
  <c r="BN73" i="2"/>
  <c r="BN74" i="2" s="1"/>
  <c r="BN91" i="1"/>
  <c r="CL91" i="1"/>
  <c r="CL73" i="2"/>
  <c r="O92" i="2"/>
  <c r="AF130" i="2"/>
  <c r="AF92" i="2"/>
  <c r="AF72" i="2"/>
  <c r="BN72" i="2"/>
  <c r="BN130" i="2"/>
  <c r="BN92" i="2"/>
  <c r="H66" i="2"/>
  <c r="H69" i="2" s="1"/>
  <c r="L66" i="2"/>
  <c r="L69" i="2" s="1"/>
  <c r="P66" i="2"/>
  <c r="P69" i="2" s="1"/>
  <c r="T66" i="2"/>
  <c r="T69" i="2" s="1"/>
  <c r="X66" i="2"/>
  <c r="X69" i="2" s="1"/>
  <c r="AB66" i="2"/>
  <c r="AB69" i="2" s="1"/>
  <c r="AG66" i="2"/>
  <c r="AG69" i="2" s="1"/>
  <c r="AM66" i="2"/>
  <c r="AS66" i="2"/>
  <c r="AS69" i="2" s="1"/>
  <c r="AZ66" i="2"/>
  <c r="BO66" i="2"/>
  <c r="BO69" i="2" s="1"/>
  <c r="BW66" i="2"/>
  <c r="BW69" i="2" s="1"/>
  <c r="BN68" i="2"/>
  <c r="BN69" i="2" s="1"/>
  <c r="K69" i="2"/>
  <c r="R69" i="2"/>
  <c r="CF68" i="2"/>
  <c r="O74" i="2"/>
  <c r="O76" i="2"/>
  <c r="AS74" i="2"/>
  <c r="AS76" i="2"/>
  <c r="BS26" i="3"/>
  <c r="BT50" i="2"/>
  <c r="AO17" i="13"/>
  <c r="AK44" i="13"/>
  <c r="BX41" i="2"/>
  <c r="U79" i="3"/>
  <c r="BN45" i="3"/>
  <c r="BB135" i="2"/>
  <c r="BC138" i="2" s="1"/>
  <c r="BB86" i="2"/>
  <c r="BU16" i="3"/>
  <c r="BU64" i="3" s="1"/>
  <c r="CP36" i="2"/>
  <c r="BG36" i="2"/>
  <c r="BZ72" i="2"/>
  <c r="BZ92" i="2"/>
  <c r="AY13" i="13"/>
  <c r="BR92" i="2"/>
  <c r="BR130" i="2"/>
  <c r="H72" i="2"/>
  <c r="H130" i="2"/>
  <c r="N92" i="2"/>
  <c r="N72" i="2"/>
  <c r="W23" i="13"/>
  <c r="V23" i="13"/>
  <c r="BV22" i="1"/>
  <c r="N19" i="13"/>
  <c r="K31" i="13"/>
  <c r="AF43" i="2"/>
  <c r="CL74" i="2"/>
  <c r="AH25" i="3"/>
  <c r="G29" i="3"/>
  <c r="CD29" i="3" s="1"/>
  <c r="CD111" i="3" s="1"/>
  <c r="BM29" i="3"/>
  <c r="CI52" i="2"/>
  <c r="CI47" i="2" s="1"/>
  <c r="CI15" i="1"/>
  <c r="CI28" i="1"/>
  <c r="CI12" i="1"/>
  <c r="CI35" i="1"/>
  <c r="CL52" i="2"/>
  <c r="CL47" i="2" s="1"/>
  <c r="CL21" i="1"/>
  <c r="CL12" i="1"/>
  <c r="BO53" i="2"/>
  <c r="BO49" i="2" s="1"/>
  <c r="BO48" i="2" s="1"/>
  <c r="CE53" i="2"/>
  <c r="CE50" i="2" s="1"/>
  <c r="CE21" i="1"/>
  <c r="CM15" i="1"/>
  <c r="CM21" i="1"/>
  <c r="CM53" i="2"/>
  <c r="CM50" i="2" s="1"/>
  <c r="AW17" i="1"/>
  <c r="AV18" i="1"/>
  <c r="R22" i="1"/>
  <c r="R49" i="1"/>
  <c r="BM28" i="1"/>
  <c r="BQ28" i="1"/>
  <c r="BU46" i="1"/>
  <c r="BU49" i="1" s="1"/>
  <c r="CD28" i="1"/>
  <c r="CD46" i="1"/>
  <c r="CD49" i="1" s="1"/>
  <c r="CL28" i="1"/>
  <c r="AM46" i="1"/>
  <c r="AM49" i="1" s="1"/>
  <c r="AM44" i="1"/>
  <c r="AM47" i="1" s="1"/>
  <c r="AM52" i="1" s="1"/>
  <c r="CM42" i="1"/>
  <c r="CM41" i="1" s="1"/>
  <c r="AQ41" i="1"/>
  <c r="BV42" i="1"/>
  <c r="BV41" i="1" s="1"/>
  <c r="BP58" i="1"/>
  <c r="BP55" i="1" s="1"/>
  <c r="CF58" i="1"/>
  <c r="CF55" i="1" s="1"/>
  <c r="CF61" i="1" s="1"/>
  <c r="P55" i="1"/>
  <c r="BW91" i="1"/>
  <c r="CM73" i="2"/>
  <c r="CM74" i="2" s="1"/>
  <c r="CB91" i="13"/>
  <c r="CA141" i="2"/>
  <c r="AA46" i="2"/>
  <c r="AA56" i="2" s="1"/>
  <c r="AA9" i="3"/>
  <c r="BE46" i="2"/>
  <c r="BE56" i="2" s="1"/>
  <c r="BE9" i="3"/>
  <c r="CO130" i="2"/>
  <c r="CO92" i="2"/>
  <c r="BX9" i="3"/>
  <c r="BX46" i="2"/>
  <c r="BX56" i="2" s="1"/>
  <c r="CA9" i="3"/>
  <c r="CA46" i="2"/>
  <c r="CA56" i="2" s="1"/>
  <c r="BP137" i="3"/>
  <c r="BP17" i="2"/>
  <c r="BV137" i="3"/>
  <c r="BV17" i="2"/>
  <c r="BV78" i="2"/>
  <c r="BV55" i="3"/>
  <c r="BW47" i="2"/>
  <c r="BW17" i="2"/>
  <c r="CJ137" i="3"/>
  <c r="CJ17" i="2"/>
  <c r="CJ55" i="3"/>
  <c r="CN137" i="3"/>
  <c r="CN17" i="2"/>
  <c r="CN55" i="3"/>
  <c r="CL17" i="2"/>
  <c r="E89" i="2"/>
  <c r="E24" i="2"/>
  <c r="V24" i="2"/>
  <c r="V89" i="2"/>
  <c r="BV67" i="3"/>
  <c r="BV68" i="3" s="1"/>
  <c r="BV70" i="3"/>
  <c r="BV71" i="3" s="1"/>
  <c r="CN71" i="3"/>
  <c r="CI22" i="2"/>
  <c r="CI75" i="2" s="1"/>
  <c r="CI76" i="2" s="1"/>
  <c r="AD75" i="2"/>
  <c r="AD76" i="2" s="1"/>
  <c r="AL33" i="2"/>
  <c r="CK32" i="2"/>
  <c r="CK33" i="2" s="1"/>
  <c r="CK41" i="2" s="1"/>
  <c r="CH66" i="2"/>
  <c r="CH69" i="2" s="1"/>
  <c r="AJ66" i="2"/>
  <c r="AJ69" i="2" s="1"/>
  <c r="CM57" i="2"/>
  <c r="CM61" i="2" s="1"/>
  <c r="AT61" i="2"/>
  <c r="E14" i="3"/>
  <c r="F14" i="3" s="1"/>
  <c r="G14" i="3" s="1"/>
  <c r="BM14" i="3"/>
  <c r="U14" i="3"/>
  <c r="V14" i="3" s="1"/>
  <c r="W14" i="3" s="1"/>
  <c r="CH14" i="3" s="1"/>
  <c r="CH96" i="3" s="1"/>
  <c r="BQ14" i="3"/>
  <c r="AC17" i="3"/>
  <c r="AH16" i="3"/>
  <c r="AN77" i="3"/>
  <c r="AN76" i="3" s="1"/>
  <c r="AN80" i="3" s="1"/>
  <c r="AS15" i="3"/>
  <c r="AS19" i="3"/>
  <c r="I23" i="3"/>
  <c r="J23" i="3" s="1"/>
  <c r="K23" i="3" s="1"/>
  <c r="CE23" i="3" s="1"/>
  <c r="CE105" i="3" s="1"/>
  <c r="I25" i="3"/>
  <c r="J25" i="3" s="1"/>
  <c r="K25" i="3" s="1"/>
  <c r="AL25" i="3"/>
  <c r="AM25" i="3" s="1"/>
  <c r="CL25" i="3" s="1"/>
  <c r="CL107" i="3" s="1"/>
  <c r="BY25" i="3"/>
  <c r="N26" i="3"/>
  <c r="O26" i="3" s="1"/>
  <c r="BO26" i="3"/>
  <c r="CI26" i="3"/>
  <c r="CI108" i="3" s="1"/>
  <c r="AL26" i="3"/>
  <c r="AM26" i="3" s="1"/>
  <c r="CL26" i="3" s="1"/>
  <c r="CL108" i="3" s="1"/>
  <c r="BA27" i="3"/>
  <c r="BB27" i="3"/>
  <c r="U29" i="3"/>
  <c r="AW29" i="3"/>
  <c r="AX29" i="3" s="1"/>
  <c r="E33" i="3"/>
  <c r="D38" i="3"/>
  <c r="AB38" i="3"/>
  <c r="AB61" i="3"/>
  <c r="AB63" i="3" s="1"/>
  <c r="AJ61" i="3"/>
  <c r="AK33" i="3"/>
  <c r="AJ38" i="3"/>
  <c r="AW61" i="3"/>
  <c r="AW63" i="3" s="1"/>
  <c r="AX33" i="3"/>
  <c r="AW38" i="3"/>
  <c r="L38" i="3"/>
  <c r="M36" i="3"/>
  <c r="N36" i="3" s="1"/>
  <c r="O36" i="3" s="1"/>
  <c r="CF36" i="3" s="1"/>
  <c r="CF118" i="3" s="1"/>
  <c r="Y36" i="3"/>
  <c r="X38" i="3"/>
  <c r="CL36" i="3"/>
  <c r="CL118" i="3" s="1"/>
  <c r="AS36" i="3"/>
  <c r="AT36" i="3" s="1"/>
  <c r="AW43" i="3"/>
  <c r="AX43" i="3" s="1"/>
  <c r="AY43" i="3" s="1"/>
  <c r="CO43" i="3" s="1"/>
  <c r="CO125" i="3" s="1"/>
  <c r="AS44" i="3"/>
  <c r="AS46" i="3" s="1"/>
  <c r="AR95" i="1"/>
  <c r="BP45" i="3"/>
  <c r="Z45" i="3"/>
  <c r="AA45" i="3" s="1"/>
  <c r="AQ45" i="3"/>
  <c r="CM45" i="3" s="1"/>
  <c r="CM127" i="3" s="1"/>
  <c r="BR101" i="3"/>
  <c r="N120" i="3"/>
  <c r="N37" i="3"/>
  <c r="T37" i="13"/>
  <c r="U35" i="13"/>
  <c r="T41" i="13"/>
  <c r="T10" i="13"/>
  <c r="T28" i="13"/>
  <c r="T16" i="13"/>
  <c r="T42" i="13"/>
  <c r="Z16" i="13"/>
  <c r="Z10" i="13"/>
  <c r="AD37" i="13"/>
  <c r="Z22" i="13"/>
  <c r="AG41" i="13"/>
  <c r="AO41" i="13"/>
  <c r="AO62" i="13"/>
  <c r="AO28" i="13"/>
  <c r="AO60" i="13"/>
  <c r="AO37" i="13"/>
  <c r="AO59" i="13"/>
  <c r="AO67" i="13" s="1"/>
  <c r="AB86" i="13"/>
  <c r="AB84" i="13"/>
  <c r="AB85" i="13"/>
  <c r="AB88" i="13"/>
  <c r="AK88" i="13"/>
  <c r="AK85" i="13"/>
  <c r="AK71" i="13"/>
  <c r="AK73" i="13"/>
  <c r="BK91" i="3"/>
  <c r="BK60" i="3"/>
  <c r="BK75" i="3" s="1"/>
  <c r="BK83" i="3" s="1"/>
  <c r="BK48" i="2"/>
  <c r="CQ42" i="3"/>
  <c r="CQ124" i="3" s="1"/>
  <c r="CA42" i="3"/>
  <c r="BK117" i="3"/>
  <c r="CA117" i="3" s="1"/>
  <c r="BI124" i="3"/>
  <c r="BJ124" i="3" s="1"/>
  <c r="BK124" i="3" s="1"/>
  <c r="CA124" i="3" s="1"/>
  <c r="CO19" i="1"/>
  <c r="O143" i="2"/>
  <c r="O75" i="1"/>
  <c r="BF15" i="2"/>
  <c r="BN34" i="3"/>
  <c r="CF27" i="3"/>
  <c r="CF109" i="3" s="1"/>
  <c r="BO27" i="3"/>
  <c r="BX27" i="3"/>
  <c r="AT91" i="3"/>
  <c r="BS24" i="3"/>
  <c r="BW14" i="3"/>
  <c r="CL17" i="1"/>
  <c r="AP18" i="1"/>
  <c r="BH30" i="1"/>
  <c r="AL41" i="13"/>
  <c r="BY18" i="1"/>
  <c r="D50" i="1"/>
  <c r="D32" i="1"/>
  <c r="K17" i="13"/>
  <c r="AP17" i="13"/>
  <c r="AO42" i="13"/>
  <c r="AO78" i="13"/>
  <c r="AO10" i="13"/>
  <c r="AK72" i="2"/>
  <c r="E19" i="1"/>
  <c r="BZ30" i="1"/>
  <c r="BY53" i="2"/>
  <c r="BY49" i="2" s="1"/>
  <c r="BY48" i="2" s="1"/>
  <c r="CJ61" i="3"/>
  <c r="CJ63" i="3" s="1"/>
  <c r="W13" i="3"/>
  <c r="BH35" i="2"/>
  <c r="BI35" i="2" s="1"/>
  <c r="BJ35" i="2" s="1"/>
  <c r="CE151" i="3"/>
  <c r="BU36" i="3"/>
  <c r="BR41" i="3"/>
  <c r="BN29" i="3"/>
  <c r="BO33" i="3"/>
  <c r="CM91" i="1"/>
  <c r="BZ37" i="2"/>
  <c r="J24" i="2"/>
  <c r="J66" i="3" s="1"/>
  <c r="CJ12" i="1"/>
  <c r="Y130" i="2"/>
  <c r="Y72" i="2"/>
  <c r="AA27" i="3"/>
  <c r="CJ50" i="2"/>
  <c r="CK36" i="3"/>
  <c r="CK118" i="3" s="1"/>
  <c r="AK70" i="13"/>
  <c r="CI21" i="1"/>
  <c r="BM52" i="2"/>
  <c r="BM47" i="2" s="1"/>
  <c r="BN42" i="3"/>
  <c r="CL75" i="2"/>
  <c r="BB21" i="3"/>
  <c r="BY21" i="3"/>
  <c r="F95" i="1"/>
  <c r="G44" i="3"/>
  <c r="BM44" i="3" s="1"/>
  <c r="AA33" i="3"/>
  <c r="Z61" i="3"/>
  <c r="Z63" i="3" s="1"/>
  <c r="AG64" i="3"/>
  <c r="CO72" i="2"/>
  <c r="AN60" i="3"/>
  <c r="AN75" i="3" s="1"/>
  <c r="AN83" i="3" s="1"/>
  <c r="AF49" i="1"/>
  <c r="BD93" i="1"/>
  <c r="BE90" i="1"/>
  <c r="BD91" i="1"/>
  <c r="AP46" i="1"/>
  <c r="BG47" i="2"/>
  <c r="AK84" i="13"/>
  <c r="AK87" i="13"/>
  <c r="AB87" i="13"/>
  <c r="W27" i="3"/>
  <c r="CH27" i="3" s="1"/>
  <c r="CH109" i="3" s="1"/>
  <c r="BE105" i="3"/>
  <c r="H92" i="2"/>
  <c r="CO73" i="2"/>
  <c r="CO74" i="2" s="1"/>
  <c r="CO93" i="1"/>
  <c r="CL23" i="3"/>
  <c r="CL105" i="3" s="1"/>
  <c r="BU46" i="2"/>
  <c r="BU56" i="2" s="1"/>
  <c r="AT130" i="2"/>
  <c r="AT72" i="2"/>
  <c r="Z72" i="2"/>
  <c r="Z92" i="2"/>
  <c r="AF23" i="13"/>
  <c r="BT22" i="13"/>
  <c r="Y31" i="13"/>
  <c r="Q31" i="13"/>
  <c r="N29" i="13"/>
  <c r="Z35" i="13"/>
  <c r="AQ46" i="2"/>
  <c r="AQ56" i="2" s="1"/>
  <c r="X92" i="2"/>
  <c r="X130" i="2"/>
  <c r="T22" i="13"/>
  <c r="BO21" i="1"/>
  <c r="X37" i="13"/>
  <c r="AF44" i="13"/>
  <c r="AH23" i="13"/>
  <c r="AH25" i="13"/>
  <c r="BP55" i="3"/>
  <c r="BJ72" i="2"/>
  <c r="BJ92" i="2"/>
  <c r="BU68" i="2"/>
  <c r="AM69" i="2"/>
  <c r="BY57" i="2"/>
  <c r="BD57" i="2"/>
  <c r="Y25" i="3"/>
  <c r="Z25" i="3" s="1"/>
  <c r="AA25" i="3" s="1"/>
  <c r="CI25" i="3" s="1"/>
  <c r="CI107" i="3" s="1"/>
  <c r="CI23" i="3"/>
  <c r="CI105" i="3" s="1"/>
  <c r="K22" i="3"/>
  <c r="CE22" i="3" s="1"/>
  <c r="CE104" i="3" s="1"/>
  <c r="BN22" i="3"/>
  <c r="W67" i="13"/>
  <c r="CD15" i="1"/>
  <c r="CD52" i="2"/>
  <c r="CD47" i="2" s="1"/>
  <c r="CG22" i="1"/>
  <c r="CJ15" i="1"/>
  <c r="E77" i="1"/>
  <c r="F17" i="1"/>
  <c r="E49" i="1"/>
  <c r="K49" i="1"/>
  <c r="S22" i="1"/>
  <c r="V49" i="1"/>
  <c r="BA38" i="1"/>
  <c r="Y46" i="1"/>
  <c r="Y49" i="1" s="1"/>
  <c r="Y44" i="1"/>
  <c r="E151" i="3"/>
  <c r="E91" i="13"/>
  <c r="E141" i="2"/>
  <c r="N151" i="3"/>
  <c r="N141" i="2"/>
  <c r="V151" i="3"/>
  <c r="CI112" i="1"/>
  <c r="AD151" i="3"/>
  <c r="AD91" i="13"/>
  <c r="AV91" i="13"/>
  <c r="AV141" i="2"/>
  <c r="BV91" i="13"/>
  <c r="G9" i="3"/>
  <c r="G46" i="2"/>
  <c r="G56" i="2" s="1"/>
  <c r="J46" i="2"/>
  <c r="J56" i="2" s="1"/>
  <c r="J9" i="3"/>
  <c r="AG130" i="2"/>
  <c r="AG72" i="2"/>
  <c r="AZ46" i="2"/>
  <c r="AZ56" i="2" s="1"/>
  <c r="AZ9" i="3"/>
  <c r="BC91" i="3"/>
  <c r="BC60" i="3"/>
  <c r="BC75" i="3" s="1"/>
  <c r="BC83" i="3" s="1"/>
  <c r="BF46" i="2"/>
  <c r="BF56" i="2" s="1"/>
  <c r="BF9" i="3"/>
  <c r="CG130" i="2"/>
  <c r="CG72" i="2"/>
  <c r="BY9" i="3"/>
  <c r="BY46" i="2"/>
  <c r="BY56" i="2" s="1"/>
  <c r="CK49" i="2"/>
  <c r="CK48" i="2" s="1"/>
  <c r="S89" i="2"/>
  <c r="AM89" i="2"/>
  <c r="AM24" i="2"/>
  <c r="AY66" i="3"/>
  <c r="AY43" i="2"/>
  <c r="BN75" i="2"/>
  <c r="BR75" i="2"/>
  <c r="BR76" i="2" s="1"/>
  <c r="CD33" i="2"/>
  <c r="CD41" i="2" s="1"/>
  <c r="CM33" i="2"/>
  <c r="CM41" i="2" s="1"/>
  <c r="CL33" i="2"/>
  <c r="CL41" i="2" s="1"/>
  <c r="AP83" i="2"/>
  <c r="AP33" i="2"/>
  <c r="AP41" i="2" s="1"/>
  <c r="AQ68" i="2"/>
  <c r="BV39" i="2"/>
  <c r="AQ75" i="2"/>
  <c r="AQ76" i="2" s="1"/>
  <c r="BT75" i="2"/>
  <c r="BT76" i="2" s="1"/>
  <c r="BT74" i="2"/>
  <c r="CE41" i="2"/>
  <c r="CE75" i="2"/>
  <c r="CE76" i="2" s="1"/>
  <c r="CI74" i="2"/>
  <c r="CN75" i="2"/>
  <c r="CN76" i="2" s="1"/>
  <c r="CN74" i="2"/>
  <c r="H49" i="2"/>
  <c r="H48" i="2" s="1"/>
  <c r="H50" i="2"/>
  <c r="AJ49" i="2"/>
  <c r="AJ48" i="2" s="1"/>
  <c r="AJ50" i="2"/>
  <c r="BQ16" i="3"/>
  <c r="BQ64" i="3" s="1"/>
  <c r="Q18" i="3"/>
  <c r="AR64" i="3"/>
  <c r="AS16" i="3"/>
  <c r="AT16" i="3" s="1"/>
  <c r="BC14" i="3"/>
  <c r="BY14" i="3"/>
  <c r="AO21" i="3"/>
  <c r="E22" i="3"/>
  <c r="F22" i="3" s="1"/>
  <c r="G22" i="3" s="1"/>
  <c r="CD22" i="3" s="1"/>
  <c r="CD104" i="3" s="1"/>
  <c r="BM22" i="3"/>
  <c r="BQ22" i="3"/>
  <c r="AC23" i="3"/>
  <c r="AD23" i="3"/>
  <c r="AE23" i="3" s="1"/>
  <c r="CJ23" i="3" s="1"/>
  <c r="CJ105" i="3" s="1"/>
  <c r="AT23" i="3"/>
  <c r="BQ24" i="3"/>
  <c r="AH24" i="3"/>
  <c r="AI24" i="3" s="1"/>
  <c r="BT24" i="3"/>
  <c r="AW24" i="3"/>
  <c r="M25" i="3"/>
  <c r="N25" i="3" s="1"/>
  <c r="O25" i="3" s="1"/>
  <c r="CF25" i="3" s="1"/>
  <c r="CF107" i="3" s="1"/>
  <c r="V28" i="3"/>
  <c r="W28" i="3" s="1"/>
  <c r="AG28" i="3"/>
  <c r="BX28" i="3"/>
  <c r="BO29" i="3"/>
  <c r="R34" i="3"/>
  <c r="AC34" i="3"/>
  <c r="AO35" i="3"/>
  <c r="Z37" i="3"/>
  <c r="AA37" i="3" s="1"/>
  <c r="BR37" i="3"/>
  <c r="AK37" i="3"/>
  <c r="BA37" i="3"/>
  <c r="BA38" i="3" s="1"/>
  <c r="CQ35" i="3"/>
  <c r="CQ117" i="3" s="1"/>
  <c r="BZ35" i="3"/>
  <c r="E41" i="3"/>
  <c r="D46" i="3"/>
  <c r="U41" i="3"/>
  <c r="T46" i="3"/>
  <c r="AG41" i="3"/>
  <c r="AW41" i="3"/>
  <c r="AX41" i="3" s="1"/>
  <c r="AV46" i="3"/>
  <c r="CD68" i="3"/>
  <c r="CD71" i="3" s="1"/>
  <c r="D79" i="3"/>
  <c r="E13" i="3"/>
  <c r="BT13" i="3"/>
  <c r="AL13" i="3"/>
  <c r="AS13" i="3"/>
  <c r="AS79" i="3" s="1"/>
  <c r="BN101" i="3"/>
  <c r="K19" i="3"/>
  <c r="N19" i="3"/>
  <c r="O19" i="3" s="1"/>
  <c r="CF19" i="3" s="1"/>
  <c r="CF101" i="3" s="1"/>
  <c r="AC19" i="3"/>
  <c r="AD19" i="3" s="1"/>
  <c r="AV28" i="13"/>
  <c r="AZ31" i="13" s="1"/>
  <c r="AV35" i="13"/>
  <c r="AV22" i="13"/>
  <c r="AV16" i="13"/>
  <c r="AZ37" i="13"/>
  <c r="AJ72" i="13"/>
  <c r="AJ71" i="13"/>
  <c r="AJ74" i="13" s="1"/>
  <c r="AJ88" i="13"/>
  <c r="AJ87" i="13"/>
  <c r="AJ84" i="13"/>
  <c r="AJ85" i="13"/>
  <c r="AQ79" i="13"/>
  <c r="AQ62" i="13"/>
  <c r="AQ59" i="13"/>
  <c r="AQ78" i="13"/>
  <c r="AQ81" i="13" s="1"/>
  <c r="AQ88" i="13" s="1"/>
  <c r="AA81" i="13"/>
  <c r="BQ88" i="13"/>
  <c r="BQ86" i="13"/>
  <c r="BQ87" i="13"/>
  <c r="AG86" i="13"/>
  <c r="AG85" i="13"/>
  <c r="AG87" i="13"/>
  <c r="AG88" i="13"/>
  <c r="AG71" i="13"/>
  <c r="AG70" i="13"/>
  <c r="BI91" i="13"/>
  <c r="BI141" i="2"/>
  <c r="BI9" i="3"/>
  <c r="BI46" i="2"/>
  <c r="BI56" i="2" s="1"/>
  <c r="CO48" i="3"/>
  <c r="CO130" i="3" s="1"/>
  <c r="BY48" i="3"/>
  <c r="BC19" i="1"/>
  <c r="BC24" i="1"/>
  <c r="BS18" i="3"/>
  <c r="BR14" i="3"/>
  <c r="BV18" i="1"/>
  <c r="AW74" i="1"/>
  <c r="BE79" i="2"/>
  <c r="BE133" i="2" s="1"/>
  <c r="CP37" i="1"/>
  <c r="BM36" i="3"/>
  <c r="CN28" i="3"/>
  <c r="CN110" i="3" s="1"/>
  <c r="CD42" i="3"/>
  <c r="CD124" i="3" s="1"/>
  <c r="CN72" i="2"/>
  <c r="CE92" i="2"/>
  <c r="BQ36" i="3"/>
  <c r="K23" i="13"/>
  <c r="CH130" i="2"/>
  <c r="AK43" i="13"/>
  <c r="K19" i="13"/>
  <c r="CP22" i="2"/>
  <c r="AS19" i="13"/>
  <c r="CP30" i="1"/>
  <c r="CB92" i="2"/>
  <c r="AO77" i="13"/>
  <c r="AO35" i="13"/>
  <c r="N60" i="3"/>
  <c r="N75" i="3" s="1"/>
  <c r="N83" i="3" s="1"/>
  <c r="T72" i="2"/>
  <c r="G30" i="1"/>
  <c r="BM30" i="1" s="1"/>
  <c r="BM31" i="1" s="1"/>
  <c r="BB37" i="1"/>
  <c r="BY37" i="1" s="1"/>
  <c r="P61" i="1"/>
  <c r="BZ103" i="1"/>
  <c r="BG31" i="2"/>
  <c r="BV15" i="3"/>
  <c r="AI76" i="3"/>
  <c r="AI80" i="3" s="1"/>
  <c r="AX30" i="1"/>
  <c r="I61" i="1"/>
  <c r="AR84" i="2"/>
  <c r="AR85" i="2" s="1"/>
  <c r="BY33" i="3"/>
  <c r="AN86" i="2"/>
  <c r="AN87" i="2" s="1"/>
  <c r="BN19" i="3"/>
  <c r="Y92" i="2"/>
  <c r="BN46" i="1"/>
  <c r="BN49" i="1" s="1"/>
  <c r="BS89" i="2"/>
  <c r="AD141" i="2"/>
  <c r="Z130" i="2"/>
  <c r="H89" i="2"/>
  <c r="AT92" i="2"/>
  <c r="BE24" i="3"/>
  <c r="BE27" i="3"/>
  <c r="AN91" i="13"/>
  <c r="N91" i="13"/>
  <c r="X72" i="2"/>
  <c r="AR23" i="13"/>
  <c r="R25" i="13"/>
  <c r="AC43" i="2"/>
  <c r="T67" i="13"/>
  <c r="T74" i="13" s="1"/>
  <c r="CF17" i="2"/>
  <c r="AV151" i="3"/>
  <c r="BP14" i="3"/>
  <c r="BB45" i="3"/>
  <c r="BY45" i="3" s="1"/>
  <c r="AD43" i="3"/>
  <c r="AE43" i="3" s="1"/>
  <c r="CJ43" i="3" s="1"/>
  <c r="CJ125" i="3" s="1"/>
  <c r="AP16" i="3"/>
  <c r="CK27" i="3"/>
  <c r="CK109" i="3" s="1"/>
  <c r="CG27" i="3"/>
  <c r="CG109" i="3" s="1"/>
  <c r="CG16" i="3"/>
  <c r="CG98" i="3" s="1"/>
  <c r="AH14" i="3"/>
  <c r="AI14" i="3" s="1"/>
  <c r="CK14" i="3" s="1"/>
  <c r="CK96" i="3" s="1"/>
  <c r="BQ66" i="2"/>
  <c r="BQ69" i="2" s="1"/>
  <c r="BU28" i="1"/>
  <c r="Q38" i="3"/>
  <c r="AR41" i="2"/>
  <c r="AR43" i="2" s="1"/>
  <c r="H46" i="3"/>
  <c r="BW34" i="3"/>
  <c r="CG17" i="3"/>
  <c r="CG99" i="3" s="1"/>
  <c r="M60" i="3"/>
  <c r="M75" i="3" s="1"/>
  <c r="M83" i="3" s="1"/>
  <c r="BC110" i="3"/>
  <c r="BY110" i="3" s="1"/>
  <c r="BY28" i="3"/>
  <c r="BQ84" i="13"/>
  <c r="S48" i="3"/>
  <c r="CG48" i="3" s="1"/>
  <c r="CG130" i="3" s="1"/>
  <c r="BP48" i="3"/>
  <c r="W44" i="3"/>
  <c r="BO21" i="3"/>
  <c r="BQ41" i="1"/>
  <c r="BQ44" i="1" s="1"/>
  <c r="AN50" i="1"/>
  <c r="AN61" i="1"/>
  <c r="AZ44" i="1"/>
  <c r="AZ47" i="1" s="1"/>
  <c r="AP21" i="3"/>
  <c r="AQ21" i="3" s="1"/>
  <c r="CM21" i="3" s="1"/>
  <c r="CM103" i="3" s="1"/>
  <c r="AJ73" i="13"/>
  <c r="AM18" i="3"/>
  <c r="CL18" i="3" s="1"/>
  <c r="CL100" i="3" s="1"/>
  <c r="CP105" i="1"/>
  <c r="BY106" i="1"/>
  <c r="AL61" i="2"/>
  <c r="BR23" i="3"/>
  <c r="AG23" i="13"/>
  <c r="AK25" i="13"/>
  <c r="AK60" i="3"/>
  <c r="AK75" i="3" s="1"/>
  <c r="AK83" i="3" s="1"/>
  <c r="AK91" i="3"/>
  <c r="AQ60" i="13"/>
  <c r="AC13" i="13"/>
  <c r="AC11" i="13"/>
  <c r="AQ91" i="3"/>
  <c r="AV50" i="2"/>
  <c r="CA151" i="3"/>
  <c r="BV53" i="2"/>
  <c r="E17" i="13"/>
  <c r="Q29" i="13"/>
  <c r="P29" i="13"/>
  <c r="BV44" i="3"/>
  <c r="AP28" i="3"/>
  <c r="AQ28" i="3" s="1"/>
  <c r="CM28" i="3" s="1"/>
  <c r="CM110" i="3" s="1"/>
  <c r="BV28" i="3"/>
  <c r="G28" i="3"/>
  <c r="AD33" i="2"/>
  <c r="AD41" i="2" s="1"/>
  <c r="AB89" i="2"/>
  <c r="CF41" i="3"/>
  <c r="BT43" i="3"/>
  <c r="R26" i="3"/>
  <c r="S26" i="3" s="1"/>
  <c r="CG26" i="3" s="1"/>
  <c r="CG108" i="3" s="1"/>
  <c r="BP26" i="3"/>
  <c r="BP24" i="3"/>
  <c r="AX21" i="3"/>
  <c r="AY21" i="3" s="1"/>
  <c r="BX21" i="3"/>
  <c r="U22" i="3"/>
  <c r="V22" i="3" s="1"/>
  <c r="W22" i="3" s="1"/>
  <c r="CH22" i="3" s="1"/>
  <c r="CH104" i="3" s="1"/>
  <c r="AG84" i="13"/>
  <c r="T73" i="13"/>
  <c r="AY32" i="1"/>
  <c r="BT35" i="1"/>
  <c r="AS37" i="1"/>
  <c r="G44" i="1"/>
  <c r="G46" i="1"/>
  <c r="G49" i="1" s="1"/>
  <c r="AU46" i="1"/>
  <c r="AU49" i="1" s="1"/>
  <c r="AU44" i="1"/>
  <c r="AU47" i="1" s="1"/>
  <c r="AU52" i="1" s="1"/>
  <c r="K9" i="3"/>
  <c r="K46" i="2"/>
  <c r="K56" i="2" s="1"/>
  <c r="BZ91" i="3"/>
  <c r="BZ60" i="3"/>
  <c r="BZ75" i="3" s="1"/>
  <c r="BZ83" i="3" s="1"/>
  <c r="BX78" i="2"/>
  <c r="BX17" i="2"/>
  <c r="BX55" i="3"/>
  <c r="D41" i="2"/>
  <c r="D43" i="2" s="1"/>
  <c r="D89" i="2"/>
  <c r="AB41" i="2"/>
  <c r="AB43" i="2" s="1"/>
  <c r="M50" i="2"/>
  <c r="M49" i="2"/>
  <c r="M48" i="2" s="1"/>
  <c r="BS66" i="2"/>
  <c r="BS68" i="2"/>
  <c r="AE69" i="2"/>
  <c r="AO76" i="2"/>
  <c r="AU76" i="2"/>
  <c r="AO133" i="2"/>
  <c r="AO81" i="2"/>
  <c r="AK134" i="2"/>
  <c r="AK81" i="2"/>
  <c r="AR79" i="3"/>
  <c r="AC27" i="3"/>
  <c r="AD27" i="3" s="1"/>
  <c r="AE27" i="3" s="1"/>
  <c r="CJ27" i="3" s="1"/>
  <c r="CJ109" i="3" s="1"/>
  <c r="I28" i="3"/>
  <c r="J28" i="3" s="1"/>
  <c r="K28" i="3" s="1"/>
  <c r="CE28" i="3" s="1"/>
  <c r="CE110" i="3" s="1"/>
  <c r="BN28" i="3"/>
  <c r="O34" i="3"/>
  <c r="BB36" i="3"/>
  <c r="BY36" i="3" s="1"/>
  <c r="BG117" i="3"/>
  <c r="BZ117" i="3" s="1"/>
  <c r="BM120" i="3"/>
  <c r="BN120" i="3"/>
  <c r="AD120" i="3"/>
  <c r="BX128" i="3"/>
  <c r="AD45" i="3"/>
  <c r="AE45" i="3" s="1"/>
  <c r="F28" i="13"/>
  <c r="G35" i="13"/>
  <c r="F16" i="13"/>
  <c r="F22" i="13"/>
  <c r="J37" i="13"/>
  <c r="F10" i="13"/>
  <c r="I19" i="13"/>
  <c r="L10" i="13"/>
  <c r="L16" i="13"/>
  <c r="L28" i="13"/>
  <c r="L35" i="13"/>
  <c r="L37" i="13"/>
  <c r="V42" i="13"/>
  <c r="V37" i="13"/>
  <c r="V16" i="13"/>
  <c r="W17" i="13" s="1"/>
  <c r="V28" i="13"/>
  <c r="AB28" i="13"/>
  <c r="AB37" i="13"/>
  <c r="AB35" i="13"/>
  <c r="AJ36" i="13" s="1"/>
  <c r="AC35" i="13"/>
  <c r="AB16" i="13"/>
  <c r="AC17" i="13" s="1"/>
  <c r="AB41" i="13"/>
  <c r="AB22" i="13"/>
  <c r="AG45" i="13"/>
  <c r="AH41" i="13"/>
  <c r="AG28" i="13"/>
  <c r="AG16" i="13"/>
  <c r="AK37" i="13"/>
  <c r="AG37" i="13"/>
  <c r="CP42" i="1"/>
  <c r="CP41" i="1" s="1"/>
  <c r="CP44" i="1" s="1"/>
  <c r="BC77" i="1"/>
  <c r="BY42" i="1"/>
  <c r="BY41" i="1" s="1"/>
  <c r="BY44" i="1" s="1"/>
  <c r="BC28" i="2"/>
  <c r="BC27" i="3"/>
  <c r="BC10" i="13"/>
  <c r="BC22" i="13"/>
  <c r="BC16" i="13"/>
  <c r="BC77" i="13"/>
  <c r="BC78" i="13"/>
  <c r="BD23" i="2"/>
  <c r="BC25" i="3"/>
  <c r="CF22" i="3"/>
  <c r="CF104" i="3" s="1"/>
  <c r="BO22" i="3"/>
  <c r="CO76" i="2"/>
  <c r="BB43" i="2"/>
  <c r="CE17" i="3"/>
  <c r="CE99" i="3" s="1"/>
  <c r="AW81" i="13"/>
  <c r="AW88" i="13" s="1"/>
  <c r="AA42" i="13"/>
  <c r="BC128" i="3"/>
  <c r="BY123" i="3"/>
  <c r="BY128" i="3" s="1"/>
  <c r="M17" i="13"/>
  <c r="Q19" i="13"/>
  <c r="R11" i="13"/>
  <c r="AP67" i="13"/>
  <c r="AP74" i="13" s="1"/>
  <c r="I11" i="13"/>
  <c r="AI19" i="13"/>
  <c r="X13" i="13"/>
  <c r="X11" i="13"/>
  <c r="Q17" i="13"/>
  <c r="AV76" i="2"/>
  <c r="CK61" i="2"/>
  <c r="BV37" i="3"/>
  <c r="BT12" i="1"/>
  <c r="BT21" i="1"/>
  <c r="BT15" i="1"/>
  <c r="AR18" i="1"/>
  <c r="AR77" i="1"/>
  <c r="AS17" i="1"/>
  <c r="AD49" i="1"/>
  <c r="AH49" i="1"/>
  <c r="X46" i="1"/>
  <c r="X49" i="1" s="1"/>
  <c r="X44" i="1"/>
  <c r="AS44" i="1"/>
  <c r="AS46" i="1"/>
  <c r="AS49" i="1" s="1"/>
  <c r="CI42" i="1"/>
  <c r="CI41" i="1" s="1"/>
  <c r="AC41" i="1"/>
  <c r="BS42" i="1"/>
  <c r="BS41" i="1" s="1"/>
  <c r="CN91" i="1"/>
  <c r="G151" i="3"/>
  <c r="P151" i="3"/>
  <c r="P141" i="2"/>
  <c r="X151" i="3"/>
  <c r="X141" i="2"/>
  <c r="AX141" i="2"/>
  <c r="AX91" i="13"/>
  <c r="BF91" i="13"/>
  <c r="BF141" i="2"/>
  <c r="BX151" i="3"/>
  <c r="BM55" i="3"/>
  <c r="BM137" i="3"/>
  <c r="BM17" i="2"/>
  <c r="BQ55" i="3"/>
  <c r="BQ17" i="2"/>
  <c r="BT81" i="2"/>
  <c r="BT135" i="2" s="1"/>
  <c r="BU138" i="2" s="1"/>
  <c r="BT17" i="2"/>
  <c r="BT47" i="2"/>
  <c r="BX47" i="2"/>
  <c r="CK55" i="3"/>
  <c r="CK17" i="2"/>
  <c r="CI16" i="2"/>
  <c r="CI17" i="2" s="1"/>
  <c r="AD17" i="2"/>
  <c r="AC24" i="2"/>
  <c r="AC66" i="3" s="1"/>
  <c r="AC89" i="2"/>
  <c r="AP24" i="2"/>
  <c r="AP66" i="3" s="1"/>
  <c r="AM83" i="2"/>
  <c r="BU32" i="2"/>
  <c r="BU33" i="2" s="1"/>
  <c r="O43" i="2"/>
  <c r="L43" i="2"/>
  <c r="BO74" i="2"/>
  <c r="BS41" i="2"/>
  <c r="BS43" i="2" s="1"/>
  <c r="BS75" i="2"/>
  <c r="BS76" i="2" s="1"/>
  <c r="CD75" i="2"/>
  <c r="CD76" i="2" s="1"/>
  <c r="CM75" i="2"/>
  <c r="AR49" i="2"/>
  <c r="AR48" i="2" s="1"/>
  <c r="AR50" i="2"/>
  <c r="BP61" i="2"/>
  <c r="M69" i="2"/>
  <c r="CI68" i="2"/>
  <c r="AD69" i="2"/>
  <c r="AH69" i="2"/>
  <c r="CJ68" i="2"/>
  <c r="CJ69" i="2" s="1"/>
  <c r="AK96" i="2"/>
  <c r="AJ121" i="2"/>
  <c r="AJ126" i="2" s="1"/>
  <c r="AJ102" i="2" s="1"/>
  <c r="AH15" i="3"/>
  <c r="AH18" i="3"/>
  <c r="BB15" i="3"/>
  <c r="BA15" i="3"/>
  <c r="F21" i="3"/>
  <c r="G21" i="3" s="1"/>
  <c r="CD21" i="3" s="1"/>
  <c r="CD103" i="3" s="1"/>
  <c r="BM21" i="3"/>
  <c r="AP22" i="3"/>
  <c r="AO27" i="3"/>
  <c r="AP27" i="3"/>
  <c r="AQ27" i="3" s="1"/>
  <c r="AD28" i="3"/>
  <c r="AE28" i="3" s="1"/>
  <c r="BW29" i="3"/>
  <c r="AN38" i="3"/>
  <c r="AO34" i="3"/>
  <c r="AP34" i="3"/>
  <c r="AX34" i="3"/>
  <c r="AY34" i="3" s="1"/>
  <c r="CO34" i="3" s="1"/>
  <c r="CO116" i="3" s="1"/>
  <c r="BM35" i="3"/>
  <c r="F37" i="3"/>
  <c r="G37" i="3" s="1"/>
  <c r="CD37" i="3" s="1"/>
  <c r="CD119" i="3" s="1"/>
  <c r="BM37" i="3"/>
  <c r="AC37" i="3"/>
  <c r="AS37" i="3"/>
  <c r="AT37" i="3"/>
  <c r="AU37" i="3" s="1"/>
  <c r="Y42" i="3"/>
  <c r="X46" i="3"/>
  <c r="AK42" i="3"/>
  <c r="AL42" i="3" s="1"/>
  <c r="AM42" i="3" s="1"/>
  <c r="AG45" i="3"/>
  <c r="AH45" i="3" s="1"/>
  <c r="AI45" i="3" s="1"/>
  <c r="CK45" i="3" s="1"/>
  <c r="CK127" i="3" s="1"/>
  <c r="CM68" i="3"/>
  <c r="CM71" i="3" s="1"/>
  <c r="BS67" i="3"/>
  <c r="BS68" i="3" s="1"/>
  <c r="BS71" i="3" s="1"/>
  <c r="H71" i="3"/>
  <c r="P71" i="3"/>
  <c r="T71" i="3"/>
  <c r="X71" i="3"/>
  <c r="AB79" i="3"/>
  <c r="AC13" i="3"/>
  <c r="AC79" i="3" s="1"/>
  <c r="AK13" i="3"/>
  <c r="AD21" i="3"/>
  <c r="AD29" i="3"/>
  <c r="AE29" i="3" s="1"/>
  <c r="CJ29" i="3" s="1"/>
  <c r="CJ111" i="3" s="1"/>
  <c r="AZ41" i="3"/>
  <c r="AZ128" i="3"/>
  <c r="M22" i="13"/>
  <c r="M10" i="13"/>
  <c r="Q13" i="13" s="1"/>
  <c r="M37" i="13"/>
  <c r="P22" i="13"/>
  <c r="P42" i="13"/>
  <c r="P37" i="13"/>
  <c r="P10" i="13"/>
  <c r="P35" i="13"/>
  <c r="S16" i="13"/>
  <c r="S37" i="13"/>
  <c r="S22" i="13"/>
  <c r="S35" i="13"/>
  <c r="S28" i="13"/>
  <c r="AN28" i="13"/>
  <c r="AN42" i="13"/>
  <c r="AN43" i="13" s="1"/>
  <c r="AN61" i="13"/>
  <c r="AN10" i="13"/>
  <c r="AR37" i="13"/>
  <c r="AN44" i="13"/>
  <c r="AN47" i="13" s="1"/>
  <c r="AN62" i="13"/>
  <c r="AQ28" i="13"/>
  <c r="AU37" i="13"/>
  <c r="AQ10" i="13"/>
  <c r="AU13" i="13" s="1"/>
  <c r="AR35" i="13"/>
  <c r="AQ37" i="13"/>
  <c r="AZ80" i="13"/>
  <c r="AZ35" i="13"/>
  <c r="AZ77" i="13"/>
  <c r="AZ16" i="13"/>
  <c r="AZ79" i="13"/>
  <c r="AA62" i="13"/>
  <c r="X73" i="13"/>
  <c r="BQ73" i="13"/>
  <c r="BQ71" i="13"/>
  <c r="BQ72" i="13"/>
  <c r="BS85" i="13"/>
  <c r="BA132" i="2"/>
  <c r="BA81" i="2"/>
  <c r="BB10" i="13"/>
  <c r="BB28" i="13"/>
  <c r="BB80" i="13"/>
  <c r="BB81" i="13" s="1"/>
  <c r="BB88" i="13" s="1"/>
  <c r="BB35" i="13"/>
  <c r="BF36" i="13" s="1"/>
  <c r="BB16" i="13"/>
  <c r="BV130" i="2"/>
  <c r="BV72" i="2"/>
  <c r="AK31" i="13"/>
  <c r="AE29" i="13"/>
  <c r="N31" i="13"/>
  <c r="AI60" i="13"/>
  <c r="AI81" i="13"/>
  <c r="AH19" i="13"/>
  <c r="H13" i="13"/>
  <c r="AU41" i="2"/>
  <c r="AK46" i="3"/>
  <c r="BO12" i="1"/>
  <c r="BO52" i="2"/>
  <c r="BO47" i="2" s="1"/>
  <c r="CM12" i="1"/>
  <c r="CM35" i="1"/>
  <c r="CM28" i="1"/>
  <c r="BP15" i="1"/>
  <c r="CK21" i="1"/>
  <c r="CK15" i="1"/>
  <c r="AG49" i="1"/>
  <c r="AP49" i="1"/>
  <c r="AY46" i="1"/>
  <c r="AY49" i="1" s="1"/>
  <c r="AY44" i="1"/>
  <c r="AY47" i="1" s="1"/>
  <c r="AY52" i="1" s="1"/>
  <c r="BM41" i="1"/>
  <c r="BM44" i="1" s="1"/>
  <c r="CG41" i="1"/>
  <c r="BT55" i="1"/>
  <c r="BP71" i="1"/>
  <c r="BP91" i="1"/>
  <c r="BP73" i="2"/>
  <c r="BP74" i="2" s="1"/>
  <c r="BQ106" i="1"/>
  <c r="BX106" i="1"/>
  <c r="AB141" i="2"/>
  <c r="AT91" i="13"/>
  <c r="BB91" i="13"/>
  <c r="BB151" i="3"/>
  <c r="BB141" i="2"/>
  <c r="AJ9" i="3"/>
  <c r="AJ46" i="2"/>
  <c r="AJ56" i="2" s="1"/>
  <c r="BB9" i="3"/>
  <c r="BB46" i="2"/>
  <c r="BB56" i="2" s="1"/>
  <c r="BU78" i="2"/>
  <c r="BU137" i="3"/>
  <c r="CM17" i="2"/>
  <c r="CG47" i="2"/>
  <c r="N89" i="2"/>
  <c r="CI28" i="2"/>
  <c r="AD50" i="2"/>
  <c r="AQ83" i="2"/>
  <c r="BV83" i="2" s="1"/>
  <c r="AQ33" i="2"/>
  <c r="AQ89" i="2" s="1"/>
  <c r="AX33" i="2"/>
  <c r="CN32" i="2"/>
  <c r="Z43" i="2"/>
  <c r="AJ133" i="2"/>
  <c r="AJ81" i="2"/>
  <c r="AW133" i="2"/>
  <c r="AW81" i="2"/>
  <c r="AZ133" i="2"/>
  <c r="AZ81" i="2"/>
  <c r="AM126" i="2"/>
  <c r="BP17" i="3"/>
  <c r="CH18" i="3"/>
  <c r="CH100" i="3" s="1"/>
  <c r="AW16" i="3"/>
  <c r="AV64" i="3"/>
  <c r="AL21" i="3"/>
  <c r="AW22" i="3"/>
  <c r="AX22" i="3"/>
  <c r="AY22" i="3" s="1"/>
  <c r="AX23" i="3"/>
  <c r="BB35" i="3"/>
  <c r="BN36" i="3"/>
  <c r="U37" i="3"/>
  <c r="V37" i="3" s="1"/>
  <c r="W37" i="3" s="1"/>
  <c r="CH37" i="3" s="1"/>
  <c r="CH119" i="3" s="1"/>
  <c r="BQ37" i="3"/>
  <c r="AG37" i="3"/>
  <c r="AH37" i="3" s="1"/>
  <c r="AI37" i="3" s="1"/>
  <c r="F43" i="3"/>
  <c r="G43" i="3" s="1"/>
  <c r="CD43" i="3" s="1"/>
  <c r="CD125" i="3" s="1"/>
  <c r="BM43" i="3"/>
  <c r="AK44" i="3"/>
  <c r="AJ95" i="1"/>
  <c r="I14" i="3"/>
  <c r="J14" i="3" s="1"/>
  <c r="K14" i="3" s="1"/>
  <c r="CE14" i="3" s="1"/>
  <c r="CE96" i="3" s="1"/>
  <c r="H28" i="13"/>
  <c r="H22" i="13"/>
  <c r="O23" i="13"/>
  <c r="X28" i="13"/>
  <c r="X16" i="13"/>
  <c r="X22" i="13"/>
  <c r="AA28" i="13"/>
  <c r="AA16" i="13"/>
  <c r="AA10" i="13"/>
  <c r="T84" i="13"/>
  <c r="T88" i="13"/>
  <c r="X87" i="13"/>
  <c r="X85" i="13"/>
  <c r="BX68" i="3"/>
  <c r="BV28" i="1"/>
  <c r="BV35" i="1"/>
  <c r="CL41" i="1"/>
  <c r="CL46" i="1" s="1"/>
  <c r="BN71" i="1"/>
  <c r="BR91" i="1"/>
  <c r="CJ73" i="2"/>
  <c r="CJ91" i="1"/>
  <c r="CD17" i="2"/>
  <c r="AD78" i="2"/>
  <c r="AD137" i="3"/>
  <c r="CJ27" i="2"/>
  <c r="CJ33" i="2" s="1"/>
  <c r="CJ41" i="2" s="1"/>
  <c r="AI27" i="2"/>
  <c r="BM33" i="2"/>
  <c r="BM41" i="2" s="1"/>
  <c r="CN33" i="2"/>
  <c r="CN41" i="2" s="1"/>
  <c r="AM75" i="2"/>
  <c r="AM76" i="2" s="1"/>
  <c r="AM74" i="2"/>
  <c r="BM75" i="2"/>
  <c r="BM76" i="2" s="1"/>
  <c r="BW74" i="2"/>
  <c r="BU61" i="2"/>
  <c r="CE61" i="2"/>
  <c r="BR68" i="2"/>
  <c r="AA69" i="2"/>
  <c r="AZ69" i="2"/>
  <c r="AI115" i="2"/>
  <c r="AJ107" i="2"/>
  <c r="BV18" i="3"/>
  <c r="AL29" i="3"/>
  <c r="AG34" i="3"/>
  <c r="AF38" i="3"/>
  <c r="AW36" i="3"/>
  <c r="AC44" i="3"/>
  <c r="AB95" i="1"/>
  <c r="O71" i="3"/>
  <c r="W71" i="3"/>
  <c r="AD13" i="3"/>
  <c r="Z19" i="3"/>
  <c r="AA19" i="3" s="1"/>
  <c r="CI19" i="3" s="1"/>
  <c r="CI101" i="3" s="1"/>
  <c r="AP19" i="3"/>
  <c r="BM128" i="3"/>
  <c r="Q42" i="13"/>
  <c r="Q35" i="13"/>
  <c r="Q37" i="13"/>
  <c r="AH28" i="13"/>
  <c r="AH37" i="13"/>
  <c r="AS10" i="13"/>
  <c r="AW62" i="13"/>
  <c r="BA49" i="1"/>
  <c r="CI61" i="2"/>
  <c r="AM122" i="2"/>
  <c r="BN96" i="3"/>
  <c r="U19" i="3"/>
  <c r="CM141" i="2" l="1"/>
  <c r="CM151" i="3"/>
  <c r="BY46" i="1"/>
  <c r="BY49" i="1" s="1"/>
  <c r="AJ50" i="1"/>
  <c r="AJ61" i="1"/>
  <c r="E47" i="1"/>
  <c r="E52" i="1" s="1"/>
  <c r="E53" i="1" s="1"/>
  <c r="W73" i="13"/>
  <c r="AY29" i="3"/>
  <c r="CO29" i="3" s="1"/>
  <c r="CO111" i="3" s="1"/>
  <c r="BX29" i="3"/>
  <c r="E64" i="1"/>
  <c r="CL42" i="3"/>
  <c r="CL124" i="3" s="1"/>
  <c r="W74" i="13"/>
  <c r="BS43" i="3"/>
  <c r="CN34" i="3"/>
  <c r="CN116" i="3" s="1"/>
  <c r="BO19" i="3"/>
  <c r="BS86" i="13"/>
  <c r="BS88" i="13"/>
  <c r="CN46" i="1"/>
  <c r="CN49" i="1" s="1"/>
  <c r="CN44" i="1"/>
  <c r="BR24" i="2"/>
  <c r="BR89" i="2"/>
  <c r="BC17" i="2"/>
  <c r="BC24" i="2" s="1"/>
  <c r="BC66" i="3" s="1"/>
  <c r="BY11" i="2"/>
  <c r="BC137" i="3"/>
  <c r="BC55" i="3"/>
  <c r="BC78" i="2"/>
  <c r="BV91" i="3"/>
  <c r="BV60" i="3"/>
  <c r="BV75" i="3" s="1"/>
  <c r="BV83" i="3" s="1"/>
  <c r="AO116" i="2"/>
  <c r="AP108" i="2"/>
  <c r="M61" i="1"/>
  <c r="M50" i="1"/>
  <c r="AB75" i="1"/>
  <c r="AB81" i="1"/>
  <c r="J13" i="3"/>
  <c r="I79" i="3"/>
  <c r="BB31" i="1"/>
  <c r="BB32" i="1" s="1"/>
  <c r="BY30" i="1"/>
  <c r="BY31" i="1" s="1"/>
  <c r="BY32" i="1" s="1"/>
  <c r="CO30" i="1"/>
  <c r="CO31" i="1" s="1"/>
  <c r="G19" i="3"/>
  <c r="CD19" i="3" s="1"/>
  <c r="CD101" i="3" s="1"/>
  <c r="J68" i="1"/>
  <c r="J62" i="1"/>
  <c r="J74" i="1"/>
  <c r="AW11" i="13"/>
  <c r="AV13" i="13"/>
  <c r="AV11" i="13"/>
  <c r="BS130" i="2"/>
  <c r="BS72" i="2"/>
  <c r="BS92" i="2"/>
  <c r="F68" i="1"/>
  <c r="F62" i="1"/>
  <c r="F74" i="1"/>
  <c r="BU10" i="13"/>
  <c r="AJ11" i="13"/>
  <c r="AK11" i="13"/>
  <c r="AY25" i="13"/>
  <c r="AL22" i="3"/>
  <c r="AN89" i="2"/>
  <c r="AN41" i="2"/>
  <c r="AN43" i="2" s="1"/>
  <c r="AO72" i="2"/>
  <c r="AO130" i="2"/>
  <c r="AO92" i="2"/>
  <c r="CO151" i="3"/>
  <c r="CO141" i="2"/>
  <c r="BS74" i="13"/>
  <c r="AX91" i="3"/>
  <c r="AX60" i="3"/>
  <c r="AX75" i="3" s="1"/>
  <c r="AX83" i="3" s="1"/>
  <c r="F72" i="2"/>
  <c r="F92" i="2"/>
  <c r="BX83" i="2"/>
  <c r="AZ83" i="2"/>
  <c r="CO22" i="3"/>
  <c r="CO104" i="3" s="1"/>
  <c r="H11" i="13"/>
  <c r="BS84" i="13"/>
  <c r="BQ74" i="13"/>
  <c r="CN37" i="3"/>
  <c r="CN119" i="3" s="1"/>
  <c r="BV95" i="1"/>
  <c r="M19" i="13"/>
  <c r="AD37" i="3"/>
  <c r="AE37" i="3" s="1"/>
  <c r="CJ37" i="3" s="1"/>
  <c r="CJ119" i="3" s="1"/>
  <c r="BT19" i="3"/>
  <c r="BG30" i="2"/>
  <c r="BZ30" i="2" s="1"/>
  <c r="Y13" i="13"/>
  <c r="BR49" i="1"/>
  <c r="BR61" i="1" s="1"/>
  <c r="E92" i="2"/>
  <c r="X55" i="13"/>
  <c r="AY36" i="13"/>
  <c r="CH43" i="2"/>
  <c r="CI29" i="3"/>
  <c r="CI111" i="3" s="1"/>
  <c r="BY71" i="3"/>
  <c r="BX45" i="3"/>
  <c r="AC46" i="3"/>
  <c r="AJ13" i="13"/>
  <c r="BV22" i="13"/>
  <c r="BW17" i="3"/>
  <c r="AU86" i="2"/>
  <c r="AU87" i="2" s="1"/>
  <c r="BW87" i="2" s="1"/>
  <c r="AV78" i="13"/>
  <c r="AV81" i="13" s="1"/>
  <c r="Z79" i="3"/>
  <c r="Z77" i="3" s="1"/>
  <c r="Z76" i="3" s="1"/>
  <c r="Z80" i="3" s="1"/>
  <c r="AA13" i="3"/>
  <c r="AX50" i="1"/>
  <c r="AX61" i="1"/>
  <c r="E91" i="3"/>
  <c r="E60" i="3"/>
  <c r="E75" i="3" s="1"/>
  <c r="E83" i="3" s="1"/>
  <c r="CN22" i="1"/>
  <c r="AI17" i="13"/>
  <c r="AM19" i="13"/>
  <c r="AP13" i="3"/>
  <c r="AY17" i="3"/>
  <c r="CO17" i="3" s="1"/>
  <c r="CO99" i="3" s="1"/>
  <c r="BX17" i="3"/>
  <c r="L61" i="1"/>
  <c r="L50" i="1"/>
  <c r="BP42" i="13"/>
  <c r="S42" i="13" s="1"/>
  <c r="S51" i="13" s="1"/>
  <c r="BQ37" i="13"/>
  <c r="AI31" i="13"/>
  <c r="AJ29" i="13"/>
  <c r="BG21" i="2"/>
  <c r="CP21" i="2"/>
  <c r="J61" i="3"/>
  <c r="J63" i="3" s="1"/>
  <c r="K33" i="3"/>
  <c r="R77" i="3"/>
  <c r="R76" i="3" s="1"/>
  <c r="R80" i="3"/>
  <c r="AE43" i="2"/>
  <c r="AE66" i="3"/>
  <c r="AI13" i="13"/>
  <c r="AX130" i="2"/>
  <c r="AX92" i="2"/>
  <c r="AX72" i="2"/>
  <c r="F60" i="3"/>
  <c r="F75" i="3" s="1"/>
  <c r="F83" i="3" s="1"/>
  <c r="F91" i="3"/>
  <c r="I66" i="3"/>
  <c r="I43" i="2"/>
  <c r="U74" i="1"/>
  <c r="U62" i="1"/>
  <c r="BR69" i="2"/>
  <c r="AM31" i="13"/>
  <c r="BW46" i="1"/>
  <c r="AU43" i="2"/>
  <c r="CL95" i="1"/>
  <c r="BS29" i="3"/>
  <c r="V72" i="2"/>
  <c r="BU25" i="3"/>
  <c r="U68" i="1"/>
  <c r="F130" i="2"/>
  <c r="BU26" i="3"/>
  <c r="CH28" i="3"/>
  <c r="CH110" i="3" s="1"/>
  <c r="BX37" i="3"/>
  <c r="AQ36" i="13"/>
  <c r="S13" i="3"/>
  <c r="CG25" i="3"/>
  <c r="CG107" i="3" s="1"/>
  <c r="D25" i="1"/>
  <c r="BH22" i="2"/>
  <c r="BI22" i="2" s="1"/>
  <c r="BJ22" i="2" s="1"/>
  <c r="CE25" i="3"/>
  <c r="CE107" i="3" s="1"/>
  <c r="BT14" i="3"/>
  <c r="U13" i="13"/>
  <c r="CP30" i="2"/>
  <c r="AB143" i="2"/>
  <c r="BP76" i="2"/>
  <c r="O130" i="2"/>
  <c r="BT10" i="13"/>
  <c r="BT13" i="13" s="1"/>
  <c r="AP23" i="13"/>
  <c r="AX81" i="13"/>
  <c r="AX88" i="13" s="1"/>
  <c r="AU67" i="13"/>
  <c r="CG23" i="3"/>
  <c r="CG105" i="3" s="1"/>
  <c r="CO19" i="3"/>
  <c r="CO101" i="3" s="1"/>
  <c r="G43" i="2"/>
  <c r="R92" i="2"/>
  <c r="D53" i="1"/>
  <c r="CI35" i="3"/>
  <c r="CI117" i="3" s="1"/>
  <c r="AL88" i="13"/>
  <c r="BQ26" i="3"/>
  <c r="AF11" i="13"/>
  <c r="AL23" i="13"/>
  <c r="BF24" i="3"/>
  <c r="AT84" i="2"/>
  <c r="BU22" i="13"/>
  <c r="BV25" i="13" s="1"/>
  <c r="AO23" i="13"/>
  <c r="CM18" i="3"/>
  <c r="CM100" i="3" s="1"/>
  <c r="AU84" i="2"/>
  <c r="BP13" i="3"/>
  <c r="BP79" i="3" s="1"/>
  <c r="AV80" i="13"/>
  <c r="AE25" i="3"/>
  <c r="CJ25" i="3" s="1"/>
  <c r="CJ107" i="3" s="1"/>
  <c r="BS25" i="3"/>
  <c r="M79" i="3"/>
  <c r="N13" i="3"/>
  <c r="BD83" i="2"/>
  <c r="BE83" i="2" s="1"/>
  <c r="BF83" i="2" s="1"/>
  <c r="BY83" i="2"/>
  <c r="AY29" i="13"/>
  <c r="N95" i="1"/>
  <c r="O44" i="3"/>
  <c r="O95" i="1" s="1"/>
  <c r="BO44" i="3"/>
  <c r="CK17" i="3"/>
  <c r="CK99" i="3" s="1"/>
  <c r="AU81" i="13"/>
  <c r="AU88" i="13" s="1"/>
  <c r="BC72" i="2"/>
  <c r="BC92" i="2"/>
  <c r="AM27" i="3"/>
  <c r="BU27" i="3"/>
  <c r="AR86" i="2"/>
  <c r="AR87" i="2" s="1"/>
  <c r="AR135" i="2"/>
  <c r="AS138" i="2" s="1"/>
  <c r="AC25" i="13"/>
  <c r="AG25" i="13"/>
  <c r="AD23" i="13"/>
  <c r="BG79" i="2"/>
  <c r="BG133" i="2" s="1"/>
  <c r="BH12" i="2"/>
  <c r="BZ12" i="2"/>
  <c r="BZ79" i="2" s="1"/>
  <c r="BZ133" i="2" s="1"/>
  <c r="F38" i="1"/>
  <c r="G37" i="1"/>
  <c r="AN19" i="1"/>
  <c r="AN24" i="1"/>
  <c r="AN25" i="1" s="1"/>
  <c r="BM72" i="2"/>
  <c r="BM92" i="2"/>
  <c r="BM130" i="2"/>
  <c r="AU36" i="13"/>
  <c r="AK130" i="2"/>
  <c r="AK92" i="2"/>
  <c r="AO24" i="1"/>
  <c r="AO25" i="1" s="1"/>
  <c r="AO19" i="1"/>
  <c r="CB60" i="3"/>
  <c r="CB75" i="3" s="1"/>
  <c r="CB83" i="3" s="1"/>
  <c r="CB91" i="3"/>
  <c r="F43" i="2"/>
  <c r="F66" i="3"/>
  <c r="R91" i="3"/>
  <c r="R60" i="3"/>
  <c r="R75" i="3" s="1"/>
  <c r="R83" i="3" s="1"/>
  <c r="AI61" i="1"/>
  <c r="AI50" i="1"/>
  <c r="BW24" i="3"/>
  <c r="AZ23" i="13"/>
  <c r="W84" i="13"/>
  <c r="W81" i="13"/>
  <c r="AL29" i="13"/>
  <c r="AM29" i="13"/>
  <c r="E29" i="13"/>
  <c r="AO115" i="2"/>
  <c r="AP107" i="2"/>
  <c r="AW68" i="1"/>
  <c r="AW62" i="1"/>
  <c r="AP31" i="13"/>
  <c r="R61" i="3"/>
  <c r="R63" i="3" s="1"/>
  <c r="S33" i="3"/>
  <c r="S61" i="3" s="1"/>
  <c r="S63" i="3" s="1"/>
  <c r="CP31" i="2"/>
  <c r="BF29" i="3"/>
  <c r="BF111" i="3" s="1"/>
  <c r="BG111" i="3" s="1"/>
  <c r="BZ111" i="3" s="1"/>
  <c r="AP25" i="13"/>
  <c r="BT37" i="3"/>
  <c r="BX44" i="3"/>
  <c r="AL19" i="13"/>
  <c r="BS87" i="13"/>
  <c r="AZ81" i="13"/>
  <c r="AV36" i="13"/>
  <c r="AN67" i="13"/>
  <c r="AN78" i="13" s="1"/>
  <c r="BY15" i="3"/>
  <c r="AP89" i="2"/>
  <c r="N38" i="3"/>
  <c r="BS27" i="3"/>
  <c r="CD28" i="3"/>
  <c r="CD110" i="3" s="1"/>
  <c r="AZ13" i="13"/>
  <c r="V92" i="2"/>
  <c r="BC130" i="2"/>
  <c r="BZ58" i="2"/>
  <c r="O63" i="3"/>
  <c r="AP36" i="13"/>
  <c r="F50" i="1"/>
  <c r="CE36" i="3"/>
  <c r="CE118" i="3" s="1"/>
  <c r="BO25" i="3"/>
  <c r="BV21" i="3"/>
  <c r="CI27" i="3"/>
  <c r="CI109" i="3" s="1"/>
  <c r="Z61" i="1"/>
  <c r="Z74" i="1" s="1"/>
  <c r="T92" i="2"/>
  <c r="AC19" i="13"/>
  <c r="BW26" i="3"/>
  <c r="Z41" i="13"/>
  <c r="Z44" i="13" s="1"/>
  <c r="BV45" i="3"/>
  <c r="CJ24" i="3"/>
  <c r="CJ106" i="3" s="1"/>
  <c r="J17" i="13"/>
  <c r="CF69" i="2"/>
  <c r="Z29" i="13"/>
  <c r="CH45" i="3"/>
  <c r="CH127" i="3" s="1"/>
  <c r="X53" i="13"/>
  <c r="X56" i="13" s="1"/>
  <c r="BM16" i="3"/>
  <c r="BM64" i="3" s="1"/>
  <c r="BB24" i="1"/>
  <c r="O82" i="1"/>
  <c r="W71" i="13"/>
  <c r="CM24" i="3"/>
  <c r="CM106" i="3" s="1"/>
  <c r="AN115" i="2"/>
  <c r="AJ122" i="2"/>
  <c r="AC130" i="2"/>
  <c r="CE26" i="3"/>
  <c r="CE108" i="3" s="1"/>
  <c r="AZ29" i="13"/>
  <c r="BG72" i="2"/>
  <c r="BX34" i="3"/>
  <c r="BV14" i="3"/>
  <c r="AP42" i="3"/>
  <c r="BV42" i="3" s="1"/>
  <c r="BV46" i="3" s="1"/>
  <c r="BQ35" i="3"/>
  <c r="CF35" i="3"/>
  <c r="CF117" i="3" s="1"/>
  <c r="CN21" i="3"/>
  <c r="CN103" i="3" s="1"/>
  <c r="CL28" i="3"/>
  <c r="CL110" i="3" s="1"/>
  <c r="AF13" i="13"/>
  <c r="AT86" i="2"/>
  <c r="BU19" i="3"/>
  <c r="T61" i="1"/>
  <c r="T50" i="1"/>
  <c r="BT17" i="3"/>
  <c r="AK61" i="1"/>
  <c r="AK50" i="1"/>
  <c r="AY81" i="13"/>
  <c r="AY88" i="13" s="1"/>
  <c r="AX37" i="1"/>
  <c r="AW38" i="1"/>
  <c r="AE60" i="3"/>
  <c r="AE75" i="3" s="1"/>
  <c r="AE83" i="3" s="1"/>
  <c r="AE91" i="3"/>
  <c r="BS22" i="3"/>
  <c r="CJ22" i="3"/>
  <c r="CJ104" i="3" s="1"/>
  <c r="J23" i="13"/>
  <c r="I25" i="13"/>
  <c r="AL67" i="13"/>
  <c r="AL74" i="13" s="1"/>
  <c r="CF33" i="3"/>
  <c r="CF115" i="3" s="1"/>
  <c r="BC31" i="13"/>
  <c r="BT61" i="3"/>
  <c r="BT63" i="3" s="1"/>
  <c r="BN33" i="3"/>
  <c r="CB130" i="2"/>
  <c r="CB72" i="2"/>
  <c r="AR67" i="13"/>
  <c r="AJ23" i="13"/>
  <c r="AG60" i="3"/>
  <c r="AG75" i="3" s="1"/>
  <c r="AG83" i="3" s="1"/>
  <c r="AG91" i="3"/>
  <c r="BN24" i="2"/>
  <c r="BN89" i="2"/>
  <c r="BP33" i="3"/>
  <c r="BP61" i="3" s="1"/>
  <c r="BP63" i="3" s="1"/>
  <c r="Y44" i="13"/>
  <c r="BP35" i="3"/>
  <c r="AN84" i="2"/>
  <c r="AN85" i="2" s="1"/>
  <c r="AN135" i="2"/>
  <c r="AO138" i="2" s="1"/>
  <c r="BG91" i="3"/>
  <c r="BG60" i="3"/>
  <c r="BG75" i="3" s="1"/>
  <c r="BG83" i="3" s="1"/>
  <c r="AU92" i="2"/>
  <c r="AU72" i="2"/>
  <c r="AU130" i="2"/>
  <c r="K38" i="3"/>
  <c r="CE34" i="3"/>
  <c r="CE116" i="3" s="1"/>
  <c r="AJ31" i="13"/>
  <c r="AY53" i="1"/>
  <c r="AY64" i="1"/>
  <c r="CI24" i="2"/>
  <c r="CI66" i="3" s="1"/>
  <c r="CI89" i="2"/>
  <c r="BM32" i="1"/>
  <c r="BU50" i="1"/>
  <c r="BU61" i="1"/>
  <c r="BY50" i="1"/>
  <c r="BY61" i="1"/>
  <c r="CN43" i="2"/>
  <c r="BU89" i="2"/>
  <c r="BU41" i="2"/>
  <c r="BU43" i="2" s="1"/>
  <c r="CL39" i="1"/>
  <c r="AU36" i="3"/>
  <c r="BW36" i="3" s="1"/>
  <c r="BW38" i="3" s="1"/>
  <c r="AT38" i="3"/>
  <c r="AN79" i="13"/>
  <c r="AN80" i="13"/>
  <c r="AE19" i="3"/>
  <c r="CJ19" i="3" s="1"/>
  <c r="CJ101" i="3" s="1"/>
  <c r="BS19" i="3"/>
  <c r="AU43" i="3"/>
  <c r="BW43" i="3" s="1"/>
  <c r="CM43" i="3"/>
  <c r="CM125" i="3" s="1"/>
  <c r="CI66" i="2"/>
  <c r="AK107" i="2"/>
  <c r="AJ115" i="2"/>
  <c r="CJ74" i="2"/>
  <c r="CJ76" i="2"/>
  <c r="AA19" i="13"/>
  <c r="AE19" i="13"/>
  <c r="AA17" i="13"/>
  <c r="X29" i="13"/>
  <c r="Y29" i="13"/>
  <c r="BR28" i="13"/>
  <c r="X31" i="13"/>
  <c r="V19" i="3"/>
  <c r="W19" i="3" s="1"/>
  <c r="CH19" i="3" s="1"/>
  <c r="CH101" i="3" s="1"/>
  <c r="BC35" i="3"/>
  <c r="BY35" i="3"/>
  <c r="BY38" i="3" s="1"/>
  <c r="AM21" i="3"/>
  <c r="CL21" i="3" s="1"/>
  <c r="CL103" i="3" s="1"/>
  <c r="CK21" i="3"/>
  <c r="CK103" i="3" s="1"/>
  <c r="AW86" i="2"/>
  <c r="AW87" i="2" s="1"/>
  <c r="AW84" i="2"/>
  <c r="AW85" i="2" s="1"/>
  <c r="AW135" i="2"/>
  <c r="AX138" i="2" s="1"/>
  <c r="AJ72" i="2"/>
  <c r="AJ130" i="2"/>
  <c r="AJ92" i="2"/>
  <c r="AY61" i="1"/>
  <c r="AY50" i="1"/>
  <c r="CK22" i="1"/>
  <c r="CK49" i="1"/>
  <c r="AM53" i="1"/>
  <c r="AM64" i="1"/>
  <c r="BB31" i="13"/>
  <c r="BB29" i="13"/>
  <c r="AZ19" i="13"/>
  <c r="BY16" i="13"/>
  <c r="AZ17" i="13"/>
  <c r="AQ29" i="13"/>
  <c r="AQ31" i="13"/>
  <c r="AU31" i="13"/>
  <c r="AR29" i="13"/>
  <c r="AR13" i="13"/>
  <c r="AN11" i="13"/>
  <c r="AN13" i="13"/>
  <c r="BV10" i="13"/>
  <c r="W31" i="13"/>
  <c r="S31" i="13"/>
  <c r="S29" i="13"/>
  <c r="S17" i="13"/>
  <c r="S19" i="13"/>
  <c r="Q25" i="13"/>
  <c r="M25" i="13"/>
  <c r="M23" i="13"/>
  <c r="AE21" i="3"/>
  <c r="CJ21" i="3" s="1"/>
  <c r="CJ103" i="3" s="1"/>
  <c r="BS21" i="3"/>
  <c r="AB77" i="3"/>
  <c r="AB76" i="3" s="1"/>
  <c r="AB80" i="3"/>
  <c r="AQ34" i="3"/>
  <c r="AL96" i="2"/>
  <c r="AL121" i="2" s="1"/>
  <c r="AK121" i="2"/>
  <c r="AD24" i="2"/>
  <c r="AD66" i="3" s="1"/>
  <c r="AD89" i="2"/>
  <c r="BQ24" i="2"/>
  <c r="BQ89" i="2"/>
  <c r="AC44" i="1"/>
  <c r="AC46" i="1"/>
  <c r="AC49" i="1" s="1"/>
  <c r="X50" i="1"/>
  <c r="X61" i="1"/>
  <c r="BD25" i="3"/>
  <c r="BE23" i="2"/>
  <c r="BC19" i="13"/>
  <c r="BD16" i="13"/>
  <c r="BC17" i="13"/>
  <c r="BC33" i="2"/>
  <c r="BC26" i="3"/>
  <c r="BC50" i="2"/>
  <c r="BY28" i="2"/>
  <c r="AH43" i="13"/>
  <c r="AH44" i="13"/>
  <c r="AB25" i="13"/>
  <c r="AB23" i="13"/>
  <c r="AV24" i="13" s="1"/>
  <c r="BS22" i="13"/>
  <c r="AG36" i="13"/>
  <c r="P19" i="13"/>
  <c r="L19" i="13"/>
  <c r="L17" i="13"/>
  <c r="F29" i="13"/>
  <c r="J31" i="13"/>
  <c r="BX132" i="2"/>
  <c r="BX81" i="2"/>
  <c r="BX135" i="2" s="1"/>
  <c r="BY138" i="2" s="1"/>
  <c r="K91" i="3"/>
  <c r="K60" i="3"/>
  <c r="K75" i="3" s="1"/>
  <c r="K83" i="3" s="1"/>
  <c r="AU64" i="1"/>
  <c r="AU53" i="1"/>
  <c r="CF123" i="3"/>
  <c r="W95" i="1"/>
  <c r="CH44" i="3"/>
  <c r="CH126" i="3" s="1"/>
  <c r="CF24" i="2"/>
  <c r="CF89" i="2"/>
  <c r="BY61" i="3"/>
  <c r="BY63" i="3" s="1"/>
  <c r="CN30" i="1"/>
  <c r="CN31" i="1" s="1"/>
  <c r="AX31" i="1"/>
  <c r="BC52" i="1"/>
  <c r="BC25" i="1"/>
  <c r="BI72" i="2"/>
  <c r="BI92" i="2"/>
  <c r="BI130" i="2"/>
  <c r="AA87" i="13"/>
  <c r="AA88" i="13"/>
  <c r="AA86" i="13"/>
  <c r="AA70" i="13"/>
  <c r="AA71" i="13"/>
  <c r="AA84" i="13"/>
  <c r="AV17" i="13"/>
  <c r="AZ18" i="13" s="1"/>
  <c r="AV19" i="13"/>
  <c r="AW17" i="13"/>
  <c r="BX16" i="13"/>
  <c r="AL79" i="3"/>
  <c r="AM13" i="3"/>
  <c r="D77" i="3"/>
  <c r="D76" i="3" s="1"/>
  <c r="D80" i="3"/>
  <c r="AY41" i="3"/>
  <c r="AX46" i="3"/>
  <c r="AG46" i="3"/>
  <c r="AT64" i="3"/>
  <c r="CM64" i="3" s="1"/>
  <c r="AU16" i="3"/>
  <c r="R18" i="3"/>
  <c r="S18" i="3" s="1"/>
  <c r="CG18" i="3" s="1"/>
  <c r="CG100" i="3" s="1"/>
  <c r="AQ69" i="2"/>
  <c r="BV68" i="2"/>
  <c r="BV69" i="2" s="1"/>
  <c r="AM66" i="3"/>
  <c r="AM43" i="2"/>
  <c r="BY130" i="2"/>
  <c r="BY92" i="2"/>
  <c r="BY72" i="2"/>
  <c r="BF60" i="3"/>
  <c r="BF75" i="3" s="1"/>
  <c r="BF83" i="3" s="1"/>
  <c r="BF91" i="3"/>
  <c r="AZ91" i="3"/>
  <c r="AZ60" i="3"/>
  <c r="AZ75" i="3" s="1"/>
  <c r="AZ83" i="3" s="1"/>
  <c r="J91" i="3"/>
  <c r="J60" i="3"/>
  <c r="J75" i="3" s="1"/>
  <c r="J83" i="3" s="1"/>
  <c r="Y61" i="1"/>
  <c r="Y50" i="1"/>
  <c r="S50" i="1"/>
  <c r="S61" i="1"/>
  <c r="BE106" i="3"/>
  <c r="CQ35" i="2"/>
  <c r="BK35" i="2"/>
  <c r="CA35" i="2" s="1"/>
  <c r="CB35" i="2" s="1"/>
  <c r="CB45" i="3" s="1"/>
  <c r="CB127" i="3" s="1"/>
  <c r="AO11" i="13"/>
  <c r="AO13" i="13"/>
  <c r="AP11" i="13"/>
  <c r="H50" i="1"/>
  <c r="H61" i="1"/>
  <c r="AO29" i="13"/>
  <c r="AP29" i="13"/>
  <c r="AO31" i="13"/>
  <c r="AS31" i="13"/>
  <c r="AG43" i="13"/>
  <c r="AD13" i="13"/>
  <c r="Z13" i="13"/>
  <c r="Z11" i="13"/>
  <c r="BR10" i="13"/>
  <c r="U17" i="13"/>
  <c r="BQ16" i="13"/>
  <c r="T19" i="13"/>
  <c r="T17" i="13"/>
  <c r="BO37" i="3"/>
  <c r="O37" i="3"/>
  <c r="CF37" i="3" s="1"/>
  <c r="CF119" i="3" s="1"/>
  <c r="BS61" i="3"/>
  <c r="BS63" i="3" s="1"/>
  <c r="E61" i="3"/>
  <c r="E63" i="3" s="1"/>
  <c r="F33" i="3"/>
  <c r="E38" i="3"/>
  <c r="V29" i="3"/>
  <c r="W29" i="3" s="1"/>
  <c r="CH29" i="3" s="1"/>
  <c r="CH111" i="3" s="1"/>
  <c r="E43" i="2"/>
  <c r="E66" i="3"/>
  <c r="CN24" i="2"/>
  <c r="CN66" i="3" s="1"/>
  <c r="CN89" i="2"/>
  <c r="BP89" i="2"/>
  <c r="BP24" i="2"/>
  <c r="BX130" i="2"/>
  <c r="BX72" i="2"/>
  <c r="BX92" i="2"/>
  <c r="BE91" i="3"/>
  <c r="BE60" i="3"/>
  <c r="BE75" i="3" s="1"/>
  <c r="BE83" i="3" s="1"/>
  <c r="BV44" i="1"/>
  <c r="BV46" i="1"/>
  <c r="BV49" i="1" s="1"/>
  <c r="AM61" i="1"/>
  <c r="AM50" i="1"/>
  <c r="AV19" i="1"/>
  <c r="AV24" i="1"/>
  <c r="CL22" i="1"/>
  <c r="CL49" i="1"/>
  <c r="U77" i="3"/>
  <c r="U76" i="3" s="1"/>
  <c r="U80" i="3" s="1"/>
  <c r="BF110" i="3"/>
  <c r="CP28" i="3"/>
  <c r="CP110" i="3" s="1"/>
  <c r="AK46" i="13"/>
  <c r="AK47" i="13"/>
  <c r="AK50" i="13" s="1"/>
  <c r="AK52" i="13" s="1"/>
  <c r="CE37" i="3"/>
  <c r="CI21" i="3"/>
  <c r="CI103" i="3" s="1"/>
  <c r="AV84" i="2"/>
  <c r="AV85" i="2" s="1"/>
  <c r="AV86" i="2"/>
  <c r="AV87" i="2" s="1"/>
  <c r="CO89" i="2"/>
  <c r="CO24" i="2"/>
  <c r="CM36" i="3"/>
  <c r="CM118" i="3" s="1"/>
  <c r="AZ25" i="1"/>
  <c r="AZ52" i="1"/>
  <c r="BI105" i="1"/>
  <c r="BJ105" i="1" s="1"/>
  <c r="BK105" i="1" s="1"/>
  <c r="CF74" i="1"/>
  <c r="CF68" i="1"/>
  <c r="CF62" i="1"/>
  <c r="BB61" i="1"/>
  <c r="BB50" i="1"/>
  <c r="BA13" i="13"/>
  <c r="BA11" i="13"/>
  <c r="BY10" i="13"/>
  <c r="AY11" i="13"/>
  <c r="AX11" i="13"/>
  <c r="AX13" i="13"/>
  <c r="AT17" i="13"/>
  <c r="AX18" i="13" s="1"/>
  <c r="AU17" i="13"/>
  <c r="AT19" i="13"/>
  <c r="BW16" i="13"/>
  <c r="AT31" i="13"/>
  <c r="AT29" i="13"/>
  <c r="AU29" i="13"/>
  <c r="CI28" i="3"/>
  <c r="CI110" i="3" s="1"/>
  <c r="AN122" i="2"/>
  <c r="AN126" i="2"/>
  <c r="AN117" i="2"/>
  <c r="AN125" i="2"/>
  <c r="AN127" i="2" s="1"/>
  <c r="BO41" i="2"/>
  <c r="BO43" i="2" s="1"/>
  <c r="BO89" i="2"/>
  <c r="AS133" i="2"/>
  <c r="AS81" i="2"/>
  <c r="AP60" i="3"/>
  <c r="AP75" i="3" s="1"/>
  <c r="AP83" i="3" s="1"/>
  <c r="AP91" i="3"/>
  <c r="L60" i="3"/>
  <c r="L75" i="3" s="1"/>
  <c r="L83" i="3" s="1"/>
  <c r="L91" i="3"/>
  <c r="CN151" i="3"/>
  <c r="CN141" i="2"/>
  <c r="CJ151" i="3"/>
  <c r="CJ141" i="2"/>
  <c r="CH141" i="2"/>
  <c r="CH151" i="3"/>
  <c r="Q75" i="1"/>
  <c r="Q81" i="1"/>
  <c r="AP30" i="1"/>
  <c r="BV30" i="1" s="1"/>
  <c r="AO31" i="1"/>
  <c r="V38" i="3"/>
  <c r="W33" i="3"/>
  <c r="V61" i="3"/>
  <c r="V63" i="3" s="1"/>
  <c r="CG33" i="3"/>
  <c r="BD44" i="3"/>
  <c r="BK59" i="2"/>
  <c r="CA59" i="2" s="1"/>
  <c r="CB59" i="2" s="1"/>
  <c r="CQ59" i="2"/>
  <c r="CH62" i="1"/>
  <c r="CH68" i="1"/>
  <c r="CH74" i="1"/>
  <c r="AH95" i="1"/>
  <c r="AI44" i="3"/>
  <c r="BC65" i="2"/>
  <c r="BC46" i="3"/>
  <c r="CP42" i="3"/>
  <c r="AQ42" i="3"/>
  <c r="AP46" i="3"/>
  <c r="M38" i="3"/>
  <c r="AR62" i="1"/>
  <c r="AR74" i="1"/>
  <c r="AR68" i="1"/>
  <c r="AA61" i="1"/>
  <c r="AA50" i="1"/>
  <c r="AS32" i="1"/>
  <c r="CL41" i="3"/>
  <c r="CM86" i="2"/>
  <c r="AT87" i="2"/>
  <c r="CM87" i="2" s="1"/>
  <c r="CO15" i="3"/>
  <c r="CO97" i="3" s="1"/>
  <c r="BX15" i="3"/>
  <c r="CP63" i="2"/>
  <c r="BG63" i="2"/>
  <c r="BB79" i="3"/>
  <c r="BC13" i="3"/>
  <c r="BW86" i="2"/>
  <c r="BP77" i="3"/>
  <c r="BP76" i="3" s="1"/>
  <c r="BP80" i="3"/>
  <c r="BA61" i="1"/>
  <c r="BA50" i="1"/>
  <c r="AH31" i="13"/>
  <c r="AH29" i="13"/>
  <c r="AL31" i="13"/>
  <c r="AD79" i="3"/>
  <c r="AE13" i="3"/>
  <c r="AC95" i="1"/>
  <c r="AD44" i="3"/>
  <c r="AG38" i="3"/>
  <c r="AH34" i="3"/>
  <c r="AI125" i="2"/>
  <c r="AI127" i="2" s="1"/>
  <c r="AI117" i="2"/>
  <c r="AA31" i="13"/>
  <c r="AE31" i="13"/>
  <c r="AA29" i="13"/>
  <c r="AY23" i="3"/>
  <c r="CO23" i="3" s="1"/>
  <c r="CO105" i="3" s="1"/>
  <c r="BX23" i="3"/>
  <c r="BU132" i="2"/>
  <c r="BU81" i="2"/>
  <c r="BU135" i="2" s="1"/>
  <c r="BV138" i="2" s="1"/>
  <c r="AJ91" i="3"/>
  <c r="AJ60" i="3"/>
  <c r="AJ75" i="3" s="1"/>
  <c r="AJ83" i="3" s="1"/>
  <c r="AP50" i="1"/>
  <c r="AP61" i="1"/>
  <c r="AI77" i="13"/>
  <c r="AI78" i="13"/>
  <c r="AI79" i="13"/>
  <c r="AI80" i="13"/>
  <c r="BB17" i="13"/>
  <c r="BB19" i="13"/>
  <c r="BB13" i="13"/>
  <c r="BB11" i="13"/>
  <c r="BP22" i="13"/>
  <c r="BP26" i="13" s="1"/>
  <c r="P25" i="13"/>
  <c r="Q23" i="13"/>
  <c r="P23" i="13"/>
  <c r="AK79" i="3"/>
  <c r="CK13" i="3"/>
  <c r="BT45" i="3"/>
  <c r="CM37" i="3"/>
  <c r="CM119" i="3" s="1"/>
  <c r="BW37" i="3"/>
  <c r="AO38" i="3"/>
  <c r="BV34" i="3"/>
  <c r="CM27" i="3"/>
  <c r="CM109" i="3" s="1"/>
  <c r="AI18" i="3"/>
  <c r="CK18" i="3" s="1"/>
  <c r="CK100" i="3" s="1"/>
  <c r="BT18" i="3"/>
  <c r="CI69" i="2"/>
  <c r="CI44" i="1"/>
  <c r="CI46" i="1"/>
  <c r="AR19" i="1"/>
  <c r="AR24" i="1"/>
  <c r="BT49" i="1"/>
  <c r="BT22" i="1"/>
  <c r="BP16" i="13"/>
  <c r="BP20" i="13" s="1"/>
  <c r="BY38" i="1"/>
  <c r="BY39" i="1" s="1"/>
  <c r="BC25" i="13"/>
  <c r="BC23" i="13"/>
  <c r="BD22" i="13"/>
  <c r="AB43" i="13"/>
  <c r="AC41" i="13"/>
  <c r="AF36" i="13"/>
  <c r="AR36" i="13"/>
  <c r="AN36" i="13"/>
  <c r="V29" i="13"/>
  <c r="V31" i="13"/>
  <c r="W29" i="13"/>
  <c r="L11" i="13"/>
  <c r="L13" i="13"/>
  <c r="F23" i="13"/>
  <c r="G23" i="13"/>
  <c r="J25" i="13"/>
  <c r="CJ45" i="3"/>
  <c r="CJ127" i="3" s="1"/>
  <c r="CF34" i="3"/>
  <c r="BO34" i="3"/>
  <c r="O38" i="3"/>
  <c r="AO86" i="2"/>
  <c r="AO87" i="2" s="1"/>
  <c r="AO135" i="2"/>
  <c r="AP138" i="2" s="1"/>
  <c r="AO84" i="2"/>
  <c r="AO85" i="2" s="1"/>
  <c r="AU61" i="1"/>
  <c r="AU50" i="1"/>
  <c r="N23" i="13"/>
  <c r="AQ16" i="3"/>
  <c r="AP64" i="3"/>
  <c r="CL64" i="3" s="1"/>
  <c r="BV16" i="3"/>
  <c r="BV64" i="3" s="1"/>
  <c r="BN50" i="1"/>
  <c r="BN61" i="1"/>
  <c r="BB38" i="3"/>
  <c r="P68" i="1"/>
  <c r="P62" i="1"/>
  <c r="P74" i="1"/>
  <c r="BV24" i="1"/>
  <c r="BV19" i="1"/>
  <c r="BI91" i="3"/>
  <c r="BI60" i="3"/>
  <c r="BI75" i="3" s="1"/>
  <c r="BI83" i="3" s="1"/>
  <c r="AV25" i="13"/>
  <c r="AV23" i="13"/>
  <c r="AW23" i="13"/>
  <c r="BA24" i="13" s="1"/>
  <c r="BX22" i="13"/>
  <c r="AZ25" i="13"/>
  <c r="AS77" i="3"/>
  <c r="AS76" i="3" s="1"/>
  <c r="AS80" i="3" s="1"/>
  <c r="BT79" i="3"/>
  <c r="BX41" i="3"/>
  <c r="BX46" i="3" s="1"/>
  <c r="E46" i="3"/>
  <c r="F41" i="3"/>
  <c r="AL37" i="3"/>
  <c r="AM37" i="3" s="1"/>
  <c r="CL37" i="3" s="1"/>
  <c r="CL119" i="3" s="1"/>
  <c r="BV35" i="3"/>
  <c r="CL35" i="3"/>
  <c r="CL117" i="3" s="1"/>
  <c r="R38" i="3"/>
  <c r="S34" i="3"/>
  <c r="AX24" i="3"/>
  <c r="AY24" i="3" s="1"/>
  <c r="CO24" i="3" s="1"/>
  <c r="CO106" i="3" s="1"/>
  <c r="AU23" i="3"/>
  <c r="CN23" i="3" s="1"/>
  <c r="CN105" i="3" s="1"/>
  <c r="AQ41" i="2"/>
  <c r="AQ43" i="2" s="1"/>
  <c r="BN76" i="2"/>
  <c r="BY60" i="3"/>
  <c r="BY75" i="3" s="1"/>
  <c r="BY83" i="3" s="1"/>
  <c r="BY91" i="3"/>
  <c r="BF72" i="2"/>
  <c r="BF92" i="2"/>
  <c r="BF130" i="2"/>
  <c r="AZ72" i="2"/>
  <c r="AZ130" i="2"/>
  <c r="AZ92" i="2"/>
  <c r="J130" i="2"/>
  <c r="J92" i="2"/>
  <c r="J72" i="2"/>
  <c r="CI151" i="3"/>
  <c r="CI141" i="2"/>
  <c r="BA47" i="1"/>
  <c r="BA52" i="1" s="1"/>
  <c r="BA39" i="1"/>
  <c r="F18" i="1"/>
  <c r="F77" i="1"/>
  <c r="G17" i="1"/>
  <c r="AL24" i="13"/>
  <c r="AL36" i="13"/>
  <c r="AF25" i="13"/>
  <c r="AF50" i="1"/>
  <c r="AF61" i="1"/>
  <c r="AS38" i="3"/>
  <c r="BK37" i="2"/>
  <c r="CA37" i="2" s="1"/>
  <c r="CB37" i="2" s="1"/>
  <c r="CQ37" i="2"/>
  <c r="CH13" i="3"/>
  <c r="W79" i="3"/>
  <c r="Z47" i="13"/>
  <c r="Z53" i="13"/>
  <c r="CP15" i="2"/>
  <c r="BG15" i="2"/>
  <c r="Z50" i="13"/>
  <c r="Z52" i="13" s="1"/>
  <c r="Z43" i="13"/>
  <c r="Z17" i="13"/>
  <c r="AD19" i="13"/>
  <c r="Z19" i="13"/>
  <c r="T31" i="13"/>
  <c r="BQ28" i="13"/>
  <c r="T29" i="13"/>
  <c r="AX61" i="3"/>
  <c r="AX63" i="3" s="1"/>
  <c r="AY33" i="3"/>
  <c r="BX33" i="3" s="1"/>
  <c r="CD14" i="3"/>
  <c r="CD96" i="3" s="1"/>
  <c r="BW24" i="2"/>
  <c r="BW89" i="2"/>
  <c r="BV132" i="2"/>
  <c r="BV81" i="2"/>
  <c r="BV135" i="2" s="1"/>
  <c r="BW138" i="2" s="1"/>
  <c r="BX60" i="3"/>
  <c r="BX75" i="3" s="1"/>
  <c r="BX83" i="3" s="1"/>
  <c r="BX91" i="3"/>
  <c r="BE92" i="2"/>
  <c r="BE130" i="2"/>
  <c r="BE72" i="2"/>
  <c r="AQ46" i="1"/>
  <c r="AQ49" i="1" s="1"/>
  <c r="AQ44" i="1"/>
  <c r="AQ47" i="1" s="1"/>
  <c r="BQ46" i="1"/>
  <c r="BQ49" i="1" s="1"/>
  <c r="R61" i="1"/>
  <c r="R50" i="1"/>
  <c r="AW18" i="1"/>
  <c r="AX17" i="1"/>
  <c r="AW70" i="1"/>
  <c r="CE49" i="1"/>
  <c r="CE22" i="1"/>
  <c r="AI36" i="13"/>
  <c r="CL27" i="3"/>
  <c r="CL109" i="3" s="1"/>
  <c r="AH36" i="13"/>
  <c r="CL24" i="3"/>
  <c r="CL106" i="3" s="1"/>
  <c r="CG22" i="3"/>
  <c r="CG104" i="3" s="1"/>
  <c r="BG104" i="1"/>
  <c r="CP104" i="1"/>
  <c r="CP106" i="1" s="1"/>
  <c r="BF106" i="1"/>
  <c r="BV36" i="3"/>
  <c r="AX87" i="2"/>
  <c r="CN86" i="2"/>
  <c r="AZ81" i="1"/>
  <c r="AZ75" i="1"/>
  <c r="BJ17" i="1"/>
  <c r="BV24" i="3"/>
  <c r="BA81" i="13"/>
  <c r="BA88" i="13" s="1"/>
  <c r="AX17" i="13"/>
  <c r="AX19" i="13"/>
  <c r="AY17" i="13"/>
  <c r="AT67" i="13"/>
  <c r="AT81" i="13"/>
  <c r="AT88" i="13" s="1"/>
  <c r="AT11" i="13"/>
  <c r="AT13" i="13"/>
  <c r="CH25" i="3"/>
  <c r="CH107" i="3" s="1"/>
  <c r="AY84" i="2"/>
  <c r="AY135" i="2"/>
  <c r="AZ138" i="2" s="1"/>
  <c r="AY86" i="2"/>
  <c r="AI86" i="2"/>
  <c r="AI135" i="2"/>
  <c r="AJ138" i="2" s="1"/>
  <c r="AI84" i="2"/>
  <c r="BW27" i="3"/>
  <c r="U63" i="3"/>
  <c r="CD50" i="1"/>
  <c r="CD61" i="1"/>
  <c r="CH89" i="2"/>
  <c r="BG31" i="13"/>
  <c r="BH28" i="13"/>
  <c r="BZ28" i="13"/>
  <c r="BW61" i="3"/>
  <c r="BW63" i="3" s="1"/>
  <c r="BU48" i="3"/>
  <c r="BN48" i="3"/>
  <c r="AA95" i="1"/>
  <c r="CI44" i="3"/>
  <c r="CI126" i="3" s="1"/>
  <c r="K44" i="3"/>
  <c r="J95" i="1"/>
  <c r="BU43" i="3"/>
  <c r="BN14" i="3"/>
  <c r="AE50" i="1"/>
  <c r="AE61" i="1"/>
  <c r="AD64" i="3"/>
  <c r="CI64" i="3" s="1"/>
  <c r="AE16" i="3"/>
  <c r="BG124" i="3"/>
  <c r="AL12" i="13"/>
  <c r="BW32" i="1"/>
  <c r="BU41" i="3"/>
  <c r="CJ14" i="3"/>
  <c r="CJ96" i="3" s="1"/>
  <c r="CO75" i="1"/>
  <c r="CO143" i="2"/>
  <c r="CO81" i="1"/>
  <c r="CD48" i="3"/>
  <c r="CD130" i="3" s="1"/>
  <c r="BS45" i="3"/>
  <c r="AR18" i="13"/>
  <c r="BA77" i="3"/>
  <c r="BA76" i="3" s="1"/>
  <c r="BA80" i="3" s="1"/>
  <c r="AU85" i="2"/>
  <c r="BW85" i="2" s="1"/>
  <c r="BW84" i="2"/>
  <c r="W61" i="1"/>
  <c r="W50" i="1"/>
  <c r="D11" i="3"/>
  <c r="D84" i="1"/>
  <c r="D82" i="1"/>
  <c r="AR120" i="2"/>
  <c r="AS111" i="2"/>
  <c r="AQ19" i="3"/>
  <c r="AM29" i="3"/>
  <c r="CL29" i="3" s="1"/>
  <c r="CL111" i="3" s="1"/>
  <c r="BU29" i="3"/>
  <c r="CK29" i="3"/>
  <c r="CK111" i="3" s="1"/>
  <c r="CE66" i="2"/>
  <c r="CE69" i="2" s="1"/>
  <c r="CF143" i="2"/>
  <c r="AI33" i="2"/>
  <c r="BT27" i="2"/>
  <c r="BT33" i="2" s="1"/>
  <c r="BT41" i="2" s="1"/>
  <c r="CD24" i="2"/>
  <c r="CD66" i="3" s="1"/>
  <c r="CD89" i="2"/>
  <c r="Y23" i="13"/>
  <c r="X23" i="13"/>
  <c r="BR22" i="13"/>
  <c r="X25" i="13"/>
  <c r="H25" i="13"/>
  <c r="I23" i="13"/>
  <c r="L25" i="13"/>
  <c r="H23" i="13"/>
  <c r="AX16" i="3"/>
  <c r="AW64" i="3"/>
  <c r="AZ84" i="2"/>
  <c r="AZ85" i="2" s="1"/>
  <c r="AZ86" i="2"/>
  <c r="AZ87" i="2" s="1"/>
  <c r="AZ135" i="2"/>
  <c r="BA138" i="2" s="1"/>
  <c r="AJ135" i="2"/>
  <c r="AK138" i="2" s="1"/>
  <c r="AJ84" i="2"/>
  <c r="AJ85" i="2" s="1"/>
  <c r="AJ86" i="2"/>
  <c r="AJ87" i="2" s="1"/>
  <c r="BB130" i="2"/>
  <c r="BB72" i="2"/>
  <c r="BB92" i="2"/>
  <c r="AG61" i="1"/>
  <c r="AG50" i="1"/>
  <c r="BA86" i="2"/>
  <c r="BA87" i="2" s="1"/>
  <c r="BA135" i="2"/>
  <c r="BB138" i="2" s="1"/>
  <c r="BA84" i="2"/>
  <c r="BA85" i="2" s="1"/>
  <c r="AA73" i="13"/>
  <c r="BD36" i="13"/>
  <c r="AR11" i="13"/>
  <c r="AQ13" i="13"/>
  <c r="AQ11" i="13"/>
  <c r="AU12" i="13" s="1"/>
  <c r="W25" i="13"/>
  <c r="S23" i="13"/>
  <c r="S25" i="13"/>
  <c r="P11" i="13"/>
  <c r="P13" i="13"/>
  <c r="BP10" i="13"/>
  <c r="BP14" i="13" s="1"/>
  <c r="BA41" i="3"/>
  <c r="BA46" i="3" s="1"/>
  <c r="AZ46" i="3"/>
  <c r="BV27" i="3"/>
  <c r="AI15" i="3"/>
  <c r="CJ15" i="3"/>
  <c r="CJ97" i="3" s="1"/>
  <c r="CM76" i="2"/>
  <c r="CK24" i="2"/>
  <c r="CK66" i="3" s="1"/>
  <c r="CK89" i="2"/>
  <c r="BT24" i="2"/>
  <c r="BT66" i="3" s="1"/>
  <c r="BT89" i="2"/>
  <c r="BM89" i="2"/>
  <c r="BM24" i="2"/>
  <c r="BM66" i="3" s="1"/>
  <c r="AS61" i="1"/>
  <c r="AS50" i="1"/>
  <c r="AH61" i="1"/>
  <c r="AH50" i="1"/>
  <c r="CK66" i="2"/>
  <c r="CK69" i="2" s="1"/>
  <c r="BW28" i="13"/>
  <c r="AI29" i="13"/>
  <c r="BD10" i="13"/>
  <c r="BC11" i="13"/>
  <c r="BC13" i="13"/>
  <c r="AH17" i="13"/>
  <c r="AT18" i="13" s="1"/>
  <c r="AG17" i="13"/>
  <c r="AS18" i="13" s="1"/>
  <c r="BT16" i="13"/>
  <c r="AG19" i="13"/>
  <c r="AG44" i="13"/>
  <c r="AB44" i="13"/>
  <c r="V19" i="13"/>
  <c r="V17" i="13"/>
  <c r="F17" i="13"/>
  <c r="J19" i="13"/>
  <c r="G17" i="13"/>
  <c r="AR77" i="3"/>
  <c r="AR76" i="3" s="1"/>
  <c r="AR80" i="3" s="1"/>
  <c r="BS69" i="2"/>
  <c r="G50" i="1"/>
  <c r="G61" i="1"/>
  <c r="AT37" i="1"/>
  <c r="AS38" i="1"/>
  <c r="AS39" i="1" s="1"/>
  <c r="BP28" i="13"/>
  <c r="BP32" i="13" s="1"/>
  <c r="BV49" i="2"/>
  <c r="BV48" i="2" s="1"/>
  <c r="BV50" i="2"/>
  <c r="AN62" i="1"/>
  <c r="AN74" i="1"/>
  <c r="AN68" i="1"/>
  <c r="BC29" i="13"/>
  <c r="BW15" i="3"/>
  <c r="BH30" i="2"/>
  <c r="CP24" i="3"/>
  <c r="CP106" i="3" s="1"/>
  <c r="BB38" i="1"/>
  <c r="BB77" i="1"/>
  <c r="AW36" i="13"/>
  <c r="AS36" i="13"/>
  <c r="BA36" i="13"/>
  <c r="AW143" i="2"/>
  <c r="AW81" i="1"/>
  <c r="AW75" i="1"/>
  <c r="AZ36" i="13"/>
  <c r="AT13" i="3"/>
  <c r="F13" i="3"/>
  <c r="E79" i="3"/>
  <c r="BB37" i="3"/>
  <c r="BY37" i="3" s="1"/>
  <c r="AP35" i="3"/>
  <c r="AQ35" i="3" s="1"/>
  <c r="CM35" i="3" s="1"/>
  <c r="CM117" i="3" s="1"/>
  <c r="BP34" i="3"/>
  <c r="AH28" i="3"/>
  <c r="AI28" i="3" s="1"/>
  <c r="CK28" i="3" s="1"/>
  <c r="CK110" i="3" s="1"/>
  <c r="BD14" i="3"/>
  <c r="BC60" i="2"/>
  <c r="BR19" i="3"/>
  <c r="AP43" i="2"/>
  <c r="G92" i="2"/>
  <c r="G130" i="2"/>
  <c r="G72" i="2"/>
  <c r="CO37" i="1"/>
  <c r="K50" i="1"/>
  <c r="K61" i="1"/>
  <c r="CG28" i="3"/>
  <c r="CG110" i="3" s="1"/>
  <c r="BE57" i="2"/>
  <c r="AF47" i="13"/>
  <c r="AF53" i="13"/>
  <c r="AF56" i="13" s="1"/>
  <c r="BO22" i="1"/>
  <c r="BO49" i="1"/>
  <c r="AQ130" i="2"/>
  <c r="AQ92" i="2"/>
  <c r="AQ72" i="2"/>
  <c r="U29" i="13"/>
  <c r="BU72" i="2"/>
  <c r="BU92" i="2"/>
  <c r="BU130" i="2"/>
  <c r="CI33" i="3"/>
  <c r="AA61" i="3"/>
  <c r="BQ44" i="3"/>
  <c r="CI49" i="1"/>
  <c r="CI22" i="1"/>
  <c r="BO61" i="3"/>
  <c r="BO63" i="3" s="1"/>
  <c r="S79" i="3"/>
  <c r="CG13" i="3"/>
  <c r="AL43" i="13"/>
  <c r="AL44" i="13"/>
  <c r="AP24" i="1"/>
  <c r="AP19" i="1"/>
  <c r="AO43" i="13"/>
  <c r="Z25" i="13"/>
  <c r="Z23" i="13"/>
  <c r="AD25" i="13"/>
  <c r="AA23" i="13"/>
  <c r="U11" i="13"/>
  <c r="T13" i="13"/>
  <c r="T11" i="13"/>
  <c r="BQ10" i="13"/>
  <c r="CI45" i="3"/>
  <c r="CI127" i="3" s="1"/>
  <c r="AS95" i="1"/>
  <c r="BW95" i="1" s="1"/>
  <c r="AT44" i="3"/>
  <c r="BO36" i="3"/>
  <c r="BO38" i="3" s="1"/>
  <c r="AK38" i="3"/>
  <c r="AK61" i="3"/>
  <c r="AK63" i="3" s="1"/>
  <c r="AL33" i="3"/>
  <c r="BY27" i="3"/>
  <c r="BR25" i="3"/>
  <c r="BN23" i="3"/>
  <c r="AT15" i="3"/>
  <c r="AU15" i="3" s="1"/>
  <c r="CN15" i="3" s="1"/>
  <c r="CN97" i="3" s="1"/>
  <c r="AI16" i="3"/>
  <c r="AH64" i="3"/>
  <c r="CJ64" i="3" s="1"/>
  <c r="AT66" i="2"/>
  <c r="AT69" i="2" s="1"/>
  <c r="CL24" i="2"/>
  <c r="CL66" i="3" s="1"/>
  <c r="CL89" i="2"/>
  <c r="BV24" i="2"/>
  <c r="BV66" i="3" s="1"/>
  <c r="BV89" i="2"/>
  <c r="CA72" i="2"/>
  <c r="CA92" i="2"/>
  <c r="CA130" i="2"/>
  <c r="AA60" i="3"/>
  <c r="AA75" i="3" s="1"/>
  <c r="AA83" i="3" s="1"/>
  <c r="AA91" i="3"/>
  <c r="CM46" i="1"/>
  <c r="CM49" i="1" s="1"/>
  <c r="CM44" i="1"/>
  <c r="AI25" i="3"/>
  <c r="AU11" i="13"/>
  <c r="CO27" i="3"/>
  <c r="CO109" i="3" s="1"/>
  <c r="AZ143" i="2"/>
  <c r="BX50" i="1"/>
  <c r="BX61" i="1"/>
  <c r="BR50" i="1"/>
  <c r="BS28" i="3"/>
  <c r="CJ33" i="3"/>
  <c r="BZ104" i="1"/>
  <c r="BZ106" i="1" s="1"/>
  <c r="BV61" i="3"/>
  <c r="BV63" i="3" s="1"/>
  <c r="AV50" i="1"/>
  <c r="AV61" i="1"/>
  <c r="BY44" i="3"/>
  <c r="AX85" i="2"/>
  <c r="CN85" i="2" s="1"/>
  <c r="CN84" i="2"/>
  <c r="CN33" i="3"/>
  <c r="BB25" i="1"/>
  <c r="BA23" i="13"/>
  <c r="BA25" i="13"/>
  <c r="BY22" i="13"/>
  <c r="BA29" i="13"/>
  <c r="BA31" i="13"/>
  <c r="AA72" i="13"/>
  <c r="CD25" i="3"/>
  <c r="CD107" i="3" s="1"/>
  <c r="AM125" i="2"/>
  <c r="AM127" i="2" s="1"/>
  <c r="AM117" i="2"/>
  <c r="AK98" i="2"/>
  <c r="AK120" i="2"/>
  <c r="AK122" i="2" s="1"/>
  <c r="AL95" i="2"/>
  <c r="CE24" i="2"/>
  <c r="CE66" i="3" s="1"/>
  <c r="CE89" i="2"/>
  <c r="BT92" i="2"/>
  <c r="BT72" i="2"/>
  <c r="BT130" i="2"/>
  <c r="AN32" i="1"/>
  <c r="AN47" i="1"/>
  <c r="AN52" i="1" s="1"/>
  <c r="U38" i="3"/>
  <c r="BN26" i="3"/>
  <c r="BY28" i="13"/>
  <c r="CG43" i="3"/>
  <c r="CG125" i="3" s="1"/>
  <c r="BR29" i="3"/>
  <c r="BF31" i="13"/>
  <c r="N75" i="1"/>
  <c r="N81" i="1"/>
  <c r="N143" i="2"/>
  <c r="BN27" i="3"/>
  <c r="BI59" i="1"/>
  <c r="BJ56" i="1"/>
  <c r="BI55" i="1"/>
  <c r="AX79" i="3"/>
  <c r="AY13" i="3"/>
  <c r="Q95" i="1"/>
  <c r="R44" i="3"/>
  <c r="Q46" i="3"/>
  <c r="CI43" i="3"/>
  <c r="CI125" i="3" s="1"/>
  <c r="AD42" i="3"/>
  <c r="CL34" i="3"/>
  <c r="CL116" i="3" s="1"/>
  <c r="CI16" i="3"/>
  <c r="CI98" i="3" s="1"/>
  <c r="K41" i="3"/>
  <c r="J46" i="3"/>
  <c r="BS14" i="13"/>
  <c r="AT32" i="1"/>
  <c r="AK19" i="13"/>
  <c r="BH29" i="2"/>
  <c r="BZ29" i="2"/>
  <c r="BG27" i="3"/>
  <c r="CM61" i="3"/>
  <c r="CM63" i="3" s="1"/>
  <c r="AN18" i="13"/>
  <c r="BJ37" i="1"/>
  <c r="BK37" i="1" s="1"/>
  <c r="CQ37" i="1"/>
  <c r="AA67" i="13"/>
  <c r="AA74" i="13" s="1"/>
  <c r="AO61" i="1"/>
  <c r="AO50" i="1"/>
  <c r="BV19" i="13"/>
  <c r="BX13" i="3"/>
  <c r="CJ61" i="1"/>
  <c r="CJ50" i="1"/>
  <c r="BZ16" i="2"/>
  <c r="BH16" i="2"/>
  <c r="BI16" i="2" s="1"/>
  <c r="BJ16" i="2" s="1"/>
  <c r="AW13" i="13"/>
  <c r="BW10" i="13"/>
  <c r="AS13" i="13"/>
  <c r="AS11" i="13"/>
  <c r="AX36" i="3"/>
  <c r="AY36" i="3" s="1"/>
  <c r="CO36" i="3" s="1"/>
  <c r="CO118" i="3" s="1"/>
  <c r="BU66" i="2"/>
  <c r="BU69" i="2" s="1"/>
  <c r="CJ43" i="2"/>
  <c r="CL44" i="1"/>
  <c r="BX73" i="3"/>
  <c r="BX71" i="3"/>
  <c r="AA11" i="13"/>
  <c r="AM12" i="13" s="1"/>
  <c r="AE13" i="13"/>
  <c r="AA13" i="13"/>
  <c r="X19" i="13"/>
  <c r="X17" i="13"/>
  <c r="Y17" i="13"/>
  <c r="BR16" i="13"/>
  <c r="H31" i="13"/>
  <c r="H29" i="13"/>
  <c r="I29" i="13"/>
  <c r="AK95" i="1"/>
  <c r="BU95" i="1" s="1"/>
  <c r="AL44" i="3"/>
  <c r="AM44" i="3" s="1"/>
  <c r="CL44" i="3" s="1"/>
  <c r="CL126" i="3" s="1"/>
  <c r="CK37" i="3"/>
  <c r="CK119" i="3" s="1"/>
  <c r="BX22" i="3"/>
  <c r="AX41" i="2"/>
  <c r="AX43" i="2" s="1"/>
  <c r="AX89" i="2"/>
  <c r="CI33" i="2"/>
  <c r="CI41" i="2" s="1"/>
  <c r="CI50" i="2"/>
  <c r="CM24" i="2"/>
  <c r="CM66" i="3" s="1"/>
  <c r="CM89" i="2"/>
  <c r="BB60" i="3"/>
  <c r="BB75" i="3" s="1"/>
  <c r="BB83" i="3" s="1"/>
  <c r="BB91" i="3"/>
  <c r="CG44" i="1"/>
  <c r="CG46" i="1"/>
  <c r="CG49" i="1" s="1"/>
  <c r="BW49" i="1"/>
  <c r="AN29" i="13"/>
  <c r="AR31" i="13"/>
  <c r="BV28" i="13"/>
  <c r="AN31" i="13"/>
  <c r="N11" i="13"/>
  <c r="M11" i="13"/>
  <c r="M13" i="13"/>
  <c r="AC80" i="3"/>
  <c r="AC77" i="3"/>
  <c r="AC76" i="3" s="1"/>
  <c r="CK42" i="3"/>
  <c r="CK124" i="3" s="1"/>
  <c r="BU42" i="3"/>
  <c r="Z42" i="3"/>
  <c r="Y46" i="3"/>
  <c r="AQ22" i="3"/>
  <c r="CM22" i="3" s="1"/>
  <c r="CM104" i="3" s="1"/>
  <c r="AK116" i="2"/>
  <c r="AK126" i="2" s="1"/>
  <c r="AK102" i="2"/>
  <c r="BP66" i="2"/>
  <c r="BP69" i="2" s="1"/>
  <c r="AM84" i="2"/>
  <c r="BU83" i="2"/>
  <c r="BS46" i="1"/>
  <c r="BS49" i="1" s="1"/>
  <c r="BS44" i="1"/>
  <c r="AD50" i="1"/>
  <c r="AD61" i="1"/>
  <c r="AS18" i="1"/>
  <c r="AT17" i="1"/>
  <c r="AO36" i="13"/>
  <c r="BC107" i="3"/>
  <c r="BY107" i="3" s="1"/>
  <c r="BC81" i="13"/>
  <c r="BC88" i="13" s="1"/>
  <c r="BC109" i="3"/>
  <c r="BY109" i="3" s="1"/>
  <c r="CP27" i="3"/>
  <c r="CP109" i="3" s="1"/>
  <c r="AG31" i="13"/>
  <c r="AG29" i="13"/>
  <c r="BT28" i="13"/>
  <c r="AD41" i="13"/>
  <c r="AB19" i="13"/>
  <c r="AB17" i="13"/>
  <c r="BS16" i="13"/>
  <c r="AF19" i="13"/>
  <c r="AB31" i="13"/>
  <c r="AC29" i="13"/>
  <c r="AF31" i="13"/>
  <c r="AB29" i="13"/>
  <c r="BS28" i="13"/>
  <c r="L31" i="13"/>
  <c r="L29" i="13"/>
  <c r="P31" i="13"/>
  <c r="M29" i="13"/>
  <c r="F11" i="13"/>
  <c r="J13" i="13"/>
  <c r="G11" i="13"/>
  <c r="AK84" i="2"/>
  <c r="AK85" i="2" s="1"/>
  <c r="AK135" i="2"/>
  <c r="AL138" i="2" s="1"/>
  <c r="AK86" i="2"/>
  <c r="AK87" i="2" s="1"/>
  <c r="BX89" i="2"/>
  <c r="BX24" i="2"/>
  <c r="BX66" i="3" s="1"/>
  <c r="K130" i="2"/>
  <c r="K72" i="2"/>
  <c r="K92" i="2"/>
  <c r="CO21" i="3"/>
  <c r="CO103" i="3" s="1"/>
  <c r="BM28" i="3"/>
  <c r="AK24" i="13"/>
  <c r="AL66" i="2"/>
  <c r="AL69" i="2" s="1"/>
  <c r="BU18" i="3"/>
  <c r="BE109" i="3"/>
  <c r="BF109" i="3" s="1"/>
  <c r="I62" i="1"/>
  <c r="I68" i="1"/>
  <c r="I74" i="1"/>
  <c r="BZ31" i="2"/>
  <c r="BH31" i="2"/>
  <c r="BG29" i="3"/>
  <c r="H30" i="1"/>
  <c r="G31" i="1"/>
  <c r="AO81" i="13"/>
  <c r="AO88" i="13" s="1"/>
  <c r="BR33" i="3"/>
  <c r="AA85" i="13"/>
  <c r="BX28" i="13"/>
  <c r="AV31" i="13"/>
  <c r="AW29" i="13"/>
  <c r="AV29" i="13"/>
  <c r="AZ30" i="13" s="1"/>
  <c r="CE19" i="3"/>
  <c r="CE101" i="3" s="1"/>
  <c r="CN41" i="3"/>
  <c r="AW46" i="3"/>
  <c r="AH41" i="3"/>
  <c r="V41" i="3"/>
  <c r="U46" i="3"/>
  <c r="CI37" i="3"/>
  <c r="CI119" i="3" s="1"/>
  <c r="AD34" i="3"/>
  <c r="BQ28" i="3"/>
  <c r="CK24" i="3"/>
  <c r="CK106" i="3" s="1"/>
  <c r="BS23" i="3"/>
  <c r="AS64" i="3"/>
  <c r="BV74" i="2"/>
  <c r="BV75" i="2"/>
  <c r="BV76" i="2" s="1"/>
  <c r="BV41" i="2"/>
  <c r="CL83" i="2"/>
  <c r="AP86" i="2"/>
  <c r="AP84" i="2"/>
  <c r="G91" i="3"/>
  <c r="G60" i="3"/>
  <c r="G75" i="3" s="1"/>
  <c r="G83" i="3" s="1"/>
  <c r="V61" i="1"/>
  <c r="V50" i="1"/>
  <c r="E50" i="1"/>
  <c r="E61" i="1"/>
  <c r="CK43" i="3"/>
  <c r="CK125" i="3" s="1"/>
  <c r="U23" i="13"/>
  <c r="BQ22" i="13"/>
  <c r="T25" i="13"/>
  <c r="T23" i="13"/>
  <c r="W19" i="13"/>
  <c r="AP12" i="13"/>
  <c r="BQ27" i="3"/>
  <c r="BE73" i="2"/>
  <c r="BF90" i="1"/>
  <c r="BE91" i="1"/>
  <c r="BE93" i="1"/>
  <c r="BE89" i="1"/>
  <c r="G95" i="1"/>
  <c r="CD95" i="1" s="1"/>
  <c r="CD44" i="3"/>
  <c r="CD126" i="3" s="1"/>
  <c r="CL76" i="2"/>
  <c r="AM86" i="2"/>
  <c r="BR27" i="3"/>
  <c r="BX30" i="1"/>
  <c r="BX31" i="1" s="1"/>
  <c r="BX10" i="13"/>
  <c r="BE31" i="13"/>
  <c r="Z68" i="1"/>
  <c r="Z62" i="1"/>
  <c r="AA41" i="13"/>
  <c r="BY24" i="1"/>
  <c r="BY19" i="1"/>
  <c r="BI30" i="1"/>
  <c r="CN26" i="3"/>
  <c r="CN108" i="3" s="1"/>
  <c r="CL18" i="1"/>
  <c r="CL16" i="3"/>
  <c r="CL98" i="3" s="1"/>
  <c r="CB42" i="3"/>
  <c r="AI41" i="13"/>
  <c r="W42" i="13"/>
  <c r="W51" i="13" s="1"/>
  <c r="U41" i="13"/>
  <c r="T43" i="13"/>
  <c r="T44" i="13"/>
  <c r="BR45" i="3"/>
  <c r="BX43" i="3"/>
  <c r="Y38" i="3"/>
  <c r="Z36" i="3"/>
  <c r="AJ63" i="3"/>
  <c r="CG29" i="3"/>
  <c r="CG111" i="3" s="1"/>
  <c r="CK26" i="3"/>
  <c r="CK108" i="3" s="1"/>
  <c r="CF26" i="3"/>
  <c r="CF108" i="3" s="1"/>
  <c r="BN25" i="3"/>
  <c r="AT19" i="3"/>
  <c r="AU19" i="3" s="1"/>
  <c r="CN19" i="3" s="1"/>
  <c r="CN101" i="3" s="1"/>
  <c r="AD17" i="3"/>
  <c r="CI17" i="3" s="1"/>
  <c r="CI99" i="3" s="1"/>
  <c r="CM66" i="2"/>
  <c r="CM69" i="2" s="1"/>
  <c r="AL41" i="2"/>
  <c r="AL43" i="2" s="1"/>
  <c r="AL89" i="2"/>
  <c r="V43" i="2"/>
  <c r="V66" i="3"/>
  <c r="CJ24" i="2"/>
  <c r="CJ66" i="3" s="1"/>
  <c r="CJ89" i="2"/>
  <c r="CA91" i="3"/>
  <c r="CA60" i="3"/>
  <c r="CA75" i="3" s="1"/>
  <c r="CA83" i="3" s="1"/>
  <c r="AA130" i="2"/>
  <c r="AA72" i="2"/>
  <c r="AA92" i="2"/>
  <c r="BM46" i="1"/>
  <c r="BM49" i="1" s="1"/>
  <c r="CN17" i="1"/>
  <c r="CM22" i="1"/>
  <c r="AC38" i="3"/>
  <c r="G29" i="13"/>
  <c r="Q11" i="13"/>
  <c r="BZ36" i="2"/>
  <c r="BH36" i="2"/>
  <c r="BI36" i="2" s="1"/>
  <c r="BJ36" i="2" s="1"/>
  <c r="BB87" i="2"/>
  <c r="CO87" i="2" s="1"/>
  <c r="CO86" i="2"/>
  <c r="BQ13" i="3"/>
  <c r="BF23" i="3"/>
  <c r="Q143" i="2"/>
  <c r="BP50" i="1"/>
  <c r="BP61" i="1"/>
  <c r="BP19" i="3"/>
  <c r="Z31" i="13"/>
  <c r="BQ45" i="3"/>
  <c r="CO35" i="3"/>
  <c r="CO117" i="3" s="1"/>
  <c r="CM115" i="3"/>
  <c r="CM23" i="3"/>
  <c r="CM105" i="3" s="1"/>
  <c r="AJ96" i="1"/>
  <c r="BY47" i="1"/>
  <c r="BE36" i="13"/>
  <c r="BA19" i="13"/>
  <c r="BA17" i="13"/>
  <c r="BR74" i="13"/>
  <c r="BC36" i="13"/>
  <c r="BG36" i="13"/>
  <c r="AX23" i="13"/>
  <c r="AY23" i="13"/>
  <c r="AX25" i="13"/>
  <c r="BW22" i="13"/>
  <c r="AT25" i="13"/>
  <c r="AU23" i="13"/>
  <c r="AY24" i="13" s="1"/>
  <c r="AT23" i="13"/>
  <c r="BR28" i="3"/>
  <c r="BM25" i="3"/>
  <c r="BM23" i="3"/>
  <c r="AP112" i="2"/>
  <c r="AO121" i="2"/>
  <c r="AL84" i="2"/>
  <c r="AL86" i="2"/>
  <c r="CK83" i="2"/>
  <c r="AQ84" i="2"/>
  <c r="AQ86" i="2"/>
  <c r="AQ135" i="2"/>
  <c r="AR138" i="2" s="1"/>
  <c r="J43" i="2"/>
  <c r="BO50" i="2"/>
  <c r="AS24" i="2"/>
  <c r="AS89" i="2"/>
  <c r="CE49" i="2"/>
  <c r="CE48" i="2" s="1"/>
  <c r="BT91" i="3"/>
  <c r="BT60" i="3"/>
  <c r="BT75" i="3" s="1"/>
  <c r="BT83" i="3" s="1"/>
  <c r="AP92" i="2"/>
  <c r="AP72" i="2"/>
  <c r="AP130" i="2"/>
  <c r="L92" i="2"/>
  <c r="L72" i="2"/>
  <c r="L130" i="2"/>
  <c r="CJ96" i="1"/>
  <c r="D65" i="1"/>
  <c r="D72" i="1"/>
  <c r="D78" i="1"/>
  <c r="CD26" i="3"/>
  <c r="CD108" i="3" s="1"/>
  <c r="BR18" i="3"/>
  <c r="O45" i="3"/>
  <c r="N46" i="3"/>
  <c r="BH30" i="13"/>
  <c r="CN22" i="3"/>
  <c r="CN104" i="3" s="1"/>
  <c r="BP43" i="3"/>
  <c r="AP18" i="13"/>
  <c r="BC50" i="1"/>
  <c r="BC61" i="1"/>
  <c r="AX31" i="13"/>
  <c r="CO42" i="3"/>
  <c r="CO124" i="3" s="1"/>
  <c r="BK103" i="1"/>
  <c r="CN45" i="3"/>
  <c r="CN127" i="3" s="1"/>
  <c r="BT44" i="3"/>
  <c r="BQ43" i="3"/>
  <c r="BY42" i="3"/>
  <c r="CN29" i="3"/>
  <c r="CN111" i="3" s="1"/>
  <c r="I46" i="3"/>
  <c r="BK123" i="3"/>
  <c r="AB11" i="13"/>
  <c r="AK36" i="13"/>
  <c r="CM30" i="1"/>
  <c r="CM31" i="1" s="1"/>
  <c r="BZ20" i="2"/>
  <c r="BZ80" i="2" s="1"/>
  <c r="BZ134" i="2" s="1"/>
  <c r="BG80" i="2"/>
  <c r="BG134" i="2" s="1"/>
  <c r="BH20" i="2"/>
  <c r="BG24" i="3"/>
  <c r="AT85" i="2"/>
  <c r="CM85" i="2" s="1"/>
  <c r="CM84" i="2"/>
  <c r="AU63" i="3"/>
  <c r="AC23" i="13"/>
  <c r="AO24" i="13" s="1"/>
  <c r="AS24" i="13"/>
  <c r="AT36" i="13"/>
  <c r="CA37" i="1"/>
  <c r="CB37" i="1" s="1"/>
  <c r="CE24" i="3"/>
  <c r="CE106" i="3" s="1"/>
  <c r="AT74" i="1"/>
  <c r="AT62" i="1"/>
  <c r="AT68" i="1"/>
  <c r="AL61" i="1"/>
  <c r="AL50" i="1"/>
  <c r="CJ18" i="3"/>
  <c r="CJ100" i="3" s="1"/>
  <c r="CG37" i="3"/>
  <c r="CG119" i="3" s="1"/>
  <c r="BY13" i="3"/>
  <c r="AW77" i="3"/>
  <c r="AW76" i="3" s="1"/>
  <c r="AW80" i="3" s="1"/>
  <c r="AJ62" i="1" l="1"/>
  <c r="AJ68" i="1"/>
  <c r="AJ74" i="1"/>
  <c r="CN61" i="1"/>
  <c r="CN50" i="1"/>
  <c r="AW39" i="1"/>
  <c r="AW47" i="1"/>
  <c r="AP115" i="2"/>
  <c r="AQ107" i="2"/>
  <c r="AI62" i="1"/>
  <c r="AI74" i="1"/>
  <c r="AI68" i="1"/>
  <c r="G38" i="1"/>
  <c r="G39" i="1" s="1"/>
  <c r="H37" i="1"/>
  <c r="J143" i="2"/>
  <c r="J75" i="1"/>
  <c r="J81" i="1"/>
  <c r="CO32" i="1"/>
  <c r="I77" i="3"/>
  <c r="I76" i="3" s="1"/>
  <c r="I80" i="3"/>
  <c r="AQ108" i="2"/>
  <c r="AP116" i="2"/>
  <c r="BR66" i="3"/>
  <c r="BR43" i="2"/>
  <c r="BT34" i="13"/>
  <c r="BT35" i="13" s="1"/>
  <c r="BP38" i="3"/>
  <c r="AD43" i="2"/>
  <c r="BV38" i="3"/>
  <c r="BN61" i="3"/>
  <c r="BN63" i="3" s="1"/>
  <c r="BN38" i="3"/>
  <c r="AX38" i="1"/>
  <c r="AX39" i="1" s="1"/>
  <c r="BX37" i="1"/>
  <c r="BX38" i="1" s="1"/>
  <c r="BX39" i="1" s="1"/>
  <c r="CN37" i="1"/>
  <c r="CN38" i="1" s="1"/>
  <c r="T74" i="1"/>
  <c r="T68" i="1"/>
  <c r="T62" i="1"/>
  <c r="AO117" i="2"/>
  <c r="AO125" i="2"/>
  <c r="F39" i="1"/>
  <c r="F47" i="1"/>
  <c r="BG83" i="2"/>
  <c r="CP83" i="2"/>
  <c r="U75" i="1"/>
  <c r="U81" i="1"/>
  <c r="U143" i="2"/>
  <c r="BH21" i="2"/>
  <c r="BI21" i="2" s="1"/>
  <c r="BZ21" i="2"/>
  <c r="CI13" i="3"/>
  <c r="AA79" i="3"/>
  <c r="AM22" i="3"/>
  <c r="CL22" i="3" s="1"/>
  <c r="CL104" i="3" s="1"/>
  <c r="BU22" i="3"/>
  <c r="BU13" i="13"/>
  <c r="K13" i="3"/>
  <c r="J79" i="3"/>
  <c r="BY78" i="2"/>
  <c r="BY55" i="3"/>
  <c r="BY17" i="2"/>
  <c r="BY24" i="2" s="1"/>
  <c r="BY66" i="3" s="1"/>
  <c r="BY137" i="3"/>
  <c r="BU25" i="13"/>
  <c r="AX24" i="13"/>
  <c r="BA30" i="13"/>
  <c r="AO18" i="13"/>
  <c r="BG28" i="3"/>
  <c r="BZ28" i="3" s="1"/>
  <c r="AN24" i="13"/>
  <c r="BC18" i="13"/>
  <c r="BM95" i="1"/>
  <c r="CE43" i="2"/>
  <c r="BF106" i="3"/>
  <c r="AN77" i="13"/>
  <c r="AN81" i="13" s="1"/>
  <c r="AN88" i="13" s="1"/>
  <c r="BN43" i="2"/>
  <c r="BN66" i="3"/>
  <c r="AR79" i="13"/>
  <c r="AR77" i="13"/>
  <c r="AR80" i="13"/>
  <c r="AR78" i="13"/>
  <c r="AK74" i="1"/>
  <c r="AK62" i="1"/>
  <c r="AK68" i="1"/>
  <c r="BM37" i="1"/>
  <c r="BM38" i="1" s="1"/>
  <c r="BO95" i="1"/>
  <c r="N79" i="3"/>
  <c r="O13" i="3"/>
  <c r="CE33" i="3"/>
  <c r="CE115" i="3" s="1"/>
  <c r="K61" i="3"/>
  <c r="AQ13" i="3"/>
  <c r="AQ79" i="3" s="1"/>
  <c r="AQ80" i="3" s="1"/>
  <c r="AP79" i="3"/>
  <c r="BR13" i="3"/>
  <c r="CF61" i="3"/>
  <c r="CF63" i="3" s="1"/>
  <c r="AB11" i="3"/>
  <c r="AB84" i="1"/>
  <c r="AB82" i="1"/>
  <c r="BC132" i="2"/>
  <c r="BC81" i="2"/>
  <c r="E72" i="1"/>
  <c r="E65" i="1"/>
  <c r="E78" i="1"/>
  <c r="BV13" i="3"/>
  <c r="BV79" i="3" s="1"/>
  <c r="CG61" i="3"/>
  <c r="CG63" i="3" s="1"/>
  <c r="AX12" i="13"/>
  <c r="BW23" i="3"/>
  <c r="AI30" i="13"/>
  <c r="BU34" i="13"/>
  <c r="BU20" i="13" s="1"/>
  <c r="AY18" i="13"/>
  <c r="CL43" i="2"/>
  <c r="Y46" i="13"/>
  <c r="Y55" i="13" s="1"/>
  <c r="Y47" i="13"/>
  <c r="Y50" i="13" s="1"/>
  <c r="Y52" i="13" s="1"/>
  <c r="Y53" i="13"/>
  <c r="Y56" i="13" s="1"/>
  <c r="BO13" i="3"/>
  <c r="BO79" i="3" s="1"/>
  <c r="W85" i="13"/>
  <c r="W86" i="13"/>
  <c r="W70" i="13"/>
  <c r="W87" i="13"/>
  <c r="W88" i="13"/>
  <c r="BI12" i="2"/>
  <c r="BH79" i="2"/>
  <c r="BH133" i="2" s="1"/>
  <c r="M77" i="3"/>
  <c r="M76" i="3" s="1"/>
  <c r="M80" i="3" s="1"/>
  <c r="L68" i="1"/>
  <c r="L74" i="1"/>
  <c r="L62" i="1"/>
  <c r="AX68" i="1"/>
  <c r="AX62" i="1"/>
  <c r="AX74" i="1"/>
  <c r="W72" i="13"/>
  <c r="F143" i="2"/>
  <c r="F75" i="1"/>
  <c r="F81" i="1"/>
  <c r="M62" i="1"/>
  <c r="M74" i="1"/>
  <c r="M68" i="1"/>
  <c r="BM19" i="3"/>
  <c r="CK22" i="3"/>
  <c r="CK104" i="3" s="1"/>
  <c r="BS37" i="3"/>
  <c r="CM50" i="1"/>
  <c r="CM61" i="1"/>
  <c r="AQ112" i="2"/>
  <c r="AP121" i="2"/>
  <c r="BT41" i="13"/>
  <c r="CP23" i="3"/>
  <c r="CP105" i="3" s="1"/>
  <c r="BX61" i="3"/>
  <c r="BX63" i="3" s="1"/>
  <c r="BJ30" i="1"/>
  <c r="BK30" i="1" s="1"/>
  <c r="AA43" i="13"/>
  <c r="AA44" i="13"/>
  <c r="CL84" i="2"/>
  <c r="AP85" i="2"/>
  <c r="CL85" i="2" s="1"/>
  <c r="CN123" i="3"/>
  <c r="G47" i="1"/>
  <c r="G32" i="1"/>
  <c r="BI31" i="2"/>
  <c r="BH29" i="3"/>
  <c r="AF30" i="13"/>
  <c r="AN30" i="13"/>
  <c r="AJ30" i="13"/>
  <c r="AD44" i="13"/>
  <c r="AD43" i="13"/>
  <c r="AD68" i="1"/>
  <c r="AD74" i="1"/>
  <c r="AD62" i="1"/>
  <c r="AA42" i="3"/>
  <c r="BR42" i="3" s="1"/>
  <c r="BR46" i="3" s="1"/>
  <c r="Z46" i="3"/>
  <c r="BW50" i="1"/>
  <c r="BW61" i="1"/>
  <c r="BX79" i="3"/>
  <c r="AE42" i="3"/>
  <c r="AD46" i="3"/>
  <c r="AY79" i="3"/>
  <c r="CO13" i="3"/>
  <c r="BJ59" i="1"/>
  <c r="BK56" i="1"/>
  <c r="BJ55" i="1"/>
  <c r="CQ56" i="1"/>
  <c r="N82" i="1"/>
  <c r="N11" i="3"/>
  <c r="N30" i="3" s="1"/>
  <c r="N84" i="3" s="1"/>
  <c r="N85" i="3" s="1"/>
  <c r="N84" i="1"/>
  <c r="AN64" i="1"/>
  <c r="AN53" i="1"/>
  <c r="BY25" i="13"/>
  <c r="BF24" i="13"/>
  <c r="BX62" i="1"/>
  <c r="BX74" i="1"/>
  <c r="BX68" i="1"/>
  <c r="AI64" i="3"/>
  <c r="CK16" i="3"/>
  <c r="CK98" i="3" s="1"/>
  <c r="BT16" i="3"/>
  <c r="BT64" i="3" s="1"/>
  <c r="BQ13" i="13"/>
  <c r="BQ14" i="13"/>
  <c r="AI24" i="13"/>
  <c r="AU24" i="13"/>
  <c r="AL47" i="13"/>
  <c r="AL50" i="13" s="1"/>
  <c r="AL52" i="13" s="1"/>
  <c r="CG79" i="3"/>
  <c r="CG95" i="3"/>
  <c r="CI115" i="3"/>
  <c r="AT79" i="3"/>
  <c r="AU13" i="3"/>
  <c r="BW13" i="3" s="1"/>
  <c r="AW11" i="3"/>
  <c r="AW30" i="3" s="1"/>
  <c r="AW84" i="3" s="1"/>
  <c r="AW85" i="3" s="1"/>
  <c r="AW84" i="1"/>
  <c r="AW82" i="1"/>
  <c r="AN81" i="1"/>
  <c r="AN75" i="1"/>
  <c r="AN143" i="2"/>
  <c r="BT19" i="13"/>
  <c r="BT20" i="13"/>
  <c r="BG12" i="13"/>
  <c r="BK12" i="13"/>
  <c r="BW31" i="13"/>
  <c r="BR25" i="13"/>
  <c r="BR26" i="13"/>
  <c r="CM19" i="3"/>
  <c r="CM101" i="3" s="1"/>
  <c r="W68" i="1"/>
  <c r="W74" i="1"/>
  <c r="W62" i="1"/>
  <c r="AQ24" i="13"/>
  <c r="AE68" i="1"/>
  <c r="AE74" i="1"/>
  <c r="AE62" i="1"/>
  <c r="K95" i="1"/>
  <c r="CE44" i="3"/>
  <c r="CE126" i="3" s="1"/>
  <c r="BN44" i="3"/>
  <c r="BH31" i="13"/>
  <c r="BI28" i="13"/>
  <c r="CD74" i="1"/>
  <c r="CD62" i="1"/>
  <c r="CD68" i="1"/>
  <c r="BV31" i="1"/>
  <c r="BX86" i="2"/>
  <c r="AY87" i="2"/>
  <c r="BX87" i="2" s="1"/>
  <c r="CE50" i="1"/>
  <c r="CE61" i="1"/>
  <c r="AW19" i="1"/>
  <c r="AW24" i="1"/>
  <c r="AQ52" i="1"/>
  <c r="CO33" i="3"/>
  <c r="AY38" i="3"/>
  <c r="AY61" i="3"/>
  <c r="Z56" i="13"/>
  <c r="G77" i="1"/>
  <c r="G18" i="1"/>
  <c r="H17" i="1"/>
  <c r="BM17" i="1"/>
  <c r="BA64" i="1"/>
  <c r="BA53" i="1"/>
  <c r="F46" i="3"/>
  <c r="G41" i="3"/>
  <c r="AZ24" i="13"/>
  <c r="BD24" i="13"/>
  <c r="BH24" i="13"/>
  <c r="CM13" i="3"/>
  <c r="BK24" i="13"/>
  <c r="BG24" i="13"/>
  <c r="BF18" i="13"/>
  <c r="BJ18" i="13"/>
  <c r="AE79" i="3"/>
  <c r="CJ13" i="3"/>
  <c r="AL30" i="13"/>
  <c r="AP30" i="13"/>
  <c r="AK12" i="13"/>
  <c r="BU19" i="13"/>
  <c r="AM46" i="3"/>
  <c r="AR81" i="1"/>
  <c r="AR143" i="2"/>
  <c r="AR75" i="1"/>
  <c r="BY65" i="2"/>
  <c r="BD65" i="2"/>
  <c r="BD46" i="3"/>
  <c r="BD126" i="3"/>
  <c r="BE44" i="3"/>
  <c r="W38" i="3"/>
  <c r="W61" i="3"/>
  <c r="CH33" i="3"/>
  <c r="AP31" i="1"/>
  <c r="BY34" i="13"/>
  <c r="BY14" i="13"/>
  <c r="BY13" i="13"/>
  <c r="BB74" i="1"/>
  <c r="BB68" i="1"/>
  <c r="BB62" i="1"/>
  <c r="CE119" i="3"/>
  <c r="AJ24" i="13"/>
  <c r="BX24" i="3"/>
  <c r="AM79" i="3"/>
  <c r="CL13" i="3"/>
  <c r="BC53" i="1"/>
  <c r="BC64" i="1"/>
  <c r="AX32" i="1"/>
  <c r="BE16" i="13"/>
  <c r="BD19" i="13"/>
  <c r="BD107" i="3"/>
  <c r="AC50" i="1"/>
  <c r="AC61" i="1"/>
  <c r="BQ66" i="3"/>
  <c r="BQ43" i="2"/>
  <c r="AU30" i="13"/>
  <c r="BF30" i="13"/>
  <c r="BJ30" i="13"/>
  <c r="CK61" i="1"/>
  <c r="CK50" i="1"/>
  <c r="AL107" i="2"/>
  <c r="CN43" i="3"/>
  <c r="CN125" i="3" s="1"/>
  <c r="BY62" i="1"/>
  <c r="BY74" i="1"/>
  <c r="BY68" i="1"/>
  <c r="BY79" i="3"/>
  <c r="AL68" i="1"/>
  <c r="AL74" i="1"/>
  <c r="AL62" i="1"/>
  <c r="AT81" i="1"/>
  <c r="AT75" i="1"/>
  <c r="AL46" i="3"/>
  <c r="AF12" i="13"/>
  <c r="CA123" i="3"/>
  <c r="BD30" i="13"/>
  <c r="CK86" i="2"/>
  <c r="AL87" i="2"/>
  <c r="CK87" i="2" s="1"/>
  <c r="BC24" i="13"/>
  <c r="BP62" i="1"/>
  <c r="BP68" i="1"/>
  <c r="BP74" i="1"/>
  <c r="CN18" i="1"/>
  <c r="AA36" i="3"/>
  <c r="Z38" i="3"/>
  <c r="CH36" i="3"/>
  <c r="CH118" i="3" s="1"/>
  <c r="T47" i="13"/>
  <c r="T53" i="13" s="1"/>
  <c r="T56" i="13" s="1"/>
  <c r="AI43" i="13"/>
  <c r="AI44" i="13"/>
  <c r="CL19" i="1"/>
  <c r="CL24" i="1"/>
  <c r="BX13" i="13"/>
  <c r="BX34" i="13"/>
  <c r="BX14" i="13" s="1"/>
  <c r="AM87" i="2"/>
  <c r="BU87" i="2" s="1"/>
  <c r="BU86" i="2"/>
  <c r="BQ25" i="13"/>
  <c r="BQ26" i="13"/>
  <c r="V62" i="1"/>
  <c r="V68" i="1"/>
  <c r="V74" i="1"/>
  <c r="AP87" i="2"/>
  <c r="CL87" i="2" s="1"/>
  <c r="CL86" i="2"/>
  <c r="AE34" i="3"/>
  <c r="BS34" i="3" s="1"/>
  <c r="BS38" i="3" s="1"/>
  <c r="AD38" i="3"/>
  <c r="V46" i="3"/>
  <c r="W41" i="3"/>
  <c r="BQ41" i="3"/>
  <c r="BQ46" i="3" s="1"/>
  <c r="BR61" i="3"/>
  <c r="BR63" i="3" s="1"/>
  <c r="I30" i="1"/>
  <c r="H31" i="1"/>
  <c r="BZ27" i="3"/>
  <c r="BS19" i="13"/>
  <c r="BS20" i="13"/>
  <c r="BU31" i="13"/>
  <c r="BT31" i="13"/>
  <c r="BV22" i="3"/>
  <c r="BV31" i="13"/>
  <c r="BR19" i="13"/>
  <c r="BR20" i="13"/>
  <c r="BW34" i="13"/>
  <c r="BW26" i="13" s="1"/>
  <c r="BW13" i="13"/>
  <c r="BW14" i="13"/>
  <c r="K46" i="3"/>
  <c r="CE41" i="3"/>
  <c r="BN41" i="3"/>
  <c r="BN46" i="3" s="1"/>
  <c r="AX77" i="3"/>
  <c r="AX76" i="3" s="1"/>
  <c r="AX80" i="3" s="1"/>
  <c r="BY31" i="13"/>
  <c r="BY32" i="13"/>
  <c r="CN115" i="3"/>
  <c r="AV68" i="1"/>
  <c r="AV62" i="1"/>
  <c r="AV74" i="1"/>
  <c r="AT143" i="2"/>
  <c r="AL61" i="3"/>
  <c r="AL38" i="3"/>
  <c r="AM33" i="3"/>
  <c r="BU33" i="3" s="1"/>
  <c r="AU44" i="3"/>
  <c r="CN44" i="3" s="1"/>
  <c r="CN126" i="3" s="1"/>
  <c r="CM44" i="3"/>
  <c r="CM126" i="3" s="1"/>
  <c r="S77" i="3"/>
  <c r="S76" i="3" s="1"/>
  <c r="S80" i="3" s="1"/>
  <c r="CI50" i="1"/>
  <c r="CI61" i="1"/>
  <c r="K62" i="1"/>
  <c r="K74" i="1"/>
  <c r="K68" i="1"/>
  <c r="BI30" i="2"/>
  <c r="BH28" i="3"/>
  <c r="AT38" i="1"/>
  <c r="BW37" i="1"/>
  <c r="BW38" i="1" s="1"/>
  <c r="AB47" i="13"/>
  <c r="AB53" i="13"/>
  <c r="AB56" i="13" s="1"/>
  <c r="AB46" i="13"/>
  <c r="AK18" i="13"/>
  <c r="BD34" i="13"/>
  <c r="BD26" i="13" s="1"/>
  <c r="BD13" i="13"/>
  <c r="BE10" i="13"/>
  <c r="AS74" i="1"/>
  <c r="AS68" i="1"/>
  <c r="AS62" i="1"/>
  <c r="AS70" i="1"/>
  <c r="BS13" i="3"/>
  <c r="AG68" i="1"/>
  <c r="AG62" i="1"/>
  <c r="AG74" i="1"/>
  <c r="AY16" i="3"/>
  <c r="AX64" i="3"/>
  <c r="CN64" i="3" s="1"/>
  <c r="CO82" i="1"/>
  <c r="CO84" i="1"/>
  <c r="BZ124" i="3"/>
  <c r="AI85" i="2"/>
  <c r="BT85" i="2" s="1"/>
  <c r="BT84" i="2"/>
  <c r="CN87" i="2"/>
  <c r="AW71" i="1"/>
  <c r="AQ61" i="1"/>
  <c r="AQ50" i="1"/>
  <c r="BZ15" i="2"/>
  <c r="BH15" i="2"/>
  <c r="BH23" i="3" s="1"/>
  <c r="W77" i="3"/>
  <c r="W76" i="3" s="1"/>
  <c r="W80" i="3" s="1"/>
  <c r="BT28" i="3"/>
  <c r="BV25" i="1"/>
  <c r="AC44" i="13"/>
  <c r="AC43" i="13"/>
  <c r="CK95" i="3"/>
  <c r="CK79" i="3"/>
  <c r="BF12" i="13"/>
  <c r="BJ12" i="13"/>
  <c r="AD77" i="3"/>
  <c r="AD76" i="3" s="1"/>
  <c r="AD80" i="3" s="1"/>
  <c r="BC79" i="3"/>
  <c r="BU37" i="13"/>
  <c r="BU32" i="13"/>
  <c r="AS47" i="1"/>
  <c r="CM42" i="3"/>
  <c r="AQ46" i="3"/>
  <c r="CH75" i="1"/>
  <c r="CH81" i="1"/>
  <c r="CH143" i="2"/>
  <c r="Q11" i="3"/>
  <c r="Q30" i="3" s="1"/>
  <c r="Q84" i="3" s="1"/>
  <c r="Q85" i="3" s="1"/>
  <c r="Q82" i="1"/>
  <c r="Q84" i="1"/>
  <c r="AS84" i="2"/>
  <c r="AS85" i="2" s="1"/>
  <c r="AS86" i="2"/>
  <c r="AS87" i="2" s="1"/>
  <c r="AS135" i="2"/>
  <c r="AT138" i="2" s="1"/>
  <c r="BW19" i="13"/>
  <c r="BI12" i="13"/>
  <c r="BE12" i="13"/>
  <c r="CA105" i="1"/>
  <c r="CB105" i="1" s="1"/>
  <c r="CL61" i="1"/>
  <c r="CL50" i="1"/>
  <c r="BR13" i="13"/>
  <c r="BR14" i="13"/>
  <c r="AT30" i="13"/>
  <c r="CQ22" i="2"/>
  <c r="AT12" i="13"/>
  <c r="Y62" i="1"/>
  <c r="Y68" i="1"/>
  <c r="Y74" i="1"/>
  <c r="CF18" i="3"/>
  <c r="CF100" i="3" s="1"/>
  <c r="AY46" i="3"/>
  <c r="AL77" i="3"/>
  <c r="AL76" i="3" s="1"/>
  <c r="AL80" i="3" s="1"/>
  <c r="CN47" i="1"/>
  <c r="CN32" i="1"/>
  <c r="BZ24" i="3"/>
  <c r="CH95" i="1"/>
  <c r="BQ95" i="1"/>
  <c r="AU78" i="1"/>
  <c r="AU72" i="1"/>
  <c r="AU65" i="1"/>
  <c r="BS25" i="13"/>
  <c r="BS26" i="13"/>
  <c r="AH47" i="13"/>
  <c r="AH50" i="13" s="1"/>
  <c r="AH52" i="13" s="1"/>
  <c r="BC108" i="3"/>
  <c r="BY108" i="3" s="1"/>
  <c r="BY26" i="3"/>
  <c r="CJ28" i="3"/>
  <c r="CJ110" i="3" s="1"/>
  <c r="BV34" i="13"/>
  <c r="BV14" i="13" s="1"/>
  <c r="BV13" i="13"/>
  <c r="AV30" i="13"/>
  <c r="BD18" i="13"/>
  <c r="BH18" i="13"/>
  <c r="AQ18" i="13"/>
  <c r="AI18" i="13"/>
  <c r="AU18" i="13"/>
  <c r="AN12" i="13"/>
  <c r="AT70" i="1"/>
  <c r="AT71" i="1" s="1"/>
  <c r="AG24" i="13"/>
  <c r="BI20" i="2"/>
  <c r="BH24" i="3"/>
  <c r="BH80" i="2"/>
  <c r="BH134" i="2" s="1"/>
  <c r="CI34" i="3"/>
  <c r="CI116" i="3" s="1"/>
  <c r="CA103" i="1"/>
  <c r="BC74" i="1"/>
  <c r="BC62" i="1"/>
  <c r="BC68" i="1"/>
  <c r="N52" i="3"/>
  <c r="BQ33" i="3"/>
  <c r="CL30" i="1"/>
  <c r="AS66" i="3"/>
  <c r="AS43" i="2"/>
  <c r="BV86" i="2"/>
  <c r="AQ87" i="2"/>
  <c r="BV87" i="2" s="1"/>
  <c r="CK84" i="2"/>
  <c r="AL85" i="2"/>
  <c r="CK85" i="2" s="1"/>
  <c r="BB24" i="13"/>
  <c r="BI18" i="13"/>
  <c r="BE18" i="13"/>
  <c r="CQ105" i="1"/>
  <c r="BQ79" i="3"/>
  <c r="CQ36" i="2"/>
  <c r="BK36" i="2"/>
  <c r="CA36" i="2" s="1"/>
  <c r="CB36" i="2" s="1"/>
  <c r="BM61" i="1"/>
  <c r="BM50" i="1"/>
  <c r="BX32" i="1"/>
  <c r="BX47" i="1"/>
  <c r="BG90" i="1"/>
  <c r="BF73" i="2"/>
  <c r="BF93" i="1"/>
  <c r="CP90" i="1"/>
  <c r="BZ90" i="1"/>
  <c r="E74" i="1"/>
  <c r="E68" i="1"/>
  <c r="E62" i="1"/>
  <c r="BP18" i="3"/>
  <c r="AH46" i="3"/>
  <c r="AI41" i="3"/>
  <c r="BU13" i="3"/>
  <c r="I75" i="1"/>
  <c r="I81" i="1"/>
  <c r="I143" i="2"/>
  <c r="BG109" i="3"/>
  <c r="BZ109" i="3" s="1"/>
  <c r="AG12" i="13"/>
  <c r="AG30" i="13"/>
  <c r="AF18" i="13"/>
  <c r="AJ18" i="13"/>
  <c r="AV18" i="13"/>
  <c r="AK30" i="13"/>
  <c r="AO30" i="13"/>
  <c r="AT18" i="1"/>
  <c r="AT77" i="1"/>
  <c r="BW17" i="1"/>
  <c r="CM17" i="1"/>
  <c r="AL116" i="2"/>
  <c r="AL126" i="2" s="1"/>
  <c r="AL102" i="2" s="1"/>
  <c r="CI43" i="2"/>
  <c r="CQ16" i="2"/>
  <c r="BK16" i="2"/>
  <c r="CA16" i="2" s="1"/>
  <c r="CB16" i="2" s="1"/>
  <c r="AO68" i="1"/>
  <c r="AO62" i="1"/>
  <c r="AO70" i="1"/>
  <c r="AO74" i="1"/>
  <c r="BI29" i="2"/>
  <c r="BH27" i="3"/>
  <c r="AR24" i="13"/>
  <c r="S44" i="3"/>
  <c r="R95" i="1"/>
  <c r="R46" i="3"/>
  <c r="CA56" i="1"/>
  <c r="BI24" i="13"/>
  <c r="BE24" i="13"/>
  <c r="BR74" i="1"/>
  <c r="BR62" i="1"/>
  <c r="BR68" i="1"/>
  <c r="CK25" i="3"/>
  <c r="CK107" i="3" s="1"/>
  <c r="BT25" i="3"/>
  <c r="AH24" i="13"/>
  <c r="AG18" i="13"/>
  <c r="BF105" i="3"/>
  <c r="BO61" i="1"/>
  <c r="BO50" i="1"/>
  <c r="BY60" i="2"/>
  <c r="BY61" i="2" s="1"/>
  <c r="BD60" i="2"/>
  <c r="BC61" i="2"/>
  <c r="E77" i="3"/>
  <c r="E76" i="3" s="1"/>
  <c r="E80" i="3"/>
  <c r="BM41" i="3"/>
  <c r="BM46" i="3" s="1"/>
  <c r="BK30" i="13"/>
  <c r="BG30" i="13"/>
  <c r="G62" i="1"/>
  <c r="G74" i="1"/>
  <c r="G68" i="1"/>
  <c r="AG46" i="13"/>
  <c r="AG47" i="13"/>
  <c r="AG50" i="13" s="1"/>
  <c r="AG52" i="13" s="1"/>
  <c r="AL18" i="13"/>
  <c r="CK15" i="3"/>
  <c r="CK97" i="3" s="1"/>
  <c r="BT15" i="3"/>
  <c r="BH12" i="13"/>
  <c r="AV12" i="13"/>
  <c r="AZ12" i="13"/>
  <c r="BD12" i="13"/>
  <c r="BT43" i="2"/>
  <c r="BX36" i="3"/>
  <c r="BX38" i="3" s="1"/>
  <c r="AM24" i="13"/>
  <c r="AE64" i="3"/>
  <c r="CJ16" i="3"/>
  <c r="CJ98" i="3" s="1"/>
  <c r="BS16" i="3"/>
  <c r="BS64" i="3" s="1"/>
  <c r="BX84" i="2"/>
  <c r="AY85" i="2"/>
  <c r="BX85" i="2" s="1"/>
  <c r="BB18" i="13"/>
  <c r="AZ11" i="3"/>
  <c r="AZ84" i="1"/>
  <c r="AZ82" i="1"/>
  <c r="AW18" i="13"/>
  <c r="AE41" i="13"/>
  <c r="AX18" i="1"/>
  <c r="AX70" i="1"/>
  <c r="AX71" i="1" s="1"/>
  <c r="BX17" i="1"/>
  <c r="R68" i="1"/>
  <c r="R74" i="1"/>
  <c r="R62" i="1"/>
  <c r="BQ31" i="13"/>
  <c r="BQ32" i="13"/>
  <c r="AH18" i="13"/>
  <c r="CH79" i="3"/>
  <c r="CH95" i="3"/>
  <c r="AF68" i="1"/>
  <c r="AF74" i="1"/>
  <c r="AF62" i="1"/>
  <c r="F19" i="1"/>
  <c r="F24" i="1"/>
  <c r="CG34" i="3"/>
  <c r="CG116" i="3" s="1"/>
  <c r="S38" i="3"/>
  <c r="BT77" i="3"/>
  <c r="BT76" i="3" s="1"/>
  <c r="BT80" i="3" s="1"/>
  <c r="BX25" i="13"/>
  <c r="BX26" i="13"/>
  <c r="P75" i="1"/>
  <c r="P81" i="1"/>
  <c r="P143" i="2"/>
  <c r="BN62" i="1"/>
  <c r="BN68" i="1"/>
  <c r="BN74" i="1"/>
  <c r="CM16" i="3"/>
  <c r="CM98" i="3" s="1"/>
  <c r="AQ64" i="3"/>
  <c r="AU74" i="1"/>
  <c r="AU68" i="1"/>
  <c r="AU62" i="1"/>
  <c r="BT50" i="1"/>
  <c r="BT61" i="1"/>
  <c r="AK77" i="3"/>
  <c r="AK76" i="3" s="1"/>
  <c r="AK80" i="3"/>
  <c r="AP74" i="1"/>
  <c r="AP68" i="1"/>
  <c r="AP62" i="1"/>
  <c r="AP70" i="1"/>
  <c r="AP71" i="1" s="1"/>
  <c r="AI34" i="3"/>
  <c r="AH38" i="3"/>
  <c r="AD95" i="1"/>
  <c r="CI95" i="1" s="1"/>
  <c r="AE44" i="3"/>
  <c r="BB77" i="3"/>
  <c r="BB76" i="3" s="1"/>
  <c r="BB80" i="3" s="1"/>
  <c r="BH63" i="2"/>
  <c r="BI63" i="2" s="1"/>
  <c r="BJ63" i="2" s="1"/>
  <c r="BZ63" i="2"/>
  <c r="AA68" i="1"/>
  <c r="AA62" i="1"/>
  <c r="AA74" i="1"/>
  <c r="CP124" i="3"/>
  <c r="CG115" i="3"/>
  <c r="CG38" i="3"/>
  <c r="AY30" i="13"/>
  <c r="BC30" i="13"/>
  <c r="BB12" i="13"/>
  <c r="CO66" i="3"/>
  <c r="CO43" i="2"/>
  <c r="BG110" i="3"/>
  <c r="BZ110" i="3" s="1"/>
  <c r="AM68" i="1"/>
  <c r="AM74" i="1"/>
  <c r="AM62" i="1"/>
  <c r="BP66" i="3"/>
  <c r="BP43" i="2"/>
  <c r="BW19" i="3"/>
  <c r="F61" i="3"/>
  <c r="F63" i="3" s="1"/>
  <c r="F38" i="3"/>
  <c r="G33" i="3"/>
  <c r="AH12" i="13"/>
  <c r="AS30" i="13"/>
  <c r="AW30" i="13"/>
  <c r="CJ41" i="3"/>
  <c r="BG106" i="3"/>
  <c r="BZ106" i="3" s="1"/>
  <c r="S62" i="1"/>
  <c r="S74" i="1"/>
  <c r="S68" i="1"/>
  <c r="AU64" i="3"/>
  <c r="CN16" i="3"/>
  <c r="CN98" i="3" s="1"/>
  <c r="BX19" i="13"/>
  <c r="BX20" i="13"/>
  <c r="AF24" i="13"/>
  <c r="BC89" i="2"/>
  <c r="BC41" i="2"/>
  <c r="BC43" i="2" s="1"/>
  <c r="BF23" i="2"/>
  <c r="X68" i="1"/>
  <c r="X74" i="1"/>
  <c r="X62" i="1"/>
  <c r="AP38" i="3"/>
  <c r="BY19" i="13"/>
  <c r="BY20" i="13"/>
  <c r="AM72" i="1"/>
  <c r="AM78" i="1"/>
  <c r="AM65" i="1"/>
  <c r="BR31" i="13"/>
  <c r="BR32" i="13"/>
  <c r="AT46" i="3"/>
  <c r="CN36" i="3"/>
  <c r="CN118" i="3" s="1"/>
  <c r="AU38" i="3"/>
  <c r="BU62" i="1"/>
  <c r="BU74" i="1"/>
  <c r="BU68" i="1"/>
  <c r="AY78" i="1"/>
  <c r="AY65" i="1"/>
  <c r="AY72" i="1"/>
  <c r="AW24" i="13"/>
  <c r="CN61" i="3"/>
  <c r="CN63" i="3" s="1"/>
  <c r="CM32" i="1"/>
  <c r="AJ12" i="13"/>
  <c r="CF44" i="3"/>
  <c r="CF45" i="3"/>
  <c r="CF127" i="3" s="1"/>
  <c r="O46" i="3"/>
  <c r="BO45" i="3"/>
  <c r="BO46" i="3" s="1"/>
  <c r="D85" i="1"/>
  <c r="D79" i="1"/>
  <c r="BV84" i="2"/>
  <c r="AQ85" i="2"/>
  <c r="BV85" i="2" s="1"/>
  <c r="AO126" i="2"/>
  <c r="AO122" i="2"/>
  <c r="BW25" i="13"/>
  <c r="AT24" i="13"/>
  <c r="AK96" i="1"/>
  <c r="AE17" i="3"/>
  <c r="CK33" i="3"/>
  <c r="U44" i="13"/>
  <c r="U43" i="13"/>
  <c r="V41" i="13"/>
  <c r="W41" i="13"/>
  <c r="CB124" i="3"/>
  <c r="CB128" i="3" s="1"/>
  <c r="CB46" i="3"/>
  <c r="BY25" i="1"/>
  <c r="BY52" i="1"/>
  <c r="Z81" i="1"/>
  <c r="Z143" i="2"/>
  <c r="Z75" i="1"/>
  <c r="BF89" i="1"/>
  <c r="CP89" i="1"/>
  <c r="BT25" i="13"/>
  <c r="BV43" i="2"/>
  <c r="BW16" i="3"/>
  <c r="BW64" i="3" s="1"/>
  <c r="CN24" i="3"/>
  <c r="CN106" i="3" s="1"/>
  <c r="CG41" i="3"/>
  <c r="BX31" i="13"/>
  <c r="BX32" i="13"/>
  <c r="BZ29" i="3"/>
  <c r="BS31" i="13"/>
  <c r="BS32" i="13"/>
  <c r="AS24" i="1"/>
  <c r="AS19" i="1"/>
  <c r="BS61" i="1"/>
  <c r="BS50" i="1"/>
  <c r="AM85" i="2"/>
  <c r="BU85" i="2" s="1"/>
  <c r="BU84" i="2"/>
  <c r="CH42" i="3"/>
  <c r="CH124" i="3" s="1"/>
  <c r="AR30" i="13"/>
  <c r="CG61" i="1"/>
  <c r="CG50" i="1"/>
  <c r="BU44" i="3"/>
  <c r="BU46" i="3" s="1"/>
  <c r="AI12" i="13"/>
  <c r="AQ12" i="13"/>
  <c r="AW12" i="13"/>
  <c r="BA12" i="13"/>
  <c r="CJ74" i="1"/>
  <c r="CJ62" i="1"/>
  <c r="CJ68" i="1"/>
  <c r="CG19" i="3"/>
  <c r="CG101" i="3" s="1"/>
  <c r="BS13" i="13"/>
  <c r="AL120" i="2"/>
  <c r="AL122" i="2" s="1"/>
  <c r="AL98" i="2"/>
  <c r="BE30" i="13"/>
  <c r="BI30" i="13"/>
  <c r="BJ24" i="13"/>
  <c r="CJ115" i="3"/>
  <c r="AY12" i="13"/>
  <c r="AP25" i="1"/>
  <c r="CI61" i="3"/>
  <c r="CI63" i="3" s="1"/>
  <c r="AA63" i="3"/>
  <c r="BF57" i="2"/>
  <c r="CO38" i="1"/>
  <c r="BE14" i="3"/>
  <c r="BD96" i="3"/>
  <c r="F79" i="3"/>
  <c r="G13" i="3"/>
  <c r="BB39" i="1"/>
  <c r="BB47" i="1"/>
  <c r="BB52" i="1" s="1"/>
  <c r="CM37" i="1"/>
  <c r="CM38" i="1" s="1"/>
  <c r="CM47" i="1" s="1"/>
  <c r="AQ30" i="13"/>
  <c r="AM30" i="13"/>
  <c r="AH68" i="1"/>
  <c r="AH62" i="1"/>
  <c r="AH74" i="1"/>
  <c r="BB41" i="3"/>
  <c r="CO41" i="3" s="1"/>
  <c r="AI41" i="2"/>
  <c r="AI43" i="2" s="1"/>
  <c r="AI89" i="2"/>
  <c r="BV19" i="3"/>
  <c r="AS120" i="2"/>
  <c r="AT111" i="2"/>
  <c r="D93" i="3"/>
  <c r="D30" i="3"/>
  <c r="BR95" i="1"/>
  <c r="BZ31" i="13"/>
  <c r="BT86" i="2"/>
  <c r="AI87" i="2"/>
  <c r="BT87" i="2" s="1"/>
  <c r="BK17" i="1"/>
  <c r="CQ17" i="1"/>
  <c r="AH30" i="13"/>
  <c r="BH104" i="1"/>
  <c r="BG106" i="1"/>
  <c r="BX43" i="2"/>
  <c r="AW77" i="1"/>
  <c r="BQ50" i="1"/>
  <c r="BQ61" i="1"/>
  <c r="BW66" i="3"/>
  <c r="BW43" i="2"/>
  <c r="AX38" i="3"/>
  <c r="BR43" i="13"/>
  <c r="BG23" i="3"/>
  <c r="CO37" i="3"/>
  <c r="CO119" i="3" s="1"/>
  <c r="CM43" i="2"/>
  <c r="CF116" i="3"/>
  <c r="CF120" i="3" s="1"/>
  <c r="CF38" i="3"/>
  <c r="BE22" i="13"/>
  <c r="BD25" i="13"/>
  <c r="AR52" i="1"/>
  <c r="AR25" i="1"/>
  <c r="BM43" i="2"/>
  <c r="BA74" i="1"/>
  <c r="BA62" i="1"/>
  <c r="BA68" i="1"/>
  <c r="BA70" i="1"/>
  <c r="AO12" i="13"/>
  <c r="CL123" i="3"/>
  <c r="CL128" i="3" s="1"/>
  <c r="CL46" i="3"/>
  <c r="AP24" i="13"/>
  <c r="AI95" i="1"/>
  <c r="CK44" i="3"/>
  <c r="CK126" i="3" s="1"/>
  <c r="AO32" i="1"/>
  <c r="AO47" i="1"/>
  <c r="AO52" i="1" s="1"/>
  <c r="AX30" i="13"/>
  <c r="BB30" i="13"/>
  <c r="BC12" i="13"/>
  <c r="CF81" i="1"/>
  <c r="CF75" i="1"/>
  <c r="AZ64" i="1"/>
  <c r="AZ53" i="1"/>
  <c r="AK53" i="13"/>
  <c r="AK56" i="13" s="1"/>
  <c r="BJ21" i="2"/>
  <c r="AV25" i="1"/>
  <c r="AV52" i="1"/>
  <c r="BV61" i="1"/>
  <c r="BV50" i="1"/>
  <c r="BQ29" i="3"/>
  <c r="BQ20" i="13"/>
  <c r="BQ19" i="13"/>
  <c r="H62" i="1"/>
  <c r="H74" i="1"/>
  <c r="H68" i="1"/>
  <c r="AS12" i="13"/>
  <c r="BA18" i="13"/>
  <c r="CF66" i="3"/>
  <c r="CF43" i="2"/>
  <c r="BY33" i="2"/>
  <c r="BY50" i="2"/>
  <c r="BG18" i="13"/>
  <c r="BK18" i="13"/>
  <c r="BE25" i="3"/>
  <c r="CM34" i="3"/>
  <c r="AQ38" i="3"/>
  <c r="AR12" i="13"/>
  <c r="AY62" i="1"/>
  <c r="AY68" i="1"/>
  <c r="AY74" i="1"/>
  <c r="BU21" i="3"/>
  <c r="CP35" i="3"/>
  <c r="CP117" i="3" s="1"/>
  <c r="BC117" i="3"/>
  <c r="BC38" i="3"/>
  <c r="AJ125" i="2"/>
  <c r="AJ117" i="2"/>
  <c r="CK43" i="2"/>
  <c r="CD43" i="2"/>
  <c r="CM15" i="3"/>
  <c r="CM97" i="3" s="1"/>
  <c r="BQ19" i="3"/>
  <c r="BU37" i="3"/>
  <c r="AJ81" i="1" l="1"/>
  <c r="AJ143" i="2"/>
  <c r="AJ75" i="1"/>
  <c r="AX77" i="1"/>
  <c r="F84" i="1"/>
  <c r="F11" i="3"/>
  <c r="F30" i="3" s="1"/>
  <c r="F84" i="3" s="1"/>
  <c r="F85" i="3" s="1"/>
  <c r="F82" i="1"/>
  <c r="BR79" i="3"/>
  <c r="BR77" i="3" s="1"/>
  <c r="BR76" i="3" s="1"/>
  <c r="BR80" i="3" s="1"/>
  <c r="BM39" i="1"/>
  <c r="BM47" i="1"/>
  <c r="BY81" i="2"/>
  <c r="BY135" i="2" s="1"/>
  <c r="BZ138" i="2" s="1"/>
  <c r="BY132" i="2"/>
  <c r="AQ116" i="2"/>
  <c r="BV108" i="2"/>
  <c r="AR108" i="2"/>
  <c r="AI143" i="2"/>
  <c r="AI81" i="1"/>
  <c r="AI75" i="1"/>
  <c r="BT14" i="13"/>
  <c r="BU26" i="13"/>
  <c r="BW20" i="13"/>
  <c r="BU35" i="13"/>
  <c r="BU41" i="13"/>
  <c r="AM41" i="13" s="1"/>
  <c r="BT32" i="13"/>
  <c r="CE38" i="3"/>
  <c r="BT42" i="13"/>
  <c r="M143" i="2"/>
  <c r="M81" i="1"/>
  <c r="M75" i="1"/>
  <c r="BO77" i="3"/>
  <c r="BO76" i="3" s="1"/>
  <c r="BO80" i="3" s="1"/>
  <c r="AP77" i="3"/>
  <c r="AP76" i="3" s="1"/>
  <c r="AP80" i="3" s="1"/>
  <c r="O79" i="3"/>
  <c r="O77" i="3" s="1"/>
  <c r="O76" i="3" s="1"/>
  <c r="O80" i="3" s="1"/>
  <c r="CF13" i="3"/>
  <c r="O30" i="3"/>
  <c r="O84" i="3" s="1"/>
  <c r="O85" i="3" s="1"/>
  <c r="J77" i="3"/>
  <c r="J76" i="3" s="1"/>
  <c r="J80" i="3"/>
  <c r="T75" i="1"/>
  <c r="T81" i="1"/>
  <c r="T143" i="2"/>
  <c r="I37" i="1"/>
  <c r="H38" i="1"/>
  <c r="H39" i="1" s="1"/>
  <c r="AW52" i="3"/>
  <c r="BG89" i="1"/>
  <c r="BZ89" i="1" s="1"/>
  <c r="AO127" i="2"/>
  <c r="CG120" i="3"/>
  <c r="AG53" i="13"/>
  <c r="AG56" i="13" s="1"/>
  <c r="BU42" i="13"/>
  <c r="AM42" i="13" s="1"/>
  <c r="AX47" i="1"/>
  <c r="CE120" i="3"/>
  <c r="BT26" i="13"/>
  <c r="BT37" i="13"/>
  <c r="AX81" i="1"/>
  <c r="AX143" i="2"/>
  <c r="AX75" i="1"/>
  <c r="L81" i="1"/>
  <c r="L75" i="1"/>
  <c r="L143" i="2"/>
  <c r="BC135" i="2"/>
  <c r="BD138" i="2" s="1"/>
  <c r="BC86" i="2"/>
  <c r="BC84" i="2"/>
  <c r="AB30" i="3"/>
  <c r="AB93" i="3"/>
  <c r="AB112" i="3" s="1"/>
  <c r="AB134" i="3" s="1"/>
  <c r="N77" i="3"/>
  <c r="N76" i="3" s="1"/>
  <c r="N80" i="3"/>
  <c r="AR81" i="13"/>
  <c r="K79" i="3"/>
  <c r="CE13" i="3"/>
  <c r="AA77" i="3"/>
  <c r="AA76" i="3" s="1"/>
  <c r="AA80" i="3" s="1"/>
  <c r="BZ83" i="2"/>
  <c r="BH83" i="2"/>
  <c r="BI83" i="2" s="1"/>
  <c r="BJ83" i="2" s="1"/>
  <c r="CN39" i="1"/>
  <c r="J11" i="3"/>
  <c r="J30" i="3" s="1"/>
  <c r="J82" i="1"/>
  <c r="J84" i="1"/>
  <c r="AQ115" i="2"/>
  <c r="AR107" i="2"/>
  <c r="BV107" i="2"/>
  <c r="BE96" i="3"/>
  <c r="BU14" i="13"/>
  <c r="AB55" i="13"/>
  <c r="CA30" i="1"/>
  <c r="CB30" i="1" s="1"/>
  <c r="AL53" i="13"/>
  <c r="AL56" i="13" s="1"/>
  <c r="BN13" i="3"/>
  <c r="BN79" i="3" s="1"/>
  <c r="BN77" i="3" s="1"/>
  <c r="BN76" i="3" s="1"/>
  <c r="BN80" i="3" s="1"/>
  <c r="BJ12" i="2"/>
  <c r="BI79" i="2"/>
  <c r="BI133" i="2" s="1"/>
  <c r="E79" i="1"/>
  <c r="E85" i="1"/>
  <c r="CE61" i="3"/>
  <c r="CE63" i="3" s="1"/>
  <c r="K63" i="3"/>
  <c r="AK75" i="1"/>
  <c r="AK81" i="1"/>
  <c r="AK143" i="2"/>
  <c r="CI95" i="3"/>
  <c r="CI79" i="3"/>
  <c r="CI77" i="3" s="1"/>
  <c r="CI76" i="3" s="1"/>
  <c r="CI80" i="3" s="1"/>
  <c r="U84" i="1"/>
  <c r="U11" i="3"/>
  <c r="U30" i="3" s="1"/>
  <c r="U82" i="1"/>
  <c r="AP117" i="2"/>
  <c r="AP125" i="2"/>
  <c r="CN74" i="1"/>
  <c r="CN62" i="1"/>
  <c r="CN68" i="1"/>
  <c r="CM116" i="3"/>
  <c r="CM120" i="3" s="1"/>
  <c r="CM38" i="3"/>
  <c r="H81" i="1"/>
  <c r="H75" i="1"/>
  <c r="H143" i="2"/>
  <c r="AU111" i="2"/>
  <c r="AT120" i="2"/>
  <c r="G79" i="3"/>
  <c r="CD13" i="3"/>
  <c r="BM13" i="3"/>
  <c r="BM79" i="3" s="1"/>
  <c r="Z82" i="1"/>
  <c r="Z11" i="3"/>
  <c r="Z30" i="3" s="1"/>
  <c r="Z84" i="3" s="1"/>
  <c r="Z85" i="3" s="1"/>
  <c r="Z84" i="1"/>
  <c r="CF126" i="3"/>
  <c r="CF128" i="3" s="1"/>
  <c r="CF46" i="3"/>
  <c r="BW79" i="3"/>
  <c r="AJ101" i="2"/>
  <c r="AJ127" i="2"/>
  <c r="BY41" i="2"/>
  <c r="BY43" i="2" s="1"/>
  <c r="BY89" i="2"/>
  <c r="AZ78" i="1"/>
  <c r="AZ72" i="1"/>
  <c r="AZ65" i="1"/>
  <c r="CF84" i="1"/>
  <c r="CF82" i="1"/>
  <c r="AO64" i="1"/>
  <c r="AO53" i="1"/>
  <c r="CK95" i="1"/>
  <c r="BT95" i="1"/>
  <c r="AR64" i="1"/>
  <c r="AR53" i="1"/>
  <c r="BE25" i="13"/>
  <c r="BF22" i="13"/>
  <c r="BZ23" i="3"/>
  <c r="CA17" i="1"/>
  <c r="BK22" i="2"/>
  <c r="CA22" i="2" s="1"/>
  <c r="CO46" i="3"/>
  <c r="CO123" i="3"/>
  <c r="CO128" i="3" s="1"/>
  <c r="CO39" i="1"/>
  <c r="CO47" i="1"/>
  <c r="CO52" i="1" s="1"/>
  <c r="BS74" i="1"/>
  <c r="BS68" i="1"/>
  <c r="BS62" i="1"/>
  <c r="BA81" i="1"/>
  <c r="BA75" i="1"/>
  <c r="BA143" i="2"/>
  <c r="BQ68" i="1"/>
  <c r="BQ62" i="1"/>
  <c r="BQ74" i="1"/>
  <c r="D112" i="3"/>
  <c r="D134" i="3" s="1"/>
  <c r="D135" i="3" s="1"/>
  <c r="D138" i="3" s="1"/>
  <c r="AH75" i="1"/>
  <c r="AH81" i="1"/>
  <c r="AH143" i="2"/>
  <c r="BB53" i="1"/>
  <c r="BB64" i="1"/>
  <c r="BF96" i="3"/>
  <c r="BG96" i="3" s="1"/>
  <c r="BZ96" i="3" s="1"/>
  <c r="CJ75" i="1"/>
  <c r="CJ81" i="1"/>
  <c r="CJ143" i="2"/>
  <c r="CG62" i="1"/>
  <c r="CG68" i="1"/>
  <c r="CG74" i="1"/>
  <c r="G61" i="3"/>
  <c r="CD33" i="3"/>
  <c r="G38" i="3"/>
  <c r="BM33" i="3"/>
  <c r="AY143" i="2"/>
  <c r="AY75" i="1"/>
  <c r="AY81" i="1"/>
  <c r="BV74" i="1"/>
  <c r="BV68" i="1"/>
  <c r="BV62" i="1"/>
  <c r="CQ21" i="2"/>
  <c r="BK21" i="2"/>
  <c r="CA21" i="2" s="1"/>
  <c r="CB21" i="2" s="1"/>
  <c r="BY117" i="3"/>
  <c r="BY120" i="3" s="1"/>
  <c r="BC120" i="3"/>
  <c r="AV64" i="1"/>
  <c r="AV53" i="1"/>
  <c r="BY70" i="1"/>
  <c r="CO70" i="1"/>
  <c r="BA71" i="1"/>
  <c r="BA72" i="1" s="1"/>
  <c r="BA77" i="1"/>
  <c r="BI104" i="1"/>
  <c r="BH106" i="1"/>
  <c r="BF14" i="3"/>
  <c r="BG14" i="3" s="1"/>
  <c r="CP14" i="3"/>
  <c r="CP96" i="3" s="1"/>
  <c r="BG57" i="2"/>
  <c r="CP57" i="2"/>
  <c r="CJ17" i="3"/>
  <c r="CJ99" i="3" s="1"/>
  <c r="BS17" i="3"/>
  <c r="AY79" i="1"/>
  <c r="AY85" i="1"/>
  <c r="X81" i="1"/>
  <c r="X75" i="1"/>
  <c r="X143" i="2"/>
  <c r="CG46" i="3"/>
  <c r="CG123" i="3"/>
  <c r="AM79" i="1"/>
  <c r="AM85" i="1"/>
  <c r="CP23" i="2"/>
  <c r="BG23" i="2"/>
  <c r="BG25" i="3"/>
  <c r="S81" i="1"/>
  <c r="S75" i="1"/>
  <c r="S143" i="2"/>
  <c r="AM81" i="1"/>
  <c r="AM75" i="1"/>
  <c r="AM143" i="2"/>
  <c r="CJ44" i="3"/>
  <c r="CJ126" i="3" s="1"/>
  <c r="AE95" i="1"/>
  <c r="CJ95" i="1" s="1"/>
  <c r="BS44" i="3"/>
  <c r="R81" i="1"/>
  <c r="R143" i="2"/>
  <c r="R75" i="1"/>
  <c r="AX24" i="1"/>
  <c r="AX19" i="1"/>
  <c r="AZ93" i="3"/>
  <c r="AZ30" i="3"/>
  <c r="G75" i="1"/>
  <c r="G143" i="2"/>
  <c r="G81" i="1"/>
  <c r="BO62" i="1"/>
  <c r="BO68" i="1"/>
  <c r="BO74" i="1"/>
  <c r="BI27" i="3"/>
  <c r="BJ29" i="2"/>
  <c r="AT19" i="1"/>
  <c r="AT24" i="1"/>
  <c r="BZ73" i="2"/>
  <c r="BZ91" i="1"/>
  <c r="BH90" i="1"/>
  <c r="BG73" i="2"/>
  <c r="BG93" i="1"/>
  <c r="BZ93" i="1" s="1"/>
  <c r="BG91" i="1"/>
  <c r="CB103" i="1"/>
  <c r="CM124" i="3"/>
  <c r="CM128" i="3" s="1"/>
  <c r="CM46" i="3"/>
  <c r="CK77" i="3"/>
  <c r="CK76" i="3" s="1"/>
  <c r="CK80" i="3" s="1"/>
  <c r="BH105" i="3"/>
  <c r="BS79" i="3"/>
  <c r="AS75" i="1"/>
  <c r="AS81" i="1"/>
  <c r="AS143" i="2"/>
  <c r="BW39" i="1"/>
  <c r="BW47" i="1"/>
  <c r="CE46" i="3"/>
  <c r="CE123" i="3"/>
  <c r="CE128" i="3" s="1"/>
  <c r="I31" i="1"/>
  <c r="J30" i="1"/>
  <c r="V143" i="2"/>
  <c r="V81" i="1"/>
  <c r="V75" i="1"/>
  <c r="AI47" i="13"/>
  <c r="AI53" i="13"/>
  <c r="CI36" i="3"/>
  <c r="CI118" i="3" s="1"/>
  <c r="AA38" i="3"/>
  <c r="BY77" i="3"/>
  <c r="BY76" i="3" s="1"/>
  <c r="BY80" i="3" s="1"/>
  <c r="BY75" i="1"/>
  <c r="BY81" i="1"/>
  <c r="BC78" i="1"/>
  <c r="BC72" i="1"/>
  <c r="BC65" i="1"/>
  <c r="AP77" i="1"/>
  <c r="AR82" i="1"/>
  <c r="AR11" i="3"/>
  <c r="AR84" i="1"/>
  <c r="AE77" i="3"/>
  <c r="AE76" i="3" s="1"/>
  <c r="AE80" i="3"/>
  <c r="CM95" i="3"/>
  <c r="CM79" i="3"/>
  <c r="CD41" i="3"/>
  <c r="G46" i="3"/>
  <c r="BM18" i="1"/>
  <c r="BM77" i="1"/>
  <c r="CO38" i="3"/>
  <c r="CO115" i="3"/>
  <c r="CO120" i="3" s="1"/>
  <c r="BV47" i="1"/>
  <c r="BV32" i="1"/>
  <c r="AE75" i="1"/>
  <c r="AE81" i="1"/>
  <c r="AE143" i="2"/>
  <c r="AN84" i="1"/>
  <c r="AN11" i="3"/>
  <c r="AN82" i="1"/>
  <c r="CJ42" i="3"/>
  <c r="CJ124" i="3" s="1"/>
  <c r="AE46" i="3"/>
  <c r="BS42" i="3"/>
  <c r="CM74" i="1"/>
  <c r="CM68" i="1"/>
  <c r="CM62" i="1"/>
  <c r="CQ63" i="2"/>
  <c r="BK63" i="2"/>
  <c r="CA63" i="2" s="1"/>
  <c r="CB63" i="2" s="1"/>
  <c r="CH77" i="3"/>
  <c r="CH76" i="3" s="1"/>
  <c r="CH80" i="3"/>
  <c r="BE60" i="2"/>
  <c r="BD61" i="2"/>
  <c r="BG105" i="3"/>
  <c r="BZ105" i="3" s="1"/>
  <c r="BR81" i="1"/>
  <c r="BR143" i="2"/>
  <c r="BR75" i="1"/>
  <c r="CF95" i="1"/>
  <c r="AO75" i="1"/>
  <c r="AO81" i="1"/>
  <c r="AO143" i="2"/>
  <c r="CM18" i="1"/>
  <c r="BU79" i="3"/>
  <c r="CP93" i="1"/>
  <c r="CP91" i="1"/>
  <c r="CP73" i="2"/>
  <c r="BF91" i="1"/>
  <c r="BQ77" i="3"/>
  <c r="BQ76" i="3" s="1"/>
  <c r="BQ80" i="3" s="1"/>
  <c r="CL31" i="1"/>
  <c r="BH106" i="3"/>
  <c r="BV37" i="13"/>
  <c r="BV35" i="13"/>
  <c r="BV20" i="13"/>
  <c r="BV26" i="13"/>
  <c r="Y81" i="1"/>
  <c r="Y75" i="1"/>
  <c r="Y143" i="2"/>
  <c r="CL62" i="1"/>
  <c r="CL74" i="1"/>
  <c r="CL68" i="1"/>
  <c r="CH82" i="1"/>
  <c r="CH84" i="1"/>
  <c r="BC77" i="3"/>
  <c r="CN70" i="1"/>
  <c r="AY64" i="3"/>
  <c r="CO16" i="3"/>
  <c r="CO98" i="3" s="1"/>
  <c r="BX16" i="3"/>
  <c r="BX64" i="3" s="1"/>
  <c r="BW70" i="1"/>
  <c r="BW71" i="1" s="1"/>
  <c r="AS71" i="1"/>
  <c r="CM70" i="1"/>
  <c r="CM71" i="1" s="1"/>
  <c r="AS77" i="1"/>
  <c r="BD10" i="1"/>
  <c r="BD37" i="13"/>
  <c r="BD32" i="13"/>
  <c r="BD35" i="13"/>
  <c r="BH36" i="13" s="1"/>
  <c r="AT39" i="1"/>
  <c r="AT47" i="1"/>
  <c r="K81" i="1"/>
  <c r="K143" i="2"/>
  <c r="K75" i="1"/>
  <c r="AL63" i="3"/>
  <c r="CK61" i="3"/>
  <c r="CK63" i="3" s="1"/>
  <c r="CJ34" i="3"/>
  <c r="AE38" i="3"/>
  <c r="BX37" i="13"/>
  <c r="BX35" i="13"/>
  <c r="AC68" i="1"/>
  <c r="AC74" i="1"/>
  <c r="AC62" i="1"/>
  <c r="BD20" i="13"/>
  <c r="BB75" i="1"/>
  <c r="BB143" i="2"/>
  <c r="BB81" i="1"/>
  <c r="AP32" i="1"/>
  <c r="AP47" i="1"/>
  <c r="AP52" i="1" s="1"/>
  <c r="BF44" i="3"/>
  <c r="BE46" i="3"/>
  <c r="F52" i="3"/>
  <c r="H18" i="1"/>
  <c r="I17" i="1"/>
  <c r="H77" i="1"/>
  <c r="AQ64" i="1"/>
  <c r="AQ53" i="1"/>
  <c r="CE62" i="1"/>
  <c r="CE68" i="1"/>
  <c r="CE74" i="1"/>
  <c r="BI31" i="13"/>
  <c r="BJ28" i="13"/>
  <c r="W81" i="1"/>
  <c r="W75" i="1"/>
  <c r="W143" i="2"/>
  <c r="CN13" i="3"/>
  <c r="AU79" i="3"/>
  <c r="AN78" i="1"/>
  <c r="AN72" i="1"/>
  <c r="AN65" i="1"/>
  <c r="CQ55" i="1"/>
  <c r="CQ59" i="1"/>
  <c r="CO95" i="3"/>
  <c r="CO79" i="3"/>
  <c r="BX77" i="3"/>
  <c r="BX76" i="3" s="1"/>
  <c r="BX80" i="3" s="1"/>
  <c r="AD81" i="1"/>
  <c r="AD75" i="1"/>
  <c r="AD143" i="2"/>
  <c r="BU44" i="13"/>
  <c r="BU47" i="13" s="1"/>
  <c r="AD47" i="13"/>
  <c r="AD53" i="13" s="1"/>
  <c r="AA47" i="13"/>
  <c r="AA53" i="13"/>
  <c r="BR44" i="13"/>
  <c r="AP126" i="2"/>
  <c r="AP127" i="2" s="1"/>
  <c r="AP122" i="2"/>
  <c r="AS25" i="1"/>
  <c r="AS52" i="1"/>
  <c r="BY53" i="1"/>
  <c r="BY64" i="1"/>
  <c r="W44" i="13"/>
  <c r="W43" i="13"/>
  <c r="U47" i="13"/>
  <c r="U50" i="13" s="1"/>
  <c r="U52" i="13" s="1"/>
  <c r="BT74" i="1"/>
  <c r="BT62" i="1"/>
  <c r="BT68" i="1"/>
  <c r="BN75" i="1"/>
  <c r="BN81" i="1"/>
  <c r="BN143" i="2"/>
  <c r="P11" i="3"/>
  <c r="P82" i="1"/>
  <c r="P84" i="1"/>
  <c r="AF75" i="1"/>
  <c r="AF81" i="1"/>
  <c r="AF143" i="2"/>
  <c r="BX18" i="1"/>
  <c r="AE44" i="13"/>
  <c r="AE43" i="13"/>
  <c r="BS43" i="13" s="1"/>
  <c r="CB56" i="1"/>
  <c r="CB55" i="1" s="1"/>
  <c r="CA55" i="1"/>
  <c r="CA59" i="1"/>
  <c r="CB59" i="1" s="1"/>
  <c r="CG44" i="3"/>
  <c r="CG126" i="3" s="1"/>
  <c r="S95" i="1"/>
  <c r="CG95" i="1" s="1"/>
  <c r="S46" i="3"/>
  <c r="CL70" i="1"/>
  <c r="CL71" i="1" s="1"/>
  <c r="BV70" i="1"/>
  <c r="AO71" i="1"/>
  <c r="AO77" i="1"/>
  <c r="BW18" i="1"/>
  <c r="I82" i="1"/>
  <c r="I11" i="3"/>
  <c r="I30" i="3" s="1"/>
  <c r="I84" i="1"/>
  <c r="CK41" i="3"/>
  <c r="AI46" i="3"/>
  <c r="BT41" i="3"/>
  <c r="BT46" i="3" s="1"/>
  <c r="BM62" i="1"/>
  <c r="BM68" i="1"/>
  <c r="BM74" i="1"/>
  <c r="BQ38" i="3"/>
  <c r="BQ61" i="3"/>
  <c r="BQ63" i="3" s="1"/>
  <c r="BJ20" i="2"/>
  <c r="BI80" i="2"/>
  <c r="BI134" i="2" s="1"/>
  <c r="BI24" i="3"/>
  <c r="AU85" i="1"/>
  <c r="AU79" i="1"/>
  <c r="AC47" i="13"/>
  <c r="BT44" i="13"/>
  <c r="BT47" i="13" s="1"/>
  <c r="AC46" i="13"/>
  <c r="BI23" i="3"/>
  <c r="BI15" i="2"/>
  <c r="AQ62" i="1"/>
  <c r="AQ74" i="1"/>
  <c r="AQ68" i="1"/>
  <c r="AG75" i="1"/>
  <c r="AG81" i="1"/>
  <c r="AG143" i="2"/>
  <c r="BD14" i="13"/>
  <c r="BS44" i="13"/>
  <c r="BH110" i="3"/>
  <c r="BU61" i="3"/>
  <c r="BU63" i="3" s="1"/>
  <c r="BU38" i="3"/>
  <c r="CN120" i="3"/>
  <c r="Q52" i="3"/>
  <c r="BW37" i="13"/>
  <c r="BW35" i="13"/>
  <c r="H32" i="1"/>
  <c r="H47" i="1"/>
  <c r="CH41" i="3"/>
  <c r="W46" i="3"/>
  <c r="CL25" i="1"/>
  <c r="CN24" i="1"/>
  <c r="CN19" i="1"/>
  <c r="BP81" i="1"/>
  <c r="BP75" i="1"/>
  <c r="BP143" i="2"/>
  <c r="AL81" i="1"/>
  <c r="AL75" i="1"/>
  <c r="AL143" i="2"/>
  <c r="AU46" i="3"/>
  <c r="CL95" i="3"/>
  <c r="CL79" i="3"/>
  <c r="CH115" i="3"/>
  <c r="CH120" i="3" s="1"/>
  <c r="CH38" i="3"/>
  <c r="BE126" i="3"/>
  <c r="BD128" i="3"/>
  <c r="G24" i="1"/>
  <c r="G19" i="1"/>
  <c r="CO61" i="3"/>
  <c r="CO63" i="3" s="1"/>
  <c r="AY63" i="3"/>
  <c r="CE95" i="1"/>
  <c r="BN95" i="1"/>
  <c r="BW32" i="13"/>
  <c r="AT77" i="3"/>
  <c r="AT76" i="3" s="1"/>
  <c r="AT80" i="3" s="1"/>
  <c r="CG77" i="3"/>
  <c r="CG76" i="3" s="1"/>
  <c r="CG80" i="3"/>
  <c r="BX75" i="1"/>
  <c r="BX81" i="1"/>
  <c r="BX143" i="2"/>
  <c r="AY77" i="3"/>
  <c r="AY76" i="3" s="1"/>
  <c r="AY80" i="3" s="1"/>
  <c r="BH111" i="3"/>
  <c r="CN128" i="3"/>
  <c r="AQ121" i="2"/>
  <c r="AR112" i="2"/>
  <c r="BV112" i="2"/>
  <c r="D84" i="3"/>
  <c r="D85" i="3" s="1"/>
  <c r="D52" i="3"/>
  <c r="BB46" i="3"/>
  <c r="BY41" i="3"/>
  <c r="BY46" i="3" s="1"/>
  <c r="CM39" i="1"/>
  <c r="F77" i="3"/>
  <c r="F76" i="3" s="1"/>
  <c r="F80" i="3" s="1"/>
  <c r="BH89" i="1"/>
  <c r="V43" i="13"/>
  <c r="BQ43" i="13" s="1"/>
  <c r="V44" i="13"/>
  <c r="BQ44" i="13" s="1"/>
  <c r="CK115" i="3"/>
  <c r="AL96" i="1"/>
  <c r="BU75" i="1"/>
  <c r="BU81" i="1"/>
  <c r="BU143" i="2"/>
  <c r="BF25" i="3"/>
  <c r="CP25" i="3" s="1"/>
  <c r="CP107" i="3" s="1"/>
  <c r="CJ123" i="3"/>
  <c r="AA75" i="1"/>
  <c r="AA81" i="1"/>
  <c r="AA143" i="2"/>
  <c r="CK34" i="3"/>
  <c r="CK116" i="3" s="1"/>
  <c r="AI38" i="3"/>
  <c r="BT34" i="3"/>
  <c r="BT38" i="3" s="1"/>
  <c r="AP81" i="1"/>
  <c r="AP75" i="1"/>
  <c r="AP143" i="2"/>
  <c r="AU75" i="1"/>
  <c r="AU81" i="1"/>
  <c r="AU143" i="2"/>
  <c r="F25" i="1"/>
  <c r="F52" i="1"/>
  <c r="BP44" i="3"/>
  <c r="BP46" i="3" s="1"/>
  <c r="BH109" i="3"/>
  <c r="E81" i="1"/>
  <c r="E75" i="1"/>
  <c r="E143" i="2"/>
  <c r="BC75" i="1"/>
  <c r="BC64" i="2"/>
  <c r="BC66" i="2" s="1"/>
  <c r="BC69" i="2" s="1"/>
  <c r="BC81" i="1"/>
  <c r="AH53" i="13"/>
  <c r="AH56" i="13" s="1"/>
  <c r="AM43" i="13"/>
  <c r="AM44" i="13"/>
  <c r="BX70" i="1"/>
  <c r="BX71" i="1" s="1"/>
  <c r="BV77" i="3"/>
  <c r="BV76" i="3" s="1"/>
  <c r="BV80" i="3"/>
  <c r="BE13" i="13"/>
  <c r="BF10" i="13"/>
  <c r="BE34" i="13"/>
  <c r="BE14" i="13" s="1"/>
  <c r="AB61" i="13"/>
  <c r="AB60" i="13"/>
  <c r="AB59" i="13"/>
  <c r="AB62" i="13"/>
  <c r="AB54" i="13"/>
  <c r="BJ30" i="2"/>
  <c r="BI28" i="3"/>
  <c r="CI74" i="1"/>
  <c r="CI62" i="1"/>
  <c r="CI68" i="1"/>
  <c r="BW44" i="3"/>
  <c r="BW46" i="3" s="1"/>
  <c r="AM38" i="3"/>
  <c r="AM61" i="3"/>
  <c r="CL33" i="3"/>
  <c r="AV143" i="2"/>
  <c r="AV81" i="1"/>
  <c r="AV75" i="1"/>
  <c r="CN38" i="3"/>
  <c r="BV32" i="13"/>
  <c r="BR36" i="3"/>
  <c r="BR38" i="3" s="1"/>
  <c r="AT11" i="3"/>
  <c r="AT30" i="3" s="1"/>
  <c r="AT84" i="3" s="1"/>
  <c r="AT85" i="3" s="1"/>
  <c r="AT82" i="1"/>
  <c r="AT84" i="1"/>
  <c r="CK62" i="1"/>
  <c r="CK68" i="1"/>
  <c r="CK74" i="1"/>
  <c r="BE107" i="3"/>
  <c r="BF107" i="3" s="1"/>
  <c r="BG107" i="3" s="1"/>
  <c r="BZ107" i="3" s="1"/>
  <c r="BE19" i="13"/>
  <c r="BF16" i="13"/>
  <c r="AM77" i="3"/>
  <c r="AM76" i="3" s="1"/>
  <c r="AM80" i="3"/>
  <c r="BY35" i="13"/>
  <c r="BY37" i="13"/>
  <c r="CH61" i="3"/>
  <c r="CH63" i="3" s="1"/>
  <c r="W63" i="3"/>
  <c r="BE65" i="2"/>
  <c r="CJ79" i="3"/>
  <c r="CJ95" i="3"/>
  <c r="BA65" i="1"/>
  <c r="AW25" i="1"/>
  <c r="AW52" i="1"/>
  <c r="CD81" i="1"/>
  <c r="CD75" i="1"/>
  <c r="CD143" i="2"/>
  <c r="CI120" i="3"/>
  <c r="BY26" i="13"/>
  <c r="BK55" i="1"/>
  <c r="BK59" i="1"/>
  <c r="BW68" i="1"/>
  <c r="BW74" i="1"/>
  <c r="BW62" i="1"/>
  <c r="CI42" i="3"/>
  <c r="AA46" i="3"/>
  <c r="BI29" i="3"/>
  <c r="BJ31" i="2"/>
  <c r="CN46" i="3"/>
  <c r="CQ30" i="1"/>
  <c r="BC143" i="2" l="1"/>
  <c r="AJ11" i="3"/>
  <c r="AJ82" i="1"/>
  <c r="AJ84" i="1"/>
  <c r="AR115" i="2"/>
  <c r="AS107" i="2"/>
  <c r="J84" i="3"/>
  <c r="J85" i="3" s="1"/>
  <c r="J52" i="3"/>
  <c r="BY84" i="2"/>
  <c r="BC85" i="2"/>
  <c r="BY85" i="2" s="1"/>
  <c r="AX11" i="3"/>
  <c r="AX30" i="3" s="1"/>
  <c r="AX82" i="1"/>
  <c r="AX84" i="1"/>
  <c r="J37" i="1"/>
  <c r="I38" i="1"/>
  <c r="I39" i="1" s="1"/>
  <c r="CD37" i="1"/>
  <c r="CD38" i="1" s="1"/>
  <c r="CD39" i="1" s="1"/>
  <c r="BX77" i="1"/>
  <c r="AQ125" i="2"/>
  <c r="AQ117" i="2"/>
  <c r="CQ83" i="2"/>
  <c r="BK83" i="2"/>
  <c r="CA83" i="2" s="1"/>
  <c r="CE95" i="3"/>
  <c r="CE79" i="3"/>
  <c r="CE77" i="3" s="1"/>
  <c r="CE76" i="3" s="1"/>
  <c r="CE80" i="3" s="1"/>
  <c r="BY86" i="2"/>
  <c r="BC87" i="2"/>
  <c r="BY87" i="2" s="1"/>
  <c r="L82" i="1"/>
  <c r="L11" i="3"/>
  <c r="L84" i="1"/>
  <c r="AS108" i="2"/>
  <c r="AR116" i="2"/>
  <c r="Z52" i="3"/>
  <c r="BI106" i="3"/>
  <c r="BP95" i="1"/>
  <c r="CN143" i="2"/>
  <c r="CN81" i="1"/>
  <c r="CN75" i="1"/>
  <c r="U84" i="3"/>
  <c r="U85" i="3" s="1"/>
  <c r="U52" i="3"/>
  <c r="BK12" i="2"/>
  <c r="CQ12" i="2"/>
  <c r="BJ79" i="2"/>
  <c r="BJ133" i="2" s="1"/>
  <c r="K77" i="3"/>
  <c r="K76" i="3" s="1"/>
  <c r="K80" i="3"/>
  <c r="T82" i="1"/>
  <c r="T11" i="3"/>
  <c r="T84" i="1"/>
  <c r="M82" i="1"/>
  <c r="M84" i="1"/>
  <c r="M11" i="3"/>
  <c r="M30" i="3" s="1"/>
  <c r="M84" i="3" s="1"/>
  <c r="M85" i="3" s="1"/>
  <c r="BS46" i="3"/>
  <c r="CG128" i="3"/>
  <c r="AK11" i="3"/>
  <c r="AK30" i="3" s="1"/>
  <c r="AK82" i="1"/>
  <c r="AK84" i="1"/>
  <c r="AB84" i="3"/>
  <c r="AB85" i="3" s="1"/>
  <c r="AB52" i="3"/>
  <c r="CF95" i="3"/>
  <c r="CF79" i="3"/>
  <c r="AI11" i="3"/>
  <c r="AI30" i="3" s="1"/>
  <c r="AI84" i="3" s="1"/>
  <c r="AI85" i="3" s="1"/>
  <c r="AI82" i="1"/>
  <c r="AI84" i="1"/>
  <c r="O52" i="3"/>
  <c r="CI124" i="3"/>
  <c r="CI128" i="3" s="1"/>
  <c r="CI46" i="3"/>
  <c r="AW53" i="1"/>
  <c r="AW64" i="1"/>
  <c r="AV82" i="1"/>
  <c r="AV11" i="3"/>
  <c r="AV84" i="1"/>
  <c r="CI75" i="1"/>
  <c r="CI81" i="1"/>
  <c r="CI143" i="2"/>
  <c r="E82" i="1"/>
  <c r="E84" i="1"/>
  <c r="E11" i="3"/>
  <c r="AM96" i="1"/>
  <c r="BU96" i="1" s="1"/>
  <c r="D53" i="3"/>
  <c r="AQ126" i="2"/>
  <c r="AQ122" i="2"/>
  <c r="G52" i="1"/>
  <c r="G25" i="1"/>
  <c r="BQ47" i="13"/>
  <c r="BQ52" i="13" s="1"/>
  <c r="AC62" i="13"/>
  <c r="AC59" i="13"/>
  <c r="AC61" i="13"/>
  <c r="AC60" i="13"/>
  <c r="AC50" i="13"/>
  <c r="AC52" i="13" s="1"/>
  <c r="I84" i="3"/>
  <c r="I85" i="3" s="1"/>
  <c r="I52" i="3"/>
  <c r="BW19" i="1"/>
  <c r="BW24" i="1"/>
  <c r="BX19" i="1"/>
  <c r="BX24" i="1"/>
  <c r="AN79" i="1"/>
  <c r="AN85" i="1"/>
  <c r="BB82" i="1"/>
  <c r="BB11" i="3"/>
  <c r="BB30" i="3" s="1"/>
  <c r="BB84" i="3" s="1"/>
  <c r="BB85" i="3" s="1"/>
  <c r="BB84" i="1"/>
  <c r="CL75" i="1"/>
  <c r="CL81" i="1"/>
  <c r="CL143" i="2"/>
  <c r="Y11" i="3"/>
  <c r="Y30" i="3" s="1"/>
  <c r="Y82" i="1"/>
  <c r="Y84" i="1"/>
  <c r="CL32" i="1"/>
  <c r="CL47" i="1"/>
  <c r="CL52" i="1" s="1"/>
  <c r="CM24" i="1"/>
  <c r="CM19" i="1"/>
  <c r="BR84" i="1"/>
  <c r="BR82" i="1"/>
  <c r="BV52" i="1"/>
  <c r="BM19" i="1"/>
  <c r="BM24" i="1"/>
  <c r="AR30" i="3"/>
  <c r="AR93" i="3"/>
  <c r="BC85" i="1"/>
  <c r="BC79" i="1"/>
  <c r="V11" i="3"/>
  <c r="V84" i="1"/>
  <c r="V82" i="1"/>
  <c r="K30" i="1"/>
  <c r="J31" i="1"/>
  <c r="CD30" i="1"/>
  <c r="CD31" i="1" s="1"/>
  <c r="AM82" i="1"/>
  <c r="AM84" i="1"/>
  <c r="AM11" i="3"/>
  <c r="X11" i="3"/>
  <c r="X82" i="1"/>
  <c r="X84" i="1"/>
  <c r="G63" i="3"/>
  <c r="CD61" i="3"/>
  <c r="CD63" i="3" s="1"/>
  <c r="BA84" i="1"/>
  <c r="BA82" i="1"/>
  <c r="BA11" i="3"/>
  <c r="CO53" i="1"/>
  <c r="CO64" i="1"/>
  <c r="CB17" i="1"/>
  <c r="BG22" i="13"/>
  <c r="BZ22" i="13" s="1"/>
  <c r="BF25" i="13"/>
  <c r="AR65" i="1"/>
  <c r="AR72" i="1"/>
  <c r="AR78" i="1"/>
  <c r="AJ103" i="2"/>
  <c r="AK115" i="2"/>
  <c r="G77" i="3"/>
  <c r="G76" i="3" s="1"/>
  <c r="G80" i="3" s="1"/>
  <c r="BK31" i="2"/>
  <c r="BJ29" i="3"/>
  <c r="CQ31" i="2"/>
  <c r="CJ77" i="3"/>
  <c r="CJ76" i="3" s="1"/>
  <c r="CJ80" i="3"/>
  <c r="BG16" i="13"/>
  <c r="BZ16" i="13" s="1"/>
  <c r="BF19" i="13"/>
  <c r="CK75" i="1"/>
  <c r="CK81" i="1"/>
  <c r="CK143" i="2"/>
  <c r="AB67" i="13"/>
  <c r="AB74" i="13" s="1"/>
  <c r="BE37" i="13"/>
  <c r="BE35" i="13"/>
  <c r="BI36" i="13" s="1"/>
  <c r="BE10" i="1"/>
  <c r="BE32" i="13"/>
  <c r="AU84" i="1"/>
  <c r="AU82" i="1"/>
  <c r="AU11" i="3"/>
  <c r="AP84" i="1"/>
  <c r="AP82" i="1"/>
  <c r="AP11" i="3"/>
  <c r="AP30" i="3" s="1"/>
  <c r="BU82" i="1"/>
  <c r="BU84" i="1"/>
  <c r="CK38" i="3"/>
  <c r="BX82" i="1"/>
  <c r="BX84" i="1"/>
  <c r="CL80" i="3"/>
  <c r="CL77" i="3"/>
  <c r="CL76" i="3" s="1"/>
  <c r="CH123" i="3"/>
  <c r="CH128" i="3" s="1"/>
  <c r="CH46" i="3"/>
  <c r="BI110" i="3"/>
  <c r="AQ81" i="1"/>
  <c r="AQ143" i="2"/>
  <c r="AQ75" i="1"/>
  <c r="AC55" i="13"/>
  <c r="BJ80" i="2"/>
  <c r="BJ134" i="2" s="1"/>
  <c r="BK20" i="2"/>
  <c r="BJ24" i="3"/>
  <c r="CQ20" i="2"/>
  <c r="BM75" i="1"/>
  <c r="BM81" i="1"/>
  <c r="BM143" i="2"/>
  <c r="AF84" i="1"/>
  <c r="AF82" i="1"/>
  <c r="AF11" i="3"/>
  <c r="P93" i="3"/>
  <c r="P30" i="3"/>
  <c r="U53" i="13"/>
  <c r="U56" i="13" s="1"/>
  <c r="BY65" i="1"/>
  <c r="AA52" i="13"/>
  <c r="AA51" i="13"/>
  <c r="AA50" i="13"/>
  <c r="AA56" i="13" s="1"/>
  <c r="AU77" i="3"/>
  <c r="AU76" i="3" s="1"/>
  <c r="AU80" i="3" s="1"/>
  <c r="W84" i="1"/>
  <c r="W11" i="3"/>
  <c r="W82" i="1"/>
  <c r="CE81" i="1"/>
  <c r="CE75" i="1"/>
  <c r="CE143" i="2"/>
  <c r="AQ65" i="1"/>
  <c r="AQ78" i="1"/>
  <c r="AQ72" i="1"/>
  <c r="H24" i="1"/>
  <c r="H19" i="1"/>
  <c r="BF46" i="3"/>
  <c r="BG44" i="3"/>
  <c r="CP44" i="3"/>
  <c r="AC75" i="1"/>
  <c r="AC81" i="1"/>
  <c r="AC143" i="2"/>
  <c r="BD12" i="1"/>
  <c r="BD14" i="1"/>
  <c r="BD61" i="3"/>
  <c r="BD34" i="1"/>
  <c r="BD11" i="1"/>
  <c r="BD27" i="1"/>
  <c r="BD52" i="2"/>
  <c r="BD13" i="2" s="1"/>
  <c r="BD21" i="1"/>
  <c r="BU43" i="13"/>
  <c r="CI38" i="3"/>
  <c r="AE84" i="1"/>
  <c r="AE11" i="3"/>
  <c r="AE82" i="1"/>
  <c r="I47" i="1"/>
  <c r="I32" i="1"/>
  <c r="BI105" i="3"/>
  <c r="AT52" i="1"/>
  <c r="AT25" i="1"/>
  <c r="R82" i="1"/>
  <c r="R84" i="1"/>
  <c r="R11" i="3"/>
  <c r="R30" i="3" s="1"/>
  <c r="BZ23" i="2"/>
  <c r="BH23" i="2"/>
  <c r="BH25" i="3"/>
  <c r="BH57" i="2"/>
  <c r="BZ57" i="2"/>
  <c r="BJ104" i="1"/>
  <c r="BI106" i="1"/>
  <c r="AV65" i="1"/>
  <c r="AV72" i="1"/>
  <c r="AV78" i="1"/>
  <c r="BV81" i="1"/>
  <c r="BV75" i="1"/>
  <c r="BV143" i="2"/>
  <c r="BM61" i="3"/>
  <c r="BM63" i="3" s="1"/>
  <c r="BM38" i="3"/>
  <c r="BE26" i="13"/>
  <c r="AO65" i="1"/>
  <c r="AO78" i="1"/>
  <c r="BZ25" i="3"/>
  <c r="AU120" i="2"/>
  <c r="AV111" i="2"/>
  <c r="BW111" i="2"/>
  <c r="H84" i="1"/>
  <c r="H82" i="1"/>
  <c r="H11" i="3"/>
  <c r="CQ29" i="3"/>
  <c r="CQ111" i="3" s="1"/>
  <c r="BW75" i="1"/>
  <c r="BW81" i="1"/>
  <c r="BW143" i="2"/>
  <c r="BA78" i="1"/>
  <c r="BF65" i="2"/>
  <c r="CL115" i="3"/>
  <c r="CL120" i="3" s="1"/>
  <c r="CL38" i="3"/>
  <c r="CQ30" i="2"/>
  <c r="BJ28" i="3"/>
  <c r="CQ28" i="3" s="1"/>
  <c r="CQ110" i="3" s="1"/>
  <c r="BK30" i="2"/>
  <c r="BG10" i="13"/>
  <c r="BF13" i="13"/>
  <c r="BF34" i="13"/>
  <c r="BF14" i="13" s="1"/>
  <c r="BC82" i="1"/>
  <c r="BC84" i="1"/>
  <c r="BC11" i="3"/>
  <c r="BI109" i="3"/>
  <c r="F53" i="1"/>
  <c r="F64" i="1"/>
  <c r="AA11" i="3"/>
  <c r="AA84" i="1"/>
  <c r="AA82" i="1"/>
  <c r="CJ128" i="3"/>
  <c r="CK120" i="3"/>
  <c r="BF126" i="3"/>
  <c r="BE128" i="3"/>
  <c r="BP84" i="1"/>
  <c r="BP82" i="1"/>
  <c r="AG84" i="1"/>
  <c r="AG11" i="3"/>
  <c r="AG30" i="3" s="1"/>
  <c r="AG82" i="1"/>
  <c r="AC53" i="13"/>
  <c r="CK123" i="3"/>
  <c r="CK128" i="3" s="1"/>
  <c r="CK46" i="3"/>
  <c r="AO72" i="1"/>
  <c r="CO77" i="3"/>
  <c r="CO76" i="3" s="1"/>
  <c r="CO80" i="3" s="1"/>
  <c r="CN95" i="3"/>
  <c r="CN79" i="3"/>
  <c r="BK28" i="13"/>
  <c r="BJ31" i="13"/>
  <c r="AP64" i="1"/>
  <c r="AP53" i="1"/>
  <c r="CJ116" i="3"/>
  <c r="CJ120" i="3" s="1"/>
  <c r="CJ38" i="3"/>
  <c r="CN71" i="1"/>
  <c r="CN77" i="1"/>
  <c r="BJ106" i="3"/>
  <c r="BU77" i="3"/>
  <c r="BU76" i="3" s="1"/>
  <c r="BU80" i="3" s="1"/>
  <c r="AO84" i="1"/>
  <c r="AO11" i="3"/>
  <c r="AO30" i="3" s="1"/>
  <c r="AO82" i="1"/>
  <c r="BS95" i="1"/>
  <c r="CD46" i="3"/>
  <c r="CD123" i="3"/>
  <c r="CD128" i="3" s="1"/>
  <c r="BY84" i="1"/>
  <c r="BY82" i="1"/>
  <c r="AI52" i="13"/>
  <c r="AI51" i="13"/>
  <c r="AI50" i="13"/>
  <c r="AI56" i="13" s="1"/>
  <c r="BS77" i="3"/>
  <c r="BS76" i="3" s="1"/>
  <c r="BS80" i="3" s="1"/>
  <c r="BT43" i="13"/>
  <c r="BH73" i="2"/>
  <c r="BI90" i="1"/>
  <c r="BH93" i="1"/>
  <c r="BH91" i="1"/>
  <c r="BO75" i="1"/>
  <c r="BO81" i="1"/>
  <c r="BO143" i="2"/>
  <c r="AZ84" i="3"/>
  <c r="AZ85" i="3" s="1"/>
  <c r="AZ52" i="3"/>
  <c r="AX25" i="1"/>
  <c r="AX52" i="1"/>
  <c r="CO71" i="1"/>
  <c r="CO77" i="1"/>
  <c r="AY11" i="3"/>
  <c r="AY82" i="1"/>
  <c r="AY84" i="1"/>
  <c r="AH11" i="3"/>
  <c r="AH30" i="3" s="1"/>
  <c r="AH82" i="1"/>
  <c r="AH84" i="1"/>
  <c r="BQ81" i="1"/>
  <c r="BQ75" i="1"/>
  <c r="BQ143" i="2"/>
  <c r="AZ85" i="1"/>
  <c r="AZ79" i="1"/>
  <c r="BW77" i="3"/>
  <c r="BW76" i="3" s="1"/>
  <c r="BW80" i="3"/>
  <c r="BM77" i="3"/>
  <c r="BM76" i="3" s="1"/>
  <c r="BM80" i="3" s="1"/>
  <c r="CD84" i="1"/>
  <c r="CD82" i="1"/>
  <c r="BE20" i="13"/>
  <c r="CL61" i="3"/>
  <c r="CL63" i="3" s="1"/>
  <c r="AM63" i="3"/>
  <c r="AM47" i="13"/>
  <c r="AM53" i="13" s="1"/>
  <c r="BY64" i="2"/>
  <c r="CJ46" i="3"/>
  <c r="AT52" i="3"/>
  <c r="CK96" i="1"/>
  <c r="V47" i="13"/>
  <c r="V50" i="13" s="1"/>
  <c r="V52" i="13" s="1"/>
  <c r="AS112" i="2"/>
  <c r="AR121" i="2"/>
  <c r="BI111" i="3"/>
  <c r="AL11" i="3"/>
  <c r="AL84" i="1"/>
  <c r="AL82" i="1"/>
  <c r="CN52" i="1"/>
  <c r="CN25" i="1"/>
  <c r="BS47" i="13"/>
  <c r="BS52" i="13" s="1"/>
  <c r="BS53" i="13"/>
  <c r="BS56" i="13" s="1"/>
  <c r="BJ15" i="2"/>
  <c r="BW77" i="1"/>
  <c r="BV71" i="1"/>
  <c r="BV77" i="1"/>
  <c r="AE47" i="13"/>
  <c r="BN84" i="1"/>
  <c r="BN82" i="1"/>
  <c r="BT81" i="1"/>
  <c r="BT75" i="1"/>
  <c r="BT143" i="2"/>
  <c r="W47" i="13"/>
  <c r="W53" i="13"/>
  <c r="AS53" i="1"/>
  <c r="AS64" i="1"/>
  <c r="BR47" i="13"/>
  <c r="BR52" i="13" s="1"/>
  <c r="AD61" i="13"/>
  <c r="AD60" i="13"/>
  <c r="AD59" i="13"/>
  <c r="AD62" i="13"/>
  <c r="AD50" i="13"/>
  <c r="AD52" i="13" s="1"/>
  <c r="AD11" i="3"/>
  <c r="AD30" i="3" s="1"/>
  <c r="AD82" i="1"/>
  <c r="AD84" i="1"/>
  <c r="I77" i="1"/>
  <c r="J17" i="1"/>
  <c r="I18" i="1"/>
  <c r="K11" i="3"/>
  <c r="K82" i="1"/>
  <c r="K84" i="1"/>
  <c r="BD77" i="3"/>
  <c r="BC76" i="3"/>
  <c r="CL77" i="1"/>
  <c r="CM77" i="1"/>
  <c r="BF60" i="2"/>
  <c r="BE61" i="2"/>
  <c r="CM81" i="1"/>
  <c r="CM75" i="1"/>
  <c r="CM143" i="2"/>
  <c r="AN93" i="3"/>
  <c r="AN30" i="3"/>
  <c r="CM77" i="3"/>
  <c r="CM76" i="3" s="1"/>
  <c r="CM80" i="3" s="1"/>
  <c r="AS84" i="1"/>
  <c r="AS82" i="1"/>
  <c r="AS11" i="3"/>
  <c r="AS30" i="3" s="1"/>
  <c r="BK29" i="2"/>
  <c r="CQ29" i="2"/>
  <c r="BJ27" i="3"/>
  <c r="CQ27" i="3" s="1"/>
  <c r="CQ109" i="3" s="1"/>
  <c r="G82" i="1"/>
  <c r="G11" i="3"/>
  <c r="G84" i="1"/>
  <c r="AZ112" i="3"/>
  <c r="AZ134" i="3" s="1"/>
  <c r="BA93" i="3"/>
  <c r="S82" i="1"/>
  <c r="S84" i="1"/>
  <c r="S11" i="3"/>
  <c r="BH14" i="3"/>
  <c r="BY71" i="1"/>
  <c r="BY72" i="1" s="1"/>
  <c r="BY77" i="1"/>
  <c r="CD115" i="3"/>
  <c r="CD120" i="3" s="1"/>
  <c r="CD38" i="3"/>
  <c r="CG81" i="1"/>
  <c r="CG75" i="1"/>
  <c r="CG143" i="2"/>
  <c r="CJ84" i="1"/>
  <c r="CJ82" i="1"/>
  <c r="BB65" i="1"/>
  <c r="BB72" i="1"/>
  <c r="BB78" i="1"/>
  <c r="BS75" i="1"/>
  <c r="BS81" i="1"/>
  <c r="BS143" i="2"/>
  <c r="CB22" i="2"/>
  <c r="CD79" i="3"/>
  <c r="CD95" i="3"/>
  <c r="BZ14" i="3"/>
  <c r="AJ93" i="3" l="1"/>
  <c r="AJ30" i="3"/>
  <c r="BW11" i="3"/>
  <c r="BW30" i="3" s="1"/>
  <c r="BW84" i="3" s="1"/>
  <c r="BW85" i="3" s="1"/>
  <c r="T93" i="3"/>
  <c r="T30" i="3"/>
  <c r="M52" i="3"/>
  <c r="AT108" i="2"/>
  <c r="AS116" i="2"/>
  <c r="AX84" i="3"/>
  <c r="AX85" i="3" s="1"/>
  <c r="AX52" i="3"/>
  <c r="BJ111" i="3"/>
  <c r="AC56" i="13"/>
  <c r="BB52" i="3"/>
  <c r="BK79" i="2"/>
  <c r="BK133" i="2" s="1"/>
  <c r="CA12" i="2"/>
  <c r="CN84" i="1"/>
  <c r="CN82" i="1"/>
  <c r="AI52" i="3"/>
  <c r="J38" i="1"/>
  <c r="J39" i="1" s="1"/>
  <c r="K37" i="1"/>
  <c r="AS115" i="2"/>
  <c r="AT107" i="2"/>
  <c r="AQ127" i="2"/>
  <c r="CF77" i="3"/>
  <c r="CF76" i="3" s="1"/>
  <c r="CF80" i="3" s="1"/>
  <c r="AK84" i="3"/>
  <c r="AK85" i="3" s="1"/>
  <c r="AK52" i="3"/>
  <c r="L93" i="3"/>
  <c r="L30" i="3"/>
  <c r="BO11" i="3"/>
  <c r="BO30" i="3" s="1"/>
  <c r="BO84" i="3" s="1"/>
  <c r="BO85" i="3" s="1"/>
  <c r="AR117" i="2"/>
  <c r="AR125" i="2"/>
  <c r="BZ25" i="13"/>
  <c r="BS82" i="1"/>
  <c r="BS84" i="1"/>
  <c r="K17" i="1"/>
  <c r="J18" i="1"/>
  <c r="J77" i="1"/>
  <c r="CD17" i="1"/>
  <c r="BN17" i="1"/>
  <c r="AS65" i="1"/>
  <c r="AS78" i="1"/>
  <c r="AL30" i="3"/>
  <c r="BU11" i="3"/>
  <c r="BU30" i="3" s="1"/>
  <c r="BU84" i="3" s="1"/>
  <c r="BU85" i="3" s="1"/>
  <c r="CK11" i="3"/>
  <c r="AS121" i="2"/>
  <c r="AT112" i="2"/>
  <c r="BQ84" i="1"/>
  <c r="BQ82" i="1"/>
  <c r="AO84" i="3"/>
  <c r="AO85" i="3" s="1"/>
  <c r="AO52" i="3"/>
  <c r="AA30" i="3"/>
  <c r="BG34" i="13"/>
  <c r="BG14" i="13" s="1"/>
  <c r="BG13" i="13"/>
  <c r="BH10" i="13"/>
  <c r="P84" i="3"/>
  <c r="P85" i="3" s="1"/>
  <c r="P52" i="3"/>
  <c r="BZ19" i="13"/>
  <c r="AK125" i="2"/>
  <c r="AK117" i="2"/>
  <c r="CO65" i="1"/>
  <c r="CO78" i="1"/>
  <c r="V30" i="3"/>
  <c r="BQ11" i="3"/>
  <c r="BQ30" i="3" s="1"/>
  <c r="BQ84" i="3" s="1"/>
  <c r="BQ85" i="3" s="1"/>
  <c r="AV93" i="3"/>
  <c r="BX11" i="3"/>
  <c r="BX30" i="3" s="1"/>
  <c r="BX84" i="3" s="1"/>
  <c r="BX85" i="3" s="1"/>
  <c r="AV30" i="3"/>
  <c r="CD77" i="3"/>
  <c r="CD76" i="3" s="1"/>
  <c r="CD80" i="3" s="1"/>
  <c r="AS84" i="3"/>
  <c r="AS85" i="3" s="1"/>
  <c r="AS52" i="3"/>
  <c r="BC67" i="3"/>
  <c r="BC80" i="3"/>
  <c r="CE11" i="3"/>
  <c r="K30" i="3"/>
  <c r="AE52" i="13"/>
  <c r="AE62" i="13"/>
  <c r="AE61" i="13"/>
  <c r="AE59" i="13"/>
  <c r="AE60" i="13"/>
  <c r="AE51" i="13"/>
  <c r="AE50" i="13"/>
  <c r="F78" i="1"/>
  <c r="F65" i="1"/>
  <c r="F72" i="1"/>
  <c r="CA30" i="2"/>
  <c r="CB30" i="2" s="1"/>
  <c r="CB28" i="3" s="1"/>
  <c r="CB110" i="3" s="1"/>
  <c r="BK28" i="3"/>
  <c r="CA28" i="3" s="1"/>
  <c r="BA79" i="1"/>
  <c r="BA85" i="1"/>
  <c r="AV79" i="1"/>
  <c r="AV85" i="1"/>
  <c r="BK104" i="1"/>
  <c r="BK106" i="1" s="1"/>
  <c r="BJ106" i="1"/>
  <c r="R84" i="3"/>
  <c r="R85" i="3" s="1"/>
  <c r="R52" i="3"/>
  <c r="AT53" i="1"/>
  <c r="AT64" i="1"/>
  <c r="BD21" i="3"/>
  <c r="BD53" i="2"/>
  <c r="BD18" i="1"/>
  <c r="BD15" i="1"/>
  <c r="AC11" i="3"/>
  <c r="CI11" i="3" s="1"/>
  <c r="AC82" i="1"/>
  <c r="AC84" i="1"/>
  <c r="AQ79" i="1"/>
  <c r="AQ85" i="1"/>
  <c r="CE84" i="1"/>
  <c r="CE82" i="1"/>
  <c r="Q93" i="3"/>
  <c r="P112" i="3"/>
  <c r="P134" i="3" s="1"/>
  <c r="CQ24" i="3"/>
  <c r="CQ106" i="3" s="1"/>
  <c r="CN11" i="3"/>
  <c r="AU30" i="3"/>
  <c r="X30" i="3"/>
  <c r="BR11" i="3"/>
  <c r="BR30" i="3" s="1"/>
  <c r="BR84" i="3" s="1"/>
  <c r="BR85" i="3" s="1"/>
  <c r="X93" i="3"/>
  <c r="L30" i="1"/>
  <c r="K31" i="1"/>
  <c r="AR84" i="3"/>
  <c r="AR85" i="3" s="1"/>
  <c r="AR52" i="3"/>
  <c r="CL53" i="1"/>
  <c r="CL64" i="1"/>
  <c r="CL82" i="1"/>
  <c r="CL84" i="1"/>
  <c r="BX25" i="1"/>
  <c r="BX52" i="1"/>
  <c r="CI84" i="1"/>
  <c r="CI82" i="1"/>
  <c r="BH96" i="3"/>
  <c r="BI14" i="3"/>
  <c r="BJ14" i="3" s="1"/>
  <c r="BK14" i="3" s="1"/>
  <c r="G30" i="3"/>
  <c r="CD11" i="3"/>
  <c r="CA29" i="2"/>
  <c r="CB29" i="2" s="1"/>
  <c r="CB27" i="3" s="1"/>
  <c r="CB109" i="3" s="1"/>
  <c r="BK27" i="3"/>
  <c r="CA27" i="3" s="1"/>
  <c r="AO93" i="3"/>
  <c r="AN112" i="3"/>
  <c r="AN134" i="3" s="1"/>
  <c r="CM84" i="1"/>
  <c r="CM82" i="1"/>
  <c r="AD84" i="3"/>
  <c r="AD85" i="3" s="1"/>
  <c r="AD52" i="3"/>
  <c r="AX64" i="1"/>
  <c r="AX53" i="1"/>
  <c r="BK106" i="3"/>
  <c r="CA106" i="3" s="1"/>
  <c r="AP78" i="1"/>
  <c r="AP65" i="1"/>
  <c r="AP72" i="1"/>
  <c r="BG65" i="2"/>
  <c r="CP65" i="2"/>
  <c r="BV82" i="1"/>
  <c r="BV84" i="1"/>
  <c r="AW78" i="1"/>
  <c r="AW65" i="1"/>
  <c r="AW72" i="1"/>
  <c r="CG82" i="1"/>
  <c r="CG84" i="1"/>
  <c r="BO84" i="1"/>
  <c r="BO82" i="1"/>
  <c r="CN77" i="3"/>
  <c r="CN76" i="3" s="1"/>
  <c r="CN80" i="3" s="1"/>
  <c r="AD56" i="13"/>
  <c r="AN84" i="3"/>
  <c r="AN85" i="3" s="1"/>
  <c r="AN52" i="3"/>
  <c r="BG60" i="2"/>
  <c r="CP60" i="2"/>
  <c r="CP61" i="2" s="1"/>
  <c r="BF61" i="2"/>
  <c r="AE53" i="13"/>
  <c r="AY30" i="3"/>
  <c r="CO11" i="3"/>
  <c r="BD38" i="1"/>
  <c r="BD39" i="1" s="1"/>
  <c r="BT11" i="3"/>
  <c r="BT30" i="3" s="1"/>
  <c r="BT84" i="3" s="1"/>
  <c r="BT85" i="3" s="1"/>
  <c r="AF93" i="3"/>
  <c r="AF30" i="3"/>
  <c r="BM84" i="1"/>
  <c r="BM82" i="1"/>
  <c r="BK24" i="3"/>
  <c r="CA24" i="3" s="1"/>
  <c r="CA20" i="2"/>
  <c r="BK80" i="2"/>
  <c r="BK134" i="2" s="1"/>
  <c r="BM52" i="1"/>
  <c r="BM25" i="1"/>
  <c r="AC67" i="13"/>
  <c r="AC74" i="13" s="1"/>
  <c r="AN96" i="1"/>
  <c r="BZ10" i="13"/>
  <c r="BI57" i="2"/>
  <c r="BH44" i="3"/>
  <c r="BG46" i="3"/>
  <c r="CA31" i="2"/>
  <c r="CB31" i="2" s="1"/>
  <c r="CB29" i="3" s="1"/>
  <c r="CB111" i="3" s="1"/>
  <c r="BK29" i="3"/>
  <c r="CA29" i="3" s="1"/>
  <c r="BH22" i="13"/>
  <c r="BG25" i="13"/>
  <c r="BG26" i="13"/>
  <c r="AM30" i="3"/>
  <c r="CL11" i="3"/>
  <c r="J47" i="1"/>
  <c r="J32" i="1"/>
  <c r="BV64" i="1"/>
  <c r="BV53" i="1"/>
  <c r="BB93" i="3"/>
  <c r="BA112" i="3"/>
  <c r="BA134" i="3" s="1"/>
  <c r="BZ44" i="3"/>
  <c r="BZ46" i="3" s="1"/>
  <c r="BB85" i="1"/>
  <c r="BB79" i="1"/>
  <c r="CG11" i="3"/>
  <c r="S30" i="3"/>
  <c r="BE77" i="3"/>
  <c r="BF77" i="3" s="1"/>
  <c r="BG77" i="3" s="1"/>
  <c r="BH77" i="3" s="1"/>
  <c r="BI77" i="3" s="1"/>
  <c r="BJ77" i="3" s="1"/>
  <c r="BK77" i="3" s="1"/>
  <c r="BD76" i="3"/>
  <c r="BD13" i="3" s="1"/>
  <c r="BT84" i="1"/>
  <c r="BT82" i="1"/>
  <c r="BK15" i="2"/>
  <c r="CA15" i="2" s="1"/>
  <c r="CQ15" i="2"/>
  <c r="BK111" i="3"/>
  <c r="CA111" i="3" s="1"/>
  <c r="CO72" i="1"/>
  <c r="BJ90" i="1"/>
  <c r="BI93" i="1"/>
  <c r="BI73" i="2"/>
  <c r="AG84" i="3"/>
  <c r="AG85" i="3" s="1"/>
  <c r="AG52" i="3"/>
  <c r="BI89" i="1"/>
  <c r="BF35" i="13"/>
  <c r="BJ36" i="13" s="1"/>
  <c r="BF10" i="1"/>
  <c r="BF37" i="13"/>
  <c r="BF32" i="13"/>
  <c r="CQ104" i="1"/>
  <c r="CQ106" i="1" s="1"/>
  <c r="BH107" i="3"/>
  <c r="BD31" i="1"/>
  <c r="BD46" i="1"/>
  <c r="BY78" i="1"/>
  <c r="CF11" i="3"/>
  <c r="BJ110" i="3"/>
  <c r="AP84" i="3"/>
  <c r="AP85" i="3" s="1"/>
  <c r="AP52" i="3"/>
  <c r="CK84" i="1"/>
  <c r="CK82" i="1"/>
  <c r="BF20" i="13"/>
  <c r="BA30" i="3"/>
  <c r="BY11" i="3"/>
  <c r="I19" i="1"/>
  <c r="I24" i="1"/>
  <c r="AD67" i="13"/>
  <c r="BR53" i="13"/>
  <c r="BR56" i="13" s="1"/>
  <c r="W52" i="13"/>
  <c r="W50" i="13"/>
  <c r="W56" i="13" s="1"/>
  <c r="BJ23" i="3"/>
  <c r="BJ105" i="3" s="1"/>
  <c r="CN64" i="1"/>
  <c r="CN72" i="1" s="1"/>
  <c r="CN53" i="1"/>
  <c r="AR126" i="2"/>
  <c r="AR127" i="2" s="1"/>
  <c r="AR122" i="2"/>
  <c r="V53" i="13"/>
  <c r="V56" i="13" s="1"/>
  <c r="BY143" i="2"/>
  <c r="BY66" i="2"/>
  <c r="BY69" i="2" s="1"/>
  <c r="AM52" i="13"/>
  <c r="AM51" i="13"/>
  <c r="AM50" i="13"/>
  <c r="AM56" i="13" s="1"/>
  <c r="BN30" i="1"/>
  <c r="BN31" i="1" s="1"/>
  <c r="AH84" i="3"/>
  <c r="AH85" i="3" s="1"/>
  <c r="AH52" i="3"/>
  <c r="CA104" i="1"/>
  <c r="BK31" i="13"/>
  <c r="CA28" i="13"/>
  <c r="BG126" i="3"/>
  <c r="BF128" i="3"/>
  <c r="BJ109" i="3"/>
  <c r="BW82" i="1"/>
  <c r="BW84" i="1"/>
  <c r="H93" i="3"/>
  <c r="BN11" i="3"/>
  <c r="BN30" i="3" s="1"/>
  <c r="BN84" i="3" s="1"/>
  <c r="BN85" i="3" s="1"/>
  <c r="H30" i="3"/>
  <c r="AW111" i="2"/>
  <c r="AV120" i="2"/>
  <c r="AO79" i="1"/>
  <c r="AO85" i="1"/>
  <c r="BI23" i="2"/>
  <c r="BI25" i="3" s="1"/>
  <c r="CJ11" i="3"/>
  <c r="AE30" i="3"/>
  <c r="BD49" i="1"/>
  <c r="BD33" i="3"/>
  <c r="BD65" i="3"/>
  <c r="CP126" i="3"/>
  <c r="CP128" i="3" s="1"/>
  <c r="CP46" i="3"/>
  <c r="H25" i="1"/>
  <c r="H52" i="1"/>
  <c r="W30" i="3"/>
  <c r="CH11" i="3"/>
  <c r="BP11" i="3"/>
  <c r="BP30" i="3" s="1"/>
  <c r="BP84" i="3" s="1"/>
  <c r="BP85" i="3" s="1"/>
  <c r="AQ11" i="3"/>
  <c r="AQ84" i="1"/>
  <c r="AQ82" i="1"/>
  <c r="BE61" i="3"/>
  <c r="BE33" i="3" s="1"/>
  <c r="BE38" i="3" s="1"/>
  <c r="BE21" i="1"/>
  <c r="BE52" i="2"/>
  <c r="BE13" i="2" s="1"/>
  <c r="BE21" i="3" s="1"/>
  <c r="BE27" i="1"/>
  <c r="BE14" i="1"/>
  <c r="BE12" i="1"/>
  <c r="BE11" i="1"/>
  <c r="BE34" i="1"/>
  <c r="BE38" i="1" s="1"/>
  <c r="BE39" i="1" s="1"/>
  <c r="BG19" i="13"/>
  <c r="BH16" i="13"/>
  <c r="AR79" i="1"/>
  <c r="AR85" i="1"/>
  <c r="BF26" i="13"/>
  <c r="CD47" i="1"/>
  <c r="CD32" i="1"/>
  <c r="AR112" i="3"/>
  <c r="AR134" i="3" s="1"/>
  <c r="AS93" i="3"/>
  <c r="CM52" i="1"/>
  <c r="CM25" i="1"/>
  <c r="Y84" i="3"/>
  <c r="Y85" i="3" s="1"/>
  <c r="Y52" i="3"/>
  <c r="AS72" i="1"/>
  <c r="BW52" i="1"/>
  <c r="BW25" i="1"/>
  <c r="BQ53" i="13"/>
  <c r="BQ56" i="13" s="1"/>
  <c r="G53" i="1"/>
  <c r="G64" i="1"/>
  <c r="D56" i="3"/>
  <c r="E50" i="3"/>
  <c r="E30" i="3"/>
  <c r="BM11" i="3"/>
  <c r="BM30" i="3" s="1"/>
  <c r="BM84" i="3" s="1"/>
  <c r="BM85" i="3" s="1"/>
  <c r="E93" i="3"/>
  <c r="AJ52" i="3" l="1"/>
  <c r="AJ84" i="3"/>
  <c r="AJ85" i="3" s="1"/>
  <c r="AK93" i="3"/>
  <c r="AJ112" i="3"/>
  <c r="AJ134" i="3" s="1"/>
  <c r="L84" i="3"/>
  <c r="L85" i="3" s="1"/>
  <c r="L52" i="3"/>
  <c r="BO52" i="3" s="1"/>
  <c r="AT115" i="2"/>
  <c r="AU107" i="2"/>
  <c r="M93" i="3"/>
  <c r="L112" i="3"/>
  <c r="L134" i="3" s="1"/>
  <c r="AS117" i="2"/>
  <c r="AS125" i="2"/>
  <c r="T84" i="3"/>
  <c r="T85" i="3" s="1"/>
  <c r="T52" i="3"/>
  <c r="BK23" i="3"/>
  <c r="BK105" i="3" s="1"/>
  <c r="CA105" i="3" s="1"/>
  <c r="CA14" i="3"/>
  <c r="L37" i="1"/>
  <c r="K38" i="1"/>
  <c r="K39" i="1" s="1"/>
  <c r="BN37" i="1"/>
  <c r="BN38" i="1" s="1"/>
  <c r="BN39" i="1" s="1"/>
  <c r="U93" i="3"/>
  <c r="T112" i="3"/>
  <c r="T134" i="3" s="1"/>
  <c r="BG20" i="13"/>
  <c r="BK109" i="3"/>
  <c r="CA109" i="3" s="1"/>
  <c r="CQ14" i="3"/>
  <c r="CQ96" i="3" s="1"/>
  <c r="CA79" i="2"/>
  <c r="CA133" i="2" s="1"/>
  <c r="CB12" i="2"/>
  <c r="CB79" i="2" s="1"/>
  <c r="CB133" i="2" s="1"/>
  <c r="AU108" i="2"/>
  <c r="AT116" i="2"/>
  <c r="AQ30" i="3"/>
  <c r="CM11" i="3"/>
  <c r="W84" i="3"/>
  <c r="W85" i="3" s="1"/>
  <c r="W52" i="3"/>
  <c r="AE84" i="3"/>
  <c r="AE85" i="3" s="1"/>
  <c r="AE52" i="3"/>
  <c r="CA31" i="13"/>
  <c r="CB28" i="13"/>
  <c r="CQ23" i="3"/>
  <c r="CQ105" i="3" s="1"/>
  <c r="CA23" i="3"/>
  <c r="BA84" i="3"/>
  <c r="BA85" i="3" s="1"/>
  <c r="BA52" i="3"/>
  <c r="BY85" i="1"/>
  <c r="BY79" i="1"/>
  <c r="BD32" i="1"/>
  <c r="BD47" i="1"/>
  <c r="BF21" i="1"/>
  <c r="BF12" i="1"/>
  <c r="BF34" i="1"/>
  <c r="BF38" i="1" s="1"/>
  <c r="BF39" i="1" s="1"/>
  <c r="BF27" i="1"/>
  <c r="BF11" i="1"/>
  <c r="BF61" i="3"/>
  <c r="BF52" i="2"/>
  <c r="BF13" i="2" s="1"/>
  <c r="BF14" i="1"/>
  <c r="CP10" i="1"/>
  <c r="BD79" i="3"/>
  <c r="BD80" i="3" s="1"/>
  <c r="BD95" i="3"/>
  <c r="BE95" i="3" s="1"/>
  <c r="BC93" i="3"/>
  <c r="BB112" i="3"/>
  <c r="BB134" i="3" s="1"/>
  <c r="BV65" i="1"/>
  <c r="BV78" i="1"/>
  <c r="AM84" i="3"/>
  <c r="AM85" i="3" s="1"/>
  <c r="AM52" i="3"/>
  <c r="BH65" i="2"/>
  <c r="BI65" i="2" s="1"/>
  <c r="BZ65" i="2"/>
  <c r="AP79" i="1"/>
  <c r="AP85" i="1"/>
  <c r="CD93" i="3"/>
  <c r="CD112" i="3" s="1"/>
  <c r="CD134" i="3" s="1"/>
  <c r="CD30" i="3"/>
  <c r="CD84" i="3" s="1"/>
  <c r="CD85" i="3" s="1"/>
  <c r="L31" i="1"/>
  <c r="M30" i="1"/>
  <c r="X84" i="3"/>
  <c r="X85" i="3" s="1"/>
  <c r="X52" i="3"/>
  <c r="CN93" i="3"/>
  <c r="CN112" i="3" s="1"/>
  <c r="CN134" i="3" s="1"/>
  <c r="CN30" i="3"/>
  <c r="CN84" i="3" s="1"/>
  <c r="CN85" i="3" s="1"/>
  <c r="CE30" i="3"/>
  <c r="CE84" i="3" s="1"/>
  <c r="CE85" i="3" s="1"/>
  <c r="CE93" i="3"/>
  <c r="CE112" i="3" s="1"/>
  <c r="CE134" i="3" s="1"/>
  <c r="BH13" i="13"/>
  <c r="BH34" i="13"/>
  <c r="BI10" i="13"/>
  <c r="CI93" i="3"/>
  <c r="CI112" i="3" s="1"/>
  <c r="CI134" i="3" s="1"/>
  <c r="CI30" i="3"/>
  <c r="CI84" i="3" s="1"/>
  <c r="CI85" i="3" s="1"/>
  <c r="AU112" i="2"/>
  <c r="AT121" i="2"/>
  <c r="AL84" i="3"/>
  <c r="AL85" i="3" s="1"/>
  <c r="AL52" i="3"/>
  <c r="CD18" i="1"/>
  <c r="CD77" i="1"/>
  <c r="E112" i="3"/>
  <c r="E134" i="3" s="1"/>
  <c r="E135" i="3" s="1"/>
  <c r="E138" i="3" s="1"/>
  <c r="F93" i="3"/>
  <c r="CM64" i="1"/>
  <c r="CM53" i="1"/>
  <c r="BE18" i="1"/>
  <c r="BE15" i="1"/>
  <c r="BE53" i="2"/>
  <c r="H64" i="1"/>
  <c r="H53" i="1"/>
  <c r="BE76" i="3"/>
  <c r="BE13" i="3" s="1"/>
  <c r="BE79" i="3" s="1"/>
  <c r="BE80" i="3" s="1"/>
  <c r="BE65" i="3"/>
  <c r="CJ93" i="3"/>
  <c r="CJ112" i="3" s="1"/>
  <c r="CJ134" i="3" s="1"/>
  <c r="CJ30" i="3"/>
  <c r="CJ84" i="3" s="1"/>
  <c r="CJ85" i="3" s="1"/>
  <c r="I93" i="3"/>
  <c r="H112" i="3"/>
  <c r="H134" i="3" s="1"/>
  <c r="BN32" i="1"/>
  <c r="BN47" i="1"/>
  <c r="I52" i="1"/>
  <c r="I25" i="1"/>
  <c r="BV11" i="3"/>
  <c r="BV30" i="3" s="1"/>
  <c r="BV84" i="3" s="1"/>
  <c r="BV85" i="3" s="1"/>
  <c r="BJ93" i="1"/>
  <c r="BJ73" i="2"/>
  <c r="BK90" i="1"/>
  <c r="BJ57" i="2"/>
  <c r="CB20" i="2"/>
  <c r="CA80" i="2"/>
  <c r="CA134" i="2" s="1"/>
  <c r="AF84" i="3"/>
  <c r="AF85" i="3" s="1"/>
  <c r="AF52" i="3"/>
  <c r="CO30" i="3"/>
  <c r="CO84" i="3" s="1"/>
  <c r="CO85" i="3" s="1"/>
  <c r="CO93" i="3"/>
  <c r="CO112" i="3" s="1"/>
  <c r="CO134" i="3" s="1"/>
  <c r="AP93" i="3"/>
  <c r="AO112" i="3"/>
  <c r="AO134" i="3" s="1"/>
  <c r="G84" i="3"/>
  <c r="G85" i="3" s="1"/>
  <c r="G52" i="3"/>
  <c r="BD19" i="1"/>
  <c r="BD24" i="1"/>
  <c r="BD103" i="3"/>
  <c r="BE103" i="3" s="1"/>
  <c r="F79" i="1"/>
  <c r="F85" i="1"/>
  <c r="AV112" i="3"/>
  <c r="AV134" i="3" s="1"/>
  <c r="AW93" i="3"/>
  <c r="AA84" i="3"/>
  <c r="AA85" i="3" s="1"/>
  <c r="AA52" i="3"/>
  <c r="AS126" i="2"/>
  <c r="AS127" i="2" s="1"/>
  <c r="AS122" i="2"/>
  <c r="AS85" i="1"/>
  <c r="AS79" i="1"/>
  <c r="G78" i="1"/>
  <c r="G65" i="1"/>
  <c r="G72" i="1"/>
  <c r="BW53" i="1"/>
  <c r="BW64" i="1"/>
  <c r="AT93" i="3"/>
  <c r="AS112" i="3"/>
  <c r="AS134" i="3" s="1"/>
  <c r="BI16" i="13"/>
  <c r="BH19" i="13"/>
  <c r="BE31" i="1"/>
  <c r="BE46" i="1"/>
  <c r="BE49" i="1" s="1"/>
  <c r="BD115" i="3"/>
  <c r="BD38" i="3"/>
  <c r="BJ23" i="2"/>
  <c r="BJ25" i="3" s="1"/>
  <c r="CQ25" i="3" s="1"/>
  <c r="CQ107" i="3" s="1"/>
  <c r="AX111" i="2"/>
  <c r="AW120" i="2"/>
  <c r="CB104" i="1"/>
  <c r="CB106" i="1" s="1"/>
  <c r="CB14" i="3" s="1"/>
  <c r="CB96" i="3" s="1"/>
  <c r="CA106" i="1"/>
  <c r="BK110" i="3"/>
  <c r="CA110" i="3" s="1"/>
  <c r="CP27" i="1"/>
  <c r="BI107" i="3"/>
  <c r="BJ89" i="1"/>
  <c r="CQ90" i="1"/>
  <c r="BI91" i="1"/>
  <c r="S84" i="3"/>
  <c r="S85" i="3" s="1"/>
  <c r="S52" i="3"/>
  <c r="BP52" i="3" s="1"/>
  <c r="BZ13" i="13"/>
  <c r="BZ34" i="13"/>
  <c r="AO96" i="1"/>
  <c r="AF112" i="3"/>
  <c r="AF134" i="3" s="1"/>
  <c r="AG93" i="3"/>
  <c r="AY84" i="3"/>
  <c r="AY85" i="3" s="1"/>
  <c r="AY52" i="3"/>
  <c r="BZ60" i="2"/>
  <c r="BZ61" i="2" s="1"/>
  <c r="BH60" i="2"/>
  <c r="BG61" i="2"/>
  <c r="BX53" i="1"/>
  <c r="BX64" i="1"/>
  <c r="CL78" i="1"/>
  <c r="CL65" i="1"/>
  <c r="CL72" i="1"/>
  <c r="X112" i="3"/>
  <c r="X134" i="3" s="1"/>
  <c r="Y93" i="3"/>
  <c r="Q112" i="3"/>
  <c r="Q134" i="3" s="1"/>
  <c r="R93" i="3"/>
  <c r="BS11" i="3"/>
  <c r="BS30" i="3" s="1"/>
  <c r="BS84" i="3" s="1"/>
  <c r="BS85" i="3" s="1"/>
  <c r="AC30" i="3"/>
  <c r="AC93" i="3"/>
  <c r="AT65" i="1"/>
  <c r="AT78" i="1"/>
  <c r="AT72" i="1"/>
  <c r="BC68" i="3"/>
  <c r="BC71" i="3" s="1"/>
  <c r="BD67" i="3"/>
  <c r="BE67" i="3" s="1"/>
  <c r="V84" i="3"/>
  <c r="V85" i="3" s="1"/>
  <c r="V52" i="3"/>
  <c r="AK127" i="2"/>
  <c r="AK101" i="2"/>
  <c r="CK93" i="3"/>
  <c r="CK112" i="3" s="1"/>
  <c r="CK134" i="3" s="1"/>
  <c r="CK30" i="3"/>
  <c r="CK84" i="3" s="1"/>
  <c r="CK85" i="3" s="1"/>
  <c r="J19" i="1"/>
  <c r="J24" i="1"/>
  <c r="E84" i="3"/>
  <c r="E85" i="3" s="1"/>
  <c r="E52" i="3"/>
  <c r="CH93" i="3"/>
  <c r="CH112" i="3" s="1"/>
  <c r="CH134" i="3" s="1"/>
  <c r="CH30" i="3"/>
  <c r="CH84" i="3" s="1"/>
  <c r="CH85" i="3" s="1"/>
  <c r="BD61" i="1"/>
  <c r="BD50" i="1"/>
  <c r="H84" i="3"/>
  <c r="H85" i="3" s="1"/>
  <c r="H52" i="3"/>
  <c r="BZ126" i="3"/>
  <c r="BZ128" i="3" s="1"/>
  <c r="BG128" i="3"/>
  <c r="CN65" i="1"/>
  <c r="CN78" i="1"/>
  <c r="CF93" i="3"/>
  <c r="CF112" i="3" s="1"/>
  <c r="CF134" i="3" s="1"/>
  <c r="CF30" i="3"/>
  <c r="CF84" i="3" s="1"/>
  <c r="CF85" i="3" s="1"/>
  <c r="CB15" i="2"/>
  <c r="CB23" i="3" s="1"/>
  <c r="CB105" i="3" s="1"/>
  <c r="CG93" i="3"/>
  <c r="CG112" i="3" s="1"/>
  <c r="CG134" i="3" s="1"/>
  <c r="CG30" i="3"/>
  <c r="CG84" i="3" s="1"/>
  <c r="CG85" i="3" s="1"/>
  <c r="CL93" i="3"/>
  <c r="CL112" i="3" s="1"/>
  <c r="CL134" i="3" s="1"/>
  <c r="CL30" i="3"/>
  <c r="CL84" i="3" s="1"/>
  <c r="CL85" i="3" s="1"/>
  <c r="BH25" i="13"/>
  <c r="BI22" i="13"/>
  <c r="BH46" i="3"/>
  <c r="BI44" i="3"/>
  <c r="BH126" i="3"/>
  <c r="BM64" i="1"/>
  <c r="BM53" i="1"/>
  <c r="AE56" i="13"/>
  <c r="AW85" i="1"/>
  <c r="AW79" i="1"/>
  <c r="AX78" i="1"/>
  <c r="AX65" i="1"/>
  <c r="AX72" i="1"/>
  <c r="BV72" i="1"/>
  <c r="BI96" i="3"/>
  <c r="BJ96" i="3" s="1"/>
  <c r="BK96" i="3" s="1"/>
  <c r="CA96" i="3" s="1"/>
  <c r="K32" i="1"/>
  <c r="AU84" i="3"/>
  <c r="AU85" i="3" s="1"/>
  <c r="AU52" i="3"/>
  <c r="BD28" i="2"/>
  <c r="BD14" i="2"/>
  <c r="AE67" i="13"/>
  <c r="K84" i="3"/>
  <c r="K85" i="3" s="1"/>
  <c r="K52" i="3"/>
  <c r="AV84" i="3"/>
  <c r="AV85" i="3" s="1"/>
  <c r="AV52" i="3"/>
  <c r="CO79" i="1"/>
  <c r="CO85" i="1"/>
  <c r="CF52" i="3"/>
  <c r="BG37" i="13"/>
  <c r="BG10" i="1"/>
  <c r="BZ10" i="1" s="1"/>
  <c r="BG35" i="13"/>
  <c r="BK36" i="13" s="1"/>
  <c r="BG32" i="13"/>
  <c r="BN18" i="1"/>
  <c r="BN77" i="1"/>
  <c r="L17" i="1"/>
  <c r="K77" i="1"/>
  <c r="K18" i="1"/>
  <c r="AK112" i="3" l="1"/>
  <c r="AK134" i="3" s="1"/>
  <c r="AL93" i="3"/>
  <c r="BJ107" i="3"/>
  <c r="AT117" i="2"/>
  <c r="AT125" i="2"/>
  <c r="M37" i="1"/>
  <c r="L38" i="1"/>
  <c r="L39" i="1" s="1"/>
  <c r="M112" i="3"/>
  <c r="M134" i="3" s="1"/>
  <c r="N93" i="3"/>
  <c r="U112" i="3"/>
  <c r="U134" i="3" s="1"/>
  <c r="V93" i="3"/>
  <c r="K47" i="1"/>
  <c r="BK89" i="1"/>
  <c r="CA89" i="1" s="1"/>
  <c r="CB89" i="1" s="1"/>
  <c r="AV108" i="2"/>
  <c r="AU116" i="2"/>
  <c r="BW108" i="2"/>
  <c r="AU115" i="2"/>
  <c r="AV107" i="2"/>
  <c r="BW107" i="2"/>
  <c r="BE50" i="1"/>
  <c r="BE61" i="1"/>
  <c r="BN24" i="1"/>
  <c r="BN19" i="1"/>
  <c r="BD22" i="3"/>
  <c r="BI25" i="13"/>
  <c r="BJ22" i="13"/>
  <c r="BN52" i="3"/>
  <c r="AK104" i="2"/>
  <c r="AL115" i="2"/>
  <c r="Y112" i="3"/>
  <c r="Y134" i="3" s="1"/>
  <c r="Z93" i="3"/>
  <c r="CL85" i="1"/>
  <c r="CL79" i="1"/>
  <c r="CO52" i="3"/>
  <c r="BD120" i="3"/>
  <c r="BE115" i="3"/>
  <c r="CD52" i="3"/>
  <c r="CB80" i="2"/>
  <c r="CB134" i="2" s="1"/>
  <c r="CB24" i="3"/>
  <c r="CB106" i="3" s="1"/>
  <c r="BE28" i="2"/>
  <c r="BE14" i="2"/>
  <c r="CM65" i="1"/>
  <c r="CM78" i="1"/>
  <c r="CM72" i="1"/>
  <c r="AT126" i="2"/>
  <c r="AT122" i="2"/>
  <c r="BH37" i="13"/>
  <c r="BH10" i="1"/>
  <c r="BH35" i="13"/>
  <c r="BH32" i="13"/>
  <c r="BR52" i="3"/>
  <c r="L32" i="1"/>
  <c r="L47" i="1"/>
  <c r="BZ12" i="1"/>
  <c r="BZ52" i="2"/>
  <c r="CP13" i="2"/>
  <c r="CM93" i="3"/>
  <c r="CM112" i="3" s="1"/>
  <c r="CM134" i="3" s="1"/>
  <c r="CM30" i="3"/>
  <c r="CM84" i="3" s="1"/>
  <c r="CM85" i="3" s="1"/>
  <c r="BG21" i="1"/>
  <c r="BG34" i="1"/>
  <c r="BG14" i="1"/>
  <c r="BG61" i="3"/>
  <c r="BG12" i="1"/>
  <c r="BG27" i="1"/>
  <c r="BZ27" i="1" s="1"/>
  <c r="BG11" i="1"/>
  <c r="BG52" i="2"/>
  <c r="BG13" i="2" s="1"/>
  <c r="CE52" i="3"/>
  <c r="BD26" i="3"/>
  <c r="BD33" i="2"/>
  <c r="BI126" i="3"/>
  <c r="BH128" i="3"/>
  <c r="CN85" i="1"/>
  <c r="CN79" i="1"/>
  <c r="E53" i="3"/>
  <c r="BM52" i="3"/>
  <c r="BM53" i="3" s="1"/>
  <c r="BM56" i="3" s="1"/>
  <c r="J25" i="1"/>
  <c r="J52" i="1"/>
  <c r="R112" i="3"/>
  <c r="R134" i="3" s="1"/>
  <c r="S93" i="3"/>
  <c r="BX65" i="1"/>
  <c r="BX78" i="1"/>
  <c r="BX72" i="1"/>
  <c r="BZ37" i="13"/>
  <c r="BZ35" i="13"/>
  <c r="BZ32" i="13"/>
  <c r="BZ26" i="13"/>
  <c r="BZ20" i="13"/>
  <c r="AX120" i="2"/>
  <c r="AY111" i="2"/>
  <c r="BE32" i="1"/>
  <c r="BE47" i="1"/>
  <c r="BI19" i="13"/>
  <c r="BJ16" i="13"/>
  <c r="BW78" i="1"/>
  <c r="BW65" i="1"/>
  <c r="BW72" i="1"/>
  <c r="G79" i="1"/>
  <c r="G85" i="1"/>
  <c r="BD52" i="1"/>
  <c r="BD25" i="1"/>
  <c r="BT52" i="3"/>
  <c r="I53" i="1"/>
  <c r="I64" i="1"/>
  <c r="I112" i="3"/>
  <c r="I134" i="3" s="1"/>
  <c r="J93" i="3"/>
  <c r="BF65" i="3"/>
  <c r="BE68" i="3"/>
  <c r="BE19" i="2" s="1"/>
  <c r="BE70" i="3" s="1"/>
  <c r="BE71" i="3" s="1"/>
  <c r="BF76" i="3"/>
  <c r="BF13" i="3" s="1"/>
  <c r="G93" i="3"/>
  <c r="F112" i="3"/>
  <c r="F134" i="3" s="1"/>
  <c r="F135" i="3" s="1"/>
  <c r="F138" i="3" s="1"/>
  <c r="CD19" i="1"/>
  <c r="CD24" i="1"/>
  <c r="AV112" i="2"/>
  <c r="AU121" i="2"/>
  <c r="BW112" i="2"/>
  <c r="CL52" i="3"/>
  <c r="CP52" i="2"/>
  <c r="CP12" i="1"/>
  <c r="BF33" i="3"/>
  <c r="CP61" i="3"/>
  <c r="CP63" i="3" s="1"/>
  <c r="AQ84" i="3"/>
  <c r="AQ85" i="3" s="1"/>
  <c r="AQ52" i="3"/>
  <c r="L18" i="1"/>
  <c r="M17" i="1"/>
  <c r="L77" i="1"/>
  <c r="BX52" i="3"/>
  <c r="CN52" i="3"/>
  <c r="AX79" i="1"/>
  <c r="AX85" i="1"/>
  <c r="BQ52" i="3"/>
  <c r="AD93" i="3"/>
  <c r="AC112" i="3"/>
  <c r="AC134" i="3" s="1"/>
  <c r="BI60" i="2"/>
  <c r="BH61" i="2"/>
  <c r="CP34" i="1"/>
  <c r="BZ14" i="13"/>
  <c r="CQ93" i="1"/>
  <c r="CQ73" i="2"/>
  <c r="BH20" i="13"/>
  <c r="AX93" i="3"/>
  <c r="AW112" i="3"/>
  <c r="AW134" i="3" s="1"/>
  <c r="BK73" i="2"/>
  <c r="BK93" i="1"/>
  <c r="CA93" i="1" s="1"/>
  <c r="CA90" i="1"/>
  <c r="H78" i="1"/>
  <c r="H72" i="1"/>
  <c r="H65" i="1"/>
  <c r="BE19" i="1"/>
  <c r="BE24" i="1"/>
  <c r="BU52" i="3"/>
  <c r="CK52" i="3"/>
  <c r="BJ10" i="13"/>
  <c r="BI34" i="13"/>
  <c r="BI14" i="13" s="1"/>
  <c r="BI13" i="13"/>
  <c r="M31" i="1"/>
  <c r="N30" i="1"/>
  <c r="BY93" i="3"/>
  <c r="BF18" i="1"/>
  <c r="BF15" i="1"/>
  <c r="BF53" i="2"/>
  <c r="CP14" i="1"/>
  <c r="CH52" i="3"/>
  <c r="K19" i="1"/>
  <c r="K24" i="1"/>
  <c r="BM78" i="1"/>
  <c r="BM65" i="1"/>
  <c r="BM72" i="1"/>
  <c r="BJ44" i="3"/>
  <c r="CQ44" i="3" s="1"/>
  <c r="BI46" i="3"/>
  <c r="BH26" i="13"/>
  <c r="BD70" i="1"/>
  <c r="BD62" i="1"/>
  <c r="BD67" i="1"/>
  <c r="BD74" i="1" s="1"/>
  <c r="BF21" i="3"/>
  <c r="BF103" i="3" s="1"/>
  <c r="AT79" i="1"/>
  <c r="AT85" i="1"/>
  <c r="AC84" i="3"/>
  <c r="AC85" i="3" s="1"/>
  <c r="AC52" i="3"/>
  <c r="AG112" i="3"/>
  <c r="AG134" i="3" s="1"/>
  <c r="AH93" i="3"/>
  <c r="AP96" i="1"/>
  <c r="CL96" i="1"/>
  <c r="CG52" i="3"/>
  <c r="CQ89" i="1"/>
  <c r="CQ91" i="1" s="1"/>
  <c r="CP28" i="1"/>
  <c r="CP31" i="1"/>
  <c r="CP46" i="1"/>
  <c r="CQ23" i="2"/>
  <c r="BK23" i="2"/>
  <c r="CA23" i="2" s="1"/>
  <c r="AT112" i="3"/>
  <c r="AT134" i="3" s="1"/>
  <c r="AU93" i="3"/>
  <c r="BW52" i="3"/>
  <c r="AQ93" i="3"/>
  <c r="AP112" i="3"/>
  <c r="AP134" i="3" s="1"/>
  <c r="BK57" i="2"/>
  <c r="CQ57" i="2"/>
  <c r="BJ91" i="1"/>
  <c r="BD68" i="3"/>
  <c r="BD19" i="2" s="1"/>
  <c r="BD70" i="3" s="1"/>
  <c r="BD71" i="3" s="1"/>
  <c r="BH14" i="13"/>
  <c r="BV85" i="1"/>
  <c r="BV79" i="1"/>
  <c r="CP13" i="3"/>
  <c r="BF31" i="1"/>
  <c r="BF46" i="1"/>
  <c r="BF49" i="1" s="1"/>
  <c r="CJ52" i="3"/>
  <c r="AL112" i="3" l="1"/>
  <c r="AL134" i="3" s="1"/>
  <c r="AM93" i="3"/>
  <c r="AU117" i="2"/>
  <c r="AU125" i="2"/>
  <c r="M38" i="1"/>
  <c r="M39" i="1" s="1"/>
  <c r="N37" i="1"/>
  <c r="N112" i="3"/>
  <c r="N134" i="3" s="1"/>
  <c r="O93" i="3"/>
  <c r="BK91" i="1"/>
  <c r="AT127" i="2"/>
  <c r="AV115" i="2"/>
  <c r="AW107" i="2"/>
  <c r="AV116" i="2"/>
  <c r="AW108" i="2"/>
  <c r="V112" i="3"/>
  <c r="V134" i="3" s="1"/>
  <c r="W93" i="3"/>
  <c r="CP79" i="3"/>
  <c r="CP95" i="3"/>
  <c r="CA57" i="2"/>
  <c r="CB23" i="2"/>
  <c r="CB25" i="3"/>
  <c r="CB107" i="3" s="1"/>
  <c r="BS52" i="3"/>
  <c r="BD81" i="1"/>
  <c r="BD75" i="1"/>
  <c r="BD64" i="2"/>
  <c r="K25" i="1"/>
  <c r="K52" i="1"/>
  <c r="BF61" i="1"/>
  <c r="BF50" i="1"/>
  <c r="BF19" i="1"/>
  <c r="BF24" i="1"/>
  <c r="N31" i="1"/>
  <c r="O30" i="1"/>
  <c r="CE30" i="1"/>
  <c r="CE31" i="1" s="1"/>
  <c r="BJ13" i="13"/>
  <c r="BK10" i="13"/>
  <c r="BJ34" i="13"/>
  <c r="BJ26" i="13" s="1"/>
  <c r="AY93" i="3"/>
  <c r="AX112" i="3"/>
  <c r="AX134" i="3" s="1"/>
  <c r="BJ60" i="2"/>
  <c r="BI61" i="2"/>
  <c r="CM52" i="3"/>
  <c r="BV52" i="3"/>
  <c r="CD25" i="1"/>
  <c r="CD52" i="1"/>
  <c r="BF79" i="3"/>
  <c r="BF80" i="3" s="1"/>
  <c r="J112" i="3"/>
  <c r="J134" i="3" s="1"/>
  <c r="K93" i="3"/>
  <c r="BK16" i="13"/>
  <c r="CA16" i="13" s="1"/>
  <c r="BJ19" i="13"/>
  <c r="BJ20" i="13"/>
  <c r="BX111" i="2"/>
  <c r="AZ111" i="2"/>
  <c r="AY120" i="2"/>
  <c r="BZ13" i="2"/>
  <c r="BZ47" i="2" s="1"/>
  <c r="BG38" i="1"/>
  <c r="BG39" i="1" s="1"/>
  <c r="BZ34" i="1"/>
  <c r="BZ28" i="1"/>
  <c r="BZ31" i="1"/>
  <c r="AU112" i="3"/>
  <c r="AU134" i="3" s="1"/>
  <c r="BW93" i="3"/>
  <c r="BW112" i="3" s="1"/>
  <c r="BW134" i="3" s="1"/>
  <c r="AQ96" i="1"/>
  <c r="AR96" i="1" s="1"/>
  <c r="BV96" i="1"/>
  <c r="CQ126" i="3"/>
  <c r="CQ128" i="3" s="1"/>
  <c r="CQ46" i="3"/>
  <c r="CP53" i="2"/>
  <c r="CP18" i="1"/>
  <c r="CP15" i="1"/>
  <c r="M47" i="1"/>
  <c r="M32" i="1"/>
  <c r="CA91" i="1"/>
  <c r="CA73" i="2"/>
  <c r="CB90" i="1"/>
  <c r="CB73" i="2" s="1"/>
  <c r="M18" i="1"/>
  <c r="N17" i="1"/>
  <c r="M77" i="1"/>
  <c r="S112" i="3"/>
  <c r="S134" i="3" s="1"/>
  <c r="BP93" i="3"/>
  <c r="BP112" i="3" s="1"/>
  <c r="BP134" i="3" s="1"/>
  <c r="BG33" i="3"/>
  <c r="BG21" i="3"/>
  <c r="BZ21" i="3" s="1"/>
  <c r="BF95" i="3"/>
  <c r="BH14" i="1"/>
  <c r="BH21" i="1"/>
  <c r="BH27" i="1"/>
  <c r="BH34" i="1"/>
  <c r="BH52" i="2"/>
  <c r="BH13" i="2" s="1"/>
  <c r="BH21" i="3" s="1"/>
  <c r="BH12" i="1"/>
  <c r="BH61" i="3"/>
  <c r="BH33" i="3" s="1"/>
  <c r="BH11" i="1"/>
  <c r="BE33" i="2"/>
  <c r="BE26" i="3"/>
  <c r="BF67" i="3"/>
  <c r="BN52" i="1"/>
  <c r="BN25" i="1"/>
  <c r="AQ112" i="3"/>
  <c r="AQ134" i="3" s="1"/>
  <c r="BV93" i="3"/>
  <c r="BV112" i="3" s="1"/>
  <c r="BV134" i="3" s="1"/>
  <c r="AH112" i="3"/>
  <c r="AH134" i="3" s="1"/>
  <c r="AI93" i="3"/>
  <c r="CP21" i="3"/>
  <c r="CP103" i="3" s="1"/>
  <c r="BD77" i="1"/>
  <c r="BM85" i="1"/>
  <c r="BM79" i="1"/>
  <c r="BF14" i="2"/>
  <c r="BF28" i="2"/>
  <c r="CI52" i="3"/>
  <c r="CP38" i="1"/>
  <c r="CP35" i="1"/>
  <c r="AU126" i="2"/>
  <c r="AU127" i="2" s="1"/>
  <c r="AU122" i="2"/>
  <c r="BG76" i="3"/>
  <c r="BG13" i="3" s="1"/>
  <c r="BZ13" i="3" s="1"/>
  <c r="CP65" i="3"/>
  <c r="BG65" i="3"/>
  <c r="I78" i="1"/>
  <c r="I65" i="1"/>
  <c r="I72" i="1"/>
  <c r="BW79" i="1"/>
  <c r="BW85" i="1"/>
  <c r="BX85" i="1"/>
  <c r="BX79" i="1"/>
  <c r="F50" i="3"/>
  <c r="F53" i="3" s="1"/>
  <c r="E56" i="3"/>
  <c r="BJ126" i="3"/>
  <c r="BI128" i="3"/>
  <c r="BD108" i="3"/>
  <c r="CP47" i="2"/>
  <c r="CM85" i="1"/>
  <c r="CM79" i="1"/>
  <c r="AL117" i="2"/>
  <c r="AL125" i="2"/>
  <c r="BK22" i="13"/>
  <c r="BJ25" i="13"/>
  <c r="BE22" i="3"/>
  <c r="BE70" i="1"/>
  <c r="BE77" i="1" s="1"/>
  <c r="BE62" i="1"/>
  <c r="BE67" i="1"/>
  <c r="BF32" i="1"/>
  <c r="BF47" i="1"/>
  <c r="BK25" i="3"/>
  <c r="CP47" i="1"/>
  <c r="CP32" i="1"/>
  <c r="BD71" i="1"/>
  <c r="BJ46" i="3"/>
  <c r="BK44" i="3"/>
  <c r="BK46" i="3" s="1"/>
  <c r="BI10" i="1"/>
  <c r="BI37" i="13"/>
  <c r="BI35" i="13"/>
  <c r="BI32" i="13"/>
  <c r="BE52" i="1"/>
  <c r="BE25" i="1"/>
  <c r="H79" i="1"/>
  <c r="H85" i="1"/>
  <c r="AE93" i="3"/>
  <c r="AD112" i="3"/>
  <c r="AD134" i="3" s="1"/>
  <c r="L19" i="1"/>
  <c r="L24" i="1"/>
  <c r="BF38" i="3"/>
  <c r="CP33" i="3"/>
  <c r="CP21" i="1"/>
  <c r="BJ65" i="2"/>
  <c r="AW112" i="2"/>
  <c r="AV121" i="2"/>
  <c r="G112" i="3"/>
  <c r="G134" i="3" s="1"/>
  <c r="G135" i="3" s="1"/>
  <c r="BM93" i="3"/>
  <c r="BM112" i="3" s="1"/>
  <c r="BM134" i="3" s="1"/>
  <c r="BM135" i="3" s="1"/>
  <c r="BM138" i="3" s="1"/>
  <c r="BD53" i="1"/>
  <c r="BD64" i="1"/>
  <c r="BI20" i="13"/>
  <c r="J64" i="1"/>
  <c r="J53" i="1"/>
  <c r="BG46" i="1"/>
  <c r="BG49" i="1" s="1"/>
  <c r="BG31" i="1"/>
  <c r="BG53" i="2"/>
  <c r="BG18" i="1"/>
  <c r="BG15" i="1"/>
  <c r="BZ14" i="1"/>
  <c r="BF115" i="3"/>
  <c r="BE120" i="3"/>
  <c r="Z112" i="3"/>
  <c r="Z134" i="3" s="1"/>
  <c r="AA93" i="3"/>
  <c r="BI26" i="13"/>
  <c r="BD104" i="3"/>
  <c r="BE104" i="3" s="1"/>
  <c r="BE71" i="1" l="1"/>
  <c r="BU93" i="3"/>
  <c r="BU112" i="3" s="1"/>
  <c r="BU134" i="3" s="1"/>
  <c r="AM112" i="3"/>
  <c r="AM134" i="3" s="1"/>
  <c r="BJ14" i="13"/>
  <c r="BD72" i="1"/>
  <c r="N38" i="1"/>
  <c r="N39" i="1" s="1"/>
  <c r="CE37" i="1"/>
  <c r="CE38" i="1" s="1"/>
  <c r="CE39" i="1" s="1"/>
  <c r="O37" i="1"/>
  <c r="W112" i="3"/>
  <c r="W134" i="3" s="1"/>
  <c r="BQ93" i="3"/>
  <c r="BQ112" i="3" s="1"/>
  <c r="BQ134" i="3" s="1"/>
  <c r="AW115" i="2"/>
  <c r="AX107" i="2"/>
  <c r="O112" i="3"/>
  <c r="O134" i="3" s="1"/>
  <c r="BO93" i="3"/>
  <c r="BO112" i="3" s="1"/>
  <c r="BO134" i="3" s="1"/>
  <c r="AV117" i="2"/>
  <c r="AV125" i="2"/>
  <c r="AW116" i="2"/>
  <c r="AX108" i="2"/>
  <c r="BG61" i="1"/>
  <c r="BG50" i="1"/>
  <c r="BF120" i="3"/>
  <c r="BG115" i="3"/>
  <c r="BG19" i="1"/>
  <c r="BG24" i="1"/>
  <c r="AW121" i="2"/>
  <c r="AX112" i="2"/>
  <c r="CP115" i="3"/>
  <c r="CP120" i="3" s="1"/>
  <c r="CP38" i="3"/>
  <c r="G50" i="3"/>
  <c r="F56" i="3"/>
  <c r="BH76" i="3"/>
  <c r="BH13" i="3" s="1"/>
  <c r="BH65" i="3"/>
  <c r="BZ65" i="3"/>
  <c r="CP14" i="2"/>
  <c r="CP49" i="2" s="1"/>
  <c r="CP48" i="2" s="1"/>
  <c r="BG67" i="3"/>
  <c r="CP67" i="3"/>
  <c r="CP68" i="3" s="1"/>
  <c r="CP74" i="3" s="1"/>
  <c r="N77" i="1"/>
  <c r="O17" i="1"/>
  <c r="N18" i="1"/>
  <c r="BF22" i="3"/>
  <c r="BH103" i="3"/>
  <c r="CA19" i="13"/>
  <c r="CB16" i="13"/>
  <c r="BZ79" i="3"/>
  <c r="BK60" i="2"/>
  <c r="CQ60" i="2"/>
  <c r="CQ61" i="2" s="1"/>
  <c r="BJ61" i="2"/>
  <c r="BX93" i="3"/>
  <c r="BX112" i="3" s="1"/>
  <c r="BX134" i="3" s="1"/>
  <c r="AY112" i="3"/>
  <c r="AY134" i="3" s="1"/>
  <c r="BK34" i="13"/>
  <c r="BK20" i="13" s="1"/>
  <c r="BK13" i="13"/>
  <c r="O31" i="1"/>
  <c r="P30" i="1"/>
  <c r="BO30" i="1"/>
  <c r="BO31" i="1" s="1"/>
  <c r="AA112" i="3"/>
  <c r="AA134" i="3" s="1"/>
  <c r="BR93" i="3"/>
  <c r="BR112" i="3" s="1"/>
  <c r="BR134" i="3" s="1"/>
  <c r="BG28" i="2"/>
  <c r="BG14" i="2"/>
  <c r="J78" i="1"/>
  <c r="J65" i="1"/>
  <c r="J72" i="1"/>
  <c r="CQ65" i="2"/>
  <c r="BK65" i="2"/>
  <c r="CA65" i="2" s="1"/>
  <c r="CB65" i="2" s="1"/>
  <c r="BE53" i="1"/>
  <c r="BE64" i="1"/>
  <c r="BI34" i="1"/>
  <c r="BI38" i="1" s="1"/>
  <c r="BI39" i="1" s="1"/>
  <c r="BI14" i="1"/>
  <c r="BI12" i="1"/>
  <c r="BI21" i="1"/>
  <c r="BI61" i="3"/>
  <c r="BI33" i="3" s="1"/>
  <c r="BI38" i="3" s="1"/>
  <c r="BI11" i="1"/>
  <c r="BI52" i="2"/>
  <c r="BI13" i="2" s="1"/>
  <c r="BI27" i="1"/>
  <c r="BF68" i="3"/>
  <c r="BF19" i="2" s="1"/>
  <c r="BG103" i="3"/>
  <c r="BZ103" i="3" s="1"/>
  <c r="BH15" i="1"/>
  <c r="BH18" i="1"/>
  <c r="BH53" i="2"/>
  <c r="M19" i="1"/>
  <c r="M24" i="1"/>
  <c r="BZ38" i="1"/>
  <c r="BZ39" i="1" s="1"/>
  <c r="BZ35" i="1"/>
  <c r="N32" i="1"/>
  <c r="BF62" i="1"/>
  <c r="BF70" i="1"/>
  <c r="BF67" i="1"/>
  <c r="CP67" i="1" s="1"/>
  <c r="BD143" i="2"/>
  <c r="BD66" i="2"/>
  <c r="BD39" i="2" s="1"/>
  <c r="CP77" i="3"/>
  <c r="CP76" i="3" s="1"/>
  <c r="BF104" i="3"/>
  <c r="BZ18" i="1"/>
  <c r="BZ53" i="2"/>
  <c r="BZ15" i="1"/>
  <c r="BZ21" i="1"/>
  <c r="G138" i="3"/>
  <c r="H132" i="3"/>
  <c r="CP49" i="1"/>
  <c r="CP22" i="1"/>
  <c r="L52" i="1"/>
  <c r="L25" i="1"/>
  <c r="AE112" i="3"/>
  <c r="AE134" i="3" s="1"/>
  <c r="BS93" i="3"/>
  <c r="BS112" i="3" s="1"/>
  <c r="BS134" i="3" s="1"/>
  <c r="BK25" i="13"/>
  <c r="CA22" i="13"/>
  <c r="BK126" i="3"/>
  <c r="BJ128" i="3"/>
  <c r="I85" i="1"/>
  <c r="I79" i="1"/>
  <c r="BH38" i="1"/>
  <c r="BH39" i="1" s="1"/>
  <c r="BG38" i="3"/>
  <c r="CE17" i="1"/>
  <c r="AS96" i="1"/>
  <c r="BZ32" i="1"/>
  <c r="BA111" i="2"/>
  <c r="AZ120" i="2"/>
  <c r="K112" i="3"/>
  <c r="K134" i="3" s="1"/>
  <c r="BN93" i="3"/>
  <c r="BN112" i="3" s="1"/>
  <c r="BN134" i="3" s="1"/>
  <c r="CD53" i="1"/>
  <c r="CD64" i="1"/>
  <c r="CA10" i="13"/>
  <c r="BF25" i="1"/>
  <c r="BF52" i="1"/>
  <c r="BG32" i="1"/>
  <c r="BG47" i="1"/>
  <c r="BD78" i="1"/>
  <c r="BD65" i="1"/>
  <c r="AV126" i="2"/>
  <c r="AV127" i="2" s="1"/>
  <c r="AV122" i="2"/>
  <c r="BZ33" i="3"/>
  <c r="CA44" i="3"/>
  <c r="CA46" i="3" s="1"/>
  <c r="BK107" i="3"/>
  <c r="CA107" i="3" s="1"/>
  <c r="CA25" i="3"/>
  <c r="BE74" i="1"/>
  <c r="AL127" i="2"/>
  <c r="AL101" i="2"/>
  <c r="AL104" i="2" s="1"/>
  <c r="BE108" i="3"/>
  <c r="BG79" i="3"/>
  <c r="BG80" i="3" s="1"/>
  <c r="CP39" i="1"/>
  <c r="CP28" i="2"/>
  <c r="BF33" i="2"/>
  <c r="BF26" i="3"/>
  <c r="AI112" i="3"/>
  <c r="AI134" i="3" s="1"/>
  <c r="BT93" i="3"/>
  <c r="BT112" i="3" s="1"/>
  <c r="BT134" i="3" s="1"/>
  <c r="BN53" i="1"/>
  <c r="BN64" i="1"/>
  <c r="BH38" i="3"/>
  <c r="BH115" i="3"/>
  <c r="BH31" i="1"/>
  <c r="BH46" i="1"/>
  <c r="BH49" i="1" s="1"/>
  <c r="BG95" i="3"/>
  <c r="BZ95" i="3" s="1"/>
  <c r="CP19" i="1"/>
  <c r="CP24" i="1"/>
  <c r="BZ46" i="1"/>
  <c r="BK19" i="13"/>
  <c r="BJ37" i="13"/>
  <c r="BJ35" i="13"/>
  <c r="BJ10" i="1"/>
  <c r="BJ32" i="13"/>
  <c r="CE32" i="1"/>
  <c r="K64" i="1"/>
  <c r="K53" i="1"/>
  <c r="BD11" i="3"/>
  <c r="BD82" i="1"/>
  <c r="BD84" i="1"/>
  <c r="CB57" i="2"/>
  <c r="AW117" i="2" l="1"/>
  <c r="AW125" i="2"/>
  <c r="O38" i="1"/>
  <c r="O39" i="1" s="1"/>
  <c r="P37" i="1"/>
  <c r="AY108" i="2"/>
  <c r="AX116" i="2"/>
  <c r="CE47" i="1"/>
  <c r="N47" i="1"/>
  <c r="AY107" i="2"/>
  <c r="AX115" i="2"/>
  <c r="BO37" i="1"/>
  <c r="BO38" i="1" s="1"/>
  <c r="BO39" i="1" s="1"/>
  <c r="BF71" i="1"/>
  <c r="BD93" i="3"/>
  <c r="BH120" i="3"/>
  <c r="BI115" i="3"/>
  <c r="CA13" i="13"/>
  <c r="CA34" i="13"/>
  <c r="CB10" i="13"/>
  <c r="CP73" i="3"/>
  <c r="CA126" i="3"/>
  <c r="CA128" i="3" s="1"/>
  <c r="BK128" i="3"/>
  <c r="L64" i="1"/>
  <c r="L53" i="1"/>
  <c r="BZ49" i="1"/>
  <c r="BZ22" i="1"/>
  <c r="M52" i="1"/>
  <c r="M25" i="1"/>
  <c r="CP19" i="2"/>
  <c r="CP70" i="3" s="1"/>
  <c r="CP71" i="3" s="1"/>
  <c r="BF70" i="3"/>
  <c r="BF71" i="3" s="1"/>
  <c r="BE78" i="1"/>
  <c r="BE65" i="1"/>
  <c r="J79" i="1"/>
  <c r="J85" i="1"/>
  <c r="BO32" i="1"/>
  <c r="N19" i="1"/>
  <c r="N24" i="1"/>
  <c r="BH61" i="1"/>
  <c r="BH50" i="1"/>
  <c r="BH95" i="3"/>
  <c r="BH79" i="3"/>
  <c r="BH80" i="3" s="1"/>
  <c r="AY112" i="2"/>
  <c r="AX121" i="2"/>
  <c r="BZ115" i="3"/>
  <c r="BZ120" i="3" s="1"/>
  <c r="BG120" i="3"/>
  <c r="CP50" i="2"/>
  <c r="CP33" i="2"/>
  <c r="BZ47" i="1"/>
  <c r="AT96" i="1"/>
  <c r="CB22" i="13"/>
  <c r="CA25" i="13"/>
  <c r="BD75" i="2"/>
  <c r="BD76" i="2" s="1"/>
  <c r="BD41" i="2"/>
  <c r="BD74" i="2"/>
  <c r="BD68" i="2"/>
  <c r="BD69" i="2" s="1"/>
  <c r="BF77" i="1"/>
  <c r="CP70" i="1"/>
  <c r="CP77" i="1" s="1"/>
  <c r="BH19" i="1"/>
  <c r="BH24" i="1"/>
  <c r="BZ14" i="2"/>
  <c r="BZ49" i="2" s="1"/>
  <c r="BZ48" i="2" s="1"/>
  <c r="BK35" i="13"/>
  <c r="BK10" i="1"/>
  <c r="BK37" i="13"/>
  <c r="BK32" i="13"/>
  <c r="P17" i="1"/>
  <c r="O18" i="1"/>
  <c r="O77" i="1"/>
  <c r="BO17" i="1"/>
  <c r="BG22" i="3"/>
  <c r="BG104" i="3" s="1"/>
  <c r="BZ104" i="3" s="1"/>
  <c r="BI76" i="3"/>
  <c r="BI13" i="3" s="1"/>
  <c r="BI79" i="3" s="1"/>
  <c r="BI80" i="3" s="1"/>
  <c r="BI65" i="3"/>
  <c r="AW126" i="2"/>
  <c r="AW127" i="2" s="1"/>
  <c r="AW122" i="2"/>
  <c r="K72" i="1"/>
  <c r="K78" i="1"/>
  <c r="K65" i="1"/>
  <c r="BJ27" i="1"/>
  <c r="CQ27" i="1" s="1"/>
  <c r="BJ52" i="2"/>
  <c r="BJ13" i="2" s="1"/>
  <c r="BJ61" i="3"/>
  <c r="BJ34" i="1"/>
  <c r="BJ12" i="1"/>
  <c r="BJ21" i="1"/>
  <c r="BJ11" i="1"/>
  <c r="BJ14" i="1"/>
  <c r="CQ14" i="1" s="1"/>
  <c r="CP25" i="1"/>
  <c r="CP52" i="1"/>
  <c r="BH32" i="1"/>
  <c r="BH47" i="1"/>
  <c r="BN78" i="1"/>
  <c r="BN65" i="1"/>
  <c r="BN72" i="1"/>
  <c r="BE75" i="1"/>
  <c r="BE81" i="1"/>
  <c r="BF53" i="1"/>
  <c r="BF64" i="1"/>
  <c r="CD65" i="1"/>
  <c r="CD78" i="1"/>
  <c r="CD72" i="1"/>
  <c r="CE77" i="1"/>
  <c r="CE18" i="1"/>
  <c r="BK26" i="13"/>
  <c r="CP61" i="1"/>
  <c r="CP68" i="1" s="1"/>
  <c r="CP50" i="1"/>
  <c r="CQ10" i="1"/>
  <c r="BI15" i="1"/>
  <c r="BI53" i="2"/>
  <c r="BI18" i="1"/>
  <c r="BZ28" i="2"/>
  <c r="BG26" i="3"/>
  <c r="BZ26" i="3" s="1"/>
  <c r="BG33" i="2"/>
  <c r="P31" i="1"/>
  <c r="Q30" i="1"/>
  <c r="BK14" i="13"/>
  <c r="BZ77" i="3"/>
  <c r="BZ76" i="3" s="1"/>
  <c r="BZ80" i="3" s="1"/>
  <c r="CP22" i="3"/>
  <c r="CP104" i="3" s="1"/>
  <c r="BH67" i="3"/>
  <c r="CD50" i="3"/>
  <c r="G53" i="3"/>
  <c r="BG25" i="1"/>
  <c r="BG52" i="1"/>
  <c r="CP26" i="3"/>
  <c r="CP108" i="3" s="1"/>
  <c r="BF108" i="3"/>
  <c r="BZ61" i="3"/>
  <c r="BZ63" i="3" s="1"/>
  <c r="BZ38" i="3"/>
  <c r="BD79" i="1"/>
  <c r="BD85" i="1"/>
  <c r="BA120" i="2"/>
  <c r="BB111" i="2"/>
  <c r="I132" i="3"/>
  <c r="I135" i="3" s="1"/>
  <c r="I138" i="3" s="1"/>
  <c r="K132" i="3"/>
  <c r="K135" i="3" s="1"/>
  <c r="BN132" i="3"/>
  <c r="BN135" i="3" s="1"/>
  <c r="J132" i="3"/>
  <c r="J135" i="3" s="1"/>
  <c r="J138" i="3" s="1"/>
  <c r="H135" i="3"/>
  <c r="H138" i="3" s="1"/>
  <c r="BZ19" i="1"/>
  <c r="BZ24" i="1"/>
  <c r="CP80" i="3"/>
  <c r="BE64" i="2"/>
  <c r="BF74" i="1"/>
  <c r="BH28" i="2"/>
  <c r="BH14" i="2"/>
  <c r="BH22" i="3" s="1"/>
  <c r="BI21" i="3"/>
  <c r="BI103" i="3" s="1"/>
  <c r="BI31" i="1"/>
  <c r="BI46" i="1"/>
  <c r="BI49" i="1" s="1"/>
  <c r="O32" i="1"/>
  <c r="CA60" i="2"/>
  <c r="BK61" i="2"/>
  <c r="BG68" i="3"/>
  <c r="BG19" i="2" s="1"/>
  <c r="BE72" i="1"/>
  <c r="BG67" i="1"/>
  <c r="BG74" i="1" s="1"/>
  <c r="BG62" i="1"/>
  <c r="BG70" i="1"/>
  <c r="BG108" i="3" l="1"/>
  <c r="BZ108" i="3" s="1"/>
  <c r="P38" i="1"/>
  <c r="P39" i="1" s="1"/>
  <c r="Q37" i="1"/>
  <c r="AX117" i="2"/>
  <c r="AX125" i="2"/>
  <c r="O47" i="1"/>
  <c r="BO47" i="1"/>
  <c r="BX107" i="2"/>
  <c r="AY115" i="2"/>
  <c r="AZ107" i="2"/>
  <c r="AY116" i="2"/>
  <c r="AZ108" i="2"/>
  <c r="BX108" i="2"/>
  <c r="CP71" i="1"/>
  <c r="BO132" i="3"/>
  <c r="BO135" i="3" s="1"/>
  <c r="BN138" i="3"/>
  <c r="BG75" i="1"/>
  <c r="BG81" i="1"/>
  <c r="BI50" i="1"/>
  <c r="BI61" i="1"/>
  <c r="BF81" i="1"/>
  <c r="BF75" i="1"/>
  <c r="H50" i="3"/>
  <c r="G56" i="3"/>
  <c r="BZ50" i="2"/>
  <c r="BZ33" i="2"/>
  <c r="BF65" i="1"/>
  <c r="BF78" i="1"/>
  <c r="BJ38" i="1"/>
  <c r="BJ39" i="1" s="1"/>
  <c r="CQ34" i="1"/>
  <c r="BJ65" i="3"/>
  <c r="BJ76" i="3"/>
  <c r="BJ13" i="3" s="1"/>
  <c r="L132" i="3"/>
  <c r="K138" i="3"/>
  <c r="N25" i="1"/>
  <c r="N52" i="1"/>
  <c r="BF72" i="1"/>
  <c r="L65" i="1"/>
  <c r="L78" i="1"/>
  <c r="L72" i="1"/>
  <c r="BG77" i="1"/>
  <c r="BZ70" i="1"/>
  <c r="BZ77" i="1" s="1"/>
  <c r="CB60" i="2"/>
  <c r="CB61" i="2" s="1"/>
  <c r="CA61" i="2"/>
  <c r="CQ31" i="1"/>
  <c r="CQ28" i="1"/>
  <c r="BF64" i="2"/>
  <c r="BE66" i="2"/>
  <c r="BE39" i="2" s="1"/>
  <c r="BE143" i="2"/>
  <c r="CQ18" i="1"/>
  <c r="CQ15" i="1"/>
  <c r="CQ53" i="2"/>
  <c r="BC111" i="2"/>
  <c r="BB120" i="2"/>
  <c r="CD132" i="3"/>
  <c r="CD135" i="3" s="1"/>
  <c r="CD53" i="3"/>
  <c r="BI19" i="1"/>
  <c r="BI24" i="1"/>
  <c r="CQ12" i="1"/>
  <c r="CQ24" i="1"/>
  <c r="CQ52" i="2"/>
  <c r="CQ21" i="1"/>
  <c r="CP64" i="1"/>
  <c r="CP53" i="1"/>
  <c r="BJ33" i="3"/>
  <c r="BJ115" i="3" s="1"/>
  <c r="CQ61" i="3"/>
  <c r="CQ63" i="3" s="1"/>
  <c r="K79" i="1"/>
  <c r="K85" i="1"/>
  <c r="O19" i="1"/>
  <c r="O24" i="1"/>
  <c r="BH104" i="3"/>
  <c r="AU96" i="1"/>
  <c r="AX126" i="2"/>
  <c r="AX122" i="2"/>
  <c r="BI95" i="3"/>
  <c r="BE79" i="1"/>
  <c r="BE85" i="1"/>
  <c r="CB34" i="13"/>
  <c r="CB26" i="13" s="1"/>
  <c r="BG70" i="3"/>
  <c r="BG71" i="3" s="1"/>
  <c r="BZ19" i="2"/>
  <c r="BG53" i="1"/>
  <c r="BG64" i="1"/>
  <c r="BI67" i="3"/>
  <c r="Q31" i="1"/>
  <c r="R30" i="1"/>
  <c r="BI14" i="2"/>
  <c r="BI28" i="2"/>
  <c r="CE24" i="1"/>
  <c r="CE19" i="1"/>
  <c r="CD79" i="1"/>
  <c r="CD85" i="1"/>
  <c r="BE11" i="3"/>
  <c r="BE84" i="1"/>
  <c r="BE82" i="1"/>
  <c r="BN85" i="1"/>
  <c r="BN79" i="1"/>
  <c r="CQ13" i="2"/>
  <c r="BH68" i="3"/>
  <c r="BH19" i="2" s="1"/>
  <c r="BH70" i="3" s="1"/>
  <c r="BH71" i="3" s="1"/>
  <c r="BK14" i="1"/>
  <c r="BK61" i="3"/>
  <c r="BK33" i="3" s="1"/>
  <c r="BK38" i="3" s="1"/>
  <c r="BK27" i="1"/>
  <c r="BK34" i="1"/>
  <c r="BK38" i="1" s="1"/>
  <c r="BK39" i="1" s="1"/>
  <c r="BK21" i="1"/>
  <c r="BK12" i="1"/>
  <c r="BK52" i="2"/>
  <c r="BK13" i="2" s="1"/>
  <c r="CA13" i="2" s="1"/>
  <c r="BK11" i="1"/>
  <c r="CA10" i="1"/>
  <c r="BH52" i="1"/>
  <c r="BH25" i="1"/>
  <c r="BX112" i="2"/>
  <c r="AZ112" i="2"/>
  <c r="AY121" i="2"/>
  <c r="BJ21" i="3"/>
  <c r="BJ103" i="3" s="1"/>
  <c r="BZ61" i="1"/>
  <c r="BZ50" i="1"/>
  <c r="CA37" i="13"/>
  <c r="CA35" i="13"/>
  <c r="CA32" i="13"/>
  <c r="CA20" i="13"/>
  <c r="BI120" i="3"/>
  <c r="BG71" i="1"/>
  <c r="BI47" i="1"/>
  <c r="BI32" i="1"/>
  <c r="BH26" i="3"/>
  <c r="BH33" i="2"/>
  <c r="BZ52" i="1"/>
  <c r="BZ25" i="1"/>
  <c r="BZ22" i="3"/>
  <c r="P47" i="1"/>
  <c r="P32" i="1"/>
  <c r="CP62" i="1"/>
  <c r="CP74" i="1"/>
  <c r="BJ18" i="1"/>
  <c r="BJ15" i="1"/>
  <c r="BJ53" i="2"/>
  <c r="CA14" i="1"/>
  <c r="BJ46" i="1"/>
  <c r="BJ49" i="1" s="1"/>
  <c r="BJ31" i="1"/>
  <c r="BO77" i="1"/>
  <c r="BO18" i="1"/>
  <c r="P18" i="1"/>
  <c r="Q17" i="1"/>
  <c r="P77" i="1"/>
  <c r="CA26" i="13"/>
  <c r="BZ67" i="1"/>
  <c r="BH62" i="1"/>
  <c r="BH67" i="1"/>
  <c r="BH70" i="1"/>
  <c r="M64" i="1"/>
  <c r="M53" i="1"/>
  <c r="CA14" i="13"/>
  <c r="CP72" i="1" l="1"/>
  <c r="BG72" i="1"/>
  <c r="CA34" i="1"/>
  <c r="CA35" i="1" s="1"/>
  <c r="CB35" i="1" s="1"/>
  <c r="BA108" i="2"/>
  <c r="AZ116" i="2"/>
  <c r="AX127" i="2"/>
  <c r="CQ21" i="3"/>
  <c r="CQ103" i="3" s="1"/>
  <c r="AZ115" i="2"/>
  <c r="BA107" i="2"/>
  <c r="R37" i="1"/>
  <c r="Q38" i="1"/>
  <c r="Q39" i="1" s="1"/>
  <c r="AY125" i="2"/>
  <c r="AY117" i="2"/>
  <c r="CB14" i="13"/>
  <c r="BH71" i="1"/>
  <c r="BZ68" i="1"/>
  <c r="BZ71" i="1"/>
  <c r="CA18" i="1"/>
  <c r="CA19" i="1" s="1"/>
  <c r="CA15" i="1"/>
  <c r="CA53" i="2"/>
  <c r="CP81" i="1"/>
  <c r="CP75" i="1"/>
  <c r="BK115" i="3"/>
  <c r="BJ120" i="3"/>
  <c r="AY126" i="2"/>
  <c r="AY127" i="2" s="1"/>
  <c r="AY122" i="2"/>
  <c r="BK31" i="1"/>
  <c r="BK46" i="1"/>
  <c r="BK49" i="1" s="1"/>
  <c r="CE25" i="1"/>
  <c r="CE52" i="1"/>
  <c r="S30" i="1"/>
  <c r="R31" i="1"/>
  <c r="BZ70" i="3"/>
  <c r="BZ67" i="3"/>
  <c r="BZ68" i="3" s="1"/>
  <c r="AV96" i="1"/>
  <c r="CM96" i="1"/>
  <c r="BJ38" i="3"/>
  <c r="CQ33" i="3"/>
  <c r="CA33" i="3"/>
  <c r="CQ22" i="1"/>
  <c r="CE132" i="3"/>
  <c r="CE135" i="3" s="1"/>
  <c r="CD138" i="3"/>
  <c r="BC120" i="2"/>
  <c r="BY111" i="2"/>
  <c r="BD111" i="2"/>
  <c r="L79" i="1"/>
  <c r="L85" i="1"/>
  <c r="CQ65" i="3"/>
  <c r="BK76" i="3"/>
  <c r="BK13" i="3" s="1"/>
  <c r="BK79" i="3" s="1"/>
  <c r="BK80" i="3" s="1"/>
  <c r="BK65" i="3"/>
  <c r="BF85" i="1"/>
  <c r="BF79" i="1"/>
  <c r="BI62" i="1"/>
  <c r="BI70" i="1"/>
  <c r="BI67" i="1"/>
  <c r="BI74" i="1" s="1"/>
  <c r="BG11" i="3"/>
  <c r="BG84" i="1"/>
  <c r="BG82" i="1"/>
  <c r="R17" i="1"/>
  <c r="CF17" i="1" s="1"/>
  <c r="Q18" i="1"/>
  <c r="Q77" i="1"/>
  <c r="CA27" i="1"/>
  <c r="BJ28" i="2"/>
  <c r="BJ14" i="2"/>
  <c r="BJ22" i="3" s="1"/>
  <c r="BZ53" i="1"/>
  <c r="BZ64" i="1"/>
  <c r="AZ121" i="2"/>
  <c r="BA112" i="2"/>
  <c r="BH53" i="1"/>
  <c r="BH64" i="1"/>
  <c r="BI26" i="3"/>
  <c r="BI33" i="2"/>
  <c r="Q32" i="1"/>
  <c r="BJ61" i="1"/>
  <c r="BJ50" i="1"/>
  <c r="BI52" i="1"/>
  <c r="BI25" i="1"/>
  <c r="BE75" i="2"/>
  <c r="BE76" i="2" s="1"/>
  <c r="BE41" i="2"/>
  <c r="BE74" i="2"/>
  <c r="BE68" i="2"/>
  <c r="BE69" i="2" s="1"/>
  <c r="M132" i="3"/>
  <c r="M135" i="3" s="1"/>
  <c r="M138" i="3" s="1"/>
  <c r="L50" i="3"/>
  <c r="L53" i="3" s="1"/>
  <c r="N132" i="3"/>
  <c r="N135" i="3" s="1"/>
  <c r="N138" i="3" s="1"/>
  <c r="O132" i="3"/>
  <c r="O135" i="3" s="1"/>
  <c r="L135" i="3"/>
  <c r="L138" i="3" s="1"/>
  <c r="BJ79" i="3"/>
  <c r="BJ80" i="3" s="1"/>
  <c r="CQ13" i="3"/>
  <c r="CQ35" i="1"/>
  <c r="CQ38" i="1"/>
  <c r="CQ47" i="1" s="1"/>
  <c r="CQ52" i="1" s="1"/>
  <c r="BN50" i="3"/>
  <c r="BN53" i="3" s="1"/>
  <c r="H53" i="3"/>
  <c r="M72" i="1"/>
  <c r="M65" i="1"/>
  <c r="M78" i="1"/>
  <c r="BH74" i="1"/>
  <c r="P24" i="1"/>
  <c r="P19" i="1"/>
  <c r="BJ47" i="1"/>
  <c r="BJ32" i="1"/>
  <c r="BZ74" i="1"/>
  <c r="BZ62" i="1"/>
  <c r="CA21" i="1"/>
  <c r="CA12" i="1"/>
  <c r="CA52" i="2"/>
  <c r="CA47" i="2" s="1"/>
  <c r="CB47" i="2" s="1"/>
  <c r="CQ47" i="2"/>
  <c r="BJ67" i="3"/>
  <c r="BI22" i="3"/>
  <c r="BI104" i="3" s="1"/>
  <c r="BE93" i="3"/>
  <c r="BJ95" i="3"/>
  <c r="CP64" i="2"/>
  <c r="BG64" i="2"/>
  <c r="BF143" i="2"/>
  <c r="BF66" i="2"/>
  <c r="BF39" i="2" s="1"/>
  <c r="CQ32" i="1"/>
  <c r="BI68" i="3"/>
  <c r="BI19" i="2" s="1"/>
  <c r="BI70" i="3" s="1"/>
  <c r="BI71" i="3" s="1"/>
  <c r="CA38" i="1"/>
  <c r="CA39" i="1" s="1"/>
  <c r="CB39" i="1" s="1"/>
  <c r="BH77" i="1"/>
  <c r="BO19" i="1"/>
  <c r="BO24" i="1"/>
  <c r="BJ19" i="1"/>
  <c r="BJ24" i="1"/>
  <c r="BH108" i="3"/>
  <c r="BK15" i="1"/>
  <c r="BK53" i="2"/>
  <c r="BK18" i="1"/>
  <c r="BK21" i="3"/>
  <c r="CA21" i="3" s="1"/>
  <c r="CF30" i="1"/>
  <c r="CF31" i="1" s="1"/>
  <c r="BG65" i="1"/>
  <c r="BG78" i="1"/>
  <c r="CB10" i="1"/>
  <c r="CB35" i="13"/>
  <c r="CB37" i="13"/>
  <c r="CB32" i="13"/>
  <c r="CB20" i="13"/>
  <c r="BW96" i="1"/>
  <c r="O52" i="1"/>
  <c r="O25" i="1"/>
  <c r="CP65" i="1"/>
  <c r="CP78" i="1"/>
  <c r="CQ25" i="1"/>
  <c r="CE50" i="3"/>
  <c r="CE53" i="3" s="1"/>
  <c r="CD56" i="3"/>
  <c r="CQ19" i="1"/>
  <c r="CQ46" i="1"/>
  <c r="CQ49" i="1" s="1"/>
  <c r="N53" i="1"/>
  <c r="N64" i="1"/>
  <c r="BF82" i="1"/>
  <c r="BF11" i="3"/>
  <c r="BF84" i="1"/>
  <c r="BO138" i="3"/>
  <c r="BP132" i="3"/>
  <c r="BP135" i="3" s="1"/>
  <c r="S37" i="1" l="1"/>
  <c r="CF37" i="1"/>
  <c r="CF38" i="1" s="1"/>
  <c r="R38" i="1"/>
  <c r="R39" i="1" s="1"/>
  <c r="BI108" i="3"/>
  <c r="BA115" i="2"/>
  <c r="BB107" i="2"/>
  <c r="CA24" i="1"/>
  <c r="CA25" i="1" s="1"/>
  <c r="Q47" i="1"/>
  <c r="AZ117" i="2"/>
  <c r="AZ125" i="2"/>
  <c r="BB108" i="2"/>
  <c r="BA116" i="2"/>
  <c r="CQ61" i="1"/>
  <c r="CQ50" i="1"/>
  <c r="CP85" i="1"/>
  <c r="CP79" i="1"/>
  <c r="CF47" i="1"/>
  <c r="CF32" i="1"/>
  <c r="BO25" i="1"/>
  <c r="BO52" i="1"/>
  <c r="CP143" i="2"/>
  <c r="CP66" i="2"/>
  <c r="CQ67" i="3"/>
  <c r="CQ68" i="3" s="1"/>
  <c r="CQ74" i="3" s="1"/>
  <c r="BK67" i="3"/>
  <c r="BK68" i="3" s="1"/>
  <c r="BK19" i="2" s="1"/>
  <c r="BK50" i="1"/>
  <c r="BK61" i="1"/>
  <c r="P25" i="1"/>
  <c r="P52" i="1"/>
  <c r="BA121" i="2"/>
  <c r="BB112" i="2"/>
  <c r="CF18" i="1"/>
  <c r="BI77" i="1"/>
  <c r="S31" i="1"/>
  <c r="T30" i="1"/>
  <c r="BZ11" i="3"/>
  <c r="BQ132" i="3"/>
  <c r="BQ135" i="3" s="1"/>
  <c r="BP138" i="3"/>
  <c r="CF50" i="3"/>
  <c r="CF53" i="3" s="1"/>
  <c r="CE56" i="3"/>
  <c r="CB61" i="3"/>
  <c r="CB33" i="3" s="1"/>
  <c r="CB21" i="1"/>
  <c r="CB12" i="1"/>
  <c r="CB34" i="1" s="1"/>
  <c r="CB38" i="1" s="1"/>
  <c r="CB52" i="2"/>
  <c r="CB13" i="2" s="1"/>
  <c r="CB21" i="3" s="1"/>
  <c r="CB103" i="3" s="1"/>
  <c r="CB14" i="1"/>
  <c r="BF68" i="2"/>
  <c r="BF74" i="2"/>
  <c r="BF75" i="2"/>
  <c r="BF76" i="2" s="1"/>
  <c r="CP39" i="2"/>
  <c r="BF41" i="2"/>
  <c r="BK95" i="3"/>
  <c r="CA95" i="3" s="1"/>
  <c r="CA22" i="1"/>
  <c r="BH81" i="1"/>
  <c r="BH75" i="1"/>
  <c r="I50" i="3"/>
  <c r="I53" i="3" s="1"/>
  <c r="H56" i="3"/>
  <c r="CQ79" i="3"/>
  <c r="CQ95" i="3"/>
  <c r="P132" i="3"/>
  <c r="O138" i="3"/>
  <c r="BI64" i="1"/>
  <c r="BI53" i="1"/>
  <c r="AZ126" i="2"/>
  <c r="AZ127" i="2" s="1"/>
  <c r="AZ122" i="2"/>
  <c r="CQ14" i="2"/>
  <c r="CQ49" i="2" s="1"/>
  <c r="CQ48" i="2" s="1"/>
  <c r="BI81" i="1"/>
  <c r="BI75" i="1"/>
  <c r="CA65" i="3"/>
  <c r="BZ71" i="3"/>
  <c r="CE53" i="1"/>
  <c r="CE64" i="1"/>
  <c r="CA115" i="3"/>
  <c r="CA120" i="3" s="1"/>
  <c r="BK120" i="3"/>
  <c r="N65" i="1"/>
  <c r="N78" i="1"/>
  <c r="N72" i="1"/>
  <c r="BG79" i="1"/>
  <c r="BG85" i="1"/>
  <c r="BK19" i="1"/>
  <c r="BK24" i="1"/>
  <c r="BJ52" i="1"/>
  <c r="BJ25" i="1"/>
  <c r="BJ104" i="3"/>
  <c r="BF93" i="3"/>
  <c r="M79" i="1"/>
  <c r="M85" i="1"/>
  <c r="BO50" i="3"/>
  <c r="BO53" i="3" s="1"/>
  <c r="BN56" i="3"/>
  <c r="CA13" i="3"/>
  <c r="BH65" i="1"/>
  <c r="BH78" i="1"/>
  <c r="CQ28" i="2"/>
  <c r="BJ26" i="3"/>
  <c r="CQ26" i="3" s="1"/>
  <c r="CQ108" i="3" s="1"/>
  <c r="BJ33" i="2"/>
  <c r="Q19" i="1"/>
  <c r="Q24" i="1"/>
  <c r="BK103" i="3"/>
  <c r="CA103" i="3" s="1"/>
  <c r="CA61" i="3"/>
  <c r="CA63" i="3" s="1"/>
  <c r="CA38" i="3"/>
  <c r="AW96" i="1"/>
  <c r="AX96" i="1" s="1"/>
  <c r="AY96" i="1" s="1"/>
  <c r="CN96" i="1"/>
  <c r="BP30" i="1"/>
  <c r="BP31" i="1" s="1"/>
  <c r="BH72" i="1"/>
  <c r="CQ53" i="1"/>
  <c r="CQ64" i="1"/>
  <c r="O53" i="1"/>
  <c r="O64" i="1"/>
  <c r="BK28" i="2"/>
  <c r="BK14" i="2"/>
  <c r="CA14" i="2" s="1"/>
  <c r="BH64" i="2"/>
  <c r="BZ64" i="2"/>
  <c r="BG66" i="2"/>
  <c r="BG39" i="2" s="1"/>
  <c r="BG143" i="2"/>
  <c r="CQ22" i="3"/>
  <c r="CQ104" i="3" s="1"/>
  <c r="BZ75" i="1"/>
  <c r="BZ81" i="1"/>
  <c r="CQ39" i="1"/>
  <c r="L56" i="3"/>
  <c r="M50" i="3"/>
  <c r="M53" i="3" s="1"/>
  <c r="BJ70" i="1"/>
  <c r="BJ77" i="1" s="1"/>
  <c r="BJ67" i="1"/>
  <c r="BJ74" i="1" s="1"/>
  <c r="BJ62" i="1"/>
  <c r="BZ65" i="1"/>
  <c r="BZ78" i="1"/>
  <c r="CA31" i="1"/>
  <c r="CA46" i="1"/>
  <c r="CA49" i="1" s="1"/>
  <c r="CA28" i="1"/>
  <c r="CB28" i="1" s="1"/>
  <c r="S17" i="1"/>
  <c r="BP17" i="1" s="1"/>
  <c r="R18" i="1"/>
  <c r="R77" i="1"/>
  <c r="BI71" i="1"/>
  <c r="BJ68" i="3"/>
  <c r="BJ19" i="2" s="1"/>
  <c r="BD120" i="2"/>
  <c r="BE111" i="2"/>
  <c r="CF132" i="3"/>
  <c r="CF135" i="3" s="1"/>
  <c r="CE138" i="3"/>
  <c r="CQ38" i="3"/>
  <c r="CQ115" i="3"/>
  <c r="CQ120" i="3" s="1"/>
  <c r="R47" i="1"/>
  <c r="R32" i="1"/>
  <c r="CP11" i="3"/>
  <c r="BK47" i="1"/>
  <c r="BK32" i="1"/>
  <c r="CP82" i="1"/>
  <c r="CP84" i="1"/>
  <c r="BZ72" i="1"/>
  <c r="BC108" i="2" l="1"/>
  <c r="BB116" i="2"/>
  <c r="BC107" i="2"/>
  <c r="BB115" i="2"/>
  <c r="CF39" i="1"/>
  <c r="CB27" i="1"/>
  <c r="CB31" i="1" s="1"/>
  <c r="CF77" i="1"/>
  <c r="BA117" i="2"/>
  <c r="BA125" i="2"/>
  <c r="T37" i="1"/>
  <c r="S38" i="1"/>
  <c r="S39" i="1" s="1"/>
  <c r="BP37" i="1"/>
  <c r="BP38" i="1" s="1"/>
  <c r="BP39" i="1" s="1"/>
  <c r="CA50" i="1"/>
  <c r="CA61" i="1"/>
  <c r="BF111" i="2"/>
  <c r="BE120" i="2"/>
  <c r="BP18" i="1"/>
  <c r="BP77" i="1"/>
  <c r="BZ85" i="1"/>
  <c r="BZ79" i="1"/>
  <c r="BJ81" i="1"/>
  <c r="BJ75" i="1"/>
  <c r="BZ82" i="1"/>
  <c r="BZ84" i="1"/>
  <c r="O72" i="1"/>
  <c r="O78" i="1"/>
  <c r="O65" i="1"/>
  <c r="AZ96" i="1"/>
  <c r="Q52" i="1"/>
  <c r="Q25" i="1"/>
  <c r="CQ50" i="2"/>
  <c r="CQ33" i="2"/>
  <c r="CA79" i="3"/>
  <c r="BJ64" i="1"/>
  <c r="BJ53" i="1"/>
  <c r="CB76" i="3"/>
  <c r="CB13" i="3" s="1"/>
  <c r="CB65" i="3"/>
  <c r="BI11" i="3"/>
  <c r="BI82" i="1"/>
  <c r="BI84" i="1"/>
  <c r="R132" i="3"/>
  <c r="R135" i="3" s="1"/>
  <c r="R138" i="3" s="1"/>
  <c r="S132" i="3"/>
  <c r="S135" i="3" s="1"/>
  <c r="Q132" i="3"/>
  <c r="Q135" i="3" s="1"/>
  <c r="Q138" i="3" s="1"/>
  <c r="P135" i="3"/>
  <c r="P138" i="3" s="1"/>
  <c r="I56" i="3"/>
  <c r="J50" i="3"/>
  <c r="J53" i="3" s="1"/>
  <c r="CB115" i="3"/>
  <c r="CB120" i="3" s="1"/>
  <c r="CB38" i="3"/>
  <c r="CP93" i="3"/>
  <c r="CB46" i="1"/>
  <c r="CB49" i="1" s="1"/>
  <c r="BG75" i="2"/>
  <c r="BG76" i="2" s="1"/>
  <c r="BG74" i="2"/>
  <c r="BG68" i="2"/>
  <c r="BZ39" i="2"/>
  <c r="BG41" i="2"/>
  <c r="BP32" i="1"/>
  <c r="BP47" i="1"/>
  <c r="BH79" i="1"/>
  <c r="BH85" i="1"/>
  <c r="BK25" i="1"/>
  <c r="BK52" i="1"/>
  <c r="BI78" i="1"/>
  <c r="BI65" i="1"/>
  <c r="CQ70" i="1"/>
  <c r="CQ77" i="1" s="1"/>
  <c r="BC112" i="2"/>
  <c r="BB121" i="2"/>
  <c r="BK67" i="1"/>
  <c r="BK70" i="1"/>
  <c r="BK62" i="1"/>
  <c r="BO53" i="1"/>
  <c r="BO64" i="1"/>
  <c r="CQ62" i="1"/>
  <c r="CQ19" i="2"/>
  <c r="CQ70" i="3" s="1"/>
  <c r="CQ71" i="3" s="1"/>
  <c r="BJ70" i="3"/>
  <c r="BJ71" i="3" s="1"/>
  <c r="R24" i="1"/>
  <c r="R19" i="1"/>
  <c r="N50" i="3"/>
  <c r="N53" i="3" s="1"/>
  <c r="M56" i="3"/>
  <c r="BZ143" i="2"/>
  <c r="BZ66" i="2"/>
  <c r="CA49" i="2"/>
  <c r="CQ65" i="1"/>
  <c r="BP50" i="3"/>
  <c r="BP53" i="3" s="1"/>
  <c r="BO56" i="3"/>
  <c r="BG93" i="3"/>
  <c r="N85" i="1"/>
  <c r="N79" i="1"/>
  <c r="CE78" i="1"/>
  <c r="CE72" i="1"/>
  <c r="CE65" i="1"/>
  <c r="CA19" i="2"/>
  <c r="CA70" i="3" s="1"/>
  <c r="BK70" i="3"/>
  <c r="BK71" i="3" s="1"/>
  <c r="BK22" i="3"/>
  <c r="CA22" i="3" s="1"/>
  <c r="CQ77" i="3"/>
  <c r="CQ76" i="3" s="1"/>
  <c r="CQ73" i="3" s="1"/>
  <c r="CQ80" i="3"/>
  <c r="BH84" i="1"/>
  <c r="BH82" i="1"/>
  <c r="BH11" i="3"/>
  <c r="CP68" i="2"/>
  <c r="CP69" i="2" s="1"/>
  <c r="BF69" i="2"/>
  <c r="CG50" i="3"/>
  <c r="CG53" i="3" s="1"/>
  <c r="CF56" i="3"/>
  <c r="BR132" i="3"/>
  <c r="BR135" i="3" s="1"/>
  <c r="BQ138" i="3"/>
  <c r="U30" i="1"/>
  <c r="T31" i="1"/>
  <c r="BA126" i="2"/>
  <c r="BA122" i="2"/>
  <c r="CG132" i="3"/>
  <c r="CG135" i="3" s="1"/>
  <c r="CF138" i="3"/>
  <c r="BI72" i="1"/>
  <c r="S18" i="1"/>
  <c r="T17" i="1"/>
  <c r="S77" i="1"/>
  <c r="CA32" i="1"/>
  <c r="CA47" i="1"/>
  <c r="BJ71" i="1"/>
  <c r="BJ72" i="1" s="1"/>
  <c r="CQ67" i="1"/>
  <c r="CQ74" i="1" s="1"/>
  <c r="BI64" i="2"/>
  <c r="BH66" i="2"/>
  <c r="BH39" i="2" s="1"/>
  <c r="BH143" i="2"/>
  <c r="BK26" i="3"/>
  <c r="CA28" i="2"/>
  <c r="BK33" i="2"/>
  <c r="BX96" i="1"/>
  <c r="CA26" i="3"/>
  <c r="CP41" i="2"/>
  <c r="CP74" i="2"/>
  <c r="CP75" i="2"/>
  <c r="CP76" i="2" s="1"/>
  <c r="CB18" i="1"/>
  <c r="CB53" i="2"/>
  <c r="CB15" i="1"/>
  <c r="S32" i="1"/>
  <c r="S47" i="1"/>
  <c r="CF19" i="1"/>
  <c r="CF24" i="1"/>
  <c r="P53" i="1"/>
  <c r="P64" i="1"/>
  <c r="BJ108" i="3"/>
  <c r="BK108" i="3" s="1"/>
  <c r="CA108" i="3" s="1"/>
  <c r="T38" i="1" l="1"/>
  <c r="T39" i="1" s="1"/>
  <c r="U37" i="1"/>
  <c r="BD107" i="2"/>
  <c r="BC115" i="2"/>
  <c r="BY107" i="2"/>
  <c r="BK104" i="3"/>
  <c r="CA104" i="3" s="1"/>
  <c r="BA127" i="2"/>
  <c r="BD108" i="2"/>
  <c r="BC116" i="2"/>
  <c r="BY108" i="2"/>
  <c r="BB125" i="2"/>
  <c r="BB117" i="2"/>
  <c r="CB61" i="1"/>
  <c r="CB50" i="1"/>
  <c r="CB19" i="1"/>
  <c r="CB24" i="1"/>
  <c r="BH74" i="2"/>
  <c r="BH41" i="2"/>
  <c r="BH75" i="2"/>
  <c r="BH76" i="2" s="1"/>
  <c r="BH68" i="2"/>
  <c r="BH69" i="2" s="1"/>
  <c r="BS132" i="3"/>
  <c r="BS135" i="3" s="1"/>
  <c r="BR138" i="3"/>
  <c r="BO65" i="1"/>
  <c r="BO78" i="1"/>
  <c r="BO72" i="1"/>
  <c r="BK77" i="1"/>
  <c r="CA70" i="1"/>
  <c r="CA77" i="1" s="1"/>
  <c r="BK64" i="1"/>
  <c r="BK53" i="1"/>
  <c r="CB79" i="3"/>
  <c r="CB80" i="3" s="1"/>
  <c r="CB95" i="3"/>
  <c r="BJ78" i="1"/>
  <c r="BJ65" i="1"/>
  <c r="BA96" i="1"/>
  <c r="BB96" i="1" s="1"/>
  <c r="BC96" i="1" s="1"/>
  <c r="BY96" i="1"/>
  <c r="BJ84" i="1"/>
  <c r="BJ82" i="1"/>
  <c r="BJ11" i="3"/>
  <c r="BP24" i="1"/>
  <c r="BP19" i="1"/>
  <c r="CA62" i="1"/>
  <c r="P65" i="1"/>
  <c r="P78" i="1"/>
  <c r="P72" i="1"/>
  <c r="CA50" i="2"/>
  <c r="CB50" i="2" s="1"/>
  <c r="CB28" i="2" s="1"/>
  <c r="CA33" i="2"/>
  <c r="BJ64" i="2"/>
  <c r="BI143" i="2"/>
  <c r="BI66" i="2"/>
  <c r="BI39" i="2" s="1"/>
  <c r="CA52" i="1"/>
  <c r="U17" i="1"/>
  <c r="T77" i="1"/>
  <c r="T18" i="1"/>
  <c r="CH132" i="3"/>
  <c r="CH135" i="3" s="1"/>
  <c r="CG138" i="3"/>
  <c r="T32" i="1"/>
  <c r="T47" i="1"/>
  <c r="BQ50" i="3"/>
  <c r="BQ53" i="3" s="1"/>
  <c r="BP56" i="3"/>
  <c r="CA48" i="2"/>
  <c r="CB48" i="2" s="1"/>
  <c r="CB49" i="2"/>
  <c r="CB14" i="2" s="1"/>
  <c r="CB22" i="3" s="1"/>
  <c r="CB104" i="3" s="1"/>
  <c r="R25" i="1"/>
  <c r="R52" i="1"/>
  <c r="CQ81" i="1"/>
  <c r="CQ75" i="1"/>
  <c r="BK71" i="1"/>
  <c r="BZ74" i="2"/>
  <c r="BZ75" i="2"/>
  <c r="BZ76" i="2" s="1"/>
  <c r="BZ41" i="2"/>
  <c r="CA67" i="1"/>
  <c r="S24" i="1"/>
  <c r="S19" i="1"/>
  <c r="V30" i="1"/>
  <c r="CG30" i="1" s="1"/>
  <c r="CG31" i="1" s="1"/>
  <c r="U31" i="1"/>
  <c r="CH50" i="3"/>
  <c r="CH53" i="3" s="1"/>
  <c r="CG56" i="3"/>
  <c r="BH93" i="3"/>
  <c r="CQ11" i="3"/>
  <c r="CE79" i="1"/>
  <c r="CE85" i="1"/>
  <c r="BK74" i="1"/>
  <c r="BB126" i="2"/>
  <c r="BB127" i="2" s="1"/>
  <c r="BB122" i="2"/>
  <c r="BI79" i="1"/>
  <c r="BI85" i="1"/>
  <c r="BZ68" i="2"/>
  <c r="BZ69" i="2" s="1"/>
  <c r="BG69" i="2"/>
  <c r="CA67" i="3"/>
  <c r="CA77" i="3"/>
  <c r="CA76" i="3" s="1"/>
  <c r="CA80" i="3" s="1"/>
  <c r="Q64" i="1"/>
  <c r="Q53" i="1"/>
  <c r="O85" i="1"/>
  <c r="O79" i="1"/>
  <c r="BF120" i="2"/>
  <c r="BG111" i="2"/>
  <c r="CF52" i="1"/>
  <c r="CF25" i="1"/>
  <c r="CQ68" i="1"/>
  <c r="CQ71" i="1"/>
  <c r="BZ93" i="3"/>
  <c r="O50" i="3"/>
  <c r="O53" i="3" s="1"/>
  <c r="N56" i="3"/>
  <c r="BD112" i="2"/>
  <c r="BY112" i="2"/>
  <c r="BC121" i="2"/>
  <c r="CB32" i="1"/>
  <c r="CB47" i="1"/>
  <c r="K50" i="3"/>
  <c r="K53" i="3" s="1"/>
  <c r="K56" i="3" s="1"/>
  <c r="J56" i="3"/>
  <c r="S138" i="3"/>
  <c r="T132" i="3"/>
  <c r="CO96" i="1"/>
  <c r="BK72" i="1" l="1"/>
  <c r="BD116" i="2"/>
  <c r="BE108" i="2"/>
  <c r="BC117" i="2"/>
  <c r="BC125" i="2"/>
  <c r="BD115" i="2"/>
  <c r="BE107" i="2"/>
  <c r="V37" i="1"/>
  <c r="U38" i="1"/>
  <c r="U39" i="1" s="1"/>
  <c r="W132" i="3"/>
  <c r="W135" i="3" s="1"/>
  <c r="U132" i="3"/>
  <c r="U135" i="3" s="1"/>
  <c r="U138" i="3" s="1"/>
  <c r="V132" i="3"/>
  <c r="V135" i="3" s="1"/>
  <c r="V138" i="3" s="1"/>
  <c r="T135" i="3"/>
  <c r="T138" i="3" s="1"/>
  <c r="BD121" i="2"/>
  <c r="BE112" i="2"/>
  <c r="CF53" i="1"/>
  <c r="CF64" i="1"/>
  <c r="CG32" i="1"/>
  <c r="S52" i="1"/>
  <c r="S25" i="1"/>
  <c r="BR50" i="3"/>
  <c r="BR53" i="3" s="1"/>
  <c r="BQ56" i="3"/>
  <c r="BI75" i="2"/>
  <c r="BI76" i="2" s="1"/>
  <c r="BI74" i="2"/>
  <c r="BI68" i="2"/>
  <c r="BI69" i="2" s="1"/>
  <c r="BI41" i="2"/>
  <c r="CB26" i="3"/>
  <c r="CB108" i="3" s="1"/>
  <c r="CB33" i="2"/>
  <c r="BJ85" i="1"/>
  <c r="BJ79" i="1"/>
  <c r="BK78" i="1"/>
  <c r="BK65" i="1"/>
  <c r="BO85" i="1"/>
  <c r="BO79" i="1"/>
  <c r="BG120" i="2"/>
  <c r="BZ111" i="2"/>
  <c r="BH111" i="2"/>
  <c r="CB67" i="3"/>
  <c r="CB68" i="3" s="1"/>
  <c r="CB19" i="2" s="1"/>
  <c r="CB70" i="3" s="1"/>
  <c r="CB71" i="3" s="1"/>
  <c r="CA68" i="3"/>
  <c r="CA71" i="3" s="1"/>
  <c r="BK75" i="1"/>
  <c r="BK81" i="1"/>
  <c r="BI93" i="3"/>
  <c r="U32" i="1"/>
  <c r="CA71" i="1"/>
  <c r="CA68" i="1"/>
  <c r="CB68" i="1" s="1"/>
  <c r="CB67" i="1" s="1"/>
  <c r="CH138" i="3"/>
  <c r="CI132" i="3"/>
  <c r="CI135" i="3" s="1"/>
  <c r="V17" i="1"/>
  <c r="U18" i="1"/>
  <c r="U77" i="1"/>
  <c r="BP25" i="1"/>
  <c r="BP52" i="1"/>
  <c r="BT132" i="3"/>
  <c r="BT135" i="3" s="1"/>
  <c r="BS138" i="3"/>
  <c r="BC126" i="2"/>
  <c r="BC122" i="2"/>
  <c r="CQ72" i="1"/>
  <c r="CQ78" i="1"/>
  <c r="Q65" i="1"/>
  <c r="Q72" i="1"/>
  <c r="Q78" i="1"/>
  <c r="CQ93" i="3"/>
  <c r="V31" i="1"/>
  <c r="W30" i="1"/>
  <c r="BQ30" i="1" s="1"/>
  <c r="BQ31" i="1" s="1"/>
  <c r="CQ84" i="1"/>
  <c r="CQ82" i="1"/>
  <c r="CA64" i="1"/>
  <c r="CA53" i="1"/>
  <c r="CQ64" i="2"/>
  <c r="BK64" i="2"/>
  <c r="BJ143" i="2"/>
  <c r="BJ66" i="2"/>
  <c r="BJ39" i="2" s="1"/>
  <c r="P85" i="1"/>
  <c r="P79" i="1"/>
  <c r="BD96" i="1"/>
  <c r="CB52" i="1"/>
  <c r="CB25" i="1"/>
  <c r="O56" i="3"/>
  <c r="P50" i="3"/>
  <c r="P53" i="3" s="1"/>
  <c r="CI50" i="3"/>
  <c r="CI53" i="3" s="1"/>
  <c r="CH56" i="3"/>
  <c r="R53" i="1"/>
  <c r="R64" i="1"/>
  <c r="T24" i="1"/>
  <c r="T19" i="1"/>
  <c r="CA74" i="1"/>
  <c r="CB62" i="1"/>
  <c r="CB70" i="1"/>
  <c r="CB77" i="1" s="1"/>
  <c r="U47" i="1" l="1"/>
  <c r="W37" i="1"/>
  <c r="V38" i="1"/>
  <c r="V39" i="1" s="1"/>
  <c r="BQ37" i="1"/>
  <c r="BQ38" i="1" s="1"/>
  <c r="BQ39" i="1" s="1"/>
  <c r="CG37" i="1"/>
  <c r="CG38" i="1" s="1"/>
  <c r="BF107" i="2"/>
  <c r="BE115" i="2"/>
  <c r="BE116" i="2"/>
  <c r="BF108" i="2"/>
  <c r="BC127" i="2"/>
  <c r="BC17" i="3" s="1"/>
  <c r="BD117" i="2"/>
  <c r="BD125" i="2"/>
  <c r="CB71" i="1"/>
  <c r="CB74" i="1"/>
  <c r="CB81" i="1" s="1"/>
  <c r="CA75" i="1"/>
  <c r="CA81" i="1"/>
  <c r="P56" i="3"/>
  <c r="Q50" i="3"/>
  <c r="Q53" i="3" s="1"/>
  <c r="CA65" i="1"/>
  <c r="CA78" i="1"/>
  <c r="BQ32" i="1"/>
  <c r="CQ79" i="1"/>
  <c r="CQ85" i="1"/>
  <c r="BP53" i="1"/>
  <c r="BP64" i="1"/>
  <c r="BK11" i="3"/>
  <c r="BK82" i="1"/>
  <c r="BK84" i="1"/>
  <c r="BH120" i="2"/>
  <c r="BI111" i="2"/>
  <c r="CI56" i="3"/>
  <c r="CJ50" i="3"/>
  <c r="CJ53" i="3" s="1"/>
  <c r="CA64" i="2"/>
  <c r="BK66" i="2"/>
  <c r="BK39" i="2" s="1"/>
  <c r="BK143" i="2"/>
  <c r="X30" i="1"/>
  <c r="W31" i="1"/>
  <c r="Q85" i="1"/>
  <c r="Q79" i="1"/>
  <c r="BC99" i="3"/>
  <c r="BY17" i="3"/>
  <c r="BT138" i="3"/>
  <c r="BU132" i="3"/>
  <c r="BU135" i="3" s="1"/>
  <c r="U19" i="1"/>
  <c r="U24" i="1"/>
  <c r="BS50" i="3"/>
  <c r="BS53" i="3" s="1"/>
  <c r="BR56" i="3"/>
  <c r="BE121" i="2"/>
  <c r="BF112" i="2"/>
  <c r="T25" i="1"/>
  <c r="T52" i="1"/>
  <c r="BE96" i="1"/>
  <c r="BF96" i="1" s="1"/>
  <c r="BG96" i="1" s="1"/>
  <c r="CQ66" i="2"/>
  <c r="CQ143" i="2"/>
  <c r="V32" i="1"/>
  <c r="W17" i="1"/>
  <c r="V77" i="1"/>
  <c r="V18" i="1"/>
  <c r="CG17" i="1"/>
  <c r="BD126" i="2"/>
  <c r="BD122" i="2"/>
  <c r="R78" i="1"/>
  <c r="R65" i="1"/>
  <c r="R72" i="1"/>
  <c r="CB64" i="1"/>
  <c r="CB53" i="1"/>
  <c r="CQ39" i="2"/>
  <c r="BJ41" i="2"/>
  <c r="BJ68" i="2"/>
  <c r="BJ74" i="2"/>
  <c r="BJ75" i="2"/>
  <c r="BJ76" i="2" s="1"/>
  <c r="CI138" i="3"/>
  <c r="CJ132" i="3"/>
  <c r="CJ135" i="3" s="1"/>
  <c r="CA72" i="1"/>
  <c r="BJ93" i="3"/>
  <c r="BK79" i="1"/>
  <c r="BK85" i="1"/>
  <c r="S53" i="1"/>
  <c r="S64" i="1"/>
  <c r="CF72" i="1"/>
  <c r="CF65" i="1"/>
  <c r="CF78" i="1"/>
  <c r="W138" i="3"/>
  <c r="X132" i="3"/>
  <c r="CB75" i="1" l="1"/>
  <c r="BD127" i="2"/>
  <c r="BD17" i="3" s="1"/>
  <c r="BQ47" i="1"/>
  <c r="BE117" i="2"/>
  <c r="BE125" i="2"/>
  <c r="V47" i="1"/>
  <c r="BG107" i="2"/>
  <c r="BF115" i="2"/>
  <c r="W38" i="1"/>
  <c r="W39" i="1" s="1"/>
  <c r="X37" i="1"/>
  <c r="CP96" i="1"/>
  <c r="BF116" i="2"/>
  <c r="BG108" i="2"/>
  <c r="CG47" i="1"/>
  <c r="CG39" i="1"/>
  <c r="AA132" i="3"/>
  <c r="AA135" i="3" s="1"/>
  <c r="Z132" i="3"/>
  <c r="Z135" i="3" s="1"/>
  <c r="Z138" i="3" s="1"/>
  <c r="Y132" i="3"/>
  <c r="Y135" i="3" s="1"/>
  <c r="Y138" i="3" s="1"/>
  <c r="X135" i="3"/>
  <c r="X138" i="3" s="1"/>
  <c r="CK132" i="3"/>
  <c r="CK135" i="3" s="1"/>
  <c r="CJ138" i="3"/>
  <c r="CB78" i="1"/>
  <c r="CB65" i="1"/>
  <c r="BD99" i="3"/>
  <c r="BD30" i="3"/>
  <c r="CG18" i="1"/>
  <c r="CG77" i="1"/>
  <c r="CB72" i="1"/>
  <c r="BT50" i="3"/>
  <c r="BT53" i="3" s="1"/>
  <c r="BS56" i="3"/>
  <c r="W32" i="1"/>
  <c r="CB64" i="2"/>
  <c r="CA66" i="2"/>
  <c r="CA143" i="2"/>
  <c r="CA85" i="1"/>
  <c r="CA79" i="1"/>
  <c r="Q56" i="3"/>
  <c r="R50" i="3"/>
  <c r="R53" i="3" s="1"/>
  <c r="S65" i="1"/>
  <c r="S72" i="1"/>
  <c r="S78" i="1"/>
  <c r="CQ74" i="2"/>
  <c r="CQ41" i="2"/>
  <c r="CQ75" i="2"/>
  <c r="CQ76" i="2" s="1"/>
  <c r="R79" i="1"/>
  <c r="R85" i="1"/>
  <c r="V19" i="1"/>
  <c r="V24" i="1"/>
  <c r="BF121" i="2"/>
  <c r="BG112" i="2"/>
  <c r="U52" i="1"/>
  <c r="U25" i="1"/>
  <c r="Y30" i="1"/>
  <c r="X31" i="1"/>
  <c r="CK50" i="3"/>
  <c r="CK53" i="3" s="1"/>
  <c r="CJ56" i="3"/>
  <c r="BJ111" i="2"/>
  <c r="BI120" i="2"/>
  <c r="CA11" i="3"/>
  <c r="CF85" i="1"/>
  <c r="CF79" i="1"/>
  <c r="BK93" i="3"/>
  <c r="BH96" i="1"/>
  <c r="T64" i="1"/>
  <c r="T53" i="1"/>
  <c r="BE126" i="2"/>
  <c r="BE122" i="2"/>
  <c r="CB82" i="1"/>
  <c r="CB11" i="3"/>
  <c r="CB84" i="1"/>
  <c r="BP78" i="1"/>
  <c r="BP65" i="1"/>
  <c r="BP72" i="1"/>
  <c r="CA84" i="1"/>
  <c r="CA82" i="1"/>
  <c r="BJ69" i="2"/>
  <c r="CQ68" i="2"/>
  <c r="CQ69" i="2" s="1"/>
  <c r="W18" i="1"/>
  <c r="W77" i="1"/>
  <c r="X17" i="1"/>
  <c r="BQ17" i="1"/>
  <c r="BZ96" i="1"/>
  <c r="BV132" i="3"/>
  <c r="BV135" i="3" s="1"/>
  <c r="BU138" i="3"/>
  <c r="BY99" i="3"/>
  <c r="BC111" i="3"/>
  <c r="BK75" i="2"/>
  <c r="BK76" i="2" s="1"/>
  <c r="BK68" i="2"/>
  <c r="BK41" i="2"/>
  <c r="CA39" i="2"/>
  <c r="BK74" i="2"/>
  <c r="BH108" i="2" l="1"/>
  <c r="BZ108" i="2"/>
  <c r="BG116" i="2"/>
  <c r="BF117" i="2"/>
  <c r="BF125" i="2"/>
  <c r="BE127" i="2"/>
  <c r="BE17" i="3" s="1"/>
  <c r="BE30" i="3" s="1"/>
  <c r="BE52" i="3" s="1"/>
  <c r="W47" i="1"/>
  <c r="BH107" i="2"/>
  <c r="BZ107" i="2"/>
  <c r="BG115" i="2"/>
  <c r="X38" i="1"/>
  <c r="X39" i="1" s="1"/>
  <c r="Y37" i="1"/>
  <c r="BK69" i="2"/>
  <c r="CA68" i="2"/>
  <c r="CA69" i="2" s="1"/>
  <c r="BY111" i="3"/>
  <c r="BY112" i="3" s="1"/>
  <c r="BY134" i="3" s="1"/>
  <c r="BC29" i="3"/>
  <c r="T72" i="1"/>
  <c r="T78" i="1"/>
  <c r="T65" i="1"/>
  <c r="CA93" i="3"/>
  <c r="Z30" i="1"/>
  <c r="Y31" i="1"/>
  <c r="BF126" i="2"/>
  <c r="BF127" i="2" s="1"/>
  <c r="BF17" i="3" s="1"/>
  <c r="BF122" i="2"/>
  <c r="BD84" i="3"/>
  <c r="BD85" i="3" s="1"/>
  <c r="BD52" i="3"/>
  <c r="CB79" i="1"/>
  <c r="CB85" i="1"/>
  <c r="BQ77" i="1"/>
  <c r="BQ18" i="1"/>
  <c r="W24" i="1"/>
  <c r="W19" i="1"/>
  <c r="CL50" i="3"/>
  <c r="CL53" i="3" s="1"/>
  <c r="CK56" i="3"/>
  <c r="S50" i="3"/>
  <c r="S53" i="3" s="1"/>
  <c r="R56" i="3"/>
  <c r="CB143" i="2"/>
  <c r="CB66" i="2"/>
  <c r="CB39" i="2" s="1"/>
  <c r="CA74" i="2"/>
  <c r="CA75" i="2"/>
  <c r="CA76" i="2" s="1"/>
  <c r="CA41" i="2"/>
  <c r="Y17" i="1"/>
  <c r="X18" i="1"/>
  <c r="X77" i="1"/>
  <c r="CB93" i="3"/>
  <c r="BI96" i="1"/>
  <c r="U53" i="1"/>
  <c r="U64" i="1"/>
  <c r="V25" i="1"/>
  <c r="V52" i="1"/>
  <c r="S85" i="1"/>
  <c r="S79" i="1"/>
  <c r="BU50" i="3"/>
  <c r="BU53" i="3" s="1"/>
  <c r="BT56" i="3"/>
  <c r="BE99" i="3"/>
  <c r="BD112" i="3"/>
  <c r="BD134" i="3" s="1"/>
  <c r="BC112" i="3"/>
  <c r="BC134" i="3" s="1"/>
  <c r="BW132" i="3"/>
  <c r="BW135" i="3" s="1"/>
  <c r="BV138" i="3"/>
  <c r="BP85" i="1"/>
  <c r="BP79" i="1"/>
  <c r="BJ120" i="2"/>
  <c r="BK111" i="2"/>
  <c r="X47" i="1"/>
  <c r="X32" i="1"/>
  <c r="BH112" i="2"/>
  <c r="BZ112" i="2"/>
  <c r="BG121" i="2"/>
  <c r="CG24" i="1"/>
  <c r="CG19" i="1"/>
  <c r="CL132" i="3"/>
  <c r="CL135" i="3" s="1"/>
  <c r="CK138" i="3"/>
  <c r="AA138" i="3"/>
  <c r="AB132" i="3"/>
  <c r="BE84" i="3" l="1"/>
  <c r="BE85" i="3" s="1"/>
  <c r="BH115" i="2"/>
  <c r="BI107" i="2"/>
  <c r="Z37" i="1"/>
  <c r="Y38" i="1"/>
  <c r="Y39" i="1" s="1"/>
  <c r="BG117" i="2"/>
  <c r="BG125" i="2"/>
  <c r="BH116" i="2"/>
  <c r="BI108" i="2"/>
  <c r="CL138" i="3"/>
  <c r="CM132" i="3"/>
  <c r="CM135" i="3" s="1"/>
  <c r="BK120" i="2"/>
  <c r="CA111" i="2"/>
  <c r="CB111" i="2" s="1"/>
  <c r="CB120" i="2" s="1"/>
  <c r="X19" i="1"/>
  <c r="X24" i="1"/>
  <c r="S56" i="3"/>
  <c r="T50" i="3"/>
  <c r="T53" i="3" s="1"/>
  <c r="BQ19" i="1"/>
  <c r="BQ24" i="1"/>
  <c r="Y32" i="1"/>
  <c r="Y47" i="1"/>
  <c r="BY29" i="3"/>
  <c r="CP29" i="3"/>
  <c r="CP111" i="3" s="1"/>
  <c r="BC30" i="3"/>
  <c r="AD132" i="3"/>
  <c r="AD135" i="3" s="1"/>
  <c r="AD138" i="3" s="1"/>
  <c r="AE132" i="3"/>
  <c r="AE135" i="3" s="1"/>
  <c r="AC132" i="3"/>
  <c r="AC135" i="3" s="1"/>
  <c r="AC138" i="3" s="1"/>
  <c r="AB135" i="3"/>
  <c r="AB138" i="3" s="1"/>
  <c r="BH121" i="2"/>
  <c r="BI112" i="2"/>
  <c r="BV50" i="3"/>
  <c r="BV53" i="3" s="1"/>
  <c r="BU56" i="3"/>
  <c r="Y77" i="1"/>
  <c r="Z17" i="1"/>
  <c r="Y18" i="1"/>
  <c r="CB75" i="2"/>
  <c r="CB76" i="2" s="1"/>
  <c r="CB68" i="2"/>
  <c r="CB69" i="2" s="1"/>
  <c r="CB41" i="2"/>
  <c r="CB74" i="2"/>
  <c r="CM50" i="3"/>
  <c r="CM53" i="3" s="1"/>
  <c r="CL56" i="3"/>
  <c r="BD11" i="2"/>
  <c r="Z31" i="1"/>
  <c r="AA30" i="1"/>
  <c r="CG52" i="1"/>
  <c r="CG25" i="1"/>
  <c r="V53" i="1"/>
  <c r="V64" i="1"/>
  <c r="U65" i="1"/>
  <c r="U72" i="1"/>
  <c r="U78" i="1"/>
  <c r="BJ96" i="1"/>
  <c r="BK96" i="1" s="1"/>
  <c r="T85" i="1"/>
  <c r="T79" i="1"/>
  <c r="BG126" i="2"/>
  <c r="BG122" i="2"/>
  <c r="BX132" i="3"/>
  <c r="BX135" i="3" s="1"/>
  <c r="BW138" i="3"/>
  <c r="BF99" i="3"/>
  <c r="BE112" i="3"/>
  <c r="BE134" i="3" s="1"/>
  <c r="CH30" i="1"/>
  <c r="CH31" i="1" s="1"/>
  <c r="W52" i="1"/>
  <c r="W25" i="1"/>
  <c r="BF30" i="3"/>
  <c r="CP17" i="3"/>
  <c r="CQ96" i="1" l="1"/>
  <c r="AA37" i="1"/>
  <c r="BR37" i="1" s="1"/>
  <c r="BR38" i="1" s="1"/>
  <c r="BR39" i="1" s="1"/>
  <c r="Z38" i="1"/>
  <c r="Z39" i="1" s="1"/>
  <c r="BG127" i="2"/>
  <c r="BG17" i="3" s="1"/>
  <c r="BG30" i="3" s="1"/>
  <c r="BJ108" i="2"/>
  <c r="BI116" i="2"/>
  <c r="BI115" i="2"/>
  <c r="BJ107" i="2"/>
  <c r="CH37" i="1"/>
  <c r="CH38" i="1" s="1"/>
  <c r="BH117" i="2"/>
  <c r="BH125" i="2"/>
  <c r="AA31" i="1"/>
  <c r="AB30" i="1"/>
  <c r="BR30" i="1"/>
  <c r="BR31" i="1" s="1"/>
  <c r="BD78" i="2"/>
  <c r="BE11" i="2"/>
  <c r="BD17" i="2"/>
  <c r="BD55" i="3"/>
  <c r="BD137" i="3"/>
  <c r="Y19" i="1"/>
  <c r="Y24" i="1"/>
  <c r="BW50" i="3"/>
  <c r="BW53" i="3" s="1"/>
  <c r="BV56" i="3"/>
  <c r="BC84" i="3"/>
  <c r="BC85" i="3" s="1"/>
  <c r="BC52" i="3"/>
  <c r="T56" i="3"/>
  <c r="U50" i="3"/>
  <c r="U53" i="3" s="1"/>
  <c r="CP99" i="3"/>
  <c r="CP112" i="3" s="1"/>
  <c r="CP134" i="3" s="1"/>
  <c r="CP30" i="3"/>
  <c r="CP84" i="3" s="1"/>
  <c r="CP85" i="3" s="1"/>
  <c r="CH32" i="1"/>
  <c r="CH47" i="1"/>
  <c r="BF112" i="3"/>
  <c r="BF134" i="3" s="1"/>
  <c r="Z47" i="1"/>
  <c r="Z32" i="1"/>
  <c r="Z77" i="1"/>
  <c r="AA17" i="1"/>
  <c r="Z18" i="1"/>
  <c r="X52" i="1"/>
  <c r="X25" i="1"/>
  <c r="CM138" i="3"/>
  <c r="CN132" i="3"/>
  <c r="CN135" i="3" s="1"/>
  <c r="W64" i="1"/>
  <c r="W53" i="1"/>
  <c r="V65" i="1"/>
  <c r="V72" i="1"/>
  <c r="V78" i="1"/>
  <c r="CM56" i="3"/>
  <c r="CN50" i="3"/>
  <c r="CN53" i="3" s="1"/>
  <c r="BJ112" i="2"/>
  <c r="BI121" i="2"/>
  <c r="AF132" i="3"/>
  <c r="AE138" i="3"/>
  <c r="BY30" i="3"/>
  <c r="BY84" i="3" s="1"/>
  <c r="BY85" i="3" s="1"/>
  <c r="BQ25" i="1"/>
  <c r="BQ52" i="1"/>
  <c r="BF84" i="3"/>
  <c r="BF85" i="3" s="1"/>
  <c r="BF52" i="3"/>
  <c r="CA96" i="1"/>
  <c r="CB96" i="1" s="1"/>
  <c r="CB93" i="1" s="1"/>
  <c r="BY132" i="3"/>
  <c r="BY135" i="3" s="1"/>
  <c r="BX138" i="3"/>
  <c r="U85" i="1"/>
  <c r="U79" i="1"/>
  <c r="CG53" i="1"/>
  <c r="CG64" i="1"/>
  <c r="CH17" i="1"/>
  <c r="BH126" i="2"/>
  <c r="BH127" i="2" s="1"/>
  <c r="BH17" i="3" s="1"/>
  <c r="BH122" i="2"/>
  <c r="BJ115" i="2" l="1"/>
  <c r="BK107" i="2"/>
  <c r="BG99" i="3"/>
  <c r="BZ99" i="3" s="1"/>
  <c r="BZ112" i="3" s="1"/>
  <c r="BZ134" i="3" s="1"/>
  <c r="BI125" i="2"/>
  <c r="BI117" i="2"/>
  <c r="BZ17" i="3"/>
  <c r="BZ30" i="3" s="1"/>
  <c r="BZ84" i="3" s="1"/>
  <c r="BZ85" i="3" s="1"/>
  <c r="CH39" i="1"/>
  <c r="BK108" i="2"/>
  <c r="BJ116" i="2"/>
  <c r="AB37" i="1"/>
  <c r="AA38" i="1"/>
  <c r="AA39" i="1" s="1"/>
  <c r="BH99" i="3"/>
  <c r="BH30" i="3"/>
  <c r="BQ53" i="1"/>
  <c r="BQ64" i="1"/>
  <c r="CO50" i="3"/>
  <c r="CO53" i="3" s="1"/>
  <c r="CN56" i="3"/>
  <c r="CO132" i="3"/>
  <c r="CO135" i="3" s="1"/>
  <c r="CN138" i="3"/>
  <c r="U56" i="3"/>
  <c r="V50" i="3"/>
  <c r="V53" i="3" s="1"/>
  <c r="BE55" i="3"/>
  <c r="BE17" i="2"/>
  <c r="BF11" i="2"/>
  <c r="BE137" i="3"/>
  <c r="BE78" i="2"/>
  <c r="AC30" i="1"/>
  <c r="AB31" i="1"/>
  <c r="CH77" i="1"/>
  <c r="CH18" i="1"/>
  <c r="AH132" i="3"/>
  <c r="AH135" i="3" s="1"/>
  <c r="AH138" i="3" s="1"/>
  <c r="AG132" i="3"/>
  <c r="AG135" i="3" s="1"/>
  <c r="AG138" i="3" s="1"/>
  <c r="AI132" i="3"/>
  <c r="AI135" i="3" s="1"/>
  <c r="AF135" i="3"/>
  <c r="AF138" i="3" s="1"/>
  <c r="V79" i="1"/>
  <c r="V85" i="1"/>
  <c r="X53" i="1"/>
  <c r="X64" i="1"/>
  <c r="BW56" i="3"/>
  <c r="BX50" i="3"/>
  <c r="BX53" i="3" s="1"/>
  <c r="BD81" i="2"/>
  <c r="BD132" i="2"/>
  <c r="AA32" i="1"/>
  <c r="CG78" i="1"/>
  <c r="CG65" i="1"/>
  <c r="CG72" i="1"/>
  <c r="BI126" i="2"/>
  <c r="BI122" i="2"/>
  <c r="W65" i="1"/>
  <c r="W72" i="1"/>
  <c r="W78" i="1"/>
  <c r="Z19" i="1"/>
  <c r="Z24" i="1"/>
  <c r="BG112" i="3"/>
  <c r="BG134" i="3" s="1"/>
  <c r="CP52" i="3"/>
  <c r="BY52" i="3"/>
  <c r="Y25" i="1"/>
  <c r="Y52" i="1"/>
  <c r="BR47" i="1"/>
  <c r="BR32" i="1"/>
  <c r="BZ132" i="3"/>
  <c r="BY138" i="3"/>
  <c r="BJ121" i="2"/>
  <c r="BK112" i="2"/>
  <c r="AB17" i="1"/>
  <c r="AA77" i="1"/>
  <c r="AA18" i="1"/>
  <c r="BR17" i="1"/>
  <c r="BG84" i="3"/>
  <c r="BG85" i="3" s="1"/>
  <c r="BG52" i="3"/>
  <c r="BD24" i="2"/>
  <c r="BD89" i="2"/>
  <c r="BZ135" i="3" l="1"/>
  <c r="CA132" i="3" s="1"/>
  <c r="AB38" i="1"/>
  <c r="AB39" i="1" s="1"/>
  <c r="AC37" i="1"/>
  <c r="BK115" i="2"/>
  <c r="CA107" i="2"/>
  <c r="CB107" i="2" s="1"/>
  <c r="CB115" i="2" s="1"/>
  <c r="BI127" i="2"/>
  <c r="BI17" i="3" s="1"/>
  <c r="BI30" i="3" s="1"/>
  <c r="BI84" i="3" s="1"/>
  <c r="BI85" i="3" s="1"/>
  <c r="AA47" i="1"/>
  <c r="BK116" i="2"/>
  <c r="CA108" i="2"/>
  <c r="CB108" i="2" s="1"/>
  <c r="CB116" i="2" s="1"/>
  <c r="BJ117" i="2"/>
  <c r="BJ125" i="2"/>
  <c r="X78" i="1"/>
  <c r="X72" i="1"/>
  <c r="X65" i="1"/>
  <c r="V56" i="3"/>
  <c r="W50" i="3"/>
  <c r="W53" i="3" s="1"/>
  <c r="BR18" i="1"/>
  <c r="BR77" i="1"/>
  <c r="AI138" i="3"/>
  <c r="AJ132" i="3"/>
  <c r="CH24" i="1"/>
  <c r="CH19" i="1"/>
  <c r="AB32" i="1"/>
  <c r="AB47" i="1"/>
  <c r="BF17" i="2"/>
  <c r="BG11" i="2"/>
  <c r="BF78" i="2"/>
  <c r="CP11" i="2"/>
  <c r="BF55" i="3"/>
  <c r="BF137" i="3"/>
  <c r="BH84" i="3"/>
  <c r="BH85" i="3" s="1"/>
  <c r="BH52" i="3"/>
  <c r="Y64" i="1"/>
  <c r="Y53" i="1"/>
  <c r="W85" i="1"/>
  <c r="W79" i="1"/>
  <c r="BE24" i="2"/>
  <c r="BE89" i="2"/>
  <c r="CP132" i="3"/>
  <c r="CP135" i="3" s="1"/>
  <c r="CQ132" i="3" s="1"/>
  <c r="CO138" i="3"/>
  <c r="CO56" i="3"/>
  <c r="CP50" i="3"/>
  <c r="BI99" i="3"/>
  <c r="BH112" i="3"/>
  <c r="BH134" i="3" s="1"/>
  <c r="AA19" i="1"/>
  <c r="AA24" i="1"/>
  <c r="CA112" i="2"/>
  <c r="CB112" i="2" s="1"/>
  <c r="CB121" i="2" s="1"/>
  <c r="BK121" i="2"/>
  <c r="BY50" i="3"/>
  <c r="BY53" i="3" s="1"/>
  <c r="BX56" i="3"/>
  <c r="BD66" i="3"/>
  <c r="BD43" i="2"/>
  <c r="BJ126" i="2"/>
  <c r="BJ127" i="2" s="1"/>
  <c r="BJ17" i="3" s="1"/>
  <c r="BJ30" i="3" s="1"/>
  <c r="BJ122" i="2"/>
  <c r="CP53" i="3"/>
  <c r="CQ50" i="3" s="1"/>
  <c r="Z25" i="1"/>
  <c r="Z52" i="1"/>
  <c r="AD30" i="1"/>
  <c r="AC31" i="1"/>
  <c r="AC17" i="1"/>
  <c r="AB18" i="1"/>
  <c r="AB77" i="1"/>
  <c r="BZ52" i="3"/>
  <c r="CG85" i="1"/>
  <c r="CG79" i="1"/>
  <c r="BD135" i="2"/>
  <c r="BE138" i="2" s="1"/>
  <c r="BD86" i="2"/>
  <c r="BD87" i="2" s="1"/>
  <c r="BD84" i="2"/>
  <c r="BD85" i="2" s="1"/>
  <c r="BE81" i="2"/>
  <c r="BE132" i="2"/>
  <c r="BQ78" i="1"/>
  <c r="BQ65" i="1"/>
  <c r="BQ72" i="1"/>
  <c r="BI52" i="3" l="1"/>
  <c r="BK117" i="2"/>
  <c r="BK125" i="2"/>
  <c r="AC38" i="1"/>
  <c r="AC39" i="1" s="1"/>
  <c r="AD37" i="1"/>
  <c r="CB125" i="2"/>
  <c r="CB101" i="2" s="1"/>
  <c r="CB117" i="2"/>
  <c r="BZ50" i="3"/>
  <c r="BZ53" i="3" s="1"/>
  <c r="CA50" i="3" s="1"/>
  <c r="BY56" i="3"/>
  <c r="AC32" i="1"/>
  <c r="AC47" i="1"/>
  <c r="Z64" i="1"/>
  <c r="Z53" i="1"/>
  <c r="BJ84" i="3"/>
  <c r="BJ85" i="3" s="1"/>
  <c r="BJ52" i="3"/>
  <c r="CQ52" i="3" s="1"/>
  <c r="CQ53" i="3" s="1"/>
  <c r="CB126" i="2"/>
  <c r="CB122" i="2"/>
  <c r="CP137" i="3"/>
  <c r="CP138" i="3" s="1"/>
  <c r="CP17" i="2"/>
  <c r="CP55" i="3"/>
  <c r="CP56" i="3" s="1"/>
  <c r="AK132" i="3"/>
  <c r="AK135" i="3" s="1"/>
  <c r="AK138" i="3" s="1"/>
  <c r="AM132" i="3"/>
  <c r="AM135" i="3" s="1"/>
  <c r="AL132" i="3"/>
  <c r="AL135" i="3" s="1"/>
  <c r="AL138" i="3" s="1"/>
  <c r="AJ135" i="3"/>
  <c r="AJ138" i="3" s="1"/>
  <c r="X79" i="1"/>
  <c r="X85" i="1"/>
  <c r="AA25" i="1"/>
  <c r="AA52" i="1"/>
  <c r="BJ99" i="3"/>
  <c r="BI112" i="3"/>
  <c r="BI134" i="3" s="1"/>
  <c r="BF81" i="2"/>
  <c r="BF132" i="2"/>
  <c r="AE30" i="1"/>
  <c r="BS30" i="1" s="1"/>
  <c r="BS31" i="1" s="1"/>
  <c r="AD31" i="1"/>
  <c r="CI30" i="1"/>
  <c r="CI31" i="1" s="1"/>
  <c r="BE135" i="2"/>
  <c r="BF138" i="2" s="1"/>
  <c r="BE84" i="2"/>
  <c r="BE85" i="2" s="1"/>
  <c r="BE86" i="2"/>
  <c r="BE87" i="2" s="1"/>
  <c r="BG55" i="3"/>
  <c r="BG78" i="2"/>
  <c r="BG17" i="2"/>
  <c r="BG137" i="3"/>
  <c r="BH11" i="2"/>
  <c r="BZ11" i="2"/>
  <c r="CQ17" i="3"/>
  <c r="AC18" i="1"/>
  <c r="AC77" i="1"/>
  <c r="AD17" i="1"/>
  <c r="CI17" i="1" s="1"/>
  <c r="BQ85" i="1"/>
  <c r="BQ79" i="1"/>
  <c r="AB24" i="1"/>
  <c r="AB19" i="1"/>
  <c r="BK126" i="2"/>
  <c r="BK127" i="2" s="1"/>
  <c r="BK17" i="3" s="1"/>
  <c r="BK122" i="2"/>
  <c r="BE66" i="3"/>
  <c r="BE43" i="2"/>
  <c r="Y65" i="1"/>
  <c r="Y72" i="1"/>
  <c r="Y78" i="1"/>
  <c r="BF89" i="2"/>
  <c r="BF24" i="2"/>
  <c r="CH25" i="1"/>
  <c r="CH52" i="1"/>
  <c r="BR19" i="1"/>
  <c r="BR24" i="1"/>
  <c r="W56" i="3"/>
  <c r="X50" i="3"/>
  <c r="X53" i="3" s="1"/>
  <c r="AE37" i="1" l="1"/>
  <c r="AD38" i="1"/>
  <c r="AD39" i="1" s="1"/>
  <c r="CI37" i="1"/>
  <c r="CI38" i="1" s="1"/>
  <c r="BS37" i="1"/>
  <c r="BS38" i="1" s="1"/>
  <c r="BS39" i="1" s="1"/>
  <c r="CI18" i="1"/>
  <c r="AB25" i="1"/>
  <c r="AB52" i="1"/>
  <c r="CQ99" i="3"/>
  <c r="CQ112" i="3" s="1"/>
  <c r="CQ134" i="3" s="1"/>
  <c r="CQ135" i="3" s="1"/>
  <c r="CQ30" i="3"/>
  <c r="CQ84" i="3" s="1"/>
  <c r="CQ85" i="3" s="1"/>
  <c r="BG89" i="2"/>
  <c r="BG24" i="2"/>
  <c r="AE31" i="1"/>
  <c r="AF30" i="1"/>
  <c r="BF86" i="2"/>
  <c r="BF135" i="2"/>
  <c r="BG138" i="2" s="1"/>
  <c r="BF84" i="2"/>
  <c r="CB102" i="2"/>
  <c r="CB104" i="2" s="1"/>
  <c r="CB127" i="2"/>
  <c r="CB17" i="3" s="1"/>
  <c r="Z65" i="1"/>
  <c r="Z78" i="1"/>
  <c r="Z72" i="1"/>
  <c r="AE17" i="1"/>
  <c r="BS17" i="1" s="1"/>
  <c r="AD77" i="1"/>
  <c r="AD18" i="1"/>
  <c r="BZ55" i="3"/>
  <c r="BZ56" i="3" s="1"/>
  <c r="BZ137" i="3"/>
  <c r="BZ138" i="3" s="1"/>
  <c r="BZ78" i="2"/>
  <c r="BZ17" i="2"/>
  <c r="BG132" i="2"/>
  <c r="BG81" i="2"/>
  <c r="BS32" i="1"/>
  <c r="BR52" i="1"/>
  <c r="BR25" i="1"/>
  <c r="Y79" i="1"/>
  <c r="Y85" i="1"/>
  <c r="BF66" i="3"/>
  <c r="BF43" i="2"/>
  <c r="BI11" i="2"/>
  <c r="BH137" i="3"/>
  <c r="BH17" i="2"/>
  <c r="BH55" i="3"/>
  <c r="BH78" i="2"/>
  <c r="CI32" i="1"/>
  <c r="BK99" i="3"/>
  <c r="BJ112" i="3"/>
  <c r="BJ134" i="3" s="1"/>
  <c r="CP24" i="2"/>
  <c r="CP89" i="2"/>
  <c r="Y50" i="3"/>
  <c r="Y53" i="3" s="1"/>
  <c r="X56" i="3"/>
  <c r="CH64" i="1"/>
  <c r="CH53" i="1"/>
  <c r="BK30" i="3"/>
  <c r="CA17" i="3"/>
  <c r="CA30" i="3" s="1"/>
  <c r="CA84" i="3" s="1"/>
  <c r="CA85" i="3" s="1"/>
  <c r="AC19" i="1"/>
  <c r="AC24" i="1"/>
  <c r="AD47" i="1"/>
  <c r="AD32" i="1"/>
  <c r="AA64" i="1"/>
  <c r="AA53" i="1"/>
  <c r="AN132" i="3"/>
  <c r="AM138" i="3"/>
  <c r="CI39" i="1" l="1"/>
  <c r="BS47" i="1"/>
  <c r="CI77" i="1"/>
  <c r="CI47" i="1"/>
  <c r="AF37" i="1"/>
  <c r="AE38" i="1"/>
  <c r="AE39" i="1" s="1"/>
  <c r="BH24" i="2"/>
  <c r="BH89" i="2"/>
  <c r="BG135" i="2"/>
  <c r="BH138" i="2" s="1"/>
  <c r="BG84" i="2"/>
  <c r="BG86" i="2"/>
  <c r="AE77" i="1"/>
  <c r="AE18" i="1"/>
  <c r="AF17" i="1"/>
  <c r="AG30" i="1"/>
  <c r="AF31" i="1"/>
  <c r="CH78" i="1"/>
  <c r="CH65" i="1"/>
  <c r="CH72" i="1"/>
  <c r="CP66" i="3"/>
  <c r="CP43" i="2"/>
  <c r="CA99" i="3"/>
  <c r="CA112" i="3" s="1"/>
  <c r="CA134" i="3" s="1"/>
  <c r="CA135" i="3" s="1"/>
  <c r="CB132" i="3" s="1"/>
  <c r="BK112" i="3"/>
  <c r="BK134" i="3" s="1"/>
  <c r="BR53" i="1"/>
  <c r="BR64" i="1"/>
  <c r="Z85" i="1"/>
  <c r="Z79" i="1"/>
  <c r="CP84" i="2"/>
  <c r="BF85" i="2"/>
  <c r="CP85" i="2" s="1"/>
  <c r="AA65" i="1"/>
  <c r="AA72" i="1"/>
  <c r="AA78" i="1"/>
  <c r="BH81" i="2"/>
  <c r="BH132" i="2"/>
  <c r="BI137" i="3"/>
  <c r="BI78" i="2"/>
  <c r="BJ11" i="2"/>
  <c r="BI17" i="2"/>
  <c r="BI55" i="3"/>
  <c r="BZ89" i="2"/>
  <c r="BZ24" i="2"/>
  <c r="AD19" i="1"/>
  <c r="AD24" i="1"/>
  <c r="AE32" i="1"/>
  <c r="CI19" i="1"/>
  <c r="CI24" i="1"/>
  <c r="AC25" i="1"/>
  <c r="AC52" i="1"/>
  <c r="AQ132" i="3"/>
  <c r="AQ135" i="3" s="1"/>
  <c r="AO132" i="3"/>
  <c r="AO135" i="3" s="1"/>
  <c r="AO138" i="3" s="1"/>
  <c r="AP132" i="3"/>
  <c r="AP135" i="3" s="1"/>
  <c r="AP138" i="3" s="1"/>
  <c r="AN135" i="3"/>
  <c r="AN138" i="3" s="1"/>
  <c r="BS18" i="1"/>
  <c r="BS77" i="1"/>
  <c r="BK84" i="3"/>
  <c r="BK85" i="3" s="1"/>
  <c r="BK52" i="3"/>
  <c r="Z50" i="3"/>
  <c r="Z53" i="3" s="1"/>
  <c r="Y56" i="3"/>
  <c r="BZ132" i="2"/>
  <c r="BZ81" i="2"/>
  <c r="BZ135" i="2" s="1"/>
  <c r="CA138" i="2" s="1"/>
  <c r="CB99" i="3"/>
  <c r="CB112" i="3" s="1"/>
  <c r="CB134" i="3" s="1"/>
  <c r="CB135" i="3" s="1"/>
  <c r="CB30" i="3"/>
  <c r="CP86" i="2"/>
  <c r="BF87" i="2"/>
  <c r="CP87" i="2" s="1"/>
  <c r="BG66" i="3"/>
  <c r="BG43" i="2"/>
  <c r="AB64" i="1"/>
  <c r="AB53" i="1"/>
  <c r="AF38" i="1" l="1"/>
  <c r="AF39" i="1" s="1"/>
  <c r="AG37" i="1"/>
  <c r="AE47" i="1"/>
  <c r="AB78" i="1"/>
  <c r="AB72" i="1"/>
  <c r="AB65" i="1"/>
  <c r="Z56" i="3"/>
  <c r="AA50" i="3"/>
  <c r="AA53" i="3" s="1"/>
  <c r="BS24" i="1"/>
  <c r="BS19" i="1"/>
  <c r="AR132" i="3"/>
  <c r="AQ138" i="3"/>
  <c r="BI24" i="2"/>
  <c r="BI89" i="2"/>
  <c r="BR78" i="1"/>
  <c r="BR65" i="1"/>
  <c r="BR72" i="1"/>
  <c r="AG17" i="1"/>
  <c r="AF18" i="1"/>
  <c r="AF77" i="1"/>
  <c r="BZ86" i="2"/>
  <c r="BG87" i="2"/>
  <c r="BZ87" i="2" s="1"/>
  <c r="CB84" i="3"/>
  <c r="CB85" i="3" s="1"/>
  <c r="CB52" i="3"/>
  <c r="CA52" i="3"/>
  <c r="CA53" i="3" s="1"/>
  <c r="CB50" i="3" s="1"/>
  <c r="AC64" i="1"/>
  <c r="AC53" i="1"/>
  <c r="BZ66" i="3"/>
  <c r="BZ43" i="2"/>
  <c r="BJ137" i="3"/>
  <c r="BJ55" i="3"/>
  <c r="CQ11" i="2"/>
  <c r="BK11" i="2"/>
  <c r="BJ17" i="2"/>
  <c r="BJ78" i="2"/>
  <c r="BH84" i="2"/>
  <c r="BH85" i="2" s="1"/>
  <c r="BH86" i="2"/>
  <c r="BH87" i="2" s="1"/>
  <c r="BH135" i="2"/>
  <c r="BI138" i="2" s="1"/>
  <c r="AA79" i="1"/>
  <c r="AA85" i="1"/>
  <c r="CH85" i="1"/>
  <c r="CH79" i="1"/>
  <c r="AF32" i="1"/>
  <c r="AE19" i="1"/>
  <c r="AE24" i="1"/>
  <c r="BZ84" i="2"/>
  <c r="BG85" i="2"/>
  <c r="BZ85" i="2" s="1"/>
  <c r="BI81" i="2"/>
  <c r="BI132" i="2"/>
  <c r="AG31" i="1"/>
  <c r="AH30" i="1"/>
  <c r="CJ30" i="1" s="1"/>
  <c r="CJ31" i="1" s="1"/>
  <c r="BH66" i="3"/>
  <c r="BH43" i="2"/>
  <c r="CI52" i="1"/>
  <c r="CI25" i="1"/>
  <c r="AD52" i="1"/>
  <c r="AD25" i="1"/>
  <c r="AF47" i="1" l="1"/>
  <c r="AH37" i="1"/>
  <c r="AG38" i="1"/>
  <c r="AG39" i="1" s="1"/>
  <c r="CJ37" i="1"/>
  <c r="CJ38" i="1" s="1"/>
  <c r="AE52" i="1"/>
  <c r="AE25" i="1"/>
  <c r="BJ89" i="2"/>
  <c r="BJ24" i="2"/>
  <c r="AC78" i="1"/>
  <c r="AC72" i="1"/>
  <c r="AC65" i="1"/>
  <c r="AF24" i="1"/>
  <c r="AF19" i="1"/>
  <c r="BR85" i="1"/>
  <c r="BR79" i="1"/>
  <c r="AD64" i="1"/>
  <c r="AD53" i="1"/>
  <c r="CJ32" i="1"/>
  <c r="BK137" i="3"/>
  <c r="BK17" i="2"/>
  <c r="BK78" i="2"/>
  <c r="CA11" i="2"/>
  <c r="BK55" i="3"/>
  <c r="AG18" i="1"/>
  <c r="AH17" i="1"/>
  <c r="AG70" i="1"/>
  <c r="AG77" i="1" s="1"/>
  <c r="BS52" i="1"/>
  <c r="BS25" i="1"/>
  <c r="CI64" i="1"/>
  <c r="CI53" i="1"/>
  <c r="AI30" i="1"/>
  <c r="AH31" i="1"/>
  <c r="CQ17" i="2"/>
  <c r="CQ137" i="3"/>
  <c r="CQ138" i="3" s="1"/>
  <c r="CQ55" i="3"/>
  <c r="CQ56" i="3" s="1"/>
  <c r="BI66" i="3"/>
  <c r="BI43" i="2"/>
  <c r="AB50" i="3"/>
  <c r="AB53" i="3" s="1"/>
  <c r="AA56" i="3"/>
  <c r="AB79" i="1"/>
  <c r="AB85" i="1"/>
  <c r="AG32" i="1"/>
  <c r="BI84" i="2"/>
  <c r="BI85" i="2" s="1"/>
  <c r="BI86" i="2"/>
  <c r="BI87" i="2" s="1"/>
  <c r="BI135" i="2"/>
  <c r="BJ138" i="2" s="1"/>
  <c r="BJ81" i="2"/>
  <c r="BJ132" i="2"/>
  <c r="CB53" i="3"/>
  <c r="AT132" i="3"/>
  <c r="AT135" i="3" s="1"/>
  <c r="AT138" i="3" s="1"/>
  <c r="AU132" i="3"/>
  <c r="AU135" i="3" s="1"/>
  <c r="AS132" i="3"/>
  <c r="AS135" i="3" s="1"/>
  <c r="AS138" i="3" s="1"/>
  <c r="AR135" i="3"/>
  <c r="AR138" i="3" s="1"/>
  <c r="CJ39" i="1" l="1"/>
  <c r="CJ47" i="1"/>
  <c r="AG47" i="1"/>
  <c r="AI37" i="1"/>
  <c r="BT37" i="1" s="1"/>
  <c r="BT38" i="1" s="1"/>
  <c r="BT39" i="1" s="1"/>
  <c r="AH38" i="1"/>
  <c r="AH39" i="1" s="1"/>
  <c r="AC50" i="3"/>
  <c r="AC53" i="3" s="1"/>
  <c r="AB56" i="3"/>
  <c r="AJ30" i="1"/>
  <c r="AI31" i="1"/>
  <c r="AH18" i="1"/>
  <c r="AI17" i="1"/>
  <c r="AH70" i="1"/>
  <c r="AH71" i="1" s="1"/>
  <c r="CJ17" i="1"/>
  <c r="CA137" i="3"/>
  <c r="CA138" i="3" s="1"/>
  <c r="CA78" i="2"/>
  <c r="CB11" i="2"/>
  <c r="CA17" i="2"/>
  <c r="CA55" i="3"/>
  <c r="CA56" i="3" s="1"/>
  <c r="AC79" i="1"/>
  <c r="AC85" i="1"/>
  <c r="AU138" i="3"/>
  <c r="AV132" i="3"/>
  <c r="BK81" i="2"/>
  <c r="BK132" i="2"/>
  <c r="AF52" i="1"/>
  <c r="AF25" i="1"/>
  <c r="AE64" i="1"/>
  <c r="AE53" i="1"/>
  <c r="BT30" i="1"/>
  <c r="BT31" i="1" s="1"/>
  <c r="CQ89" i="2"/>
  <c r="CQ24" i="2"/>
  <c r="CI78" i="1"/>
  <c r="CI72" i="1"/>
  <c r="CI65" i="1"/>
  <c r="BS64" i="1"/>
  <c r="BS53" i="1"/>
  <c r="AG24" i="1"/>
  <c r="AG19" i="1"/>
  <c r="BK24" i="2"/>
  <c r="BK89" i="2"/>
  <c r="AD78" i="1"/>
  <c r="AD65" i="1"/>
  <c r="AD72" i="1"/>
  <c r="BJ66" i="3"/>
  <c r="BJ43" i="2"/>
  <c r="BJ135" i="2"/>
  <c r="BK138" i="2" s="1"/>
  <c r="BJ86" i="2"/>
  <c r="BJ84" i="2"/>
  <c r="AH47" i="1"/>
  <c r="AH32" i="1"/>
  <c r="CJ70" i="1"/>
  <c r="CJ71" i="1" s="1"/>
  <c r="AG71" i="1"/>
  <c r="AH77" i="1" l="1"/>
  <c r="AI38" i="1"/>
  <c r="AI39" i="1" s="1"/>
  <c r="AJ37" i="1"/>
  <c r="CQ86" i="2"/>
  <c r="BJ87" i="2"/>
  <c r="CQ87" i="2" s="1"/>
  <c r="CI79" i="1"/>
  <c r="CI85" i="1"/>
  <c r="CA81" i="2"/>
  <c r="CA135" i="2" s="1"/>
  <c r="CB138" i="2" s="1"/>
  <c r="CA132" i="2"/>
  <c r="AJ17" i="1"/>
  <c r="AI70" i="1"/>
  <c r="AI18" i="1"/>
  <c r="AK30" i="1"/>
  <c r="AJ31" i="1"/>
  <c r="BK66" i="3"/>
  <c r="BK43" i="2"/>
  <c r="BS78" i="1"/>
  <c r="BS72" i="1"/>
  <c r="BS65" i="1"/>
  <c r="CQ66" i="3"/>
  <c r="CQ43" i="2"/>
  <c r="AE78" i="1"/>
  <c r="AE65" i="1"/>
  <c r="AE72" i="1"/>
  <c r="BK135" i="2"/>
  <c r="BK86" i="2"/>
  <c r="BK84" i="2"/>
  <c r="BT17" i="1"/>
  <c r="AD85" i="1"/>
  <c r="AD79" i="1"/>
  <c r="AX132" i="3"/>
  <c r="AX135" i="3" s="1"/>
  <c r="AX138" i="3" s="1"/>
  <c r="AW132" i="3"/>
  <c r="AW135" i="3" s="1"/>
  <c r="AW138" i="3" s="1"/>
  <c r="AY132" i="3"/>
  <c r="AY135" i="3" s="1"/>
  <c r="AV135" i="3"/>
  <c r="AV138" i="3" s="1"/>
  <c r="CA89" i="2"/>
  <c r="CA24" i="2"/>
  <c r="CJ77" i="1"/>
  <c r="CJ18" i="1"/>
  <c r="AH24" i="1"/>
  <c r="AH19" i="1"/>
  <c r="CQ84" i="2"/>
  <c r="BJ85" i="2"/>
  <c r="CQ85" i="2" s="1"/>
  <c r="AG25" i="1"/>
  <c r="AG52" i="1"/>
  <c r="BT32" i="1"/>
  <c r="BT47" i="1"/>
  <c r="AF64" i="1"/>
  <c r="AF53" i="1"/>
  <c r="CB78" i="2"/>
  <c r="CB55" i="3"/>
  <c r="CB56" i="3" s="1"/>
  <c r="CB137" i="3"/>
  <c r="CB138" i="3" s="1"/>
  <c r="CB17" i="2"/>
  <c r="CB24" i="2" s="1"/>
  <c r="AI32" i="1"/>
  <c r="AI47" i="1"/>
  <c r="AD50" i="3"/>
  <c r="AD53" i="3" s="1"/>
  <c r="AC56" i="3"/>
  <c r="AK37" i="1" l="1"/>
  <c r="AJ38" i="1"/>
  <c r="AJ39" i="1" s="1"/>
  <c r="AF65" i="1"/>
  <c r="AF78" i="1"/>
  <c r="AF72" i="1"/>
  <c r="AH52" i="1"/>
  <c r="AH25" i="1"/>
  <c r="BT18" i="1"/>
  <c r="BK85" i="2"/>
  <c r="CA85" i="2" s="1"/>
  <c r="CA84" i="2"/>
  <c r="AI19" i="1"/>
  <c r="AI24" i="1"/>
  <c r="AK17" i="1"/>
  <c r="AJ18" i="1"/>
  <c r="AJ77" i="1"/>
  <c r="AG53" i="1"/>
  <c r="AG64" i="1"/>
  <c r="CJ19" i="1"/>
  <c r="CJ24" i="1"/>
  <c r="BK87" i="2"/>
  <c r="CA87" i="2" s="1"/>
  <c r="CA86" i="2"/>
  <c r="AE79" i="1"/>
  <c r="AE85" i="1"/>
  <c r="AI71" i="1"/>
  <c r="BT70" i="1"/>
  <c r="BT71" i="1" s="1"/>
  <c r="CB81" i="2"/>
  <c r="CB135" i="2" s="1"/>
  <c r="CB132" i="2"/>
  <c r="BS79" i="1"/>
  <c r="BS85" i="1"/>
  <c r="AJ47" i="1"/>
  <c r="AJ32" i="1"/>
  <c r="AE50" i="3"/>
  <c r="AE53" i="3" s="1"/>
  <c r="AD56" i="3"/>
  <c r="CB66" i="3"/>
  <c r="CB43" i="2"/>
  <c r="CA66" i="3"/>
  <c r="CA43" i="2"/>
  <c r="AZ132" i="3"/>
  <c r="AY138" i="3"/>
  <c r="AL1" i="3"/>
  <c r="AN1" i="3"/>
  <c r="J1" i="3"/>
  <c r="AL1" i="2"/>
  <c r="D1" i="2"/>
  <c r="BQ1" i="3"/>
  <c r="H1" i="3"/>
  <c r="Z1" i="2"/>
  <c r="AH1" i="3"/>
  <c r="AF1" i="1"/>
  <c r="CL1" i="2"/>
  <c r="BS1" i="3"/>
  <c r="J1" i="2"/>
  <c r="CM1" i="3"/>
  <c r="N1" i="3"/>
  <c r="Z1" i="3"/>
  <c r="CL1" i="1"/>
  <c r="X1" i="2"/>
  <c r="N1" i="2"/>
  <c r="CM1" i="2"/>
  <c r="BY1" i="3"/>
  <c r="AP1" i="1"/>
  <c r="V1" i="1"/>
  <c r="AB1" i="3"/>
  <c r="AD1" i="2"/>
  <c r="AL1" i="1"/>
  <c r="CH1" i="3"/>
  <c r="CN1" i="2"/>
  <c r="AF1" i="2"/>
  <c r="AD1" i="1"/>
  <c r="R1" i="1"/>
  <c r="R1" i="2"/>
  <c r="F1" i="2"/>
  <c r="CJ1" i="1"/>
  <c r="BW1" i="1"/>
  <c r="AD1" i="3"/>
  <c r="D1" i="1"/>
  <c r="AX1" i="3"/>
  <c r="AX1" i="2"/>
  <c r="BL1" i="2"/>
  <c r="AT1" i="2"/>
  <c r="AV1" i="3"/>
  <c r="AJ1" i="1"/>
  <c r="X1" i="3"/>
  <c r="AH1" i="2"/>
  <c r="X1" i="1"/>
  <c r="CA1" i="2"/>
  <c r="AN1" i="1"/>
  <c r="CH1" i="1"/>
  <c r="Z1" i="1"/>
  <c r="AP1" i="3"/>
  <c r="L1" i="2"/>
  <c r="BL1" i="3"/>
  <c r="F1" i="3"/>
  <c r="J1" i="1"/>
  <c r="N1" i="1"/>
  <c r="CA1" i="1"/>
  <c r="BU1" i="3"/>
  <c r="CA1" i="3"/>
  <c r="CL1" i="3"/>
  <c r="P1" i="1"/>
  <c r="V1" i="2"/>
  <c r="AB1" i="1"/>
  <c r="AT1" i="3"/>
  <c r="L1" i="1"/>
  <c r="BS1" i="1"/>
  <c r="CJ1" i="3"/>
  <c r="H1" i="1"/>
  <c r="V1" i="3"/>
  <c r="BU1" i="2"/>
  <c r="AV1" i="2"/>
  <c r="AR1" i="2"/>
  <c r="CJ1" i="2"/>
  <c r="P1" i="3"/>
  <c r="BQ1" i="2"/>
  <c r="BY1" i="2"/>
  <c r="AB1" i="2"/>
  <c r="CH1" i="2"/>
  <c r="BL1" i="1"/>
  <c r="AN1" i="2"/>
  <c r="D1" i="3"/>
  <c r="AP1" i="2"/>
  <c r="AR1" i="3"/>
  <c r="T1" i="3"/>
  <c r="L1" i="3"/>
  <c r="BQ1" i="1"/>
  <c r="F1" i="1"/>
  <c r="BS1" i="2"/>
  <c r="BY1" i="1"/>
  <c r="AJ1" i="2"/>
  <c r="AF1" i="3"/>
  <c r="AH1" i="1"/>
  <c r="T1" i="2"/>
  <c r="AJ1" i="3"/>
  <c r="T1" i="1"/>
  <c r="R1" i="3"/>
  <c r="H1" i="2"/>
  <c r="P1" i="2"/>
  <c r="CN1" i="3"/>
  <c r="AK31" i="1"/>
  <c r="AL30" i="1"/>
  <c r="AI77" i="1"/>
  <c r="AL37" i="1" l="1"/>
  <c r="AK38" i="1"/>
  <c r="AK39" i="1" s="1"/>
  <c r="AK32" i="1"/>
  <c r="AG65" i="1"/>
  <c r="AG78" i="1"/>
  <c r="AG72" i="1"/>
  <c r="AI25" i="1"/>
  <c r="AI52" i="1"/>
  <c r="AH64" i="1"/>
  <c r="AH53" i="1"/>
  <c r="BA132" i="3"/>
  <c r="BA135" i="3" s="1"/>
  <c r="BA138" i="3" s="1"/>
  <c r="BC132" i="3"/>
  <c r="BC135" i="3" s="1"/>
  <c r="BB132" i="3"/>
  <c r="BB135" i="3" s="1"/>
  <c r="BB138" i="3" s="1"/>
  <c r="AZ135" i="3"/>
  <c r="AZ138" i="3" s="1"/>
  <c r="BT77" i="1"/>
  <c r="CJ25" i="1"/>
  <c r="CJ52" i="1"/>
  <c r="AJ24" i="1"/>
  <c r="AJ19" i="1"/>
  <c r="BT24" i="1"/>
  <c r="BT19" i="1"/>
  <c r="AF85" i="1"/>
  <c r="AF79" i="1"/>
  <c r="AL31" i="1"/>
  <c r="CK30" i="1"/>
  <c r="CK31" i="1" s="1"/>
  <c r="BU30" i="1"/>
  <c r="BU31" i="1" s="1"/>
  <c r="AF50" i="3"/>
  <c r="AF53" i="3" s="1"/>
  <c r="AE56" i="3"/>
  <c r="AL17" i="1"/>
  <c r="AK70" i="1"/>
  <c r="AK77" i="1" s="1"/>
  <c r="AK18" i="1"/>
  <c r="AK47" i="1" l="1"/>
  <c r="AL38" i="1"/>
  <c r="AL39" i="1" s="1"/>
  <c r="CK37" i="1"/>
  <c r="CK38" i="1" s="1"/>
  <c r="BU37" i="1"/>
  <c r="BU38" i="1" s="1"/>
  <c r="BU39" i="1" s="1"/>
  <c r="BU32" i="1"/>
  <c r="AJ25" i="1"/>
  <c r="AJ52" i="1"/>
  <c r="AH65" i="1"/>
  <c r="AH78" i="1"/>
  <c r="AH72" i="1"/>
  <c r="AG79" i="1"/>
  <c r="AG85" i="1"/>
  <c r="AL18" i="1"/>
  <c r="AL70" i="1"/>
  <c r="AL71" i="1" s="1"/>
  <c r="BU17" i="1"/>
  <c r="CK17" i="1"/>
  <c r="CK32" i="1"/>
  <c r="CK47" i="1"/>
  <c r="BD132" i="3"/>
  <c r="BC138" i="3"/>
  <c r="AI64" i="1"/>
  <c r="AI53" i="1"/>
  <c r="AK24" i="1"/>
  <c r="AK19" i="1"/>
  <c r="AL32" i="1"/>
  <c r="AL47" i="1"/>
  <c r="BT25" i="1"/>
  <c r="BT52" i="1"/>
  <c r="CJ53" i="1"/>
  <c r="CJ64" i="1"/>
  <c r="AK71" i="1"/>
  <c r="BU70" i="1"/>
  <c r="BU71" i="1" s="1"/>
  <c r="AG50" i="3"/>
  <c r="AG53" i="3" s="1"/>
  <c r="AF56" i="3"/>
  <c r="CK39" i="1" l="1"/>
  <c r="BU47" i="1"/>
  <c r="CJ65" i="1"/>
  <c r="CJ78" i="1"/>
  <c r="CJ72" i="1"/>
  <c r="AJ64" i="1"/>
  <c r="AJ53" i="1"/>
  <c r="AI65" i="1"/>
  <c r="AI78" i="1"/>
  <c r="AI72" i="1"/>
  <c r="AL19" i="1"/>
  <c r="AL24" i="1"/>
  <c r="AH50" i="3"/>
  <c r="AH53" i="3" s="1"/>
  <c r="AG56" i="3"/>
  <c r="BT64" i="1"/>
  <c r="BT53" i="1"/>
  <c r="CK18" i="1"/>
  <c r="AL77" i="1"/>
  <c r="AH79" i="1"/>
  <c r="AH85" i="1"/>
  <c r="CK70" i="1"/>
  <c r="CK71" i="1" s="1"/>
  <c r="AK52" i="1"/>
  <c r="AK25" i="1"/>
  <c r="BF132" i="3"/>
  <c r="BF135" i="3" s="1"/>
  <c r="BF138" i="3" s="1"/>
  <c r="BE132" i="3"/>
  <c r="BE135" i="3" s="1"/>
  <c r="BE138" i="3" s="1"/>
  <c r="BG132" i="3"/>
  <c r="BG135" i="3" s="1"/>
  <c r="BD135" i="3"/>
  <c r="BD138" i="3" s="1"/>
  <c r="BU18" i="1"/>
  <c r="BU77" i="1"/>
  <c r="CK77" i="1" l="1"/>
  <c r="AI79" i="1"/>
  <c r="AI85" i="1"/>
  <c r="AJ78" i="1"/>
  <c r="AJ65" i="1"/>
  <c r="AJ72" i="1"/>
  <c r="BU24" i="1"/>
  <c r="BU19" i="1"/>
  <c r="CJ79" i="1"/>
  <c r="CJ85" i="1"/>
  <c r="BH132" i="3"/>
  <c r="BG138" i="3"/>
  <c r="AK64" i="1"/>
  <c r="AK53" i="1"/>
  <c r="BT65" i="1"/>
  <c r="BT78" i="1"/>
  <c r="BT72" i="1"/>
  <c r="AI50" i="3"/>
  <c r="AI53" i="3" s="1"/>
  <c r="AH56" i="3"/>
  <c r="CK24" i="1"/>
  <c r="CK19" i="1"/>
  <c r="AL25" i="1"/>
  <c r="AL52" i="1"/>
  <c r="CK25" i="1" l="1"/>
  <c r="CK52" i="1"/>
  <c r="AK65" i="1"/>
  <c r="AK78" i="1"/>
  <c r="AK72" i="1"/>
  <c r="BT79" i="1"/>
  <c r="BT85" i="1"/>
  <c r="BJ132" i="3"/>
  <c r="BJ135" i="3" s="1"/>
  <c r="BJ138" i="3" s="1"/>
  <c r="BK132" i="3"/>
  <c r="BK135" i="3" s="1"/>
  <c r="BK138" i="3" s="1"/>
  <c r="BI132" i="3"/>
  <c r="BI135" i="3" s="1"/>
  <c r="BI138" i="3" s="1"/>
  <c r="BH135" i="3"/>
  <c r="BH138" i="3" s="1"/>
  <c r="BU52" i="1"/>
  <c r="BU25" i="1"/>
  <c r="AL64" i="1"/>
  <c r="AL53" i="1"/>
  <c r="AJ50" i="3"/>
  <c r="AJ53" i="3" s="1"/>
  <c r="AI56" i="3"/>
  <c r="AJ85" i="1"/>
  <c r="AJ79" i="1"/>
  <c r="AK50" i="3" l="1"/>
  <c r="AK53" i="3" s="1"/>
  <c r="AJ56" i="3"/>
  <c r="AL78" i="1"/>
  <c r="AL65" i="1"/>
  <c r="AL72" i="1"/>
  <c r="BU64" i="1"/>
  <c r="BU53" i="1"/>
  <c r="AK79" i="1"/>
  <c r="AK85" i="1"/>
  <c r="CK53" i="1"/>
  <c r="CK64" i="1"/>
  <c r="CK78" i="1" l="1"/>
  <c r="CK65" i="1"/>
  <c r="CK72" i="1"/>
  <c r="AL85" i="1"/>
  <c r="AL79" i="1"/>
  <c r="BU78" i="1"/>
  <c r="BU65" i="1"/>
  <c r="BU72" i="1"/>
  <c r="AK56" i="3"/>
  <c r="AL50" i="3"/>
  <c r="AL53" i="3" s="1"/>
  <c r="BU79" i="1" l="1"/>
  <c r="BU85" i="1"/>
  <c r="AL56" i="3"/>
  <c r="AM50" i="3"/>
  <c r="AM53" i="3" s="1"/>
  <c r="CK79" i="1"/>
  <c r="CK85" i="1"/>
  <c r="AN50" i="3" l="1"/>
  <c r="AN53" i="3" s="1"/>
  <c r="AM56" i="3"/>
  <c r="AO50" i="3" l="1"/>
  <c r="AO53" i="3" s="1"/>
  <c r="AN56" i="3"/>
  <c r="AO56" i="3" l="1"/>
  <c r="AP50" i="3"/>
  <c r="AP53" i="3" s="1"/>
  <c r="AQ50" i="3" l="1"/>
  <c r="AQ53" i="3" s="1"/>
  <c r="AP56" i="3"/>
  <c r="AQ56" i="3" l="1"/>
  <c r="AR50" i="3"/>
  <c r="AR53" i="3" s="1"/>
  <c r="AS50" i="3" l="1"/>
  <c r="AS53" i="3" s="1"/>
  <c r="AR56" i="3"/>
  <c r="AT50" i="3" l="1"/>
  <c r="AT53" i="3" s="1"/>
  <c r="AS56" i="3"/>
  <c r="AT56" i="3" l="1"/>
  <c r="AU50" i="3"/>
  <c r="AU53" i="3" s="1"/>
  <c r="AU56" i="3" l="1"/>
  <c r="AV50" i="3"/>
  <c r="AV53" i="3" s="1"/>
  <c r="AW50" i="3" l="1"/>
  <c r="AW53" i="3" s="1"/>
  <c r="AV56" i="3"/>
  <c r="AW56" i="3" l="1"/>
  <c r="AX50" i="3"/>
  <c r="AX53" i="3" s="1"/>
  <c r="AX56" i="3" l="1"/>
  <c r="AY50" i="3"/>
  <c r="AY53" i="3" s="1"/>
  <c r="AY56" i="3" l="1"/>
  <c r="AZ50" i="3"/>
  <c r="AZ53" i="3" s="1"/>
  <c r="BA50" i="3" l="1"/>
  <c r="BA53" i="3" s="1"/>
  <c r="AZ56" i="3"/>
  <c r="BA56" i="3" l="1"/>
  <c r="BB50" i="3"/>
  <c r="BB53" i="3" s="1"/>
  <c r="BB56" i="3" l="1"/>
  <c r="BC50" i="3"/>
  <c r="BC53" i="3" s="1"/>
  <c r="BC56" i="3" l="1"/>
  <c r="BD50" i="3"/>
  <c r="BD53" i="3" s="1"/>
  <c r="BE50" i="3" l="1"/>
  <c r="BE53" i="3" s="1"/>
  <c r="BD56" i="3"/>
  <c r="BF50" i="3" l="1"/>
  <c r="BF53" i="3" s="1"/>
  <c r="BE56" i="3"/>
  <c r="BG50" i="3" l="1"/>
  <c r="BG53" i="3" s="1"/>
  <c r="BF56" i="3"/>
  <c r="BH50" i="3" l="1"/>
  <c r="BH53" i="3" s="1"/>
  <c r="BG56" i="3"/>
  <c r="BI50" i="3" l="1"/>
  <c r="BI53" i="3" s="1"/>
  <c r="BH56" i="3"/>
  <c r="BJ50" i="3" l="1"/>
  <c r="BJ53" i="3" s="1"/>
  <c r="BI56" i="3"/>
  <c r="BK50" i="3" l="1"/>
  <c r="BK53" i="3" s="1"/>
  <c r="BK56" i="3" s="1"/>
  <c r="BJ56" i="3"/>
</calcChain>
</file>

<file path=xl/comments1.xml><?xml version="1.0" encoding="utf-8"?>
<comments xmlns="http://schemas.openxmlformats.org/spreadsheetml/2006/main">
  <authors>
    <author>hazlett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쳬亜_x001D_䱘塎偞偟䥒䕃䅟䝖㐨㜰㐲㐬㠰㘱착_x0018_＀＀_x0018_＀＀_x0008_＀＀_x0001_＀＀_x0001_＀＀琪捞肗䀿䟢亜@䱘塎䙞彅卅䥔䅍䕔✨偅❓✬䕍乁Ⱗ儧䅕呒剅奌剟䱏❌✬〲ㄱ㐯❃〬Ⱜ✬⤧_x0018_＀＀_x0018_＀＀_x0008_＀＀_x0001_＀＀_x0001_＀＀ㄆ漫㿜䃯丧@䱘塎䙞彅卅䥔䅍䕔✨偅❓✬䕍乁Ⱗ儧䅕呒剅奌剟䱏❌✬〲ㄱ㈯❃〬Ⱜ✬⤧_x0018_＀＀_x0018_＀＀_x0008_＀＀_x0001_＀＀_x0001_＀＀༔ෞ㿠䟡亜B䱘塎䙞彅卅䥔䅍䕔✨䅓䕌❓✬䕍乁Ⱗ儧䅕呒剅奌剟䱏❌✬〲ㄱ㌯❃〬Ⱜ✬⤧_x0018_＀＀_x0018_＀＀_x0008_＀＀_x0001_＀＀_x0001_＀＀茓쫀ꤡ䂁㞇亟_x001D_䱘塎唭幓彐䕂䅔䱟䍏䑉⡘㌭䵁〬착_x0018_＀＀_x0018_＀＀_x0008_＀＀_x0001_＀＀_x0001_＀＀娑ᡪ鮙㿨䫀丧_x001D_䱘塎偞偟䥒䕃䅟䝖㐨㘰㌳㐬㜰㐲착_x0018_＀＀_x0018_＀＀_x0008_＀＀_x0001_＀＀_x0001_＀＀ẹ䁀䟡亜@䱘塎䙞彅卅䥔䅍䕔✨偅❓✬䕍乁Ⱗ儧䅕呒剅奌剟䱏❌✬〲ㄱ㌯❃〬Ⱜ✬⤧_x0018_＀＀_x0018_＀＀_x0008_＀＀_x0001_＀＀_x0001_＀＀엲ᤨ㝊㿜䟢亜B䱘塎䙞彅卅䥔䅍䕔✨䅓䕌❓✬䕍乁Ⱗ儧䅕呒剅奌剟䱏❌✬〲ㄱ㐯❃〬Ⱜ✬⤧_x0018_＀＀_x0018_＀＀_x0008_＀＀_x0001_＀＀_x0001_＀＀悫剔_xD927_䂁䃯丧B䱘塎䙞彅卅䥔䅍䕔✨䅓䕌❓✬䕍乁Ⱗ儧䅕呒剅奌剟䱏❌✬〲ㄱ㈯❃〬Ⱜ✬⤧_x0018_＀＀_x0018_＀＀_x0008_＀＀_x0001_＀＀_x0001_＀＀쯻짮뉃䂂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443</t>
        </r>
      </text>
    </comment>
  </commentList>
</comments>
</file>

<file path=xl/sharedStrings.xml><?xml version="1.0" encoding="utf-8"?>
<sst xmlns="http://schemas.openxmlformats.org/spreadsheetml/2006/main" count="1074" uniqueCount="862">
  <si>
    <t>COGS - MW</t>
  </si>
  <si>
    <t>Gross Profit - MW</t>
  </si>
  <si>
    <t>Gross Margin - MW</t>
  </si>
  <si>
    <t>R&amp;D - MW</t>
  </si>
  <si>
    <t>Other OpEx - MW</t>
  </si>
  <si>
    <t>Operating Expenses - MW</t>
  </si>
  <si>
    <t>Operating Income - MW</t>
  </si>
  <si>
    <t>Operating Margin MW%</t>
  </si>
  <si>
    <t>Other income (expense), net</t>
  </si>
  <si>
    <t>Other interest income 1x</t>
  </si>
  <si>
    <t>Total Interest Income (net) and Other Income - MW</t>
  </si>
  <si>
    <t>PBT - MW</t>
  </si>
  <si>
    <t>Effective tax rate GAAP %</t>
  </si>
  <si>
    <t>Taxes-Extraordinary</t>
  </si>
  <si>
    <t>Income Tax Expense (Benefit) - MW</t>
  </si>
  <si>
    <t>Effective tax rate MW</t>
  </si>
  <si>
    <t>Net Income Margin GAAP%</t>
  </si>
  <si>
    <t>Extraordinary, net of tax</t>
  </si>
  <si>
    <t>Net Income, Cont. Ops. - MW</t>
  </si>
  <si>
    <t>Net Income Margin MW%</t>
  </si>
  <si>
    <t>Net Income Margin GAAP %</t>
  </si>
  <si>
    <t xml:space="preserve">EPS - MW </t>
  </si>
  <si>
    <t>Dilution Ratio</t>
  </si>
  <si>
    <t>Period-end Shares</t>
  </si>
  <si>
    <t>Dividends Declared Per Share</t>
  </si>
  <si>
    <t>Average Price Per Share</t>
  </si>
  <si>
    <t>Cost of equity</t>
  </si>
  <si>
    <t>Statutory Tax (%)</t>
  </si>
  <si>
    <t>Operating Expenses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</si>
  <si>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</si>
  <si>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</si>
  <si>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</si>
  <si>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</si>
  <si>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</si>
  <si>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</si>
  <si>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</si>
  <si>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</si>
  <si>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</si>
  <si>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</si>
  <si>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</si>
  <si>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</si>
  <si>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</si>
  <si>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</si>
  <si>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</si>
  <si>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</si>
  <si>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</si>
  <si>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</si>
  <si>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</si>
  <si>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</si>
  <si>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</si>
  <si>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</si>
  <si>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</si>
  <si>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</si>
  <si>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</si>
  <si>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</si>
  <si>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</si>
  <si>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</si>
  <si>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2007-FY</t>
  </si>
  <si>
    <t>2008-FY</t>
  </si>
  <si>
    <t>2009-FY</t>
  </si>
  <si>
    <t>2010-FY</t>
  </si>
  <si>
    <t>2011-FY</t>
  </si>
  <si>
    <t>2012-FY</t>
  </si>
  <si>
    <t>2013-FY</t>
  </si>
  <si>
    <t>2014-FY</t>
  </si>
  <si>
    <t>2015-FY</t>
  </si>
  <si>
    <t>2016-FY</t>
  </si>
  <si>
    <t>2017-FY</t>
  </si>
  <si>
    <t>2018-FY</t>
  </si>
  <si>
    <t>2019-FY</t>
  </si>
  <si>
    <t>Actual/Estimate Toggle</t>
  </si>
  <si>
    <t>Fiscal Year</t>
  </si>
  <si>
    <t>Fiscal Quarter</t>
  </si>
  <si>
    <t>Calendar Year</t>
  </si>
  <si>
    <t>Calendar Quarter</t>
  </si>
  <si>
    <t>USD</t>
  </si>
  <si>
    <t>A</t>
  </si>
  <si>
    <t>E</t>
  </si>
  <si>
    <t>2015-Q1</t>
  </si>
  <si>
    <t>2015-Q2</t>
  </si>
  <si>
    <t>2015-Q3</t>
  </si>
  <si>
    <t>2015-Q4</t>
  </si>
  <si>
    <t>2016-Q1</t>
  </si>
  <si>
    <t>2016-Q2</t>
  </si>
  <si>
    <t>2016-Q3</t>
  </si>
  <si>
    <t>2016-Q4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</si>
  <si>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</si>
  <si>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</si>
  <si>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</si>
  <si>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</si>
  <si>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</si>
  <si>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</si>
  <si>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</si>
  <si>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</si>
  <si>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2019-Q1</t>
  </si>
  <si>
    <t>2019-Q2</t>
  </si>
  <si>
    <t>2019-Q3</t>
  </si>
  <si>
    <t>2019-Q4</t>
  </si>
  <si>
    <t>2020-Q1</t>
  </si>
  <si>
    <t>2020-Q2</t>
  </si>
  <si>
    <t>2020-Q3</t>
  </si>
  <si>
    <t>2020-Q4</t>
  </si>
  <si>
    <t>2020-FY</t>
  </si>
  <si>
    <t>Assets</t>
  </si>
  <si>
    <t>Cash and cash equivalents</t>
  </si>
  <si>
    <t>Accounts receivables, net</t>
  </si>
  <si>
    <t>Total Current Assets</t>
  </si>
  <si>
    <t>Total Assets</t>
  </si>
  <si>
    <t>Liabilities &amp; Shareholders' Equity</t>
  </si>
  <si>
    <t>Accounts payable</t>
  </si>
  <si>
    <t>Total Current Liabilities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</si>
  <si>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</si>
  <si>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</si>
  <si>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</si>
  <si>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</si>
  <si>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</si>
  <si>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</si>
  <si>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</si>
  <si>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</si>
  <si>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</si>
  <si>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</si>
  <si>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</si>
  <si>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</si>
  <si>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</si>
  <si>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</si>
  <si>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</si>
  <si>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</si>
  <si>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</si>
  <si>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</si>
  <si>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</si>
  <si>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</si>
  <si>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</si>
  <si>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Average diluted shares - non GAAP</t>
  </si>
  <si>
    <t>Book value per share</t>
  </si>
  <si>
    <t>Tangible book value</t>
  </si>
  <si>
    <t>Tangible book value per share</t>
  </si>
  <si>
    <t>Net working capital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</si>
  <si>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</si>
  <si>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</si>
  <si>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</si>
  <si>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</si>
  <si>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</si>
  <si>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Adjustments to reconcile net income to net cash provided by operating activities:</t>
  </si>
  <si>
    <t>Depreciation and amortization</t>
  </si>
  <si>
    <t>Stock-based compensation expense</t>
  </si>
  <si>
    <t>Other operating activities</t>
  </si>
  <si>
    <t>Changes in current assets and liabilities:</t>
  </si>
  <si>
    <t>Accounts receivable</t>
  </si>
  <si>
    <t>Inventory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</si>
  <si>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</si>
  <si>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</si>
  <si>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</si>
  <si>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</si>
  <si>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</si>
  <si>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</si>
  <si>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</si>
  <si>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</si>
  <si>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</si>
  <si>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</si>
  <si>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</si>
  <si>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</si>
  <si>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</si>
  <si>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</si>
  <si>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</si>
  <si>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</si>
  <si>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</si>
  <si>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</si>
  <si>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</si>
  <si>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</si>
  <si>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</si>
  <si>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Total Depreciation and Amortization</t>
  </si>
  <si>
    <t>Percentage of Gross PP&amp;E</t>
  </si>
  <si>
    <t>vs. Cash Flow Statement</t>
  </si>
  <si>
    <t>Cash Flow Statement Metrics</t>
  </si>
  <si>
    <t>Free Cash Flow</t>
  </si>
  <si>
    <t>Adjusted FCF</t>
  </si>
  <si>
    <t>Other financing activities</t>
  </si>
  <si>
    <t>Gross Margin</t>
  </si>
  <si>
    <t>BRCM.O,mscalc:sedolCodeCalc</t>
  </si>
  <si>
    <t>BRCM.O,mscalc:closePriceCurrencyCalc</t>
  </si>
  <si>
    <t>BRCM.O,mscalc:targetPrice,,,,USD</t>
  </si>
  <si>
    <t>Q-o-Q growth</t>
  </si>
  <si>
    <t>Y-o-Y growth</t>
  </si>
  <si>
    <t>Percent of Revenue</t>
  </si>
  <si>
    <t>Total Bottoms Up Revenue</t>
  </si>
  <si>
    <t>COGS</t>
  </si>
  <si>
    <t>Gross Profit</t>
  </si>
  <si>
    <t>R&amp;D</t>
  </si>
  <si>
    <t>SG&amp;A</t>
  </si>
  <si>
    <t>Net Income</t>
  </si>
  <si>
    <t>EPS</t>
  </si>
  <si>
    <t>2235822</t>
  </si>
  <si>
    <t>48</t>
  </si>
  <si>
    <t>TXN.N,mscalc:sedolCodeCalc</t>
  </si>
  <si>
    <t>TXN.N,mscalc:closePriceCurrencyCalc</t>
  </si>
  <si>
    <t>TXN.N,mscalc:targetPrice,,,,USD</t>
  </si>
  <si>
    <t>NA</t>
  </si>
  <si>
    <t>Currency</t>
  </si>
  <si>
    <t>Current Stock Price</t>
  </si>
  <si>
    <t>Count</t>
  </si>
  <si>
    <t>Payments to repurchase stock</t>
  </si>
  <si>
    <t>2007-Q1</t>
  </si>
  <si>
    <t>2007-Q2</t>
  </si>
  <si>
    <t>2007-Q3</t>
  </si>
  <si>
    <t>2007-Q4</t>
  </si>
  <si>
    <t>2006-Q1</t>
  </si>
  <si>
    <t>2006-Q2</t>
  </si>
  <si>
    <t>2006-Q3</t>
  </si>
  <si>
    <t>2006-Q4</t>
  </si>
  <si>
    <t>2006-FY</t>
  </si>
  <si>
    <t>Intangible assets, net</t>
  </si>
  <si>
    <t>Other assets</t>
  </si>
  <si>
    <t>Other long-term liabilities</t>
  </si>
  <si>
    <t>Acquisition of intangible assets</t>
  </si>
  <si>
    <t>Payments on (Proceeds from) debt, net</t>
  </si>
  <si>
    <t>AVGO.O,mscalc:closePriceCurrencyCalc</t>
  </si>
  <si>
    <t>AVGO.O,mscalc:sedolCodeCalc</t>
  </si>
  <si>
    <t>AVGO.O,mscalc:targetPrice,,,,USD</t>
  </si>
  <si>
    <t>B3WS2X9</t>
  </si>
  <si>
    <t>38</t>
  </si>
  <si>
    <t>Amortization of intangible assets</t>
  </si>
  <si>
    <t>Other current liabilities</t>
  </si>
  <si>
    <t>Property, plant and equipment, net</t>
  </si>
  <si>
    <t>Acquisition of property and equipment</t>
  </si>
  <si>
    <t>Issuance of ordinary stock</t>
  </si>
  <si>
    <t>Dividend payments to shareholders</t>
  </si>
  <si>
    <t>ALTR.O,mscalc:closePriceCurrencyCalc</t>
  </si>
  <si>
    <t>ALTR.O,mscalc:sedolCodeCalc</t>
  </si>
  <si>
    <t>ALTR.O,mscalc:targetPrice,,,,USD</t>
  </si>
  <si>
    <t>2021690</t>
  </si>
  <si>
    <t>Long-term investments</t>
  </si>
  <si>
    <t>Short-term debt</t>
  </si>
  <si>
    <t>Deferred income</t>
  </si>
  <si>
    <t>Income taxes payable</t>
  </si>
  <si>
    <t>Deferred income taxes</t>
  </si>
  <si>
    <t>Short-term investments</t>
  </si>
  <si>
    <t>Accounts payable and accrued liabilities</t>
  </si>
  <si>
    <t>Income Taxes payable</t>
  </si>
  <si>
    <t>Deferred taxes</t>
  </si>
  <si>
    <t>Accrued compensation and related liabilities</t>
  </si>
  <si>
    <t>XLNX.O</t>
  </si>
  <si>
    <t>Xilinx</t>
  </si>
  <si>
    <t>XLNX.O,mscalc:sedolCodeCalc</t>
  </si>
  <si>
    <t>XLNX.O,mscalc:targetPrice,,,,USD</t>
  </si>
  <si>
    <t>XLNX.O,mscalc:closePriceCurrencyCalc</t>
  </si>
  <si>
    <t>2985677</t>
  </si>
  <si>
    <t>Xilinx Incorporated</t>
  </si>
  <si>
    <t>Xilinx Incorporated Bottoms Up Model</t>
  </si>
  <si>
    <t>Xilinx Inc. Statement of Cash Flows (Non Cumulative)</t>
  </si>
  <si>
    <t>Xilinx Inc. Statement of Cash Flows (Cumulative)</t>
  </si>
  <si>
    <t>Xilinx Incorporated Balance Sheet</t>
  </si>
  <si>
    <t>Xilinx Incorporated Income Statement</t>
  </si>
  <si>
    <t>($ in millions; fiscal year ends in March)</t>
  </si>
  <si>
    <t>Impairment loss on investments</t>
  </si>
  <si>
    <t>Goodwill</t>
  </si>
  <si>
    <t>Convertible debentures</t>
  </si>
  <si>
    <t>Deferred tax liabilities</t>
  </si>
  <si>
    <t>Prepaid expenses and other current assets</t>
  </si>
  <si>
    <t>Purchases of securities</t>
  </si>
  <si>
    <t>Proceeds from sale and maturity of securities</t>
  </si>
  <si>
    <t>Gain/Loss on sale of securities</t>
  </si>
  <si>
    <t>Amortization of debt discount on convertible debentures</t>
  </si>
  <si>
    <t>Interest income, net</t>
  </si>
  <si>
    <t>This sheet contains Factset binary data for use with this workbook's =FDS codes.  Modifying the worksheet's contents may damage the workbook's =FDS functionality.</t>
  </si>
  <si>
    <t>North America</t>
  </si>
  <si>
    <t>Asia Pacific</t>
  </si>
  <si>
    <t>Europe</t>
  </si>
  <si>
    <t>Japan</t>
  </si>
  <si>
    <t xml:space="preserve">Total </t>
  </si>
  <si>
    <t>Revenue by Geography ($)</t>
  </si>
  <si>
    <t>Revenue by Geography (%)</t>
  </si>
  <si>
    <t>,mscalc:closePriceCurrencyCalc</t>
  </si>
  <si>
    <t>,mscalc:sedolCodeCalc</t>
  </si>
  <si>
    <t>,mscalc:targetPrice,,,,USD</t>
  </si>
  <si>
    <t>XLNX.O,mscalc:targetPrice</t>
  </si>
  <si>
    <t>$AL$2</t>
  </si>
  <si>
    <t>Revenue by Products ($)</t>
  </si>
  <si>
    <t>Revenue by Products (%)</t>
  </si>
  <si>
    <t>New Products</t>
  </si>
  <si>
    <t>Mainstream Products</t>
  </si>
  <si>
    <t>Base Products</t>
  </si>
  <si>
    <t>Support Products</t>
  </si>
  <si>
    <t>Customers ($)</t>
  </si>
  <si>
    <t>Customers (%)</t>
  </si>
  <si>
    <t>Distributors</t>
  </si>
  <si>
    <t>Avnet</t>
  </si>
  <si>
    <t>Other</t>
  </si>
  <si>
    <t>OEMs</t>
  </si>
  <si>
    <t>&gt;10% OEM Customer</t>
  </si>
  <si>
    <t>Communications &amp; Data Center</t>
  </si>
  <si>
    <t>Industrial, Aerospace &amp; Defense</t>
  </si>
  <si>
    <t xml:space="preserve"> </t>
  </si>
  <si>
    <t>C2Q05A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</si>
  <si>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</si>
  <si>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</si>
  <si>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</si>
  <si>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</si>
  <si>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</si>
  <si>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</si>
  <si>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</si>
  <si>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</si>
  <si>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</si>
  <si>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</si>
  <si>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</si>
  <si>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</si>
  <si>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</si>
  <si>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</si>
  <si>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</si>
  <si>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</si>
  <si>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</si>
  <si>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</si>
  <si>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</si>
  <si>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</si>
  <si>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</si>
  <si>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</si>
  <si>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</si>
  <si>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</si>
  <si>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</si>
  <si>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</si>
  <si>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</si>
  <si>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C2Q12A</t>
  </si>
  <si>
    <t>F1Q06A</t>
  </si>
  <si>
    <t>F2Q06A</t>
  </si>
  <si>
    <t>F3Q06A</t>
  </si>
  <si>
    <t>F4Q06A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</si>
  <si>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</si>
  <si>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</si>
  <si>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</si>
  <si>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</si>
  <si>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</si>
  <si>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</si>
  <si>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</si>
  <si>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</si>
  <si>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</si>
  <si>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</si>
  <si>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</si>
  <si>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</si>
  <si>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</si>
  <si>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</si>
  <si>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</si>
  <si>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</si>
  <si>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</si>
  <si>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</si>
  <si>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</si>
  <si>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</si>
  <si>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</si>
  <si>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</si>
  <si>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F3Q12A</t>
  </si>
  <si>
    <t>F4Q12A</t>
  </si>
  <si>
    <t>F1Q13A</t>
  </si>
  <si>
    <t>CY2006</t>
  </si>
  <si>
    <t>CY2007</t>
  </si>
  <si>
    <t>CY2008</t>
  </si>
  <si>
    <t>CY2009</t>
  </si>
  <si>
    <t>CY2010</t>
  </si>
  <si>
    <t>CY2011</t>
  </si>
  <si>
    <t>CY2012</t>
  </si>
  <si>
    <t>CY2013</t>
  </si>
  <si>
    <t>CY2014</t>
  </si>
  <si>
    <t>CY2015</t>
  </si>
  <si>
    <t>FY2006A</t>
  </si>
  <si>
    <t>FY2007A</t>
  </si>
  <si>
    <t>FY2008A</t>
  </si>
  <si>
    <t>FY2009A</t>
  </si>
  <si>
    <t>FY2010A</t>
  </si>
  <si>
    <t>FY2011A</t>
  </si>
  <si>
    <t>FY2012A</t>
  </si>
  <si>
    <t>FY2019E</t>
  </si>
  <si>
    <t>FY2020E</t>
  </si>
  <si>
    <t>40/45-nm</t>
  </si>
  <si>
    <t>65-nm</t>
  </si>
  <si>
    <t>90-nm</t>
  </si>
  <si>
    <t>Company</t>
  </si>
  <si>
    <t>Avg 5 year seasonality</t>
  </si>
  <si>
    <t>C3Q12A</t>
  </si>
  <si>
    <t>F2Q13A</t>
  </si>
  <si>
    <t>F3Q13A</t>
  </si>
  <si>
    <t>C4Q12A</t>
  </si>
  <si>
    <t>F4Q13A</t>
  </si>
  <si>
    <t>FY2013A</t>
  </si>
  <si>
    <t>C1Q13A</t>
  </si>
  <si>
    <t>COGs</t>
  </si>
  <si>
    <t>One-time items</t>
  </si>
  <si>
    <t>Average Basic Shares</t>
  </si>
  <si>
    <t>Average Diluted Shares</t>
  </si>
  <si>
    <t>Share Count and Dividends</t>
  </si>
  <si>
    <t>% of Revs.</t>
  </si>
  <si>
    <t>Stock-based Compensation</t>
  </si>
  <si>
    <t>Total</t>
  </si>
  <si>
    <t>Other OpEx</t>
  </si>
  <si>
    <t>Operating Income</t>
  </si>
  <si>
    <t>PBT</t>
  </si>
  <si>
    <t>Income Tax Expense (Benefit)</t>
  </si>
  <si>
    <t>Net Income, Cont. Ops.</t>
  </si>
  <si>
    <t>SG&amp;A - MW</t>
  </si>
  <si>
    <t>% of Revs</t>
  </si>
  <si>
    <t>Y/Y Change</t>
  </si>
  <si>
    <t>Q/Q Change</t>
  </si>
  <si>
    <t>Op. Margin %</t>
  </si>
  <si>
    <t>PBT Margin %</t>
  </si>
  <si>
    <t>PBT - MW Margin %</t>
  </si>
  <si>
    <t>Interest Income and Other</t>
  </si>
  <si>
    <t>Total Cash</t>
  </si>
  <si>
    <t>LT Investments</t>
  </si>
  <si>
    <t>ST Investments</t>
  </si>
  <si>
    <t>Cash</t>
  </si>
  <si>
    <t>Net Cash</t>
  </si>
  <si>
    <t>Net Cash per Share</t>
  </si>
  <si>
    <t>Less: Principal Value of LT Debt</t>
  </si>
  <si>
    <t>Principal Value</t>
  </si>
  <si>
    <t>Effective Interest Rate</t>
  </si>
  <si>
    <t>Coupon Interest Rate</t>
  </si>
  <si>
    <t>Effective Interest Expense</t>
  </si>
  <si>
    <t>Coupon Interest Expense</t>
  </si>
  <si>
    <t>Amortization</t>
  </si>
  <si>
    <t>Book Value</t>
  </si>
  <si>
    <t>Debt Schedule</t>
  </si>
  <si>
    <t>Interest Income Schedule</t>
  </si>
  <si>
    <t>2.625% Convertible Notes due 2017</t>
  </si>
  <si>
    <t>3.125% Convertible Notes due 2037</t>
  </si>
  <si>
    <t>Interest Rate</t>
  </si>
  <si>
    <t>Interest Income</t>
  </si>
  <si>
    <t>C2Q13A</t>
  </si>
  <si>
    <t>F1Q14A</t>
  </si>
  <si>
    <t>Tax Adjusted Cash</t>
  </si>
  <si>
    <t>Tax-adjusted cash per share</t>
  </si>
  <si>
    <t>F2Q14A</t>
  </si>
  <si>
    <t>Broadcast, Consumer &amp; Auto</t>
  </si>
  <si>
    <t>C3Q13A</t>
  </si>
  <si>
    <t>C4Q13A</t>
  </si>
  <si>
    <t>F3Q14A</t>
  </si>
  <si>
    <t>using the FY13 methodology</t>
  </si>
  <si>
    <t>using the FY13 metholody</t>
  </si>
  <si>
    <t>CY2016</t>
  </si>
  <si>
    <t>C1Q14A</t>
  </si>
  <si>
    <t>F4Q14A</t>
  </si>
  <si>
    <t>FY2014</t>
  </si>
  <si>
    <t>C2Q14A</t>
  </si>
  <si>
    <t>F1Q15A</t>
  </si>
  <si>
    <t>C3Q14A</t>
  </si>
  <si>
    <t>F2Q15A</t>
  </si>
  <si>
    <t>C4Q14A</t>
  </si>
  <si>
    <t>F3Q15A</t>
  </si>
  <si>
    <t>C1Q15A</t>
  </si>
  <si>
    <t>F4Q15A</t>
  </si>
  <si>
    <t>FY2015</t>
  </si>
  <si>
    <t>C2Q15A</t>
  </si>
  <si>
    <t>F1Q16A</t>
  </si>
  <si>
    <t>C3Q15A</t>
  </si>
  <si>
    <t>F2Q16A</t>
  </si>
  <si>
    <t>CY2017</t>
  </si>
  <si>
    <t>C4Q15A</t>
  </si>
  <si>
    <t>C1Q16A</t>
  </si>
  <si>
    <t>F4Q16A</t>
  </si>
  <si>
    <t>FY2016</t>
  </si>
  <si>
    <t>F3Q16A</t>
  </si>
  <si>
    <t>C2Q16A</t>
  </si>
  <si>
    <t>F1Q17A</t>
  </si>
  <si>
    <t>F2Q17A</t>
  </si>
  <si>
    <t>C3Q16A</t>
  </si>
  <si>
    <t>C2Q17A</t>
  </si>
  <si>
    <t>F1Q18A</t>
  </si>
  <si>
    <t>CY2018</t>
  </si>
  <si>
    <t>C1Q19E</t>
  </si>
  <si>
    <t>F3Q19E</t>
  </si>
  <si>
    <t>F4Q19E</t>
  </si>
  <si>
    <t>C4Q18E</t>
  </si>
  <si>
    <t>C2Q18E</t>
  </si>
  <si>
    <t>C3Q18E</t>
  </si>
  <si>
    <t>F3Q17A</t>
  </si>
  <si>
    <t>C4Q16A</t>
  </si>
  <si>
    <t xml:space="preserve">20 nm </t>
  </si>
  <si>
    <t>16 nm</t>
  </si>
  <si>
    <t>C1Q17A</t>
  </si>
  <si>
    <t>F4Q17A</t>
  </si>
  <si>
    <t>FY2017</t>
  </si>
  <si>
    <t>C2Q19E</t>
  </si>
  <si>
    <t>C3Q19E</t>
  </si>
  <si>
    <t>C4Q19E</t>
  </si>
  <si>
    <t>C1Q20E</t>
  </si>
  <si>
    <t>F3Q20E</t>
  </si>
  <si>
    <t>F4Q20E</t>
  </si>
  <si>
    <t>CY2019</t>
  </si>
  <si>
    <t>C3Q17A</t>
  </si>
  <si>
    <t>F2Q18A</t>
  </si>
  <si>
    <t>F1Q19E</t>
  </si>
  <si>
    <t>F2Q19E</t>
  </si>
  <si>
    <t>F1Q20E</t>
  </si>
  <si>
    <t>F2Q20E</t>
  </si>
  <si>
    <t>C4Q17A</t>
  </si>
  <si>
    <t>F3Q18A</t>
  </si>
  <si>
    <t>78</t>
  </si>
  <si>
    <t>C1Q18A</t>
  </si>
  <si>
    <t>F4Q18A</t>
  </si>
  <si>
    <t>FY2018A</t>
  </si>
  <si>
    <t>FY2021E</t>
  </si>
  <si>
    <t>2021-FY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</si>
  <si>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</si>
  <si>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</si>
  <si>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</si>
  <si>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</si>
  <si>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</si>
  <si>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</si>
  <si>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</si>
  <si>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</si>
  <si>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Joseph Moore, Craig Hettenbach, Vinayak Rao</t>
  </si>
  <si>
    <t>Date: 26 Apr 2018</t>
  </si>
  <si>
    <t>Ticker: XLNX.O</t>
  </si>
  <si>
    <t>Stock Rating: Overweight</t>
  </si>
  <si>
    <t>Industry: Semiconductors</t>
  </si>
  <si>
    <t>Industry View: In-Line</t>
  </si>
  <si>
    <t>Price as of 26 Apr 2018: 63.64</t>
  </si>
  <si>
    <t>Target Price: 78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</si>
  <si>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</si>
  <si>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</si>
  <si>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</si>
  <si>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</si>
  <si>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Xilinx.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</si>
  <si>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</si>
  <si>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</si>
  <si>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</si>
  <si>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</si>
  <si>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</si>
  <si>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</si>
  <si>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</si>
  <si>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</si>
  <si>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</si>
  <si>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</si>
  <si>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</si>
  <si>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</si>
  <si>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</si>
  <si>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</si>
  <si>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</si>
  <si>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</si>
  <si>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</si>
  <si>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</si>
  <si>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</si>
  <si>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</si>
  <si>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</si>
  <si>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</si>
  <si>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</si>
  <si>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</si>
  <si>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</si>
  <si>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</si>
  <si>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</si>
  <si>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</si>
  <si>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</si>
  <si>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</si>
  <si>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</si>
  <si>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</si>
  <si>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</si>
  <si>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</si>
  <si>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</si>
  <si>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</si>
  <si>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</si>
  <si>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</si>
  <si>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</si>
  <si>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</si>
  <si>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</si>
  <si>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</si>
  <si>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</si>
  <si>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</si>
  <si>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</si>
  <si>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</si>
  <si>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</si>
  <si>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</si>
  <si>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</si>
  <si>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</si>
  <si>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</si>
  <si>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</si>
  <si>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</si>
  <si>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</si>
  <si>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</si>
  <si>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</si>
  <si>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</si>
  <si>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</si>
  <si>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</si>
  <si>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</si>
  <si>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</si>
  <si>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</si>
  <si>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</si>
  <si>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</si>
  <si>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</si>
  <si>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</si>
  <si>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</si>
  <si>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</si>
  <si>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</si>
  <si>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</si>
  <si>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</si>
  <si>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</si>
  <si>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</si>
  <si>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</si>
  <si>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</si>
  <si>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</si>
  <si>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</si>
  <si>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</si>
  <si>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</si>
  <si>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</si>
  <si>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</si>
  <si>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</si>
  <si>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</si>
  <si>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</si>
  <si>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</si>
  <si>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</si>
  <si>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</si>
  <si>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</si>
  <si>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</si>
  <si>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</si>
  <si>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</si>
  <si>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</si>
  <si>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</si>
  <si>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</si>
  <si>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</si>
  <si>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</si>
  <si>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</si>
  <si>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</si>
  <si>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</si>
  <si>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</si>
  <si>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</si>
  <si>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</si>
  <si>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</si>
  <si>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</si>
  <si>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</si>
  <si>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</si>
  <si>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</si>
  <si>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</si>
  <si>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</si>
  <si>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</si>
  <si>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</si>
  <si>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</si>
  <si>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</si>
  <si>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</si>
  <si>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</si>
  <si>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</si>
  <si>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</si>
  <si>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</si>
  <si>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</si>
  <si>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</si>
  <si>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</si>
  <si>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</si>
  <si>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</si>
  <si>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</si>
  <si>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</si>
  <si>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</si>
  <si>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</si>
  <si>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</si>
  <si>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</si>
  <si>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</si>
  <si>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</si>
  <si>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</si>
  <si>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</si>
  <si>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</si>
  <si>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</si>
  <si>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</si>
  <si>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</si>
  <si>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</si>
  <si>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</si>
  <si>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</si>
  <si>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</si>
  <si>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</si>
  <si>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</si>
  <si>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</si>
  <si>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</si>
  <si>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</si>
  <si>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</si>
  <si>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</si>
  <si>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</si>
  <si>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</si>
  <si>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</si>
  <si>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</si>
  <si>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</si>
  <si>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</si>
  <si>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</si>
  <si>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</si>
  <si>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</si>
  <si>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</si>
  <si>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</si>
  <si>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</si>
  <si>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</si>
  <si>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</si>
  <si>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</si>
  <si>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</si>
  <si>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</si>
  <si>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</si>
  <si>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</si>
  <si>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</si>
  <si>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</si>
  <si>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</si>
  <si>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</si>
  <si>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</si>
  <si>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</si>
  <si>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</si>
  <si>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</si>
  <si>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</si>
  <si>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Xilinx.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</si>
  <si>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</si>
  <si>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</si>
  <si>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</si>
  <si>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</si>
  <si>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</si>
  <si>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</si>
  <si>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</si>
  <si>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</si>
  <si>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</si>
  <si>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</si>
  <si>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</si>
  <si>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</si>
  <si>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</si>
  <si>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</si>
  <si>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</si>
  <si>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</si>
  <si>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</si>
  <si>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</si>
  <si>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</si>
  <si>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</si>
  <si>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</si>
  <si>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</si>
  <si>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</si>
  <si>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</si>
  <si>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</si>
  <si>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</si>
  <si>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</si>
  <si>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</si>
  <si>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</si>
  <si>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</si>
  <si>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</si>
  <si>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</si>
  <si>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</si>
  <si>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</si>
  <si>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</si>
  <si>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</si>
  <si>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</si>
  <si>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</si>
  <si>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</si>
  <si>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</si>
  <si>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</si>
  <si>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</si>
  <si>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</si>
  <si>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</si>
  <si>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</si>
  <si>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</si>
  <si>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</si>
  <si>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</si>
  <si>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</si>
  <si>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</si>
  <si>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</si>
  <si>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</si>
  <si>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</si>
  <si>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</si>
  <si>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</si>
  <si>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</si>
  <si>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</si>
  <si>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</si>
  <si>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</si>
  <si>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</si>
  <si>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</si>
  <si>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</si>
  <si>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</si>
  <si>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</si>
  <si>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</si>
  <si>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</si>
  <si>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</si>
  <si>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</si>
  <si>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Xilinx.</t>
  </si>
  <si>
    <t>Within the last 12 months, Morgan Stanley has provided or is providing investment banking services to,</t>
  </si>
  <si>
    <t>or has an investment banking client relationship with, the following company: Xilinx.</t>
  </si>
  <si>
    <t>In the next 3 months, Morgan Stanley expects to receive or intends to seek compensation for investment</t>
  </si>
  <si>
    <t>banking services from Xilinx.</t>
  </si>
  <si>
    <t>As of March 29, 2018, Morgan Stanley beneficially owned 1% or more of a class of common equity</t>
  </si>
  <si>
    <t>securities of the following companies covered in Morgan Stanley Research: Xilinx.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</si>
  <si>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</si>
  <si>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</si>
  <si>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</si>
  <si>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</si>
  <si>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</si>
  <si>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Moore.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</si>
  <si>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</si>
  <si>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</si>
  <si>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</si>
  <si>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</si>
  <si>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</si>
  <si>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</si>
  <si>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</si>
  <si>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</si>
  <si>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</si>
  <si>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</si>
  <si>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</si>
  <si>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</si>
  <si>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</si>
  <si>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</si>
  <si>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</si>
  <si>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</si>
  <si>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</si>
  <si>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</si>
  <si>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</si>
  <si>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</si>
  <si>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</si>
  <si>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</si>
  <si>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</si>
  <si>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</si>
  <si>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</si>
  <si>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</si>
  <si>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</si>
  <si>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</si>
  <si>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</si>
  <si>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</si>
  <si>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</si>
  <si>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</si>
  <si>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</si>
  <si>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</si>
  <si>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</si>
  <si>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</si>
  <si>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</si>
  <si>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</si>
  <si>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</si>
  <si>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</si>
  <si>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</si>
  <si>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</si>
  <si>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</si>
  <si>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</si>
  <si>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</si>
  <si>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</si>
  <si>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</si>
  <si>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</si>
  <si>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</si>
  <si>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</si>
  <si>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</si>
  <si>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</si>
  <si>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</si>
  <si>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</si>
  <si>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</si>
  <si>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</si>
  <si>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</si>
  <si>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</si>
  <si>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</si>
  <si>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</si>
  <si>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</si>
  <si>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</si>
  <si>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</si>
  <si>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</si>
  <si>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</si>
  <si>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</si>
  <si>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</si>
  <si>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</si>
  <si>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Quarterly Update</t>
  </si>
  <si>
    <t>NorthAmerica</t>
  </si>
  <si>
    <t>vinayakr</t>
  </si>
  <si>
    <t>MSA32FNJ, MSA89GWN, MSA68HLF</t>
  </si>
  <si>
    <t>L:\SEMI CAP\Joe Files\Companies\XLNX\XLNX_WIP_for upload no comments.xlsm</t>
  </si>
  <si>
    <t>[BRO MSA]</t>
  </si>
  <si>
    <t>[PRODUCT MODEL]</t>
  </si>
  <si>
    <t>[EMAIL_ALERT YES]</t>
  </si>
  <si>
    <t>[DISCIPLINE Company]</t>
  </si>
  <si>
    <t>[SUPPRESSED NO]</t>
  </si>
  <si>
    <t>[DOCDAT 2018-04-26]</t>
  </si>
  <si>
    <t>[DOCTIME 08:22]</t>
  </si>
  <si>
    <t>[PSYM XLNX.O(S&amp;P) (None)]</t>
  </si>
  <si>
    <t>[COU 1]</t>
  </si>
  <si>
    <t>[ANA MSA89GWN MSA68HLF]</t>
  </si>
  <si>
    <t>[HL XLNX.O Model]</t>
  </si>
  <si>
    <t>[IND SEMICO]</t>
  </si>
  <si>
    <t>[PANA MSA32FNJ]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</si>
</sst>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7" formatCode="_(&quot;$&quot;* #,##0.0_);_(&quot;$&quot;* \(#,##0.0\);_(&quot;$&quot;* &quot;-&quot;?_);_(@_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&quot;$&quot;* #,##0.0000_);_(&quot;$&quot;* \(#,##0.0000\);_(&quot;$&quot;* &quot;-&quot;_);_(@_)"/>
    <numFmt numFmtId="172" formatCode="_(* #,##0.0000_);_(* \(#,##0.0000\);_(* &quot;-&quot;?_);_(@_)"/>
    <numFmt numFmtId="173" formatCode="_(* #,##0.0000_);_(* \(#,##0.0000\);_(* &quot;-&quot;??_);_(@_)"/>
    <numFmt numFmtId="174" formatCode="_(&quot;$&quot;* #,##0.00_);_(&quot;$&quot;* \(#,##0.00\);_(&quot;$&quot;* &quot;-&quot;_);_(@_)"/>
    <numFmt numFmtId="175" formatCode="#,##0.0_);\(#,##0.0\);#,##0.0_);@_)"/>
    <numFmt numFmtId="176" formatCode="_(* #,##0.00_);_(* \(#,##0.00\);_(* &quot;-&quot;?_);_(@_)"/>
    <numFmt numFmtId="178" formatCode="_(* #,##0.0_);_(* \(#,##0.0\);_(* &quot;-&quot;??_);_(@_)"/>
    <numFmt numFmtId="179" formatCode="#,##0.0000_);\(#,##0.0000\)"/>
    <numFmt numFmtId="180" formatCode="#,##0.0_);\(#,##0.0\)"/>
    <numFmt numFmtId="181" formatCode="_(* #,##0.0_);_(* \(#,##0.0\);_(* &quot;-&quot;_);_(@_)"/>
    <numFmt numFmtId="182" formatCode="#,##0.000_);\(#,##0.000\)"/>
    <numFmt numFmtId="183" formatCode="0.0"/>
    <numFmt numFmtId="184" formatCode="_(* #,##0.000_);_(* \(#,##0.000\);_(* &quot;-&quot;_);_(@_)"/>
    <numFmt numFmtId="185" formatCode="_(* #,##0_);_(* \(#,##0\);_(* &quot;-&quot;??_);_(@_)"/>
    <numFmt numFmtId="186" formatCode="_(* #,##0.00_);_(* \(#,##0.00\);_(* &quot;-&quot;_);_(@_)"/>
    <numFmt numFmtId="187" formatCode="_(&quot;$&quot;* #,##0.0_);_(&quot;$&quot;* \(#,##0.0\);_(&quot;$&quot;* &quot;-&quot;??_);_(@_)"/>
    <numFmt numFmtId="189" formatCode="&quot;$&quot;#,##0.0_);[Red]\(&quot;$&quot;#,##0.0\)"/>
    <numFmt numFmtId="190" formatCode="_(&quot;$&quot;* #,##0_);_(&quot;$&quot;* \(#,##0\);_(&quot;$&quot;* &quot;-&quot;??_);_(@_)"/>
    <numFmt numFmtId="196" formatCode="#,##0.0"/>
    <numFmt numFmtId="198" formatCode="&quot;$&quot;#,##0.000_);[Red]\(&quot;$&quot;#,##0.000\)"/>
    <numFmt numFmtId="201" formatCode="0.00_);\(0.00\)"/>
    <numFmt numFmtId="205" formatCode="#,##0.0000_);\(#,##0.0000\);#,##0.0000_);@_)"/>
    <numFmt numFmtId="207" formatCode="_(* #,##0.00000_);_(* \(#,##0.00000\);_(* &quot;-&quot;??_);_(@_)"/>
    <numFmt numFmtId="208" formatCode="0_)"/>
    <numFmt numFmtId="209" formatCode="_(* #,##0_);_(* \(#,##0\);_(* &quot;-&quot;?_);_(@_)"/>
    <numFmt numFmtId="210" formatCode="_(&quot;$&quot;* #,##0.000_);_(&quot;$&quot;* \(#,##0.000\);_(&quot;$&quot;* &quot;-&quot;?_);_(@_)"/>
    <numFmt numFmtId="211" formatCode="_(&quot;$&quot;* #,##0_);_(&quot;$&quot;* \(#,##0\);_(&quot;$&quot;* &quot;-&quot;?_);_(@_)"/>
    <numFmt numFmtId="212" formatCode="_(* #,##0.000_);_(* \(#,##0.000\);_(* &quot;-&quot;?_);_(@_)"/>
    <numFmt numFmtId="213" formatCode="_(* #,##0.000_);_(* \(#,##0.000\);_(* &quot;-&quot;??_);_(@_)"/>
    <numFmt numFmtId="214" formatCode="#,##0.000_);\(#,##0.000\);#,##0.000_);@_)"/>
    <numFmt numFmtId="216" formatCode="_(* #,##0.0000_);_(* \(#,##0.0000\);_(* &quot;-&quot;_);_(@_)"/>
    <numFmt numFmtId="217" formatCode="mmm\-yyyy"/>
    <numFmt numFmtId="218" formatCode="General_)"/>
    <numFmt numFmtId="219" formatCode="_-* #,##0.00_-;\-* #,##0.00_-;_-* &quot;-&quot;??_-;_-@_-"/>
    <numFmt numFmtId="220" formatCode="&quot;$&quot;#,##0.0;\(&quot;$&quot;#,##0.0\)"/>
    <numFmt numFmtId="221" formatCode="\£\ #,##0_);[Red]\(\£\ #,##0\)"/>
    <numFmt numFmtId="222" formatCode="\¥\ #,##0_);[Red]\(\¥\ #,##0\)"/>
    <numFmt numFmtId="223" formatCode="_(* #,##0.0_);_(* \(#,##0.0\);_(* &quot;--- &quot;_)"/>
    <numFmt numFmtId="224" formatCode="\•\ \ @"/>
    <numFmt numFmtId="225" formatCode="0.000_)"/>
    <numFmt numFmtId="226" formatCode="\ \ _•\–\ \ \ \ @"/>
    <numFmt numFmtId="227" formatCode="#,##0.0;\(###0.0\)"/>
    <numFmt numFmtId="228" formatCode="0.00_)"/>
    <numFmt numFmtId="229" formatCode="0.00000000000000000%"/>
    <numFmt numFmtId="230" formatCode="#,##0.0;\(#,##0.0\)"/>
    <numFmt numFmtId="231" formatCode="0.00\ "/>
    <numFmt numFmtId="232" formatCode="0.0_)\%;\(0.0\)\%;0.0_)\%;@_)_%"/>
    <numFmt numFmtId="233" formatCode="&quot;$&quot;_(#,##0.00_);&quot;$&quot;\(#,##0.00\);&quot;$&quot;_(0.00_);@_)"/>
    <numFmt numFmtId="234" formatCode="#,##0.0_)_x;\(#,##0.0\)_x;0.0_)_x;@_)_x"/>
    <numFmt numFmtId="235" formatCode="0.0%;\(0.0%\)"/>
    <numFmt numFmtId="236" formatCode="0.0%_);\(0.0%\)"/>
    <numFmt numFmtId="237" formatCode="0.00\ \ \ \ "/>
    <numFmt numFmtId="238" formatCode="#,##0.0_);[Red]\(#,##0.0\)"/>
    <numFmt numFmtId="239" formatCode="yyyy"/>
    <numFmt numFmtId="240" formatCode="0.00%_);[Red]\(0.00%\)"/>
    <numFmt numFmtId="241" formatCode="0.0%_);[Red]\(0.0%\)"/>
    <numFmt numFmtId="242" formatCode="#,##0.000_);[Red]\(#,##0.000\)"/>
    <numFmt numFmtId="243" formatCode="0.00%;[Red]\(0.00%\)"/>
    <numFmt numFmtId="244" formatCode="&quot;Fr.&quot;#,##0_);[Red]\(&quot;Fr.&quot;#,##0\)"/>
    <numFmt numFmtId="245" formatCode="&quot;£&quot;\ #,##0_);[Red]\(&quot;£&quot;\ #,##0\)"/>
    <numFmt numFmtId="246" formatCode="&quot;\&quot;\ #,##0_);[Red]\(&quot;\&quot;\ #,##0\)"/>
    <numFmt numFmtId="247" formatCode="&quot;•&quot;\ \ @"/>
    <numFmt numFmtId="248" formatCode="#,##0.00000;[Red]\(#,##0.00000\)"/>
    <numFmt numFmtId="249" formatCode="&quot;$&quot;#,##0.00;\(&quot;$&quot;#,##0.00\)"/>
    <numFmt numFmtId="250" formatCode="_ * #,##0_)_£_ ;_ * \(#,##0\)_£_ ;_ * &quot;-&quot;_)_£_ ;_ @_ "/>
    <numFmt numFmtId="251" formatCode="&quot;$&quot;#,##0.0;[Red]\(&quot;$&quot;#,##0.0\)"/>
    <numFmt numFmtId="252" formatCode="\ \ _•&quot;–&quot;\ \ \ \ @"/>
    <numFmt numFmtId="253" formatCode="#,##0.0;[Red]\(#,##0.0\)"/>
    <numFmt numFmtId="254" formatCode="#,##0;[Red]\(#,##0\)"/>
    <numFmt numFmtId="255" formatCode="#,##0.00\x_);[Red]\(#,##0.00\x\)"/>
    <numFmt numFmtId="256" formatCode="0%;[Red]\(0%\)"/>
    <numFmt numFmtId="257" formatCode="_-&quot;$&quot;* #,##0_-;\-&quot;$&quot;* #,##0_-;_-&quot;$&quot;* &quot;-&quot;_-;_-@_-"/>
    <numFmt numFmtId="258" formatCode="_-* #,##0_-;\-* #,##0_-;_-* &quot;-&quot;_-;_-@_-"/>
    <numFmt numFmtId="259" formatCode="&quot;¥&quot;\ #,##0_);[Red]\(&quot;¥&quot;\ #,##0\)"/>
    <numFmt numFmtId="260" formatCode="_-&quot;$&quot;* #,##0.00_-;\-&quot;$&quot;* #,##0.00_-;_-&quot;$&quot;* &quot;-&quot;??_-;_-@_-"/>
    <numFmt numFmtId="261" formatCode="[Blue]General;[Blue]\-General;[Blue]&quot;--&quot;"/>
    <numFmt numFmtId="262" formatCode="&quot;$&quot;#,##0.00;[Red]\(&quot;$&quot;#,##0.00\)"/>
    <numFmt numFmtId="263" formatCode="0.00_);\(0.00\);0.00"/>
    <numFmt numFmtId="264" formatCode="&quot;$&quot;#,##0\ ;\(&quot;$&quot;#,##0\)"/>
    <numFmt numFmtId="265" formatCode="&quot;SFr.&quot;#,##0.00;&quot;SFr.&quot;\-#,##0.00"/>
    <numFmt numFmtId="266" formatCode="0.0%;[Red]\(0.0%\)"/>
    <numFmt numFmtId="267" formatCode="0.00\%;\-0.00\%;0.00\%"/>
    <numFmt numFmtId="268" formatCode="0.00\x;\-0.00\x;0.00\x"/>
    <numFmt numFmtId="269" formatCode="##0.00000"/>
    <numFmt numFmtId="270" formatCode="&quot;?G&quot;#,##0.00;\-&quot;?G&quot;#,###"/>
    <numFmt numFmtId="271" formatCode="&quot;Ç&quot;\ &quot;´&quot;&quot;´&quot;&quot;´&quot;&quot;´&quot;\ &quot;»&quot;&quot;»&quot;&quot;»&quot;&quot;»&quot;"/>
    <numFmt numFmtId="272" formatCode="0.000%"/>
    <numFmt numFmtId="278" formatCode="mm/dd/yy\ hh:mm"/>
  </numFmts>
  <fonts count="250">
    <font>
      <sz val="10"/>
      <name val="Arial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i/>
      <sz val="11"/>
      <color indexed="12"/>
      <name val="Arial"/>
      <family val="2"/>
    </font>
    <font>
      <b/>
      <sz val="11"/>
      <color indexed="12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i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63"/>
      <name val="Verdana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i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Arial"/>
      <family val="2"/>
    </font>
    <font>
      <b/>
      <sz val="11"/>
      <color indexed="12"/>
      <name val="Arial"/>
      <family val="2"/>
    </font>
    <font>
      <u/>
      <sz val="10"/>
      <name val="Arial"/>
      <family val="2"/>
    </font>
    <font>
      <b/>
      <i/>
      <sz val="11"/>
      <color indexed="12"/>
      <name val="Arial"/>
      <family val="2"/>
    </font>
    <font>
      <u/>
      <sz val="11"/>
      <color indexed="53"/>
      <name val="Arial"/>
      <family val="2"/>
    </font>
    <font>
      <u/>
      <sz val="11"/>
      <color indexed="8"/>
      <name val="Arial"/>
      <family val="2"/>
    </font>
    <font>
      <sz val="10"/>
      <name val="Arial"/>
      <family val="2"/>
    </font>
    <font>
      <b/>
      <i/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u val="singleAccounting"/>
      <sz val="11"/>
      <name val="Arial"/>
      <family val="2"/>
    </font>
    <font>
      <sz val="10"/>
      <name val="Arial"/>
      <family val="2"/>
    </font>
    <font>
      <sz val="11"/>
      <color indexed="24"/>
      <name val="Arial"/>
      <family val="2"/>
    </font>
    <font>
      <i/>
      <sz val="11"/>
      <color indexed="24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9"/>
      <name val="Arial"/>
      <family val="2"/>
    </font>
    <font>
      <sz val="10"/>
      <name val="Arial"/>
      <family val="2"/>
    </font>
    <font>
      <i/>
      <sz val="11"/>
      <color indexed="24"/>
      <name val="Arial"/>
      <family val="2"/>
    </font>
    <font>
      <sz val="11"/>
      <color indexed="8"/>
      <name val="Calibri"/>
      <family val="2"/>
    </font>
    <font>
      <b/>
      <sz val="16"/>
      <color indexed="62"/>
      <name val="Arial"/>
      <family val="2"/>
    </font>
    <font>
      <u/>
      <sz val="9"/>
      <color indexed="12"/>
      <name val="Arial"/>
      <family val="2"/>
    </font>
    <font>
      <sz val="9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sz val="10"/>
      <name val="Courier"/>
      <family val="3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b/>
      <sz val="10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8"/>
      <color indexed="8"/>
      <name val="Arial"/>
      <family val="2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10"/>
      <name val="Helvetica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0"/>
      <name val="Segoe UI"/>
      <family val="2"/>
    </font>
    <font>
      <sz val="7"/>
      <color indexed="8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0"/>
      <color indexed="8"/>
      <name val="Arial"/>
      <family val="2"/>
    </font>
    <font>
      <b/>
      <sz val="10"/>
      <name val="Helvetica"/>
      <family val="2"/>
    </font>
    <font>
      <sz val="12"/>
      <name val="¹UAAA¼"/>
      <family val="1"/>
      <charset val="129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7"/>
      <name val="Arial"/>
      <family val="2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8"/>
      <color indexed="12"/>
      <name val="FrankfurtGothicHeavy"/>
      <family val="2"/>
    </font>
    <font>
      <sz val="12"/>
      <name val="新細明體"/>
      <family val="1"/>
      <charset val="136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b/>
      <sz val="11"/>
      <color indexed="10"/>
      <name val="Calibri"/>
      <family val="2"/>
    </font>
    <font>
      <u/>
      <sz val="11"/>
      <color indexed="24"/>
      <name val="Calibri"/>
      <family val="2"/>
    </font>
    <font>
      <sz val="11"/>
      <color indexed="19"/>
      <name val="Calibri"/>
      <family val="2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sz val="10"/>
      <name val="Arial"/>
      <family val="2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1"/>
      <color indexed="24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sz val="11"/>
      <color indexed="53"/>
      <name val="Arial"/>
      <family val="2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0"/>
      <name val="Arial"/>
      <family val="2"/>
    </font>
    <font>
      <sz val="11"/>
      <color indexed="53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5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13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41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60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5"/>
      </patternFill>
    </fill>
    <fill>
      <patternFill patternType="solid">
        <fgColor indexed="15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8"/>
      </patternFill>
    </fill>
    <fill>
      <patternFill patternType="solid">
        <fgColor indexed="51"/>
      </patternFill>
    </fill>
    <fill>
      <patternFill patternType="solid">
        <fgColor indexed="35"/>
      </patternFill>
    </fill>
    <fill>
      <patternFill patternType="solid">
        <fgColor indexed="56"/>
      </patternFill>
    </fill>
    <fill>
      <patternFill patternType="solid">
        <fgColor indexed="48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31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12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8"/>
        <bgColor indexed="64"/>
      </patternFill>
    </fill>
    <fill>
      <patternFill patternType="gray06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4"/>
      </patternFill>
    </fill>
    <fill>
      <patternFill patternType="mediumGray"/>
    </fill>
    <fill>
      <patternFill patternType="solid">
        <fgColor indexed="21"/>
      </patternFill>
    </fill>
    <fill>
      <patternFill patternType="solid">
        <fgColor indexed="2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indexed="65"/>
        <bgColor indexed="64"/>
      </patternFill>
    </fill>
  </fills>
  <borders count="6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161">
    <xf numFmtId="0" fontId="0" fillId="0" borderId="0" applyNumberFormat="0" applyFont="0" applyFill="0" applyBorder="0" applyAlignment="0" applyProtection="0"/>
    <xf numFmtId="9" fontId="42" fillId="0" borderId="0">
      <alignment horizontal="right"/>
    </xf>
    <xf numFmtId="3" fontId="88" fillId="0" borderId="0"/>
    <xf numFmtId="0" fontId="22" fillId="0" borderId="0" applyFont="0" applyFill="0" applyBorder="0" applyAlignment="0" applyProtection="0"/>
    <xf numFmtId="0" fontId="71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107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ill="0" applyBorder="0" applyAlignment="0" applyProtection="0"/>
    <xf numFmtId="5" fontId="157" fillId="0" borderId="0" applyFont="0" applyFill="0" applyBorder="0" applyAlignment="0" applyProtection="0"/>
    <xf numFmtId="8" fontId="157" fillId="0" borderId="0" applyFont="0" applyFill="0" applyBorder="0" applyAlignment="0" applyProtection="0"/>
    <xf numFmtId="220" fontId="106" fillId="0" borderId="0">
      <alignment horizontal="right"/>
    </xf>
    <xf numFmtId="0" fontId="14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240" fontId="158" fillId="0" borderId="0"/>
    <xf numFmtId="243" fontId="156" fillId="0" borderId="0"/>
    <xf numFmtId="10" fontId="157" fillId="0" borderId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42" fontId="22" fillId="0" borderId="0" applyFont="0" applyFill="0" applyBorder="0" applyAlignment="0" applyProtection="0"/>
    <xf numFmtId="244" fontId="159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22" fillId="0" borderId="0"/>
    <xf numFmtId="40" fontId="161" fillId="0" borderId="0" applyFont="0" applyFill="0" applyBorder="0" applyAlignment="0" applyProtection="0"/>
    <xf numFmtId="0" fontId="162" fillId="0" borderId="0" applyNumberFormat="0" applyFill="0" applyBorder="0" applyAlignment="0" applyProtection="0">
      <alignment vertical="top"/>
      <protection locked="0"/>
    </xf>
    <xf numFmtId="38" fontId="161" fillId="0" borderId="0" applyFont="0" applyFill="0" applyBorder="0" applyAlignment="0" applyProtection="0"/>
    <xf numFmtId="258" fontId="22" fillId="0" borderId="0" applyFont="0" applyFill="0" applyBorder="0" applyAlignment="0" applyProtection="0"/>
    <xf numFmtId="219" fontId="22" fillId="0" borderId="0" applyFont="0" applyFill="0" applyBorder="0" applyAlignment="0" applyProtection="0"/>
    <xf numFmtId="0" fontId="160" fillId="0" borderId="0"/>
    <xf numFmtId="0" fontId="18" fillId="0" borderId="1" applyNumberFormat="0" applyBorder="0" applyAlignment="0">
      <alignment horizontal="left"/>
    </xf>
    <xf numFmtId="0" fontId="22" fillId="0" borderId="0"/>
    <xf numFmtId="0" fontId="22" fillId="0" borderId="0"/>
    <xf numFmtId="3" fontId="88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/>
    <xf numFmtId="0" fontId="22" fillId="0" borderId="0"/>
    <xf numFmtId="0" fontId="22" fillId="0" borderId="0"/>
    <xf numFmtId="3" fontId="88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3" fontId="88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175" fontId="2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3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>
      <alignment vertical="top"/>
    </xf>
    <xf numFmtId="0" fontId="22" fillId="0" borderId="0">
      <alignment vertical="top"/>
    </xf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/>
    <xf numFmtId="0" fontId="22" fillId="0" borderId="0"/>
    <xf numFmtId="0" fontId="22" fillId="0" borderId="0" applyNumberFormat="0" applyFill="0" applyBorder="0" applyAlignment="0" applyProtection="0"/>
    <xf numFmtId="3" fontId="88" fillId="0" borderId="0"/>
    <xf numFmtId="0" fontId="146" fillId="0" borderId="0"/>
    <xf numFmtId="271" fontId="146" fillId="0" borderId="0"/>
    <xf numFmtId="0" fontId="22" fillId="0" borderId="0" applyNumberFormat="0" applyFill="0" applyBorder="0" applyAlignment="0" applyProtection="0"/>
    <xf numFmtId="3" fontId="88" fillId="0" borderId="0"/>
    <xf numFmtId="3" fontId="88" fillId="0" borderId="0"/>
    <xf numFmtId="3" fontId="88" fillId="0" borderId="0"/>
    <xf numFmtId="3" fontId="88" fillId="0" borderId="0"/>
    <xf numFmtId="0" fontId="22" fillId="0" borderId="0" applyFill="0" applyAlignment="0">
      <protection locked="0"/>
    </xf>
    <xf numFmtId="3" fontId="88" fillId="0" borderId="0"/>
    <xf numFmtId="3" fontId="88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3" fontId="88" fillId="0" borderId="0"/>
    <xf numFmtId="0" fontId="22" fillId="0" borderId="0" applyFont="0" applyFill="0" applyBorder="0" applyAlignment="0" applyProtection="0"/>
    <xf numFmtId="234" fontId="22" fillId="0" borderId="0" applyFont="0" applyFill="0" applyBorder="0" applyAlignment="0" applyProtection="0"/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 applyNumberFormat="0" applyFill="0" applyBorder="0" applyAlignment="0" applyProtection="0"/>
    <xf numFmtId="232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/>
    <xf numFmtId="3" fontId="88" fillId="0" borderId="0"/>
    <xf numFmtId="0" fontId="22" fillId="0" borderId="0"/>
    <xf numFmtId="3" fontId="88" fillId="0" borderId="0"/>
    <xf numFmtId="0" fontId="22" fillId="0" borderId="0"/>
    <xf numFmtId="3" fontId="88" fillId="0" borderId="0"/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2" fillId="0" borderId="0"/>
    <xf numFmtId="0" fontId="22" fillId="0" borderId="0"/>
    <xf numFmtId="0" fontId="234" fillId="0" borderId="0"/>
    <xf numFmtId="0" fontId="8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3" fontId="88" fillId="0" borderId="0"/>
    <xf numFmtId="3" fontId="88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3" fontId="88" fillId="0" borderId="0"/>
    <xf numFmtId="0" fontId="22" fillId="0" borderId="0" applyFill="0" applyAlignment="0">
      <protection locked="0"/>
    </xf>
    <xf numFmtId="0" fontId="22" fillId="0" borderId="0" applyFill="0" applyAlignment="0">
      <protection locked="0"/>
    </xf>
    <xf numFmtId="0" fontId="22" fillId="0" borderId="0"/>
    <xf numFmtId="3" fontId="88" fillId="0" borderId="0"/>
    <xf numFmtId="44" fontId="107" fillId="0" borderId="0" applyFont="0" applyFill="0" applyBorder="0" applyAlignment="0" applyProtection="0"/>
    <xf numFmtId="42" fontId="107" fillId="0" borderId="0" applyFont="0" applyFill="0" applyBorder="0" applyAlignment="0" applyProtection="0"/>
    <xf numFmtId="0" fontId="163" fillId="0" borderId="2" applyBorder="0"/>
    <xf numFmtId="221" fontId="108" fillId="0" borderId="0" applyFont="0" applyFill="0" applyBorder="0" applyAlignment="0" applyProtection="0"/>
    <xf numFmtId="245" fontId="108" fillId="0" borderId="0" applyFont="0" applyFill="0" applyBorder="0" applyAlignment="0" applyProtection="0"/>
    <xf numFmtId="0" fontId="107" fillId="0" borderId="0"/>
    <xf numFmtId="258" fontId="107" fillId="0" borderId="0" applyFont="0" applyFill="0" applyBorder="0" applyAlignment="0" applyProtection="0"/>
    <xf numFmtId="219" fontId="107" fillId="0" borderId="0" applyFont="0" applyFill="0" applyBorder="0" applyAlignment="0" applyProtection="0"/>
    <xf numFmtId="222" fontId="108" fillId="0" borderId="0" applyFont="0" applyFill="0" applyBorder="0" applyAlignment="0" applyProtection="0"/>
    <xf numFmtId="246" fontId="108" fillId="0" borderId="0" applyFont="0" applyFill="0" applyBorder="0" applyAlignment="0" applyProtection="0"/>
    <xf numFmtId="259" fontId="108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 applyNumberFormat="0" applyFill="0" applyBorder="0" applyAlignment="0" applyProtection="0"/>
    <xf numFmtId="0" fontId="109" fillId="0" borderId="0"/>
    <xf numFmtId="0" fontId="22" fillId="0" borderId="0"/>
    <xf numFmtId="0" fontId="25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9" fontId="22" fillId="0" borderId="0"/>
    <xf numFmtId="0" fontId="22" fillId="0" borderId="0"/>
    <xf numFmtId="0" fontId="25" fillId="0" borderId="0"/>
    <xf numFmtId="0" fontId="25" fillId="0" borderId="0"/>
    <xf numFmtId="0" fontId="25" fillId="0" borderId="0"/>
    <xf numFmtId="2" fontId="25" fillId="0" borderId="0"/>
    <xf numFmtId="10" fontId="25" fillId="0" borderId="0"/>
    <xf numFmtId="2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208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208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80" fontId="22" fillId="0" borderId="0"/>
    <xf numFmtId="10" fontId="198" fillId="0" borderId="0" applyFont="0" applyFill="0" applyBorder="0" applyAlignment="0" applyProtection="0"/>
    <xf numFmtId="0" fontId="48" fillId="2" borderId="0" applyNumberFormat="0" applyBorder="0" applyAlignment="0" applyProtection="0"/>
    <xf numFmtId="0" fontId="48" fillId="2" borderId="0" applyNumberFormat="0" applyBorder="0" applyAlignment="0" applyProtection="0"/>
    <xf numFmtId="0" fontId="48" fillId="2" borderId="0" applyNumberFormat="0" applyBorder="0" applyAlignment="0" applyProtection="0"/>
    <xf numFmtId="0" fontId="48" fillId="3" borderId="0" applyNumberFormat="0" applyBorder="0" applyAlignment="0" applyProtection="0"/>
    <xf numFmtId="0" fontId="236" fillId="4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236" fillId="2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7" borderId="0" applyNumberFormat="0" applyBorder="0" applyAlignment="0" applyProtection="0"/>
    <xf numFmtId="0" fontId="236" fillId="53" borderId="0" applyNumberFormat="0" applyBorder="0" applyAlignment="0" applyProtection="0"/>
    <xf numFmtId="0" fontId="48" fillId="2" borderId="0" applyNumberFormat="0" applyBorder="0" applyAlignment="0" applyProtection="0"/>
    <xf numFmtId="0" fontId="48" fillId="2" borderId="0" applyNumberFormat="0" applyBorder="0" applyAlignment="0" applyProtection="0"/>
    <xf numFmtId="0" fontId="236" fillId="9" borderId="0" applyNumberFormat="0" applyBorder="0" applyAlignment="0" applyProtection="0"/>
    <xf numFmtId="0" fontId="48" fillId="10" borderId="0" applyNumberFormat="0" applyBorder="0" applyAlignment="0" applyProtection="0"/>
    <xf numFmtId="0" fontId="48" fillId="10" borderId="0" applyNumberFormat="0" applyBorder="0" applyAlignment="0" applyProtection="0"/>
    <xf numFmtId="0" fontId="236" fillId="4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7" borderId="0" applyNumberFormat="0" applyBorder="0" applyAlignment="0" applyProtection="0"/>
    <xf numFmtId="0" fontId="236" fillId="54" borderId="0" applyNumberFormat="0" applyBorder="0" applyAlignment="0" applyProtection="0"/>
    <xf numFmtId="257" fontId="107" fillId="0" borderId="0" applyFont="0" applyFill="0" applyBorder="0" applyAlignment="0" applyProtection="0"/>
    <xf numFmtId="260" fontId="107" fillId="0" borderId="0" applyFont="0" applyFill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0" borderId="0" applyNumberFormat="0" applyBorder="0" applyAlignment="0" applyProtection="0"/>
    <xf numFmtId="0" fontId="236" fillId="4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236" fillId="2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236" fillId="5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2" borderId="0" applyNumberFormat="0" applyBorder="0" applyAlignment="0" applyProtection="0"/>
    <xf numFmtId="0" fontId="236" fillId="11" borderId="0" applyNumberFormat="0" applyBorder="0" applyAlignment="0" applyProtection="0"/>
    <xf numFmtId="0" fontId="48" fillId="3" borderId="0" applyNumberFormat="0" applyBorder="0" applyAlignment="0" applyProtection="0"/>
    <xf numFmtId="0" fontId="48" fillId="3" borderId="0" applyNumberFormat="0" applyBorder="0" applyAlignment="0" applyProtection="0"/>
    <xf numFmtId="0" fontId="48" fillId="3" borderId="0" applyNumberFormat="0" applyBorder="0" applyAlignment="0" applyProtection="0"/>
    <xf numFmtId="0" fontId="48" fillId="10" borderId="0" applyNumberFormat="0" applyBorder="0" applyAlignment="0" applyProtection="0"/>
    <xf numFmtId="0" fontId="236" fillId="13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7" borderId="0" applyNumberFormat="0" applyBorder="0" applyAlignment="0" applyProtection="0"/>
    <xf numFmtId="0" fontId="236" fillId="2" borderId="0" applyNumberFormat="0" applyBorder="0" applyAlignment="0" applyProtection="0"/>
    <xf numFmtId="0" fontId="49" fillId="14" borderId="0" applyNumberFormat="0" applyBorder="0" applyAlignment="0" applyProtection="0"/>
    <xf numFmtId="0" fontId="49" fillId="14" borderId="0" applyNumberFormat="0" applyBorder="0" applyAlignment="0" applyProtection="0"/>
    <xf numFmtId="0" fontId="49" fillId="14" borderId="0" applyNumberFormat="0" applyBorder="0" applyAlignment="0" applyProtection="0"/>
    <xf numFmtId="0" fontId="49" fillId="10" borderId="0" applyNumberFormat="0" applyBorder="0" applyAlignment="0" applyProtection="0"/>
    <xf numFmtId="0" fontId="237" fillId="3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15" borderId="0" applyNumberFormat="0" applyBorder="0" applyAlignment="0" applyProtection="0"/>
    <xf numFmtId="0" fontId="237" fillId="16" borderId="0" applyNumberFormat="0" applyBorder="0" applyAlignment="0" applyProtection="0"/>
    <xf numFmtId="0" fontId="49" fillId="7" borderId="0" applyNumberFormat="0" applyBorder="0" applyAlignment="0" applyProtection="0"/>
    <xf numFmtId="0" fontId="49" fillId="7" borderId="0" applyNumberFormat="0" applyBorder="0" applyAlignment="0" applyProtection="0"/>
    <xf numFmtId="0" fontId="49" fillId="7" borderId="0" applyNumberFormat="0" applyBorder="0" applyAlignment="0" applyProtection="0"/>
    <xf numFmtId="0" fontId="49" fillId="17" borderId="0" applyNumberFormat="0" applyBorder="0" applyAlignment="0" applyProtection="0"/>
    <xf numFmtId="0" fontId="237" fillId="5" borderId="0" applyNumberFormat="0" applyBorder="0" applyAlignment="0" applyProtection="0"/>
    <xf numFmtId="0" fontId="49" fillId="11" borderId="0" applyNumberFormat="0" applyBorder="0" applyAlignment="0" applyProtection="0"/>
    <xf numFmtId="0" fontId="49" fillId="11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237" fillId="11" borderId="0" applyNumberFormat="0" applyBorder="0" applyAlignment="0" applyProtection="0"/>
    <xf numFmtId="0" fontId="49" fillId="14" borderId="0" applyNumberFormat="0" applyBorder="0" applyAlignment="0" applyProtection="0"/>
    <xf numFmtId="0" fontId="49" fillId="14" borderId="0" applyNumberFormat="0" applyBorder="0" applyAlignment="0" applyProtection="0"/>
    <xf numFmtId="0" fontId="49" fillId="14" borderId="0" applyNumberFormat="0" applyBorder="0" applyAlignment="0" applyProtection="0"/>
    <xf numFmtId="0" fontId="49" fillId="10" borderId="0" applyNumberFormat="0" applyBorder="0" applyAlignment="0" applyProtection="0"/>
    <xf numFmtId="0" fontId="237" fillId="18" borderId="0" applyNumberFormat="0" applyBorder="0" applyAlignment="0" applyProtection="0"/>
    <xf numFmtId="0" fontId="49" fillId="6" borderId="0" applyNumberFormat="0" applyBorder="0" applyAlignment="0" applyProtection="0"/>
    <xf numFmtId="0" fontId="49" fillId="6" borderId="0" applyNumberFormat="0" applyBorder="0" applyAlignment="0" applyProtection="0"/>
    <xf numFmtId="0" fontId="49" fillId="6" borderId="0" applyNumberFormat="0" applyBorder="0" applyAlignment="0" applyProtection="0"/>
    <xf numFmtId="0" fontId="49" fillId="5" borderId="0" applyNumberFormat="0" applyBorder="0" applyAlignment="0" applyProtection="0"/>
    <xf numFmtId="0" fontId="237" fillId="2" borderId="0" applyNumberFormat="0" applyBorder="0" applyAlignment="0" applyProtection="0"/>
    <xf numFmtId="37" fontId="110" fillId="0" borderId="0">
      <alignment horizontal="center"/>
    </xf>
    <xf numFmtId="37" fontId="164" fillId="0" borderId="0">
      <alignment horizontal="center"/>
    </xf>
    <xf numFmtId="0" fontId="212" fillId="0" borderId="0" applyFont="0" applyFill="0" applyBorder="0" applyAlignment="0" applyProtection="0"/>
    <xf numFmtId="0" fontId="212" fillId="0" borderId="0" applyFont="0" applyFill="0" applyBorder="0" applyAlignment="0" applyProtection="0"/>
    <xf numFmtId="0" fontId="49" fillId="14" borderId="0" applyNumberFormat="0" applyBorder="0" applyAlignment="0" applyProtection="0"/>
    <xf numFmtId="0" fontId="49" fillId="14" borderId="0" applyNumberFormat="0" applyBorder="0" applyAlignment="0" applyProtection="0"/>
    <xf numFmtId="0" fontId="49" fillId="14" borderId="0" applyNumberFormat="0" applyBorder="0" applyAlignment="0" applyProtection="0"/>
    <xf numFmtId="0" fontId="49" fillId="19" borderId="0" applyNumberFormat="0" applyBorder="0" applyAlignment="0" applyProtection="0"/>
    <xf numFmtId="0" fontId="237" fillId="20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15" borderId="0" applyNumberFormat="0" applyBorder="0" applyAlignment="0" applyProtection="0"/>
    <xf numFmtId="0" fontId="237" fillId="21" borderId="0" applyNumberFormat="0" applyBorder="0" applyAlignment="0" applyProtection="0"/>
    <xf numFmtId="0" fontId="49" fillId="7" borderId="0" applyNumberFormat="0" applyBorder="0" applyAlignment="0" applyProtection="0"/>
    <xf numFmtId="0" fontId="49" fillId="7" borderId="0" applyNumberFormat="0" applyBorder="0" applyAlignment="0" applyProtection="0"/>
    <xf numFmtId="0" fontId="49" fillId="7" borderId="0" applyNumberFormat="0" applyBorder="0" applyAlignment="0" applyProtection="0"/>
    <xf numFmtId="0" fontId="49" fillId="17" borderId="0" applyNumberFormat="0" applyBorder="0" applyAlignment="0" applyProtection="0"/>
    <xf numFmtId="0" fontId="237" fillId="22" borderId="0" applyNumberFormat="0" applyBorder="0" applyAlignment="0" applyProtection="0"/>
    <xf numFmtId="0" fontId="49" fillId="23" borderId="0" applyNumberFormat="0" applyBorder="0" applyAlignment="0" applyProtection="0"/>
    <xf numFmtId="0" fontId="49" fillId="23" borderId="0" applyNumberFormat="0" applyBorder="0" applyAlignment="0" applyProtection="0"/>
    <xf numFmtId="0" fontId="237" fillId="24" borderId="0" applyNumberFormat="0" applyBorder="0" applyAlignment="0" applyProtection="0"/>
    <xf numFmtId="0" fontId="49" fillId="14" borderId="0" applyNumberFormat="0" applyBorder="0" applyAlignment="0" applyProtection="0"/>
    <xf numFmtId="0" fontId="49" fillId="14" borderId="0" applyNumberFormat="0" applyBorder="0" applyAlignment="0" applyProtection="0"/>
    <xf numFmtId="0" fontId="237" fillId="20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25" borderId="0" applyNumberFormat="0" applyBorder="0" applyAlignment="0" applyProtection="0"/>
    <xf numFmtId="0" fontId="237" fillId="55" borderId="0" applyNumberFormat="0" applyBorder="0" applyAlignment="0" applyProtection="0"/>
    <xf numFmtId="223" fontId="111" fillId="0" borderId="0" applyFont="0" applyFill="0" applyBorder="0" applyAlignment="0" applyProtection="0"/>
    <xf numFmtId="0" fontId="213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3" fillId="0" borderId="0" applyFont="0" applyFill="0" applyBorder="0" applyAlignment="0" applyProtection="0"/>
    <xf numFmtId="0" fontId="213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3" fillId="0" borderId="0" applyFont="0" applyFill="0" applyBorder="0" applyAlignment="0" applyProtection="0"/>
    <xf numFmtId="0" fontId="212" fillId="0" borderId="0" applyFont="0" applyFill="0" applyBorder="0" applyAlignment="0" applyProtection="0"/>
    <xf numFmtId="0" fontId="212" fillId="0" borderId="0" applyFont="0" applyFill="0" applyBorder="0" applyAlignment="0" applyProtection="0"/>
    <xf numFmtId="0" fontId="22" fillId="0" borderId="0"/>
    <xf numFmtId="218" fontId="112" fillId="0" borderId="0">
      <alignment horizontal="left"/>
    </xf>
    <xf numFmtId="0" fontId="197" fillId="0" borderId="0">
      <alignment horizontal="right"/>
    </xf>
    <xf numFmtId="0" fontId="213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3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7" fillId="0" borderId="0"/>
    <xf numFmtId="0" fontId="22" fillId="11" borderId="0" applyNumberFormat="0" applyFont="0" applyAlignment="0"/>
    <xf numFmtId="0" fontId="50" fillId="12" borderId="0" applyNumberFormat="0" applyBorder="0" applyAlignment="0" applyProtection="0"/>
    <xf numFmtId="0" fontId="50" fillId="12" borderId="0" applyNumberFormat="0" applyBorder="0" applyAlignment="0" applyProtection="0"/>
    <xf numFmtId="0" fontId="50" fillId="12" borderId="0" applyNumberFormat="0" applyBorder="0" applyAlignment="0" applyProtection="0"/>
    <xf numFmtId="0" fontId="50" fillId="26" borderId="0" applyNumberFormat="0" applyBorder="0" applyAlignment="0" applyProtection="0"/>
    <xf numFmtId="0" fontId="223" fillId="27" borderId="0" applyNumberFormat="0" applyBorder="0" applyAlignment="0" applyProtection="0"/>
    <xf numFmtId="240" fontId="156" fillId="0" borderId="0"/>
    <xf numFmtId="238" fontId="121" fillId="0" borderId="0" applyFont="0" applyFill="0" applyBorder="0" applyAlignment="0" applyProtection="0"/>
    <xf numFmtId="1" fontId="113" fillId="28" borderId="3" applyNumberFormat="0" applyBorder="0" applyAlignment="0">
      <alignment horizontal="center" vertical="top" wrapText="1"/>
      <protection hidden="1"/>
    </xf>
    <xf numFmtId="37" fontId="106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65" fillId="0" borderId="0" applyNumberFormat="0" applyFill="0" applyBorder="0" applyAlignment="0" applyProtection="0"/>
    <xf numFmtId="261" fontId="121" fillId="0" borderId="0">
      <alignment horizontal="right"/>
    </xf>
    <xf numFmtId="0" fontId="166" fillId="0" borderId="0" applyNumberFormat="0" applyFill="0" applyBorder="0" applyAlignment="0" applyProtection="0"/>
    <xf numFmtId="0" fontId="115" fillId="0" borderId="4" applyNumberFormat="0" applyFill="0" applyAlignment="0" applyProtection="0"/>
    <xf numFmtId="0" fontId="157" fillId="0" borderId="4" applyNumberFormat="0" applyFont="0" applyFill="0" applyAlignment="0" applyProtection="0"/>
    <xf numFmtId="0" fontId="157" fillId="0" borderId="3" applyNumberFormat="0" applyFont="0" applyFill="0" applyAlignment="0" applyProtection="0"/>
    <xf numFmtId="0" fontId="157" fillId="0" borderId="5" applyNumberFormat="0" applyFont="0" applyFill="0" applyAlignment="0" applyProtection="0"/>
    <xf numFmtId="0" fontId="157" fillId="0" borderId="6" applyNumberFormat="0" applyFont="0" applyFill="0" applyAlignment="0" applyProtection="0"/>
    <xf numFmtId="37" fontId="167" fillId="0" borderId="0" applyNumberFormat="0" applyFill="0" applyBorder="0" applyAlignment="0" applyProtection="0">
      <alignment horizontal="center"/>
    </xf>
    <xf numFmtId="224" fontId="108" fillId="0" borderId="0" applyFont="0" applyFill="0" applyBorder="0" applyAlignment="0" applyProtection="0"/>
    <xf numFmtId="247" fontId="108" fillId="0" borderId="0" applyFont="0" applyFill="0" applyBorder="0" applyAlignment="0" applyProtection="0"/>
    <xf numFmtId="0" fontId="19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14" fillId="0" borderId="0"/>
    <xf numFmtId="0" fontId="215" fillId="0" borderId="0"/>
    <xf numFmtId="0" fontId="214" fillId="0" borderId="0"/>
    <xf numFmtId="0" fontId="214" fillId="0" borderId="0"/>
    <xf numFmtId="0" fontId="216" fillId="0" borderId="0"/>
    <xf numFmtId="0" fontId="213" fillId="0" borderId="0"/>
    <xf numFmtId="0" fontId="216" fillId="0" borderId="0"/>
    <xf numFmtId="0" fontId="213" fillId="0" borderId="0"/>
    <xf numFmtId="0" fontId="216" fillId="0" borderId="0"/>
    <xf numFmtId="0" fontId="213" fillId="0" borderId="0"/>
    <xf numFmtId="0" fontId="22" fillId="0" borderId="0"/>
    <xf numFmtId="0" fontId="23" fillId="0" borderId="0"/>
    <xf numFmtId="248" fontId="159" fillId="0" borderId="0" applyFill="0" applyBorder="0" applyAlignment="0"/>
    <xf numFmtId="0" fontId="51" fillId="29" borderId="7" applyNumberFormat="0" applyAlignment="0" applyProtection="0"/>
    <xf numFmtId="0" fontId="51" fillId="29" borderId="7" applyNumberFormat="0" applyAlignment="0" applyProtection="0"/>
    <xf numFmtId="0" fontId="51" fillId="29" borderId="7" applyNumberFormat="0" applyAlignment="0" applyProtection="0"/>
    <xf numFmtId="0" fontId="217" fillId="29" borderId="7" applyNumberFormat="0" applyAlignment="0" applyProtection="0"/>
    <xf numFmtId="0" fontId="238" fillId="29" borderId="50" applyNumberFormat="0" applyAlignment="0" applyProtection="0"/>
    <xf numFmtId="238" fontId="154" fillId="0" borderId="0" applyFont="0" applyFill="0" applyBorder="0" applyAlignment="0" applyProtection="0"/>
    <xf numFmtId="0" fontId="106" fillId="0" borderId="0">
      <alignment horizontal="right"/>
    </xf>
    <xf numFmtId="0" fontId="168" fillId="0" borderId="0">
      <alignment horizontal="right"/>
    </xf>
    <xf numFmtId="262" fontId="168" fillId="0" borderId="0">
      <alignment horizontal="right"/>
    </xf>
    <xf numFmtId="249" fontId="168" fillId="0" borderId="0"/>
    <xf numFmtId="1" fontId="116" fillId="0" borderId="0"/>
    <xf numFmtId="0" fontId="44" fillId="0" borderId="0" applyAlignment="0"/>
    <xf numFmtId="0" fontId="52" fillId="30" borderId="8" applyNumberFormat="0" applyAlignment="0" applyProtection="0"/>
    <xf numFmtId="0" fontId="52" fillId="30" borderId="8" applyNumberFormat="0" applyAlignment="0" applyProtection="0"/>
    <xf numFmtId="0" fontId="239" fillId="56" borderId="51" applyNumberFormat="0" applyAlignment="0" applyProtection="0"/>
    <xf numFmtId="0" fontId="92" fillId="0" borderId="0" applyAlignment="0"/>
    <xf numFmtId="0" fontId="92" fillId="0" borderId="0" applyAlignment="0"/>
    <xf numFmtId="0" fontId="92" fillId="0" borderId="0" applyAlignment="0"/>
    <xf numFmtId="0" fontId="92" fillId="0" borderId="0" applyAlignment="0"/>
    <xf numFmtId="0" fontId="117" fillId="0" borderId="4" applyNumberFormat="0" applyFill="0" applyProtection="0">
      <alignment horizontal="left" vertical="center"/>
    </xf>
    <xf numFmtId="0" fontId="22" fillId="0" borderId="0">
      <alignment horizontal="center" wrapText="1"/>
      <protection hidden="1"/>
    </xf>
    <xf numFmtId="0" fontId="93" fillId="31" borderId="0" applyAlignment="0"/>
    <xf numFmtId="183" fontId="41" fillId="0" borderId="0" applyBorder="0">
      <alignment horizontal="right"/>
    </xf>
    <xf numFmtId="183" fontId="41" fillId="0" borderId="9" applyAlignment="0">
      <alignment horizontal="right"/>
    </xf>
    <xf numFmtId="43" fontId="1" fillId="0" borderId="0" applyFont="0" applyFill="0" applyBorder="0" applyAlignment="0" applyProtection="0"/>
    <xf numFmtId="225" fontId="118" fillId="0" borderId="0"/>
    <xf numFmtId="0" fontId="118" fillId="0" borderId="0"/>
    <xf numFmtId="225" fontId="118" fillId="0" borderId="0"/>
    <xf numFmtId="250" fontId="22" fillId="0" borderId="0"/>
    <xf numFmtId="0" fontId="118" fillId="0" borderId="0"/>
    <xf numFmtId="225" fontId="118" fillId="0" borderId="0"/>
    <xf numFmtId="250" fontId="22" fillId="0" borderId="0"/>
    <xf numFmtId="0" fontId="118" fillId="0" borderId="0"/>
    <xf numFmtId="225" fontId="118" fillId="0" borderId="0"/>
    <xf numFmtId="250" fontId="22" fillId="0" borderId="0"/>
    <xf numFmtId="0" fontId="118" fillId="0" borderId="0"/>
    <xf numFmtId="225" fontId="118" fillId="0" borderId="0"/>
    <xf numFmtId="250" fontId="22" fillId="0" borderId="0"/>
    <xf numFmtId="0" fontId="118" fillId="0" borderId="0"/>
    <xf numFmtId="225" fontId="118" fillId="0" borderId="0"/>
    <xf numFmtId="250" fontId="22" fillId="0" borderId="0"/>
    <xf numFmtId="0" fontId="118" fillId="0" borderId="0"/>
    <xf numFmtId="225" fontId="118" fillId="0" borderId="0"/>
    <xf numFmtId="250" fontId="22" fillId="0" borderId="0"/>
    <xf numFmtId="0" fontId="118" fillId="0" borderId="0"/>
    <xf numFmtId="225" fontId="118" fillId="0" borderId="0"/>
    <xf numFmtId="250" fontId="22" fillId="0" borderId="0"/>
    <xf numFmtId="0" fontId="118" fillId="0" borderId="0"/>
    <xf numFmtId="230" fontId="155" fillId="0" borderId="0" applyFont="0"/>
    <xf numFmtId="180" fontId="115" fillId="0" borderId="0" applyFont="0" applyFill="0" applyBorder="0" applyAlignment="0">
      <alignment horizontal="center" wrapText="1"/>
    </xf>
    <xf numFmtId="38" fontId="27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4" fillId="0" borderId="0" applyFont="0" applyFill="0" applyBorder="0" applyAlignment="0" applyProtection="0"/>
    <xf numFmtId="43" fontId="234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196" fontId="88" fillId="0" borderId="0"/>
    <xf numFmtId="196" fontId="88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53" fillId="0" borderId="0" applyFont="0" applyFill="0" applyBorder="0" applyAlignment="0" applyProtection="0"/>
    <xf numFmtId="219" fontId="85" fillId="0" borderId="0" applyFont="0" applyFill="0" applyBorder="0" applyAlignment="0" applyProtection="0"/>
    <xf numFmtId="219" fontId="4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42" fillId="0" borderId="0" applyFont="0" applyFill="0" applyBorder="0" applyAlignment="0" applyProtection="0"/>
    <xf numFmtId="43" fontId="104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2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169" fillId="0" borderId="0"/>
    <xf numFmtId="196" fontId="169" fillId="0" borderId="0"/>
    <xf numFmtId="2" fontId="169" fillId="0" borderId="0"/>
    <xf numFmtId="0" fontId="119" fillId="0" borderId="0"/>
    <xf numFmtId="0" fontId="82" fillId="32" borderId="0" applyNumberFormat="0" applyFill="0" applyBorder="0" applyAlignment="0"/>
    <xf numFmtId="0" fontId="200" fillId="33" borderId="0">
      <alignment horizontal="center" vertical="center" wrapText="1"/>
    </xf>
    <xf numFmtId="0" fontId="120" fillId="0" borderId="0" applyFill="0" applyBorder="0">
      <alignment horizontal="left"/>
    </xf>
    <xf numFmtId="218" fontId="120" fillId="0" borderId="0" applyFill="0" applyBorder="0">
      <alignment horizontal="left"/>
    </xf>
    <xf numFmtId="0" fontId="170" fillId="0" borderId="0" applyNumberFormat="0" applyAlignment="0">
      <alignment horizontal="left"/>
    </xf>
    <xf numFmtId="263" fontId="22" fillId="0" borderId="0" applyFill="0" applyBorder="0">
      <alignment horizontal="right"/>
      <protection locked="0"/>
    </xf>
    <xf numFmtId="218" fontId="201" fillId="0" borderId="0"/>
    <xf numFmtId="218" fontId="201" fillId="0" borderId="0"/>
    <xf numFmtId="44" fontId="1" fillId="0" borderId="0" applyFont="0" applyFill="0" applyBorder="0" applyAlignment="0" applyProtection="0"/>
    <xf numFmtId="251" fontId="121" fillId="0" borderId="0"/>
    <xf numFmtId="166" fontId="115" fillId="0" borderId="0" applyFont="0" applyFill="0" applyBorder="0" applyAlignment="0">
      <alignment horizontal="center" wrapText="1"/>
    </xf>
    <xf numFmtId="8" fontId="121" fillId="0" borderId="0" applyFont="0" applyFill="0" applyBorder="0" applyAlignment="0" applyProtection="0">
      <alignment horizontal="left"/>
    </xf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8" fontId="25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8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2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80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4" fillId="0" borderId="0" applyFont="0" applyFill="0" applyBorder="0" applyAlignment="0" applyProtection="0"/>
    <xf numFmtId="44" fontId="234" fillId="0" borderId="0" applyFont="0" applyFill="0" applyBorder="0" applyAlignment="0" applyProtection="0"/>
    <xf numFmtId="44" fontId="83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189" fontId="171" fillId="0" borderId="0" applyFont="0" applyFill="0" applyBorder="0" applyAlignment="0" applyProtection="0"/>
    <xf numFmtId="189" fontId="202" fillId="0" borderId="0" applyFont="0" applyFill="0" applyBorder="0" applyAlignment="0" applyProtection="0"/>
    <xf numFmtId="264" fontId="22" fillId="0" borderId="0" applyFont="0" applyFill="0" applyBorder="0" applyAlignment="0" applyProtection="0"/>
    <xf numFmtId="0" fontId="25" fillId="0" borderId="0" applyFont="0" applyFill="0" applyBorder="0" applyAlignment="0">
      <protection locked="0"/>
    </xf>
    <xf numFmtId="44" fontId="22" fillId="0" borderId="0" applyFont="0" applyFill="0" applyBorder="0" applyAlignment="0" applyProtection="0"/>
    <xf numFmtId="235" fontId="22" fillId="32" borderId="5">
      <alignment horizontal="right"/>
    </xf>
    <xf numFmtId="235" fontId="22" fillId="32" borderId="5">
      <alignment horizontal="right"/>
    </xf>
    <xf numFmtId="226" fontId="108" fillId="0" borderId="0" applyFont="0" applyFill="0" applyBorder="0" applyAlignment="0" applyProtection="0"/>
    <xf numFmtId="252" fontId="108" fillId="0" borderId="0" applyFont="0" applyFill="0" applyBorder="0" applyAlignment="0" applyProtection="0"/>
    <xf numFmtId="38" fontId="104" fillId="34" borderId="10">
      <protection locked="0"/>
    </xf>
    <xf numFmtId="37" fontId="40" fillId="0" borderId="11" applyAlignment="0">
      <protection locked="0"/>
    </xf>
    <xf numFmtId="10" fontId="40" fillId="0" borderId="11" applyAlignment="0">
      <protection locked="0"/>
    </xf>
    <xf numFmtId="37" fontId="40" fillId="0" borderId="11" applyAlignment="0">
      <protection locked="0"/>
    </xf>
    <xf numFmtId="14" fontId="18" fillId="0" borderId="1" applyFont="0">
      <alignment horizontal="right"/>
    </xf>
    <xf numFmtId="217" fontId="22" fillId="0" borderId="0" applyFont="0" applyFill="0" applyBorder="0" applyAlignment="0" applyProtection="0"/>
    <xf numFmtId="0" fontId="107" fillId="0" borderId="0"/>
    <xf numFmtId="14" fontId="154" fillId="0" borderId="0" applyFont="0" applyFill="0" applyBorder="0" applyAlignment="0" applyProtection="0">
      <alignment horizontal="center"/>
    </xf>
    <xf numFmtId="239" fontId="154" fillId="0" borderId="0" applyFont="0" applyFill="0" applyBorder="0" applyAlignment="0" applyProtection="0">
      <alignment horizontal="center"/>
    </xf>
    <xf numFmtId="0" fontId="121" fillId="0" borderId="0"/>
    <xf numFmtId="227" fontId="106" fillId="0" borderId="0">
      <alignment horizontal="right"/>
    </xf>
    <xf numFmtId="183" fontId="168" fillId="0" borderId="0"/>
    <xf numFmtId="0" fontId="121" fillId="0" borderId="0"/>
    <xf numFmtId="2" fontId="102" fillId="35" borderId="0">
      <alignment horizontal="left"/>
      <protection hidden="1"/>
    </xf>
    <xf numFmtId="0" fontId="106" fillId="0" borderId="0"/>
    <xf numFmtId="251" fontId="168" fillId="0" borderId="0"/>
    <xf numFmtId="5" fontId="44" fillId="0" borderId="0" applyFont="0" applyFill="0" applyBorder="0" applyAlignment="0" applyProtection="0">
      <protection locked="0"/>
    </xf>
    <xf numFmtId="6" fontId="121" fillId="0" borderId="0" applyFont="0" applyFill="0" applyBorder="0" applyAlignment="0" applyProtection="0"/>
    <xf numFmtId="0" fontId="172" fillId="0" borderId="0" applyNumberFormat="0" applyAlignment="0">
      <alignment horizontal="left"/>
    </xf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240" fillId="0" borderId="0" applyNumberFormat="0" applyFill="0" applyBorder="0" applyAlignment="0" applyProtection="0"/>
    <xf numFmtId="0" fontId="91" fillId="0" borderId="0">
      <alignment vertical="center"/>
    </xf>
    <xf numFmtId="0" fontId="147" fillId="0" borderId="0"/>
    <xf numFmtId="0" fontId="173" fillId="0" borderId="0"/>
    <xf numFmtId="1" fontId="122" fillId="36" borderId="12" applyNumberFormat="0" applyBorder="0" applyAlignment="0">
      <alignment horizontal="centerContinuous" vertical="center"/>
      <protection locked="0"/>
    </xf>
    <xf numFmtId="0" fontId="148" fillId="20" borderId="0"/>
    <xf numFmtId="0" fontId="174" fillId="20" borderId="0"/>
    <xf numFmtId="0" fontId="106" fillId="0" borderId="0"/>
    <xf numFmtId="230" fontId="121" fillId="0" borderId="0"/>
    <xf numFmtId="2" fontId="168" fillId="0" borderId="0"/>
    <xf numFmtId="253" fontId="168" fillId="0" borderId="0"/>
    <xf numFmtId="256" fontId="121" fillId="0" borderId="0"/>
    <xf numFmtId="253" fontId="168" fillId="0" borderId="0"/>
    <xf numFmtId="0" fontId="123" fillId="0" borderId="0" applyNumberFormat="0" applyFill="0" applyBorder="0" applyProtection="0">
      <alignment horizontal="left" vertical="center"/>
    </xf>
    <xf numFmtId="189" fontId="22" fillId="32" borderId="5">
      <alignment horizontal="right"/>
    </xf>
    <xf numFmtId="189" fontId="22" fillId="32" borderId="5">
      <alignment horizontal="right"/>
    </xf>
    <xf numFmtId="49" fontId="23" fillId="0" borderId="0" applyFill="0" applyBorder="0"/>
    <xf numFmtId="49" fontId="22" fillId="0" borderId="0"/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49" fontId="22" fillId="0" borderId="0" applyFill="0" applyBorder="0">
      <alignment horizontal="right" vertical="center"/>
    </xf>
    <xf numFmtId="0" fontId="54" fillId="8" borderId="0" applyNumberFormat="0" applyBorder="0" applyAlignment="0" applyProtection="0"/>
    <xf numFmtId="0" fontId="54" fillId="8" borderId="0" applyNumberFormat="0" applyBorder="0" applyAlignment="0" applyProtection="0"/>
    <xf numFmtId="0" fontId="54" fillId="8" borderId="0" applyNumberFormat="0" applyBorder="0" applyAlignment="0" applyProtection="0"/>
    <xf numFmtId="0" fontId="54" fillId="10" borderId="0" applyNumberFormat="0" applyBorder="0" applyAlignment="0" applyProtection="0"/>
    <xf numFmtId="0" fontId="224" fillId="5" borderId="0" applyNumberFormat="0" applyBorder="0" applyAlignment="0" applyProtection="0"/>
    <xf numFmtId="0" fontId="124" fillId="0" borderId="0"/>
    <xf numFmtId="0" fontId="140" fillId="0" borderId="0"/>
    <xf numFmtId="0" fontId="140" fillId="0" borderId="0"/>
    <xf numFmtId="0" fontId="124" fillId="0" borderId="0"/>
    <xf numFmtId="0" fontId="124" fillId="0" borderId="0"/>
    <xf numFmtId="0" fontId="140" fillId="0" borderId="0"/>
    <xf numFmtId="0" fontId="124" fillId="0" borderId="0"/>
    <xf numFmtId="0" fontId="140" fillId="0" borderId="0"/>
    <xf numFmtId="0" fontId="124" fillId="0" borderId="0"/>
    <xf numFmtId="38" fontId="23" fillId="32" borderId="0" applyNumberFormat="0" applyBorder="0" applyAlignment="0" applyProtection="0"/>
    <xf numFmtId="38" fontId="23" fillId="32" borderId="0" applyNumberFormat="0" applyBorder="0" applyAlignment="0" applyProtection="0"/>
    <xf numFmtId="243" fontId="158" fillId="0" borderId="0"/>
    <xf numFmtId="240" fontId="158" fillId="0" borderId="0" applyFill="0" applyBorder="0" applyAlignment="0" applyProtection="0"/>
    <xf numFmtId="168" fontId="22" fillId="34" borderId="13" applyNumberFormat="0" applyFont="0" applyBorder="0" applyAlignment="0" applyProtection="0"/>
    <xf numFmtId="168" fontId="22" fillId="34" borderId="13" applyNumberFormat="0" applyFont="0" applyBorder="0" applyAlignment="0" applyProtection="0"/>
    <xf numFmtId="180" fontId="125" fillId="34" borderId="0" applyNumberFormat="0" applyFont="0" applyAlignment="0"/>
    <xf numFmtId="0" fontId="175" fillId="0" borderId="0" applyNumberFormat="0" applyFill="0" applyBorder="0" applyAlignment="0" applyProtection="0"/>
    <xf numFmtId="0" fontId="38" fillId="0" borderId="14" applyNumberFormat="0" applyAlignment="0" applyProtection="0">
      <alignment horizontal="left" vertical="center"/>
    </xf>
    <xf numFmtId="0" fontId="90" fillId="0" borderId="14" applyNumberFormat="0" applyAlignment="0" applyProtection="0">
      <alignment horizontal="left" vertical="center"/>
    </xf>
    <xf numFmtId="0" fontId="38" fillId="0" borderId="1">
      <alignment horizontal="left" vertical="center"/>
    </xf>
    <xf numFmtId="0" fontId="90" fillId="0" borderId="1">
      <alignment horizontal="left" vertical="center"/>
    </xf>
    <xf numFmtId="0" fontId="55" fillId="0" borderId="15" applyNumberFormat="0" applyFill="0" applyAlignment="0" applyProtection="0"/>
    <xf numFmtId="0" fontId="55" fillId="0" borderId="15" applyNumberFormat="0" applyFill="0" applyAlignment="0" applyProtection="0"/>
    <xf numFmtId="0" fontId="55" fillId="0" borderId="15" applyNumberFormat="0" applyFill="0" applyAlignment="0" applyProtection="0"/>
    <xf numFmtId="0" fontId="55" fillId="0" borderId="16" applyNumberFormat="0" applyFill="0" applyAlignment="0" applyProtection="0"/>
    <xf numFmtId="0" fontId="225" fillId="0" borderId="17" applyNumberFormat="0" applyFill="0" applyAlignment="0" applyProtection="0"/>
    <xf numFmtId="0" fontId="56" fillId="0" borderId="18" applyNumberFormat="0" applyFill="0" applyAlignment="0" applyProtection="0"/>
    <xf numFmtId="0" fontId="56" fillId="0" borderId="18" applyNumberFormat="0" applyFill="0" applyAlignment="0" applyProtection="0"/>
    <xf numFmtId="0" fontId="56" fillId="0" borderId="18" applyNumberFormat="0" applyFill="0" applyAlignment="0" applyProtection="0"/>
    <xf numFmtId="0" fontId="56" fillId="0" borderId="19" applyNumberFormat="0" applyFill="0" applyAlignment="0" applyProtection="0"/>
    <xf numFmtId="0" fontId="226" fillId="0" borderId="20" applyNumberFormat="0" applyFill="0" applyAlignment="0" applyProtection="0"/>
    <xf numFmtId="0" fontId="57" fillId="0" borderId="21" applyNumberFormat="0" applyFill="0" applyAlignment="0" applyProtection="0"/>
    <xf numFmtId="0" fontId="57" fillId="0" borderId="21" applyNumberFormat="0" applyFill="0" applyAlignment="0" applyProtection="0"/>
    <xf numFmtId="0" fontId="57" fillId="0" borderId="21" applyNumberFormat="0" applyFill="0" applyAlignment="0" applyProtection="0"/>
    <xf numFmtId="0" fontId="57" fillId="0" borderId="22" applyNumberFormat="0" applyFill="0" applyAlignment="0" applyProtection="0"/>
    <xf numFmtId="0" fontId="227" fillId="0" borderId="23" applyNumberFormat="0" applyFill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0" fontId="176" fillId="0" borderId="0">
      <protection locked="0"/>
    </xf>
    <xf numFmtId="0" fontId="176" fillId="0" borderId="0">
      <protection locked="0"/>
    </xf>
    <xf numFmtId="0" fontId="149" fillId="0" borderId="0">
      <alignment wrapText="1"/>
    </xf>
    <xf numFmtId="0" fontId="177" fillId="0" borderId="0">
      <alignment wrapText="1"/>
    </xf>
    <xf numFmtId="0" fontId="40" fillId="0" borderId="24" applyNumberFormat="0" applyFill="0" applyAlignment="0" applyProtection="0"/>
    <xf numFmtId="0" fontId="87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43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228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0" fontId="228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38" fontId="121" fillId="0" borderId="0"/>
    <xf numFmtId="238" fontId="121" fillId="0" borderId="0" applyFont="0" applyFill="0" applyBorder="0" applyAlignment="0" applyProtection="0"/>
    <xf numFmtId="254" fontId="203" fillId="0" borderId="0" applyBorder="0" applyAlignment="0"/>
    <xf numFmtId="0" fontId="58" fillId="6" borderId="7" applyNumberFormat="0" applyAlignment="0" applyProtection="0"/>
    <xf numFmtId="10" fontId="23" fillId="37" borderId="13" applyNumberFormat="0" applyBorder="0" applyAlignment="0" applyProtection="0"/>
    <xf numFmtId="10" fontId="23" fillId="37" borderId="13" applyNumberFormat="0" applyBorder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241" fillId="57" borderId="50" applyNumberFormat="0" applyAlignment="0" applyProtection="0"/>
    <xf numFmtId="0" fontId="241" fillId="57" borderId="50" applyNumberFormat="0" applyAlignment="0" applyProtection="0"/>
    <xf numFmtId="0" fontId="241" fillId="57" borderId="50" applyNumberFormat="0" applyAlignment="0" applyProtection="0"/>
    <xf numFmtId="0" fontId="241" fillId="57" borderId="50" applyNumberFormat="0" applyAlignment="0" applyProtection="0"/>
    <xf numFmtId="0" fontId="241" fillId="57" borderId="50" applyNumberFormat="0" applyAlignment="0" applyProtection="0"/>
    <xf numFmtId="0" fontId="241" fillId="57" borderId="50" applyNumberFormat="0" applyAlignment="0" applyProtection="0"/>
    <xf numFmtId="0" fontId="241" fillId="57" borderId="50" applyNumberFormat="0" applyAlignment="0" applyProtection="0"/>
    <xf numFmtId="0" fontId="58" fillId="6" borderId="7" applyNumberFormat="0" applyAlignment="0" applyProtection="0"/>
    <xf numFmtId="0" fontId="241" fillId="57" borderId="50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0" fontId="58" fillId="6" borderId="7" applyNumberFormat="0" applyAlignment="0" applyProtection="0"/>
    <xf numFmtId="238" fontId="204" fillId="37" borderId="0" applyNumberFormat="0" applyBorder="0" applyAlignment="0">
      <protection locked="0"/>
    </xf>
    <xf numFmtId="10" fontId="205" fillId="0" borderId="0">
      <protection locked="0"/>
    </xf>
    <xf numFmtId="0" fontId="126" fillId="0" borderId="0" applyNumberFormat="0" applyFill="0" applyBorder="0" applyAlignment="0">
      <protection locked="0"/>
    </xf>
    <xf numFmtId="15" fontId="205" fillId="0" borderId="0">
      <protection locked="0"/>
    </xf>
    <xf numFmtId="2" fontId="205" fillId="0" borderId="25">
      <protection locked="0"/>
    </xf>
    <xf numFmtId="37" fontId="41" fillId="11" borderId="0"/>
    <xf numFmtId="37" fontId="38" fillId="11" borderId="0"/>
    <xf numFmtId="0" fontId="205" fillId="0" borderId="0">
      <protection locked="0"/>
    </xf>
    <xf numFmtId="0" fontId="106" fillId="0" borderId="0"/>
    <xf numFmtId="254" fontId="168" fillId="0" borderId="0"/>
    <xf numFmtId="0" fontId="94" fillId="0" borderId="0" applyAlignment="0"/>
    <xf numFmtId="38" fontId="29" fillId="0" borderId="0" applyNumberFormat="0" applyBorder="0" applyProtection="0">
      <alignment horizontal="left"/>
    </xf>
    <xf numFmtId="201" fontId="22" fillId="0" borderId="0" applyFill="0" applyBorder="0">
      <alignment horizontal="right"/>
      <protection locked="0"/>
    </xf>
    <xf numFmtId="0" fontId="18" fillId="38" borderId="26">
      <alignment horizontal="left" vertical="center" wrapText="1"/>
    </xf>
    <xf numFmtId="0" fontId="127" fillId="0" borderId="0" applyNumberFormat="0" applyFill="0" applyBorder="0" applyProtection="0">
      <alignment horizontal="left" vertical="center"/>
    </xf>
    <xf numFmtId="38" fontId="178" fillId="0" borderId="0"/>
    <xf numFmtId="38" fontId="179" fillId="0" borderId="0"/>
    <xf numFmtId="38" fontId="180" fillId="0" borderId="0"/>
    <xf numFmtId="38" fontId="181" fillId="0" borderId="0"/>
    <xf numFmtId="0" fontId="182" fillId="0" borderId="0"/>
    <xf numFmtId="0" fontId="182" fillId="0" borderId="0"/>
    <xf numFmtId="0" fontId="22" fillId="0" borderId="0"/>
    <xf numFmtId="0" fontId="59" fillId="0" borderId="27" applyNumberFormat="0" applyFill="0" applyAlignment="0" applyProtection="0"/>
    <xf numFmtId="0" fontId="59" fillId="0" borderId="27" applyNumberFormat="0" applyFill="0" applyAlignment="0" applyProtection="0"/>
    <xf numFmtId="0" fontId="59" fillId="0" borderId="27" applyNumberFormat="0" applyFill="0" applyAlignment="0" applyProtection="0"/>
    <xf numFmtId="0" fontId="64" fillId="0" borderId="28" applyNumberFormat="0" applyFill="0" applyAlignment="0" applyProtection="0"/>
    <xf numFmtId="0" fontId="229" fillId="0" borderId="29" applyNumberFormat="0" applyFill="0" applyAlignment="0" applyProtection="0"/>
    <xf numFmtId="236" fontId="22" fillId="0" borderId="0">
      <alignment horizontal="right"/>
    </xf>
    <xf numFmtId="240" fontId="156" fillId="0" borderId="0" applyFill="0" applyBorder="0" applyAlignment="0" applyProtection="0"/>
    <xf numFmtId="0" fontId="148" fillId="0" borderId="0"/>
    <xf numFmtId="0" fontId="174" fillId="0" borderId="0"/>
    <xf numFmtId="0" fontId="150" fillId="0" borderId="0"/>
    <xf numFmtId="0" fontId="183" fillId="0" borderId="0"/>
    <xf numFmtId="0" fontId="151" fillId="0" borderId="0"/>
    <xf numFmtId="0" fontId="184" fillId="0" borderId="0"/>
    <xf numFmtId="37" fontId="130" fillId="0" borderId="0" applyNumberFormat="0" applyFill="0" applyBorder="0" applyAlignment="0" applyProtection="0">
      <alignment horizontal="center"/>
    </xf>
    <xf numFmtId="37" fontId="130" fillId="0" borderId="0" applyNumberFormat="0" applyFill="0" applyBorder="0" applyAlignment="0" applyProtection="0">
      <alignment horizontal="center"/>
    </xf>
    <xf numFmtId="14" fontId="157" fillId="0" borderId="0" applyFont="0" applyFill="0" applyBorder="0" applyAlignment="0" applyProtection="0"/>
    <xf numFmtId="217" fontId="23" fillId="37" borderId="0">
      <alignment horizontal="center"/>
    </xf>
    <xf numFmtId="217" fontId="23" fillId="37" borderId="0">
      <alignment horizontal="center"/>
    </xf>
    <xf numFmtId="255" fontId="121" fillId="0" borderId="0" applyFont="0" applyFill="0" applyBorder="0" applyAlignment="0" applyProtection="0"/>
    <xf numFmtId="4" fontId="168" fillId="0" borderId="0"/>
    <xf numFmtId="0" fontId="60" fillId="6" borderId="0" applyNumberFormat="0" applyBorder="0" applyAlignment="0" applyProtection="0"/>
    <xf numFmtId="0" fontId="60" fillId="6" borderId="0" applyNumberFormat="0" applyBorder="0" applyAlignment="0" applyProtection="0"/>
    <xf numFmtId="0" fontId="60" fillId="6" borderId="0" applyNumberFormat="0" applyBorder="0" applyAlignment="0" applyProtection="0"/>
    <xf numFmtId="0" fontId="219" fillId="6" borderId="0" applyNumberFormat="0" applyBorder="0" applyAlignment="0" applyProtection="0"/>
    <xf numFmtId="0" fontId="242" fillId="58" borderId="0" applyNumberFormat="0" applyBorder="0" applyAlignment="0" applyProtection="0"/>
    <xf numFmtId="0" fontId="95" fillId="39" borderId="0" applyAlignment="0"/>
    <xf numFmtId="0" fontId="39" fillId="40" borderId="0" applyAlignment="0"/>
    <xf numFmtId="0" fontId="96" fillId="0" borderId="0" applyAlignment="0"/>
    <xf numFmtId="0" fontId="27" fillId="0" borderId="0"/>
    <xf numFmtId="37" fontId="128" fillId="0" borderId="0"/>
    <xf numFmtId="228" fontId="129" fillId="0" borderId="0"/>
    <xf numFmtId="0" fontId="108" fillId="0" borderId="0"/>
    <xf numFmtId="265" fontId="121" fillId="0" borderId="0"/>
    <xf numFmtId="0" fontId="236" fillId="0" borderId="0"/>
    <xf numFmtId="0" fontId="22" fillId="0" borderId="0"/>
    <xf numFmtId="0" fontId="236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/>
    <xf numFmtId="0" fontId="23" fillId="0" borderId="0"/>
    <xf numFmtId="0" fontId="236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3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/>
    <xf numFmtId="0" fontId="23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152" fillId="0" borderId="0"/>
    <xf numFmtId="0" fontId="236" fillId="0" borderId="0"/>
    <xf numFmtId="0" fontId="22" fillId="0" borderId="0" applyNumberFormat="0" applyFont="0" applyFill="0" applyBorder="0" applyAlignment="0" applyProtection="0"/>
    <xf numFmtId="0" fontId="23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 applyNumberFormat="0" applyFill="0" applyBorder="0" applyAlignment="0" applyProtection="0"/>
    <xf numFmtId="3" fontId="88" fillId="0" borderId="0"/>
    <xf numFmtId="0" fontId="48" fillId="0" borderId="0"/>
    <xf numFmtId="0" fontId="22" fillId="0" borderId="0" applyNumberFormat="0" applyFont="0" applyFill="0" applyBorder="0" applyAlignment="0" applyProtection="0"/>
    <xf numFmtId="0" fontId="48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5" fillId="0" borderId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3" fontId="88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3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43" fillId="0" borderId="0"/>
    <xf numFmtId="0" fontId="22" fillId="0" borderId="0"/>
    <xf numFmtId="0" fontId="243" fillId="0" borderId="0"/>
    <xf numFmtId="0" fontId="22" fillId="0" borderId="0"/>
    <xf numFmtId="0" fontId="25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3" fillId="0" borderId="0"/>
    <xf numFmtId="0" fontId="22" fillId="0" borderId="0" applyNumberFormat="0" applyFont="0" applyFill="0" applyBorder="0" applyAlignment="0" applyProtection="0"/>
    <xf numFmtId="0" fontId="23" fillId="0" borderId="0"/>
    <xf numFmtId="0" fontId="22" fillId="0" borderId="0" applyNumberFormat="0" applyFont="0" applyFill="0" applyBorder="0" applyAlignment="0" applyProtection="0"/>
    <xf numFmtId="0" fontId="23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36" fillId="0" borderId="0"/>
    <xf numFmtId="0" fontId="236" fillId="0" borderId="0"/>
    <xf numFmtId="0" fontId="22" fillId="0" borderId="0"/>
    <xf numFmtId="0" fontId="236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36" fillId="0" borderId="0"/>
    <xf numFmtId="0" fontId="243" fillId="0" borderId="0"/>
    <xf numFmtId="0" fontId="22" fillId="0" borderId="0" applyNumberFormat="0" applyFont="0" applyFill="0" applyBorder="0" applyAlignment="0" applyProtection="0"/>
    <xf numFmtId="0" fontId="222" fillId="0" borderId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36" fillId="0" borderId="0"/>
    <xf numFmtId="0" fontId="48" fillId="0" borderId="0"/>
    <xf numFmtId="0" fontId="22" fillId="0" borderId="0"/>
    <xf numFmtId="0" fontId="236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48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48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48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43" fillId="0" borderId="0"/>
    <xf numFmtId="0" fontId="243" fillId="0" borderId="0"/>
    <xf numFmtId="0" fontId="48" fillId="0" borderId="0"/>
    <xf numFmtId="0" fontId="48" fillId="0" borderId="0"/>
    <xf numFmtId="0" fontId="243" fillId="0" borderId="0"/>
    <xf numFmtId="0" fontId="243" fillId="0" borderId="0"/>
    <xf numFmtId="0" fontId="243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/>
    <xf numFmtId="0" fontId="15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44" fillId="0" borderId="0"/>
    <xf numFmtId="0" fontId="22" fillId="0" borderId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22" fillId="0" borderId="0" applyNumberFormat="0" applyFont="0" applyFill="0" applyBorder="0" applyAlignment="0" applyProtection="0"/>
    <xf numFmtId="0" fontId="130" fillId="0" borderId="0"/>
    <xf numFmtId="0" fontId="185" fillId="0" borderId="0"/>
    <xf numFmtId="238" fontId="41" fillId="0" borderId="0" applyNumberFormat="0" applyFill="0" applyBorder="0" applyAlignment="0" applyProtection="0"/>
    <xf numFmtId="0" fontId="5" fillId="0" borderId="0"/>
    <xf numFmtId="166" fontId="10" fillId="0" borderId="0"/>
    <xf numFmtId="0" fontId="5" fillId="0" borderId="0"/>
    <xf numFmtId="218" fontId="29" fillId="0" borderId="0" applyBorder="0">
      <alignment horizontal="left"/>
    </xf>
    <xf numFmtId="0" fontId="1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85" fillId="6" borderId="52" applyNumberFormat="0" applyFont="0" applyAlignment="0" applyProtection="0"/>
    <xf numFmtId="0" fontId="48" fillId="6" borderId="52" applyNumberFormat="0" applyFont="0" applyAlignment="0" applyProtection="0"/>
    <xf numFmtId="0" fontId="222" fillId="6" borderId="30" applyNumberFormat="0" applyFont="0" applyAlignment="0" applyProtection="0"/>
    <xf numFmtId="0" fontId="22" fillId="6" borderId="30" applyNumberFormat="0" applyFont="0" applyAlignment="0" applyProtection="0"/>
    <xf numFmtId="0" fontId="234" fillId="6" borderId="30" applyNumberFormat="0" applyFont="0" applyAlignment="0" applyProtection="0"/>
    <xf numFmtId="0" fontId="81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7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83" fillId="6" borderId="30" applyNumberFormat="0" applyFont="0" applyAlignment="0" applyProtection="0"/>
    <xf numFmtId="0" fontId="22" fillId="6" borderId="30" applyNumberFormat="0" applyFont="0" applyAlignment="0" applyProtection="0"/>
    <xf numFmtId="0" fontId="85" fillId="6" borderId="52" applyNumberFormat="0" applyFont="0" applyAlignment="0" applyProtection="0"/>
    <xf numFmtId="0" fontId="48" fillId="6" borderId="52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2" fillId="6" borderId="30" applyNumberFormat="0" applyFont="0" applyAlignment="0" applyProtection="0"/>
    <xf numFmtId="0" fontId="206" fillId="0" borderId="25"/>
    <xf numFmtId="38" fontId="207" fillId="0" borderId="0"/>
    <xf numFmtId="3" fontId="88" fillId="0" borderId="0" applyBorder="0"/>
    <xf numFmtId="164" fontId="42" fillId="0" borderId="0" applyFont="0" applyFill="0" applyBorder="0" applyProtection="0">
      <alignment horizontal="right"/>
    </xf>
    <xf numFmtId="3" fontId="88" fillId="0" borderId="0" applyBorder="0"/>
    <xf numFmtId="3" fontId="88" fillId="0" borderId="6" applyBorder="0"/>
    <xf numFmtId="238" fontId="36" fillId="0" borderId="0" applyFont="0" applyBorder="0">
      <alignment horizontal="right"/>
    </xf>
    <xf numFmtId="1" fontId="36" fillId="0" borderId="0">
      <alignment horizontal="right"/>
    </xf>
    <xf numFmtId="43" fontId="107" fillId="0" borderId="0" applyFont="0" applyFill="0" applyBorder="0" applyAlignment="0" applyProtection="0"/>
    <xf numFmtId="41" fontId="107" fillId="0" borderId="0" applyFont="0" applyFill="0" applyBorder="0" applyAlignment="0" applyProtection="0"/>
    <xf numFmtId="183" fontId="1" fillId="0" borderId="0"/>
    <xf numFmtId="238" fontId="121" fillId="0" borderId="0" applyFont="0" applyFill="0" applyBorder="0" applyAlignment="0" applyProtection="0"/>
    <xf numFmtId="243" fontId="156" fillId="0" borderId="0"/>
    <xf numFmtId="0" fontId="131" fillId="0" borderId="0">
      <alignment horizontal="left"/>
    </xf>
    <xf numFmtId="0" fontId="61" fillId="29" borderId="31" applyNumberFormat="0" applyAlignment="0" applyProtection="0"/>
    <xf numFmtId="0" fontId="61" fillId="29" borderId="31" applyNumberFormat="0" applyAlignment="0" applyProtection="0"/>
    <xf numFmtId="0" fontId="245" fillId="29" borderId="53" applyNumberFormat="0" applyAlignment="0" applyProtection="0"/>
    <xf numFmtId="37" fontId="40" fillId="0" borderId="11">
      <protection locked="0"/>
    </xf>
    <xf numFmtId="0" fontId="27" fillId="0" borderId="0">
      <alignment vertical="center"/>
    </xf>
    <xf numFmtId="0" fontId="151" fillId="0" borderId="0"/>
    <xf numFmtId="0" fontId="184" fillId="0" borderId="0"/>
    <xf numFmtId="10" fontId="207" fillId="0" borderId="0"/>
    <xf numFmtId="9" fontId="1" fillId="0" borderId="0" applyFont="0" applyFill="0" applyBorder="0" applyAlignment="0" applyProtection="0"/>
    <xf numFmtId="168" fontId="121" fillId="0" borderId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4" fillId="0" borderId="0" applyFont="0" applyFill="0" applyBorder="0" applyAlignment="0" applyProtection="0"/>
    <xf numFmtId="9" fontId="23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42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0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96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85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155" fillId="0" borderId="0"/>
    <xf numFmtId="256" fontId="121" fillId="0" borderId="0" applyFont="0" applyBorder="0"/>
    <xf numFmtId="168" fontId="171" fillId="0" borderId="0" applyFont="0" applyFill="0" applyBorder="0" applyAlignment="0" applyProtection="0"/>
    <xf numFmtId="266" fontId="121" fillId="0" borderId="0">
      <alignment horizontal="right"/>
    </xf>
    <xf numFmtId="10" fontId="171" fillId="0" borderId="0" applyFont="0" applyFill="0" applyBorder="0" applyAlignment="0" applyProtection="0"/>
    <xf numFmtId="10" fontId="202" fillId="0" borderId="0" applyFont="0" applyFill="0" applyBorder="0" applyAlignment="0" applyProtection="0"/>
    <xf numFmtId="9" fontId="22" fillId="0" borderId="0"/>
    <xf numFmtId="238" fontId="208" fillId="0" borderId="0">
      <alignment horizontal="right"/>
    </xf>
    <xf numFmtId="267" fontId="22" fillId="0" borderId="0" applyFill="0" applyBorder="0">
      <alignment horizontal="right"/>
      <protection locked="0"/>
    </xf>
    <xf numFmtId="168" fontId="186" fillId="0" borderId="0" applyFill="0" applyBorder="0" applyAlignment="0" applyProtection="0"/>
    <xf numFmtId="241" fontId="121" fillId="0" borderId="0" applyFont="0" applyFill="0" applyBorder="0" applyAlignment="0" applyProtection="0"/>
    <xf numFmtId="242" fontId="121" fillId="0" borderId="0" applyFont="0" applyFill="0" applyBorder="0" applyAlignment="0" applyProtection="0"/>
    <xf numFmtId="38" fontId="121" fillId="0" borderId="0" applyFont="0" applyFill="0" applyBorder="0" applyAlignment="0" applyProtection="0"/>
    <xf numFmtId="3" fontId="121" fillId="0" borderId="0"/>
    <xf numFmtId="37" fontId="40" fillId="0" borderId="0">
      <protection locked="0"/>
    </xf>
    <xf numFmtId="1" fontId="132" fillId="32" borderId="0">
      <alignment horizontal="center"/>
    </xf>
    <xf numFmtId="237" fontId="145" fillId="32" borderId="0"/>
    <xf numFmtId="242" fontId="108" fillId="0" borderId="0" applyFill="0" applyBorder="0">
      <alignment horizontal="right"/>
      <protection locked="0"/>
    </xf>
    <xf numFmtId="2" fontId="207" fillId="0" borderId="0"/>
    <xf numFmtId="268" fontId="22" fillId="0" borderId="0">
      <alignment horizontal="right"/>
      <protection locked="0"/>
    </xf>
    <xf numFmtId="229" fontId="23" fillId="0" borderId="0"/>
    <xf numFmtId="49" fontId="88" fillId="0" borderId="0">
      <alignment horizontal="right"/>
    </xf>
    <xf numFmtId="37" fontId="25" fillId="0" borderId="0" applyFont="0" applyFill="0" applyBorder="0" applyAlignment="0" applyProtection="0"/>
    <xf numFmtId="0" fontId="133" fillId="0" borderId="0"/>
    <xf numFmtId="0" fontId="141" fillId="0" borderId="0"/>
    <xf numFmtId="0" fontId="141" fillId="0" borderId="0"/>
    <xf numFmtId="0" fontId="133" fillId="0" borderId="0"/>
    <xf numFmtId="0" fontId="133" fillId="0" borderId="0"/>
    <xf numFmtId="0" fontId="141" fillId="0" borderId="0"/>
    <xf numFmtId="0" fontId="133" fillId="0" borderId="0"/>
    <xf numFmtId="0" fontId="141" fillId="0" borderId="0"/>
    <xf numFmtId="0" fontId="133" fillId="0" borderId="0"/>
    <xf numFmtId="190" fontId="187" fillId="0" borderId="0" applyNumberFormat="0" applyFill="0" applyBorder="0" applyAlignment="0" applyProtection="0">
      <alignment horizontal="left"/>
    </xf>
    <xf numFmtId="0" fontId="127" fillId="0" borderId="0" applyNumberFormat="0" applyFill="0" applyBorder="0" applyProtection="0">
      <alignment horizontal="right" vertical="center"/>
    </xf>
    <xf numFmtId="0" fontId="203" fillId="0" borderId="0" applyNumberFormat="0" applyFill="0" applyBorder="0" applyAlignment="0" applyProtection="0"/>
    <xf numFmtId="0" fontId="22" fillId="41" borderId="0" applyNumberFormat="0" applyFont="0" applyBorder="0" applyAlignment="0" applyProtection="0"/>
    <xf numFmtId="0" fontId="22" fillId="41" borderId="0" applyNumberFormat="0" applyFont="0" applyBorder="0" applyAlignment="0" applyProtection="0"/>
    <xf numFmtId="18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0" fontId="28" fillId="0" borderId="32">
      <alignment horizontal="centerContinuous"/>
    </xf>
    <xf numFmtId="269" fontId="209" fillId="0" borderId="0" applyFill="0" applyBorder="0">
      <alignment horizontal="right"/>
      <protection hidden="1"/>
    </xf>
    <xf numFmtId="0" fontId="97" fillId="42" borderId="0" applyAlignment="0"/>
    <xf numFmtId="0" fontId="38" fillId="33" borderId="13">
      <alignment horizontal="center" vertical="center" wrapText="1"/>
      <protection hidden="1"/>
    </xf>
    <xf numFmtId="0" fontId="35" fillId="43" borderId="0">
      <alignment horizontal="right"/>
    </xf>
    <xf numFmtId="0" fontId="188" fillId="44" borderId="0" applyNumberFormat="0" applyFont="0" applyBorder="0" applyAlignment="0" applyProtection="0"/>
    <xf numFmtId="238" fontId="121" fillId="0" borderId="0" applyFont="0" applyFill="0" applyBorder="0" applyAlignment="0" applyProtection="0"/>
    <xf numFmtId="3" fontId="23" fillId="0" borderId="0"/>
    <xf numFmtId="183" fontId="121" fillId="0" borderId="0"/>
    <xf numFmtId="0" fontId="29" fillId="0" borderId="32"/>
    <xf numFmtId="270" fontId="108" fillId="0" borderId="0">
      <protection locked="0"/>
    </xf>
    <xf numFmtId="0" fontId="1" fillId="0" borderId="0">
      <alignment vertical="top"/>
    </xf>
    <xf numFmtId="0" fontId="22" fillId="0" borderId="0"/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3" fontId="88" fillId="0" borderId="0"/>
    <xf numFmtId="0" fontId="222" fillId="0" borderId="0">
      <alignment vertical="top"/>
    </xf>
    <xf numFmtId="0" fontId="22" fillId="0" borderId="0">
      <alignment vertical="top"/>
    </xf>
    <xf numFmtId="0" fontId="234" fillId="0" borderId="0">
      <alignment vertical="top"/>
    </xf>
    <xf numFmtId="0" fontId="81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>
      <alignment vertical="top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>
      <alignment vertical="top"/>
    </xf>
    <xf numFmtId="0" fontId="22" fillId="0" borderId="0"/>
    <xf numFmtId="3" fontId="88" fillId="0" borderId="0"/>
    <xf numFmtId="0" fontId="83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/>
    <xf numFmtId="0" fontId="22" fillId="0" borderId="0">
      <alignment vertical="top"/>
    </xf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>
      <alignment vertical="top"/>
    </xf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3" fontId="88" fillId="0" borderId="0"/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3" fillId="45" borderId="13" applyNumberFormat="0" applyProtection="0">
      <alignment horizontal="center" wrapText="1"/>
    </xf>
    <xf numFmtId="0" fontId="23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37" fillId="0" borderId="0"/>
    <xf numFmtId="41" fontId="22" fillId="0" borderId="0" applyFont="0" applyFill="0" applyBorder="0" applyAlignment="0" applyProtection="0"/>
    <xf numFmtId="0" fontId="37" fillId="0" borderId="0"/>
    <xf numFmtId="0" fontId="23" fillId="46" borderId="13" applyNumberFormat="0" applyProtection="0">
      <alignment wrapText="1"/>
    </xf>
    <xf numFmtId="0" fontId="37" fillId="0" borderId="0"/>
    <xf numFmtId="41" fontId="22" fillId="0" borderId="0" applyFont="0" applyFill="0" applyBorder="0" applyAlignment="0" applyProtection="0"/>
    <xf numFmtId="0" fontId="37" fillId="0" borderId="0"/>
    <xf numFmtId="0" fontId="22" fillId="0" borderId="0">
      <alignment vertical="top"/>
    </xf>
    <xf numFmtId="41" fontId="22" fillId="0" borderId="0" applyFont="0" applyFill="0" applyBorder="0" applyAlignment="0" applyProtection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44" fillId="0" borderId="0" applyNumberFormat="0" applyBorder="0" applyAlignment="0"/>
    <xf numFmtId="0" fontId="75" fillId="0" borderId="0" applyNumberFormat="0" applyBorder="0" applyAlignment="0"/>
    <xf numFmtId="2" fontId="98" fillId="39" borderId="33" applyProtection="0"/>
    <xf numFmtId="2" fontId="99" fillId="47" borderId="33" applyProtection="0"/>
    <xf numFmtId="2" fontId="99" fillId="40" borderId="33" applyProtection="0"/>
    <xf numFmtId="2" fontId="99" fillId="31" borderId="33" applyProtection="0"/>
    <xf numFmtId="198" fontId="189" fillId="0" borderId="0" applyFill="0" applyBorder="0" applyAlignment="0" applyProtection="0"/>
    <xf numFmtId="240" fontId="190" fillId="0" borderId="0" applyFill="0" applyBorder="0" applyAlignment="0" applyProtection="0"/>
    <xf numFmtId="0" fontId="134" fillId="0" borderId="0" applyNumberFormat="0" applyFill="0" applyBorder="0" applyProtection="0">
      <alignment horizontal="left" vertical="center"/>
    </xf>
    <xf numFmtId="238" fontId="121" fillId="0" borderId="0" applyFill="0" applyBorder="0" applyAlignment="0" applyProtection="0">
      <protection locked="0"/>
    </xf>
    <xf numFmtId="0" fontId="100" fillId="0" borderId="0" applyAlignment="0"/>
    <xf numFmtId="40" fontId="191" fillId="0" borderId="0" applyBorder="0">
      <alignment horizontal="right"/>
    </xf>
    <xf numFmtId="238" fontId="189" fillId="0" borderId="0" applyFill="0" applyBorder="0" applyAlignment="0" applyProtection="0"/>
    <xf numFmtId="0" fontId="101" fillId="0" borderId="0" applyAlignment="0"/>
    <xf numFmtId="0" fontId="44" fillId="0" borderId="3" applyBorder="0">
      <alignment horizontal="center"/>
    </xf>
    <xf numFmtId="3" fontId="36" fillId="0" borderId="0" applyNumberFormat="0"/>
    <xf numFmtId="0" fontId="36" fillId="0" borderId="0" applyFill="0" applyBorder="0" applyProtection="0">
      <alignment horizontal="left"/>
    </xf>
    <xf numFmtId="0" fontId="23" fillId="0" borderId="3" applyFill="0" applyBorder="0" applyProtection="0">
      <alignment horizontal="left" vertical="top"/>
    </xf>
    <xf numFmtId="38" fontId="169" fillId="0" borderId="0" applyNumberFormat="0" applyBorder="0">
      <alignment horizontal="left"/>
    </xf>
    <xf numFmtId="38" fontId="22" fillId="0" borderId="0" applyNumberFormat="0" applyBorder="0">
      <alignment horizontal="left"/>
    </xf>
    <xf numFmtId="0" fontId="157" fillId="0" borderId="0" applyNumberFormat="0" applyFont="0" applyFill="0" applyBorder="0" applyProtection="0">
      <alignment horizontal="left" vertical="top" wrapText="1"/>
    </xf>
    <xf numFmtId="0" fontId="102" fillId="0" borderId="0" applyAlignment="0"/>
    <xf numFmtId="0" fontId="26" fillId="0" borderId="0">
      <alignment vertical="center"/>
    </xf>
    <xf numFmtId="0" fontId="207" fillId="0" borderId="0"/>
    <xf numFmtId="0" fontId="103" fillId="0" borderId="0" applyAlignment="0"/>
    <xf numFmtId="0" fontId="104" fillId="0" borderId="0" applyAlignment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230" fillId="0" borderId="0" applyNumberFormat="0" applyFill="0" applyBorder="0" applyAlignment="0" applyProtection="0"/>
    <xf numFmtId="3" fontId="86" fillId="0" borderId="0"/>
    <xf numFmtId="0" fontId="135" fillId="48" borderId="0" applyNumberFormat="0" applyBorder="0" applyProtection="0">
      <alignment horizontal="left" vertical="center"/>
    </xf>
    <xf numFmtId="0" fontId="136" fillId="1" borderId="0" applyNumberFormat="0" applyBorder="0" applyProtection="0">
      <alignment horizontal="left" vertical="center"/>
    </xf>
    <xf numFmtId="0" fontId="39" fillId="49" borderId="0" applyNumberFormat="0" applyBorder="0">
      <alignment horizontal="centerContinuous"/>
    </xf>
    <xf numFmtId="238" fontId="192" fillId="0" borderId="0" applyNumberFormat="0" applyFill="0" applyBorder="0" applyAlignment="0" applyProtection="0"/>
    <xf numFmtId="0" fontId="105" fillId="0" borderId="0" applyAlignment="0"/>
    <xf numFmtId="183" fontId="36" fillId="0" borderId="0"/>
    <xf numFmtId="0" fontId="22" fillId="0" borderId="0" applyBorder="0"/>
    <xf numFmtId="37" fontId="171" fillId="0" borderId="0" applyNumberFormat="0" applyFill="0" applyBorder="0" applyAlignment="0" applyProtection="0">
      <alignment horizontal="center"/>
    </xf>
    <xf numFmtId="190" fontId="137" fillId="0" borderId="6" applyNumberFormat="0" applyFont="0" applyFill="0" applyAlignment="0" applyProtection="0"/>
    <xf numFmtId="0" fontId="36" fillId="0" borderId="1">
      <alignment horizontal="right" wrapText="1"/>
    </xf>
    <xf numFmtId="0" fontId="36" fillId="0" borderId="1">
      <alignment horizontal="right" wrapText="1"/>
    </xf>
    <xf numFmtId="0" fontId="36" fillId="0" borderId="1">
      <alignment horizontal="right" wrapText="1"/>
    </xf>
    <xf numFmtId="0" fontId="36" fillId="0" borderId="1">
      <alignment horizontal="center" wrapText="1"/>
    </xf>
    <xf numFmtId="37" fontId="171" fillId="0" borderId="0" applyNumberFormat="0" applyFill="0" applyBorder="0" applyAlignment="0" applyProtection="0">
      <alignment horizontal="center"/>
    </xf>
    <xf numFmtId="0" fontId="63" fillId="0" borderId="34" applyNumberFormat="0" applyFill="0" applyAlignment="0" applyProtection="0"/>
    <xf numFmtId="0" fontId="63" fillId="0" borderId="34" applyNumberFormat="0" applyFill="0" applyAlignment="0" applyProtection="0"/>
    <xf numFmtId="0" fontId="246" fillId="0" borderId="35" applyNumberFormat="0" applyFill="0" applyAlignment="0" applyProtection="0"/>
    <xf numFmtId="0" fontId="102" fillId="0" borderId="0" applyAlignment="0">
      <alignment wrapText="1"/>
    </xf>
    <xf numFmtId="0" fontId="63" fillId="0" borderId="34" applyNumberFormat="0" applyFill="0" applyAlignment="0" applyProtection="0"/>
    <xf numFmtId="0" fontId="63" fillId="0" borderId="36" applyNumberFormat="0" applyFill="0" applyAlignment="0" applyProtection="0"/>
    <xf numFmtId="0" fontId="63" fillId="0" borderId="34" applyNumberFormat="0" applyFill="0" applyAlignment="0" applyProtection="0"/>
    <xf numFmtId="0" fontId="102" fillId="0" borderId="0" applyAlignment="0">
      <alignment wrapText="1"/>
    </xf>
    <xf numFmtId="0" fontId="102" fillId="0" borderId="0" applyAlignment="0">
      <alignment wrapText="1"/>
    </xf>
    <xf numFmtId="0" fontId="102" fillId="0" borderId="0" applyAlignment="0">
      <alignment wrapText="1"/>
    </xf>
    <xf numFmtId="0" fontId="102" fillId="0" borderId="0" applyAlignment="0">
      <alignment wrapText="1"/>
    </xf>
    <xf numFmtId="0" fontId="102" fillId="0" borderId="0" applyAlignment="0">
      <alignment wrapText="1"/>
    </xf>
    <xf numFmtId="0" fontId="102" fillId="0" borderId="0" applyAlignment="0">
      <alignment wrapText="1"/>
    </xf>
    <xf numFmtId="0" fontId="102" fillId="0" borderId="0" applyAlignment="0">
      <alignment wrapText="1"/>
    </xf>
    <xf numFmtId="3" fontId="36" fillId="0" borderId="4" applyNumberFormat="0"/>
    <xf numFmtId="183" fontId="41" fillId="0" borderId="37"/>
    <xf numFmtId="230" fontId="138" fillId="0" borderId="0">
      <alignment horizontal="right"/>
    </xf>
    <xf numFmtId="1" fontId="121" fillId="0" borderId="4" applyNumberFormat="0">
      <alignment horizontal="right"/>
    </xf>
    <xf numFmtId="38" fontId="22" fillId="0" borderId="0">
      <alignment horizontal="right"/>
    </xf>
    <xf numFmtId="37" fontId="23" fillId="41" borderId="0" applyNumberFormat="0" applyBorder="0" applyAlignment="0" applyProtection="0"/>
    <xf numFmtId="37" fontId="23" fillId="0" borderId="0"/>
    <xf numFmtId="3" fontId="42" fillId="0" borderId="24" applyProtection="0"/>
    <xf numFmtId="6" fontId="193" fillId="0" borderId="38" applyNumberFormat="0" applyFill="0" applyBorder="0" applyAlignment="0" applyProtection="0">
      <alignment horizontal="right"/>
    </xf>
    <xf numFmtId="231" fontId="132" fillId="32" borderId="3" applyBorder="0">
      <alignment horizontal="right" vertical="center"/>
      <protection locked="0"/>
    </xf>
    <xf numFmtId="0" fontId="139" fillId="0" borderId="0" applyNumberFormat="0"/>
    <xf numFmtId="0" fontId="194" fillId="0" borderId="0" applyNumberFormat="0"/>
    <xf numFmtId="238" fontId="23" fillId="37" borderId="10">
      <alignment horizontal="right"/>
    </xf>
    <xf numFmtId="238" fontId="41" fillId="37" borderId="1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1" fontId="121" fillId="0" borderId="0" applyFont="0" applyFill="0" applyBorder="0" applyAlignment="0" applyProtection="0"/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2" fillId="0" borderId="0">
      <alignment horizontal="center"/>
    </xf>
    <xf numFmtId="1" fontId="210" fillId="0" borderId="0" applyFont="0">
      <alignment horizontal="right"/>
    </xf>
    <xf numFmtId="1" fontId="188" fillId="0" borderId="4">
      <alignment horizontal="center"/>
    </xf>
    <xf numFmtId="168" fontId="89" fillId="0" borderId="0" applyFont="0" applyFill="0" applyBorder="0" applyAlignment="0" applyProtection="0"/>
    <xf numFmtId="0" fontId="220" fillId="0" borderId="0"/>
    <xf numFmtId="40" fontId="144" fillId="0" borderId="0" applyFont="0" applyFill="0" applyBorder="0" applyAlignment="0" applyProtection="0"/>
    <xf numFmtId="0" fontId="22" fillId="0" borderId="0"/>
    <xf numFmtId="0" fontId="221" fillId="0" borderId="0" applyFont="0" applyFill="0" applyBorder="0" applyAlignment="0" applyProtection="0"/>
    <xf numFmtId="0" fontId="221" fillId="0" borderId="0" applyFont="0" applyFill="0" applyBorder="0" applyAlignment="0" applyProtection="0"/>
    <xf numFmtId="42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22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11" fillId="0" borderId="0"/>
    <xf numFmtId="258" fontId="211" fillId="0" borderId="0" applyFont="0" applyFill="0" applyBorder="0" applyAlignment="0" applyProtection="0"/>
    <xf numFmtId="219" fontId="211" fillId="0" borderId="0" applyFont="0" applyFill="0" applyBorder="0" applyAlignment="0" applyProtection="0"/>
    <xf numFmtId="0" fontId="195" fillId="0" borderId="0"/>
    <xf numFmtId="40" fontId="90" fillId="0" borderId="0" applyFont="0" applyFill="0" applyBorder="0" applyAlignment="0" applyProtection="0">
      <alignment vertical="center"/>
    </xf>
    <xf numFmtId="0" fontId="159" fillId="0" borderId="0"/>
    <xf numFmtId="9" fontId="88" fillId="0" borderId="0" applyFont="0" applyFill="0" applyBorder="0" applyProtection="0">
      <alignment horizontal="right"/>
    </xf>
    <xf numFmtId="257" fontId="211" fillId="0" borderId="0" applyFont="0" applyFill="0" applyBorder="0" applyAlignment="0" applyProtection="0"/>
    <xf numFmtId="260" fontId="211" fillId="0" borderId="0" applyFont="0" applyFill="0" applyBorder="0" applyAlignment="0" applyProtection="0"/>
    <xf numFmtId="0" fontId="87" fillId="0" borderId="0" applyNumberFormat="0" applyFill="0" applyBorder="0" applyAlignment="0" applyProtection="0">
      <alignment vertical="top"/>
      <protection locked="0"/>
    </xf>
    <xf numFmtId="0" fontId="91" fillId="0" borderId="0"/>
    <xf numFmtId="0" fontId="1" fillId="0" borderId="0"/>
  </cellStyleXfs>
  <cellXfs count="1058">
    <xf numFmtId="0" fontId="0" fillId="0" borderId="0" xfId="0"/>
    <xf numFmtId="0" fontId="1" fillId="0" borderId="0" xfId="4" applyFont="1"/>
    <xf numFmtId="0" fontId="3" fillId="0" borderId="0" xfId="4" applyFont="1" applyFill="1" applyAlignment="1">
      <alignment vertical="center"/>
    </xf>
    <xf numFmtId="0" fontId="1" fillId="32" borderId="0" xfId="4" applyFont="1" applyFill="1"/>
    <xf numFmtId="0" fontId="4" fillId="0" borderId="0" xfId="1513" applyNumberFormat="1" applyFont="1" applyFill="1" applyBorder="1" applyAlignment="1">
      <alignment horizontal="left"/>
    </xf>
    <xf numFmtId="0" fontId="1" fillId="0" borderId="0" xfId="4" applyFont="1" applyFill="1"/>
    <xf numFmtId="164" fontId="1" fillId="0" borderId="0" xfId="4" applyNumberFormat="1" applyFont="1"/>
    <xf numFmtId="0" fontId="1" fillId="0" borderId="4" xfId="4" applyFont="1" applyBorder="1"/>
    <xf numFmtId="0" fontId="6" fillId="0" borderId="0" xfId="4" applyFont="1"/>
    <xf numFmtId="0" fontId="7" fillId="0" borderId="12" xfId="4" applyFont="1" applyBorder="1"/>
    <xf numFmtId="0" fontId="7" fillId="0" borderId="39" xfId="4" applyFont="1" applyBorder="1"/>
    <xf numFmtId="0" fontId="6" fillId="0" borderId="0" xfId="4" applyFont="1" applyFill="1"/>
    <xf numFmtId="0" fontId="8" fillId="0" borderId="3" xfId="4" applyFont="1" applyBorder="1"/>
    <xf numFmtId="0" fontId="8" fillId="0" borderId="5" xfId="4" applyFont="1" applyBorder="1"/>
    <xf numFmtId="0" fontId="6" fillId="0" borderId="0" xfId="4" applyFont="1" applyBorder="1"/>
    <xf numFmtId="0" fontId="6" fillId="0" borderId="40" xfId="4" applyFont="1" applyBorder="1"/>
    <xf numFmtId="0" fontId="6" fillId="0" borderId="41" xfId="4" applyFont="1" applyBorder="1"/>
    <xf numFmtId="1" fontId="9" fillId="32" borderId="42" xfId="1512" applyNumberFormat="1" applyFont="1" applyFill="1" applyBorder="1" applyAlignment="1">
      <alignment horizontal="right"/>
    </xf>
    <xf numFmtId="1" fontId="9" fillId="32" borderId="1" xfId="1512" applyNumberFormat="1" applyFont="1" applyFill="1" applyBorder="1" applyAlignment="1">
      <alignment horizontal="right"/>
    </xf>
    <xf numFmtId="1" fontId="9" fillId="32" borderId="43" xfId="1512" applyNumberFormat="1" applyFont="1" applyFill="1" applyBorder="1" applyAlignment="1">
      <alignment horizontal="right"/>
    </xf>
    <xf numFmtId="0" fontId="6" fillId="0" borderId="25" xfId="4" applyFont="1" applyBorder="1"/>
    <xf numFmtId="1" fontId="9" fillId="32" borderId="39" xfId="1512" applyNumberFormat="1" applyFont="1" applyFill="1" applyBorder="1" applyAlignment="1">
      <alignment horizontal="right"/>
    </xf>
    <xf numFmtId="0" fontId="6" fillId="0" borderId="3" xfId="4" applyFont="1" applyBorder="1"/>
    <xf numFmtId="0" fontId="6" fillId="0" borderId="3" xfId="4" applyFont="1" applyFill="1" applyBorder="1"/>
    <xf numFmtId="0" fontId="6" fillId="0" borderId="5" xfId="4" applyFont="1" applyFill="1" applyBorder="1"/>
    <xf numFmtId="167" fontId="11" fillId="0" borderId="3" xfId="4" applyNumberFormat="1" applyFont="1" applyFill="1" applyBorder="1" applyAlignment="1"/>
    <xf numFmtId="167" fontId="11" fillId="0" borderId="0" xfId="4" applyNumberFormat="1" applyFont="1" applyFill="1" applyBorder="1" applyAlignment="1"/>
    <xf numFmtId="167" fontId="6" fillId="0" borderId="0" xfId="4" applyNumberFormat="1" applyFont="1" applyFill="1" applyBorder="1" applyAlignment="1"/>
    <xf numFmtId="0" fontId="6" fillId="0" borderId="3" xfId="4" applyFont="1" applyFill="1" applyBorder="1" applyAlignment="1">
      <alignment horizontal="left" indent="1"/>
    </xf>
    <xf numFmtId="0" fontId="6" fillId="0" borderId="5" xfId="4" applyFont="1" applyFill="1" applyBorder="1" applyAlignment="1">
      <alignment horizontal="left" indent="1"/>
    </xf>
    <xf numFmtId="164" fontId="11" fillId="0" borderId="3" xfId="4" applyNumberFormat="1" applyFont="1" applyFill="1" applyBorder="1" applyAlignment="1"/>
    <xf numFmtId="164" fontId="11" fillId="0" borderId="0" xfId="4" applyNumberFormat="1" applyFont="1" applyFill="1" applyBorder="1" applyAlignment="1"/>
    <xf numFmtId="164" fontId="11" fillId="0" borderId="5" xfId="4" applyNumberFormat="1" applyFont="1" applyFill="1" applyBorder="1" applyAlignment="1"/>
    <xf numFmtId="164" fontId="6" fillId="0" borderId="0" xfId="4" applyNumberFormat="1" applyFont="1" applyFill="1" applyBorder="1" applyAlignment="1"/>
    <xf numFmtId="164" fontId="6" fillId="0" borderId="5" xfId="4" applyNumberFormat="1" applyFont="1" applyFill="1" applyBorder="1" applyAlignment="1"/>
    <xf numFmtId="164" fontId="6" fillId="0" borderId="3" xfId="4" applyNumberFormat="1" applyFont="1" applyFill="1" applyBorder="1" applyAlignment="1"/>
    <xf numFmtId="0" fontId="8" fillId="0" borderId="3" xfId="4" applyFont="1" applyFill="1" applyBorder="1" applyAlignment="1">
      <alignment horizontal="left" indent="1"/>
    </xf>
    <xf numFmtId="0" fontId="8" fillId="0" borderId="5" xfId="4" applyFont="1" applyFill="1" applyBorder="1" applyAlignment="1">
      <alignment horizontal="left" indent="1"/>
    </xf>
    <xf numFmtId="168" fontId="8" fillId="0" borderId="0" xfId="1567" applyNumberFormat="1" applyFont="1" applyFill="1" applyBorder="1" applyAlignment="1"/>
    <xf numFmtId="168" fontId="8" fillId="0" borderId="5" xfId="1567" applyNumberFormat="1" applyFont="1" applyFill="1" applyBorder="1" applyAlignment="1"/>
    <xf numFmtId="168" fontId="8" fillId="0" borderId="3" xfId="1567" applyNumberFormat="1" applyFont="1" applyFill="1" applyBorder="1" applyAlignment="1"/>
    <xf numFmtId="168" fontId="12" fillId="0" borderId="0" xfId="1567" applyNumberFormat="1" applyFont="1" applyFill="1" applyBorder="1" applyAlignment="1"/>
    <xf numFmtId="168" fontId="12" fillId="0" borderId="3" xfId="1567" applyNumberFormat="1" applyFont="1" applyFill="1" applyBorder="1" applyAlignment="1"/>
    <xf numFmtId="168" fontId="12" fillId="0" borderId="5" xfId="1567" applyNumberFormat="1" applyFont="1" applyFill="1" applyBorder="1" applyAlignment="1"/>
    <xf numFmtId="169" fontId="11" fillId="0" borderId="0" xfId="4" applyNumberFormat="1" applyFont="1" applyFill="1" applyBorder="1" applyAlignment="1"/>
    <xf numFmtId="169" fontId="11" fillId="0" borderId="5" xfId="4" applyNumberFormat="1" applyFont="1" applyFill="1" applyBorder="1" applyAlignment="1"/>
    <xf numFmtId="169" fontId="11" fillId="0" borderId="3" xfId="4" applyNumberFormat="1" applyFont="1" applyFill="1" applyBorder="1" applyAlignment="1"/>
    <xf numFmtId="169" fontId="11" fillId="0" borderId="0" xfId="4" applyNumberFormat="1" applyFont="1" applyFill="1" applyBorder="1"/>
    <xf numFmtId="169" fontId="11" fillId="0" borderId="5" xfId="4" applyNumberFormat="1" applyFont="1" applyFill="1" applyBorder="1"/>
    <xf numFmtId="170" fontId="11" fillId="0" borderId="0" xfId="4" applyNumberFormat="1" applyFont="1" applyFill="1" applyBorder="1" applyAlignment="1"/>
    <xf numFmtId="0" fontId="7" fillId="0" borderId="3" xfId="4" applyFont="1" applyFill="1" applyBorder="1"/>
    <xf numFmtId="0" fontId="7" fillId="0" borderId="5" xfId="4" applyFont="1" applyFill="1" applyBorder="1"/>
    <xf numFmtId="164" fontId="7" fillId="0" borderId="3" xfId="4" applyNumberFormat="1" applyFont="1" applyFill="1" applyBorder="1" applyAlignment="1"/>
    <xf numFmtId="164" fontId="7" fillId="0" borderId="0" xfId="4" applyNumberFormat="1" applyFont="1" applyFill="1" applyBorder="1" applyAlignment="1"/>
    <xf numFmtId="164" fontId="7" fillId="0" borderId="5" xfId="4" applyNumberFormat="1" applyFont="1" applyFill="1" applyBorder="1" applyAlignment="1"/>
    <xf numFmtId="0" fontId="6" fillId="0" borderId="3" xfId="4" applyFont="1" applyFill="1" applyBorder="1" applyAlignment="1">
      <alignment horizontal="left" indent="2"/>
    </xf>
    <xf numFmtId="0" fontId="6" fillId="0" borderId="5" xfId="4" applyFont="1" applyFill="1" applyBorder="1" applyAlignment="1">
      <alignment horizontal="left" indent="2"/>
    </xf>
    <xf numFmtId="169" fontId="11" fillId="0" borderId="3" xfId="4" applyNumberFormat="1" applyFont="1" applyFill="1" applyBorder="1"/>
    <xf numFmtId="171" fontId="11" fillId="0" borderId="0" xfId="4" applyNumberFormat="1" applyFont="1" applyFill="1" applyBorder="1" applyAlignment="1"/>
    <xf numFmtId="168" fontId="11" fillId="0" borderId="0" xfId="1567" applyNumberFormat="1" applyFont="1" applyFill="1" applyBorder="1" applyAlignment="1"/>
    <xf numFmtId="168" fontId="11" fillId="0" borderId="5" xfId="1567" applyNumberFormat="1" applyFont="1" applyFill="1" applyBorder="1" applyAlignment="1"/>
    <xf numFmtId="168" fontId="8" fillId="0" borderId="0" xfId="1567" applyNumberFormat="1" applyFont="1" applyFill="1" applyBorder="1" applyAlignment="1">
      <alignment horizontal="right"/>
    </xf>
    <xf numFmtId="172" fontId="6" fillId="0" borderId="0" xfId="4" applyNumberFormat="1" applyFont="1" applyFill="1" applyBorder="1" applyAlignment="1"/>
    <xf numFmtId="172" fontId="6" fillId="0" borderId="5" xfId="4" applyNumberFormat="1" applyFont="1" applyFill="1" applyBorder="1" applyAlignment="1"/>
    <xf numFmtId="173" fontId="11" fillId="0" borderId="5" xfId="664" applyNumberFormat="1" applyFont="1" applyFill="1" applyBorder="1" applyAlignment="1"/>
    <xf numFmtId="174" fontId="6" fillId="0" borderId="3" xfId="4" applyNumberFormat="1" applyFont="1" applyFill="1" applyBorder="1"/>
    <xf numFmtId="174" fontId="6" fillId="0" borderId="0" xfId="4" applyNumberFormat="1" applyFont="1" applyFill="1" applyBorder="1"/>
    <xf numFmtId="174" fontId="6" fillId="0" borderId="5" xfId="4" applyNumberFormat="1" applyFont="1" applyFill="1" applyBorder="1"/>
    <xf numFmtId="0" fontId="6" fillId="0" borderId="40" xfId="4" applyFont="1" applyFill="1" applyBorder="1"/>
    <xf numFmtId="0" fontId="6" fillId="0" borderId="41" xfId="4" applyFont="1" applyFill="1" applyBorder="1"/>
    <xf numFmtId="0" fontId="6" fillId="0" borderId="6" xfId="4" applyFont="1" applyFill="1" applyBorder="1"/>
    <xf numFmtId="0" fontId="6" fillId="0" borderId="0" xfId="4" applyFont="1" applyFill="1" applyBorder="1"/>
    <xf numFmtId="37" fontId="11" fillId="0" borderId="0" xfId="4" applyNumberFormat="1" applyFont="1" applyFill="1" applyBorder="1"/>
    <xf numFmtId="0" fontId="6" fillId="0" borderId="4" xfId="4" applyFont="1" applyFill="1" applyBorder="1"/>
    <xf numFmtId="0" fontId="6" fillId="0" borderId="12" xfId="4" applyFont="1" applyFill="1" applyBorder="1"/>
    <xf numFmtId="0" fontId="6" fillId="0" borderId="39" xfId="4" applyFont="1" applyFill="1" applyBorder="1"/>
    <xf numFmtId="164" fontId="11" fillId="0" borderId="12" xfId="4" applyNumberFormat="1" applyFont="1" applyFill="1" applyBorder="1"/>
    <xf numFmtId="164" fontId="11" fillId="0" borderId="6" xfId="4" applyNumberFormat="1" applyFont="1" applyFill="1" applyBorder="1"/>
    <xf numFmtId="164" fontId="11" fillId="0" borderId="39" xfId="4" applyNumberFormat="1" applyFont="1" applyFill="1" applyBorder="1"/>
    <xf numFmtId="175" fontId="6" fillId="0" borderId="6" xfId="4" applyNumberFormat="1" applyFont="1" applyFill="1" applyBorder="1"/>
    <xf numFmtId="164" fontId="6" fillId="0" borderId="3" xfId="4" applyNumberFormat="1" applyFont="1" applyFill="1" applyBorder="1"/>
    <xf numFmtId="164" fontId="6" fillId="0" borderId="0" xfId="4" applyNumberFormat="1" applyFont="1" applyFill="1" applyBorder="1"/>
    <xf numFmtId="164" fontId="6" fillId="0" borderId="5" xfId="4" applyNumberFormat="1" applyFont="1" applyFill="1" applyBorder="1"/>
    <xf numFmtId="164" fontId="11" fillId="0" borderId="3" xfId="4" applyNumberFormat="1" applyFont="1" applyFill="1" applyBorder="1"/>
    <xf numFmtId="164" fontId="11" fillId="0" borderId="0" xfId="4" applyNumberFormat="1" applyFont="1" applyFill="1" applyBorder="1"/>
    <xf numFmtId="164" fontId="11" fillId="0" borderId="5" xfId="4" applyNumberFormat="1" applyFont="1" applyFill="1" applyBorder="1"/>
    <xf numFmtId="175" fontId="6" fillId="0" borderId="0" xfId="4" applyNumberFormat="1" applyFont="1" applyFill="1" applyBorder="1"/>
    <xf numFmtId="175" fontId="6" fillId="0" borderId="5" xfId="4" applyNumberFormat="1" applyFont="1" applyFill="1" applyBorder="1"/>
    <xf numFmtId="176" fontId="8" fillId="0" borderId="3" xfId="4" applyNumberFormat="1" applyFont="1" applyFill="1" applyBorder="1"/>
    <xf numFmtId="176" fontId="8" fillId="0" borderId="0" xfId="4" applyNumberFormat="1" applyFont="1" applyFill="1" applyBorder="1"/>
    <xf numFmtId="176" fontId="8" fillId="0" borderId="5" xfId="4" applyNumberFormat="1" applyFont="1" applyFill="1" applyBorder="1"/>
    <xf numFmtId="175" fontId="11" fillId="0" borderId="0" xfId="4" applyNumberFormat="1" applyFont="1" applyFill="1" applyBorder="1"/>
    <xf numFmtId="175" fontId="11" fillId="0" borderId="5" xfId="4" applyNumberFormat="1" applyFont="1" applyFill="1" applyBorder="1"/>
    <xf numFmtId="175" fontId="11" fillId="0" borderId="3" xfId="4" applyNumberFormat="1" applyFont="1" applyFill="1" applyBorder="1"/>
    <xf numFmtId="176" fontId="17" fillId="0" borderId="3" xfId="4" applyNumberFormat="1" applyFont="1" applyFill="1" applyBorder="1"/>
    <xf numFmtId="176" fontId="17" fillId="0" borderId="0" xfId="4" applyNumberFormat="1" applyFont="1" applyFill="1" applyBorder="1"/>
    <xf numFmtId="176" fontId="17" fillId="0" borderId="5" xfId="4" applyNumberFormat="1" applyFont="1" applyFill="1" applyBorder="1"/>
    <xf numFmtId="164" fontId="17" fillId="0" borderId="0" xfId="4" applyNumberFormat="1" applyFont="1" applyFill="1" applyBorder="1"/>
    <xf numFmtId="164" fontId="17" fillId="0" borderId="5" xfId="4" applyNumberFormat="1" applyFont="1" applyFill="1" applyBorder="1"/>
    <xf numFmtId="164" fontId="12" fillId="0" borderId="3" xfId="4" applyNumberFormat="1" applyFont="1" applyFill="1" applyBorder="1"/>
    <xf numFmtId="164" fontId="12" fillId="0" borderId="0" xfId="4" applyNumberFormat="1" applyFont="1" applyFill="1" applyBorder="1"/>
    <xf numFmtId="164" fontId="12" fillId="0" borderId="5" xfId="4" applyNumberFormat="1" applyFont="1" applyFill="1" applyBorder="1"/>
    <xf numFmtId="168" fontId="8" fillId="0" borderId="0" xfId="1567" applyNumberFormat="1" applyFont="1" applyFill="1" applyBorder="1"/>
    <xf numFmtId="168" fontId="8" fillId="0" borderId="5" xfId="1567" applyNumberFormat="1" applyFont="1" applyFill="1" applyBorder="1"/>
    <xf numFmtId="168" fontId="12" fillId="0" borderId="0" xfId="1567" applyNumberFormat="1" applyFont="1" applyFill="1" applyBorder="1"/>
    <xf numFmtId="168" fontId="12" fillId="0" borderId="5" xfId="1567" applyNumberFormat="1" applyFont="1" applyFill="1" applyBorder="1"/>
    <xf numFmtId="168" fontId="12" fillId="0" borderId="3" xfId="1567" applyNumberFormat="1" applyFont="1" applyFill="1" applyBorder="1"/>
    <xf numFmtId="0" fontId="6" fillId="0" borderId="3" xfId="4" applyFont="1" applyFill="1" applyBorder="1" applyAlignment="1">
      <alignment horizontal="left"/>
    </xf>
    <xf numFmtId="0" fontId="6" fillId="0" borderId="5" xfId="4" applyFont="1" applyFill="1" applyBorder="1" applyAlignment="1">
      <alignment horizontal="left"/>
    </xf>
    <xf numFmtId="169" fontId="6" fillId="0" borderId="3" xfId="4" applyNumberFormat="1" applyFont="1" applyFill="1" applyBorder="1"/>
    <xf numFmtId="169" fontId="6" fillId="0" borderId="0" xfId="4" applyNumberFormat="1" applyFont="1" applyFill="1" applyBorder="1"/>
    <xf numFmtId="169" fontId="6" fillId="0" borderId="5" xfId="4" applyNumberFormat="1" applyFont="1" applyFill="1" applyBorder="1"/>
    <xf numFmtId="0" fontId="6" fillId="0" borderId="0" xfId="4" applyFont="1" applyFill="1" applyBorder="1" applyAlignment="1">
      <alignment horizontal="left" wrapText="1" indent="2"/>
    </xf>
    <xf numFmtId="37" fontId="6" fillId="0" borderId="0" xfId="4" applyNumberFormat="1" applyFont="1" applyFill="1" applyAlignment="1">
      <alignment horizontal="center"/>
    </xf>
    <xf numFmtId="0" fontId="18" fillId="0" borderId="0" xfId="4" applyFont="1"/>
    <xf numFmtId="165" fontId="9" fillId="0" borderId="43" xfId="1513" applyNumberFormat="1" applyFont="1" applyFill="1" applyBorder="1" applyAlignment="1">
      <alignment horizontal="right"/>
    </xf>
    <xf numFmtId="166" fontId="7" fillId="0" borderId="3" xfId="1512" applyFont="1" applyFill="1" applyBorder="1"/>
    <xf numFmtId="166" fontId="7" fillId="0" borderId="5" xfId="1512" applyFont="1" applyFill="1" applyBorder="1"/>
    <xf numFmtId="0" fontId="11" fillId="0" borderId="0" xfId="4" applyFont="1" applyFill="1" applyBorder="1"/>
    <xf numFmtId="0" fontId="11" fillId="0" borderId="5" xfId="4" applyFont="1" applyFill="1" applyBorder="1"/>
    <xf numFmtId="0" fontId="11" fillId="0" borderId="3" xfId="4" applyFont="1" applyFill="1" applyBorder="1"/>
    <xf numFmtId="0" fontId="11" fillId="0" borderId="6" xfId="4" applyFont="1" applyFill="1" applyBorder="1"/>
    <xf numFmtId="0" fontId="11" fillId="0" borderId="39" xfId="4" applyFont="1" applyFill="1" applyBorder="1"/>
    <xf numFmtId="164" fontId="6" fillId="0" borderId="25" xfId="4" applyNumberFormat="1" applyFont="1" applyBorder="1"/>
    <xf numFmtId="164" fontId="13" fillId="0" borderId="0" xfId="4" applyNumberFormat="1" applyFont="1" applyFill="1" applyBorder="1"/>
    <xf numFmtId="164" fontId="13" fillId="0" borderId="5" xfId="4" applyNumberFormat="1" applyFont="1" applyFill="1" applyBorder="1"/>
    <xf numFmtId="0" fontId="6" fillId="0" borderId="40" xfId="4" applyFont="1" applyFill="1" applyBorder="1" applyAlignment="1">
      <alignment horizontal="left" indent="1"/>
    </xf>
    <xf numFmtId="0" fontId="6" fillId="0" borderId="41" xfId="4" applyFont="1" applyFill="1" applyBorder="1" applyAlignment="1">
      <alignment horizontal="left" indent="1"/>
    </xf>
    <xf numFmtId="164" fontId="6" fillId="0" borderId="4" xfId="4" applyNumberFormat="1" applyFont="1" applyFill="1" applyBorder="1"/>
    <xf numFmtId="164" fontId="6" fillId="0" borderId="41" xfId="4" applyNumberFormat="1" applyFont="1" applyFill="1" applyBorder="1"/>
    <xf numFmtId="166" fontId="7" fillId="0" borderId="3" xfId="1512" applyNumberFormat="1" applyFont="1" applyFill="1" applyBorder="1" applyAlignment="1"/>
    <xf numFmtId="166" fontId="7" fillId="0" borderId="5" xfId="1512" applyNumberFormat="1" applyFont="1" applyFill="1" applyBorder="1" applyAlignment="1"/>
    <xf numFmtId="164" fontId="7" fillId="0" borderId="6" xfId="4" applyNumberFormat="1" applyFont="1" applyFill="1" applyBorder="1"/>
    <xf numFmtId="164" fontId="7" fillId="0" borderId="39" xfId="4" applyNumberFormat="1" applyFont="1" applyFill="1" applyBorder="1"/>
    <xf numFmtId="164" fontId="7" fillId="0" borderId="12" xfId="4" applyNumberFormat="1" applyFont="1" applyFill="1" applyBorder="1"/>
    <xf numFmtId="164" fontId="7" fillId="0" borderId="0" xfId="4" applyNumberFormat="1" applyFont="1" applyFill="1" applyBorder="1"/>
    <xf numFmtId="164" fontId="7" fillId="0" borderId="5" xfId="4" applyNumberFormat="1" applyFont="1" applyFill="1" applyBorder="1"/>
    <xf numFmtId="164" fontId="11" fillId="0" borderId="0" xfId="664" applyNumberFormat="1" applyFont="1" applyFill="1" applyBorder="1"/>
    <xf numFmtId="164" fontId="11" fillId="0" borderId="5" xfId="664" applyNumberFormat="1" applyFont="1" applyFill="1" applyBorder="1"/>
    <xf numFmtId="166" fontId="7" fillId="0" borderId="42" xfId="1512" applyFont="1" applyFill="1" applyBorder="1"/>
    <xf numFmtId="166" fontId="7" fillId="0" borderId="43" xfId="1512" applyFont="1" applyFill="1" applyBorder="1"/>
    <xf numFmtId="164" fontId="7" fillId="0" borderId="1" xfId="4" applyNumberFormat="1" applyFont="1" applyFill="1" applyBorder="1"/>
    <xf numFmtId="164" fontId="7" fillId="0" borderId="43" xfId="4" applyNumberFormat="1" applyFont="1" applyFill="1" applyBorder="1"/>
    <xf numFmtId="164" fontId="7" fillId="0" borderId="42" xfId="4" applyNumberFormat="1" applyFont="1" applyFill="1" applyBorder="1"/>
    <xf numFmtId="37" fontId="7" fillId="0" borderId="3" xfId="1512" applyNumberFormat="1" applyFont="1" applyFill="1" applyBorder="1"/>
    <xf numFmtId="37" fontId="7" fillId="0" borderId="5" xfId="1512" applyNumberFormat="1" applyFont="1" applyFill="1" applyBorder="1"/>
    <xf numFmtId="164" fontId="16" fillId="0" borderId="0" xfId="4" applyNumberFormat="1" applyFont="1" applyFill="1" applyBorder="1"/>
    <xf numFmtId="164" fontId="16" fillId="0" borderId="5" xfId="4" applyNumberFormat="1" applyFont="1" applyFill="1" applyBorder="1"/>
    <xf numFmtId="164" fontId="16" fillId="0" borderId="3" xfId="4" applyNumberFormat="1" applyFont="1" applyFill="1" applyBorder="1"/>
    <xf numFmtId="164" fontId="7" fillId="0" borderId="3" xfId="4" applyNumberFormat="1" applyFont="1" applyFill="1" applyBorder="1"/>
    <xf numFmtId="37" fontId="7" fillId="0" borderId="42" xfId="1512" applyNumberFormat="1" applyFont="1" applyFill="1" applyBorder="1"/>
    <xf numFmtId="37" fontId="7" fillId="0" borderId="43" xfId="1512" applyNumberFormat="1" applyFont="1" applyFill="1" applyBorder="1"/>
    <xf numFmtId="0" fontId="6" fillId="0" borderId="1" xfId="4" applyFont="1" applyFill="1" applyBorder="1"/>
    <xf numFmtId="37" fontId="11" fillId="0" borderId="1" xfId="4" applyNumberFormat="1" applyFont="1" applyFill="1" applyBorder="1"/>
    <xf numFmtId="0" fontId="20" fillId="0" borderId="42" xfId="4" applyFont="1" applyFill="1" applyBorder="1"/>
    <xf numFmtId="0" fontId="20" fillId="0" borderId="43" xfId="4" applyFont="1" applyFill="1" applyBorder="1"/>
    <xf numFmtId="178" fontId="20" fillId="0" borderId="1" xfId="664" applyNumberFormat="1" applyFont="1" applyFill="1" applyBorder="1"/>
    <xf numFmtId="178" fontId="20" fillId="0" borderId="43" xfId="664" applyNumberFormat="1" applyFont="1" applyFill="1" applyBorder="1"/>
    <xf numFmtId="178" fontId="20" fillId="0" borderId="42" xfId="664" applyNumberFormat="1" applyFont="1" applyFill="1" applyBorder="1"/>
    <xf numFmtId="179" fontId="11" fillId="0" borderId="0" xfId="4" applyNumberFormat="1" applyFont="1" applyFill="1" applyBorder="1"/>
    <xf numFmtId="179" fontId="11" fillId="0" borderId="6" xfId="4" applyNumberFormat="1" applyFont="1" applyFill="1" applyBorder="1"/>
    <xf numFmtId="43" fontId="11" fillId="0" borderId="6" xfId="4" applyNumberFormat="1" applyFont="1" applyFill="1" applyBorder="1"/>
    <xf numFmtId="37" fontId="11" fillId="0" borderId="4" xfId="4" applyNumberFormat="1" applyFont="1" applyFill="1" applyBorder="1"/>
    <xf numFmtId="0" fontId="11" fillId="0" borderId="4" xfId="4" applyFont="1" applyFill="1" applyBorder="1"/>
    <xf numFmtId="0" fontId="7" fillId="32" borderId="42" xfId="4" applyFont="1" applyFill="1" applyBorder="1" applyAlignment="1">
      <alignment horizontal="left"/>
    </xf>
    <xf numFmtId="0" fontId="7" fillId="32" borderId="43" xfId="4" applyFont="1" applyFill="1" applyBorder="1" applyAlignment="1">
      <alignment horizontal="left"/>
    </xf>
    <xf numFmtId="164" fontId="11" fillId="32" borderId="0" xfId="1567" applyNumberFormat="1" applyFont="1" applyFill="1" applyBorder="1"/>
    <xf numFmtId="164" fontId="11" fillId="32" borderId="5" xfId="1567" applyNumberFormat="1" applyFont="1" applyFill="1" applyBorder="1"/>
    <xf numFmtId="164" fontId="6" fillId="0" borderId="6" xfId="4" applyNumberFormat="1" applyFont="1" applyFill="1" applyBorder="1"/>
    <xf numFmtId="168" fontId="8" fillId="0" borderId="3" xfId="1567" applyNumberFormat="1" applyFont="1" applyFill="1" applyBorder="1"/>
    <xf numFmtId="168" fontId="12" fillId="32" borderId="0" xfId="1567" applyNumberFormat="1" applyFont="1" applyFill="1" applyBorder="1"/>
    <xf numFmtId="180" fontId="6" fillId="0" borderId="0" xfId="4" applyNumberFormat="1" applyFont="1" applyFill="1" applyBorder="1"/>
    <xf numFmtId="180" fontId="6" fillId="0" borderId="5" xfId="4" applyNumberFormat="1" applyFont="1" applyFill="1" applyBorder="1"/>
    <xf numFmtId="180" fontId="6" fillId="0" borderId="3" xfId="4" applyNumberFormat="1" applyFont="1" applyFill="1" applyBorder="1"/>
    <xf numFmtId="180" fontId="6" fillId="0" borderId="4" xfId="4" applyNumberFormat="1" applyFont="1" applyFill="1" applyBorder="1"/>
    <xf numFmtId="180" fontId="6" fillId="0" borderId="41" xfId="4" applyNumberFormat="1" applyFont="1" applyFill="1" applyBorder="1"/>
    <xf numFmtId="180" fontId="6" fillId="0" borderId="40" xfId="4" applyNumberFormat="1" applyFont="1" applyFill="1" applyBorder="1"/>
    <xf numFmtId="9" fontId="6" fillId="0" borderId="6" xfId="1567" applyFont="1" applyFill="1" applyBorder="1"/>
    <xf numFmtId="0" fontId="6" fillId="0" borderId="39" xfId="4" applyFont="1" applyFill="1" applyBorder="1" applyAlignment="1">
      <alignment horizontal="left"/>
    </xf>
    <xf numFmtId="164" fontId="6" fillId="0" borderId="39" xfId="4" applyNumberFormat="1" applyFont="1" applyFill="1" applyBorder="1"/>
    <xf numFmtId="0" fontId="7" fillId="0" borderId="42" xfId="4" applyFont="1" applyFill="1" applyBorder="1" applyAlignment="1">
      <alignment horizontal="left" indent="1"/>
    </xf>
    <xf numFmtId="0" fontId="7" fillId="0" borderId="43" xfId="4" applyFont="1" applyFill="1" applyBorder="1" applyAlignment="1">
      <alignment horizontal="left" indent="1"/>
    </xf>
    <xf numFmtId="181" fontId="7" fillId="0" borderId="1" xfId="4" applyNumberFormat="1" applyFont="1" applyFill="1" applyBorder="1"/>
    <xf numFmtId="181" fontId="7" fillId="0" borderId="43" xfId="4" applyNumberFormat="1" applyFont="1" applyFill="1" applyBorder="1"/>
    <xf numFmtId="181" fontId="7" fillId="0" borderId="42" xfId="4" applyNumberFormat="1" applyFont="1" applyFill="1" applyBorder="1"/>
    <xf numFmtId="164" fontId="11" fillId="0" borderId="41" xfId="4" applyNumberFormat="1" applyFont="1" applyFill="1" applyBorder="1"/>
    <xf numFmtId="37" fontId="7" fillId="0" borderId="0" xfId="1512" applyNumberFormat="1" applyFont="1" applyFill="1" applyBorder="1"/>
    <xf numFmtId="164" fontId="6" fillId="0" borderId="1" xfId="4" applyNumberFormat="1" applyFont="1" applyFill="1" applyBorder="1"/>
    <xf numFmtId="178" fontId="6" fillId="0" borderId="6" xfId="664" applyNumberFormat="1" applyFont="1" applyFill="1" applyBorder="1"/>
    <xf numFmtId="178" fontId="6" fillId="0" borderId="43" xfId="664" applyNumberFormat="1" applyFont="1" applyFill="1" applyBorder="1"/>
    <xf numFmtId="178" fontId="6" fillId="0" borderId="12" xfId="664" applyNumberFormat="1" applyFont="1" applyFill="1" applyBorder="1"/>
    <xf numFmtId="178" fontId="6" fillId="0" borderId="39" xfId="664" applyNumberFormat="1" applyFont="1" applyFill="1" applyBorder="1"/>
    <xf numFmtId="0" fontId="6" fillId="0" borderId="25" xfId="4" applyFont="1" applyFill="1" applyBorder="1"/>
    <xf numFmtId="178" fontId="20" fillId="0" borderId="1" xfId="664" applyNumberFormat="1" applyFont="1" applyFill="1" applyBorder="1" applyAlignment="1"/>
    <xf numFmtId="182" fontId="6" fillId="0" borderId="0" xfId="4" applyNumberFormat="1" applyFont="1" applyFill="1" applyBorder="1"/>
    <xf numFmtId="164" fontId="6" fillId="46" borderId="0" xfId="1511" applyNumberFormat="1" applyFont="1" applyFill="1" applyBorder="1"/>
    <xf numFmtId="164" fontId="6" fillId="46" borderId="39" xfId="1511" applyNumberFormat="1" applyFont="1" applyFill="1" applyBorder="1"/>
    <xf numFmtId="164" fontId="6" fillId="46" borderId="3" xfId="1511" applyNumberFormat="1" applyFont="1" applyFill="1" applyBorder="1"/>
    <xf numFmtId="167" fontId="6" fillId="46" borderId="0" xfId="1511" applyNumberFormat="1" applyFont="1" applyFill="1" applyBorder="1"/>
    <xf numFmtId="167" fontId="6" fillId="46" borderId="5" xfId="1511" applyNumberFormat="1" applyFont="1" applyFill="1" applyBorder="1"/>
    <xf numFmtId="167" fontId="6" fillId="46" borderId="3" xfId="1511" applyNumberFormat="1" applyFont="1" applyFill="1" applyBorder="1"/>
    <xf numFmtId="167" fontId="21" fillId="46" borderId="0" xfId="1511" applyNumberFormat="1" applyFont="1" applyFill="1" applyBorder="1"/>
    <xf numFmtId="167" fontId="21" fillId="46" borderId="5" xfId="1511" applyNumberFormat="1" applyFont="1" applyFill="1" applyBorder="1"/>
    <xf numFmtId="164" fontId="6" fillId="46" borderId="5" xfId="1511" applyNumberFormat="1" applyFont="1" applyFill="1" applyBorder="1"/>
    <xf numFmtId="164" fontId="21" fillId="46" borderId="0" xfId="1511" applyNumberFormat="1" applyFont="1" applyFill="1" applyBorder="1"/>
    <xf numFmtId="164" fontId="21" fillId="46" borderId="5" xfId="1511" applyNumberFormat="1" applyFont="1" applyFill="1" applyBorder="1"/>
    <xf numFmtId="164" fontId="6" fillId="46" borderId="4" xfId="1511" applyNumberFormat="1" applyFont="1" applyFill="1" applyBorder="1"/>
    <xf numFmtId="164" fontId="6" fillId="46" borderId="41" xfId="1511" applyNumberFormat="1" applyFont="1" applyFill="1" applyBorder="1"/>
    <xf numFmtId="164" fontId="6" fillId="46" borderId="40" xfId="1511" applyNumberFormat="1" applyFont="1" applyFill="1" applyBorder="1"/>
    <xf numFmtId="164" fontId="21" fillId="46" borderId="4" xfId="1511" applyNumberFormat="1" applyFont="1" applyFill="1" applyBorder="1"/>
    <xf numFmtId="164" fontId="21" fillId="46" borderId="41" xfId="1511" applyNumberFormat="1" applyFont="1" applyFill="1" applyBorder="1"/>
    <xf numFmtId="0" fontId="11" fillId="0" borderId="0" xfId="4" applyFont="1" applyAlignment="1">
      <alignment horizontal="center"/>
    </xf>
    <xf numFmtId="164" fontId="6" fillId="0" borderId="0" xfId="4" applyNumberFormat="1" applyFont="1" applyAlignment="1">
      <alignment horizontal="center"/>
    </xf>
    <xf numFmtId="183" fontId="6" fillId="0" borderId="0" xfId="4" applyNumberFormat="1" applyFont="1"/>
    <xf numFmtId="0" fontId="1" fillId="0" borderId="0" xfId="4" applyFont="1" applyFill="1" applyBorder="1" applyAlignment="1">
      <alignment horizontal="left" wrapText="1" indent="2"/>
    </xf>
    <xf numFmtId="0" fontId="1" fillId="0" borderId="0" xfId="4" applyFont="1" applyBorder="1"/>
    <xf numFmtId="2" fontId="1" fillId="0" borderId="0" xfId="4" applyNumberFormat="1" applyFont="1"/>
    <xf numFmtId="0" fontId="7" fillId="0" borderId="12" xfId="4" applyFont="1" applyFill="1" applyBorder="1"/>
    <xf numFmtId="37" fontId="6" fillId="0" borderId="0" xfId="4" applyNumberFormat="1" applyFont="1" applyFill="1" applyBorder="1"/>
    <xf numFmtId="37" fontId="6" fillId="0" borderId="5" xfId="4" applyNumberFormat="1" applyFont="1" applyFill="1" applyBorder="1"/>
    <xf numFmtId="37" fontId="6" fillId="0" borderId="3" xfId="4" applyNumberFormat="1" applyFont="1" applyFill="1" applyBorder="1"/>
    <xf numFmtId="37" fontId="6" fillId="0" borderId="6" xfId="4" applyNumberFormat="1" applyFont="1" applyFill="1" applyBorder="1"/>
    <xf numFmtId="37" fontId="6" fillId="0" borderId="39" xfId="4" applyNumberFormat="1" applyFont="1" applyFill="1" applyBorder="1"/>
    <xf numFmtId="0" fontId="6" fillId="0" borderId="3" xfId="4" applyFont="1" applyFill="1" applyBorder="1" applyAlignment="1">
      <alignment horizontal="left" wrapText="1" indent="1"/>
    </xf>
    <xf numFmtId="0" fontId="6" fillId="0" borderId="5" xfId="4" applyFont="1" applyFill="1" applyBorder="1" applyAlignment="1">
      <alignment horizontal="left" wrapText="1" indent="1"/>
    </xf>
    <xf numFmtId="41" fontId="11" fillId="0" borderId="0" xfId="4" applyNumberFormat="1" applyFont="1" applyFill="1" applyBorder="1"/>
    <xf numFmtId="41" fontId="11" fillId="0" borderId="5" xfId="4" applyNumberFormat="1" applyFont="1" applyFill="1" applyBorder="1"/>
    <xf numFmtId="41" fontId="11" fillId="0" borderId="3" xfId="4" applyNumberFormat="1" applyFont="1" applyFill="1" applyBorder="1"/>
    <xf numFmtId="181" fontId="6" fillId="0" borderId="0" xfId="4" applyNumberFormat="1" applyFont="1" applyFill="1" applyBorder="1"/>
    <xf numFmtId="181" fontId="6" fillId="0" borderId="5" xfId="4" applyNumberFormat="1" applyFont="1" applyFill="1" applyBorder="1"/>
    <xf numFmtId="181" fontId="6" fillId="0" borderId="3" xfId="4" applyNumberFormat="1" applyFont="1" applyFill="1" applyBorder="1"/>
    <xf numFmtId="181" fontId="11" fillId="0" borderId="0" xfId="4" applyNumberFormat="1" applyFont="1" applyFill="1" applyBorder="1"/>
    <xf numFmtId="181" fontId="11" fillId="0" borderId="5" xfId="4" applyNumberFormat="1" applyFont="1" applyFill="1" applyBorder="1"/>
    <xf numFmtId="181" fontId="11" fillId="0" borderId="3" xfId="4" applyNumberFormat="1" applyFont="1" applyFill="1" applyBorder="1"/>
    <xf numFmtId="0" fontId="7" fillId="0" borderId="44" xfId="4" applyFont="1" applyFill="1" applyBorder="1" applyAlignment="1">
      <alignment horizontal="left"/>
    </xf>
    <xf numFmtId="0" fontId="7" fillId="0" borderId="45" xfId="4" applyFont="1" applyFill="1" applyBorder="1" applyAlignment="1">
      <alignment horizontal="left"/>
    </xf>
    <xf numFmtId="181" fontId="7" fillId="0" borderId="46" xfId="4" applyNumberFormat="1" applyFont="1" applyFill="1" applyBorder="1"/>
    <xf numFmtId="181" fontId="7" fillId="0" borderId="44" xfId="4" applyNumberFormat="1" applyFont="1" applyFill="1" applyBorder="1"/>
    <xf numFmtId="181" fontId="7" fillId="0" borderId="45" xfId="4" applyNumberFormat="1" applyFont="1" applyFill="1" applyBorder="1"/>
    <xf numFmtId="0" fontId="7" fillId="0" borderId="3" xfId="4" applyFont="1" applyFill="1" applyBorder="1" applyAlignment="1">
      <alignment horizontal="left"/>
    </xf>
    <xf numFmtId="0" fontId="7" fillId="0" borderId="5" xfId="4" applyFont="1" applyFill="1" applyBorder="1" applyAlignment="1">
      <alignment horizontal="left"/>
    </xf>
    <xf numFmtId="181" fontId="13" fillId="0" borderId="0" xfId="4" applyNumberFormat="1" applyFont="1" applyFill="1" applyBorder="1"/>
    <xf numFmtId="181" fontId="7" fillId="0" borderId="0" xfId="4" applyNumberFormat="1" applyFont="1" applyFill="1" applyBorder="1"/>
    <xf numFmtId="181" fontId="7" fillId="0" borderId="3" xfId="4" applyNumberFormat="1" applyFont="1" applyFill="1" applyBorder="1"/>
    <xf numFmtId="181" fontId="7" fillId="0" borderId="5" xfId="4" applyNumberFormat="1" applyFont="1" applyFill="1" applyBorder="1"/>
    <xf numFmtId="181" fontId="16" fillId="0" borderId="0" xfId="4" applyNumberFormat="1" applyFont="1" applyFill="1" applyBorder="1"/>
    <xf numFmtId="181" fontId="16" fillId="0" borderId="5" xfId="4" applyNumberFormat="1" applyFont="1" applyFill="1" applyBorder="1"/>
    <xf numFmtId="181" fontId="16" fillId="0" borderId="3" xfId="4" applyNumberFormat="1" applyFont="1" applyFill="1" applyBorder="1"/>
    <xf numFmtId="0" fontId="7" fillId="0" borderId="40" xfId="4" applyFont="1" applyFill="1" applyBorder="1" applyAlignment="1">
      <alignment horizontal="left"/>
    </xf>
    <xf numFmtId="0" fontId="7" fillId="0" borderId="41" xfId="4" applyFont="1" applyFill="1" applyBorder="1" applyAlignment="1">
      <alignment horizontal="left"/>
    </xf>
    <xf numFmtId="181" fontId="7" fillId="0" borderId="4" xfId="4" applyNumberFormat="1" applyFont="1" applyFill="1" applyBorder="1"/>
    <xf numFmtId="181" fontId="7" fillId="0" borderId="40" xfId="4" applyNumberFormat="1" applyFont="1" applyFill="1" applyBorder="1"/>
    <xf numFmtId="181" fontId="7" fillId="0" borderId="41" xfId="4" applyNumberFormat="1" applyFont="1" applyFill="1" applyBorder="1"/>
    <xf numFmtId="0" fontId="7" fillId="0" borderId="0" xfId="4" applyFont="1" applyFill="1" applyBorder="1" applyAlignment="1">
      <alignment horizontal="left"/>
    </xf>
    <xf numFmtId="181" fontId="7" fillId="0" borderId="6" xfId="4" applyNumberFormat="1" applyFont="1" applyFill="1" applyBorder="1"/>
    <xf numFmtId="0" fontId="6" fillId="0" borderId="43" xfId="4" applyFont="1" applyFill="1" applyBorder="1"/>
    <xf numFmtId="178" fontId="6" fillId="0" borderId="1" xfId="664" applyNumberFormat="1" applyFont="1" applyFill="1" applyBorder="1"/>
    <xf numFmtId="178" fontId="20" fillId="0" borderId="4" xfId="664" applyNumberFormat="1" applyFont="1" applyFill="1" applyBorder="1"/>
    <xf numFmtId="0" fontId="8" fillId="0" borderId="0" xfId="4" applyFont="1" applyFill="1" applyBorder="1"/>
    <xf numFmtId="37" fontId="16" fillId="0" borderId="0" xfId="4" applyNumberFormat="1" applyFont="1" applyFill="1" applyBorder="1"/>
    <xf numFmtId="0" fontId="11" fillId="0" borderId="0" xfId="4" applyFont="1"/>
    <xf numFmtId="0" fontId="6" fillId="0" borderId="4" xfId="4" applyFont="1" applyBorder="1"/>
    <xf numFmtId="1" fontId="7" fillId="32" borderId="1" xfId="1512" applyNumberFormat="1" applyFont="1" applyFill="1" applyBorder="1" applyAlignment="1">
      <alignment horizontal="right"/>
    </xf>
    <xf numFmtId="1" fontId="7" fillId="32" borderId="43" xfId="1512" applyNumberFormat="1" applyFont="1" applyFill="1" applyBorder="1" applyAlignment="1">
      <alignment horizontal="right"/>
    </xf>
    <xf numFmtId="178" fontId="6" fillId="0" borderId="0" xfId="664" applyNumberFormat="1" applyFont="1" applyFill="1"/>
    <xf numFmtId="178" fontId="6" fillId="0" borderId="5" xfId="664" applyNumberFormat="1" applyFont="1" applyFill="1" applyBorder="1"/>
    <xf numFmtId="178" fontId="6" fillId="0" borderId="0" xfId="664" applyNumberFormat="1" applyFont="1" applyBorder="1"/>
    <xf numFmtId="178" fontId="6" fillId="0" borderId="5" xfId="664" applyNumberFormat="1" applyFont="1" applyBorder="1"/>
    <xf numFmtId="178" fontId="21" fillId="0" borderId="6" xfId="664" applyNumberFormat="1" applyFont="1" applyFill="1" applyBorder="1"/>
    <xf numFmtId="0" fontId="6" fillId="0" borderId="5" xfId="4" applyFont="1" applyBorder="1"/>
    <xf numFmtId="178" fontId="11" fillId="0" borderId="0" xfId="664" applyNumberFormat="1" applyFont="1" applyFill="1"/>
    <xf numFmtId="178" fontId="11" fillId="0" borderId="5" xfId="664" applyNumberFormat="1" applyFont="1" applyFill="1" applyBorder="1"/>
    <xf numFmtId="178" fontId="11" fillId="0" borderId="0" xfId="664" applyNumberFormat="1" applyFont="1" applyBorder="1"/>
    <xf numFmtId="178" fontId="11" fillId="0" borderId="5" xfId="664" applyNumberFormat="1" applyFont="1" applyBorder="1"/>
    <xf numFmtId="178" fontId="11" fillId="0" borderId="0" xfId="664" applyNumberFormat="1" applyFont="1" applyFill="1" applyBorder="1"/>
    <xf numFmtId="0" fontId="8" fillId="0" borderId="3" xfId="4" applyFont="1" applyBorder="1" applyAlignment="1">
      <alignment horizontal="left" indent="1"/>
    </xf>
    <xf numFmtId="168" fontId="8" fillId="0" borderId="0" xfId="1567" applyNumberFormat="1" applyFont="1" applyBorder="1"/>
    <xf numFmtId="168" fontId="8" fillId="0" borderId="4" xfId="1567" applyNumberFormat="1" applyFont="1" applyFill="1" applyBorder="1"/>
    <xf numFmtId="168" fontId="8" fillId="0" borderId="41" xfId="1567" applyNumberFormat="1" applyFont="1" applyFill="1" applyBorder="1"/>
    <xf numFmtId="178" fontId="21" fillId="0" borderId="4" xfId="664" applyNumberFormat="1" applyFont="1" applyFill="1" applyBorder="1"/>
    <xf numFmtId="178" fontId="6" fillId="0" borderId="41" xfId="664" applyNumberFormat="1" applyFont="1" applyFill="1" applyBorder="1"/>
    <xf numFmtId="178" fontId="6" fillId="0" borderId="4" xfId="664" applyNumberFormat="1" applyFont="1" applyFill="1" applyBorder="1"/>
    <xf numFmtId="178" fontId="6" fillId="0" borderId="0" xfId="664" applyNumberFormat="1" applyFont="1" applyFill="1" applyBorder="1"/>
    <xf numFmtId="0" fontId="7" fillId="0" borderId="40" xfId="4" applyFont="1" applyBorder="1"/>
    <xf numFmtId="178" fontId="7" fillId="0" borderId="1" xfId="664" applyNumberFormat="1" applyFont="1" applyBorder="1"/>
    <xf numFmtId="178" fontId="7" fillId="0" borderId="43" xfId="664" applyNumberFormat="1" applyFont="1" applyBorder="1"/>
    <xf numFmtId="178" fontId="6" fillId="0" borderId="1" xfId="664" applyNumberFormat="1" applyFont="1" applyBorder="1"/>
    <xf numFmtId="168" fontId="8" fillId="0" borderId="0" xfId="1567" applyNumberFormat="1" applyFont="1" applyFill="1"/>
    <xf numFmtId="168" fontId="11" fillId="0" borderId="0" xfId="4" applyNumberFormat="1" applyFont="1"/>
    <xf numFmtId="178" fontId="11" fillId="0" borderId="0" xfId="4" applyNumberFormat="1" applyFont="1"/>
    <xf numFmtId="178" fontId="11" fillId="0" borderId="0" xfId="664" applyNumberFormat="1" applyFont="1"/>
    <xf numFmtId="0" fontId="13" fillId="0" borderId="0" xfId="4" applyFont="1"/>
    <xf numFmtId="1" fontId="7" fillId="32" borderId="42" xfId="1512" applyNumberFormat="1" applyFont="1" applyFill="1" applyBorder="1" applyAlignment="1">
      <alignment horizontal="right"/>
    </xf>
    <xf numFmtId="0" fontId="7" fillId="0" borderId="3" xfId="4" applyFont="1" applyBorder="1"/>
    <xf numFmtId="168" fontId="8" fillId="0" borderId="4" xfId="1567" applyNumberFormat="1" applyFont="1" applyBorder="1"/>
    <xf numFmtId="168" fontId="8" fillId="0" borderId="41" xfId="1567" applyNumberFormat="1" applyFont="1" applyBorder="1"/>
    <xf numFmtId="168" fontId="8" fillId="0" borderId="40" xfId="1567" applyNumberFormat="1" applyFont="1" applyBorder="1"/>
    <xf numFmtId="168" fontId="12" fillId="32" borderId="4" xfId="1567" applyNumberFormat="1" applyFont="1" applyFill="1" applyBorder="1"/>
    <xf numFmtId="168" fontId="12" fillId="32" borderId="41" xfId="1567" applyNumberFormat="1" applyFont="1" applyFill="1" applyBorder="1"/>
    <xf numFmtId="181" fontId="6" fillId="0" borderId="0" xfId="4" applyNumberFormat="1" applyFont="1"/>
    <xf numFmtId="181" fontId="6" fillId="0" borderId="39" xfId="4" applyNumberFormat="1" applyFont="1" applyBorder="1"/>
    <xf numFmtId="181" fontId="6" fillId="0" borderId="6" xfId="4" applyNumberFormat="1" applyFont="1" applyBorder="1"/>
    <xf numFmtId="181" fontId="6" fillId="0" borderId="4" xfId="4" applyNumberFormat="1" applyFont="1" applyBorder="1"/>
    <xf numFmtId="181" fontId="6" fillId="0" borderId="41" xfId="4" applyNumberFormat="1" applyFont="1" applyBorder="1"/>
    <xf numFmtId="186" fontId="6" fillId="0" borderId="4" xfId="4" applyNumberFormat="1" applyFont="1" applyBorder="1"/>
    <xf numFmtId="0" fontId="22" fillId="0" borderId="0" xfId="4" applyFont="1"/>
    <xf numFmtId="0" fontId="22" fillId="0" borderId="0" xfId="4" applyFont="1" applyBorder="1"/>
    <xf numFmtId="0" fontId="7" fillId="0" borderId="4" xfId="4" applyFont="1" applyFill="1" applyBorder="1" applyAlignment="1">
      <alignment horizontal="left"/>
    </xf>
    <xf numFmtId="0" fontId="7" fillId="0" borderId="43" xfId="4" applyFont="1" applyFill="1" applyBorder="1" applyAlignment="1">
      <alignment horizontal="left"/>
    </xf>
    <xf numFmtId="0" fontId="1" fillId="32" borderId="0" xfId="4" applyFont="1" applyFill="1" applyBorder="1"/>
    <xf numFmtId="37" fontId="1" fillId="0" borderId="0" xfId="4" applyNumberFormat="1" applyFont="1" applyFill="1" applyAlignment="1">
      <alignment horizontal="center"/>
    </xf>
    <xf numFmtId="49" fontId="0" fillId="0" borderId="0" xfId="4" applyNumberFormat="1" applyFont="1"/>
    <xf numFmtId="0" fontId="7" fillId="0" borderId="0" xfId="4" applyFont="1" applyBorder="1"/>
    <xf numFmtId="0" fontId="1" fillId="0" borderId="0" xfId="4" applyFont="1" applyFill="1" applyBorder="1"/>
    <xf numFmtId="0" fontId="31" fillId="0" borderId="0" xfId="1513" applyNumberFormat="1" applyFont="1" applyFill="1" applyBorder="1" applyAlignment="1">
      <alignment horizontal="left"/>
    </xf>
    <xf numFmtId="166" fontId="30" fillId="0" borderId="4" xfId="1512" applyNumberFormat="1" applyFont="1" applyFill="1" applyBorder="1" applyAlignment="1"/>
    <xf numFmtId="0" fontId="7" fillId="0" borderId="4" xfId="4" applyFont="1" applyBorder="1"/>
    <xf numFmtId="0" fontId="0" fillId="0" borderId="3" xfId="4" applyFont="1" applyBorder="1"/>
    <xf numFmtId="164" fontId="6" fillId="0" borderId="0" xfId="4" applyNumberFormat="1" applyFont="1" applyBorder="1"/>
    <xf numFmtId="0" fontId="8" fillId="0" borderId="0" xfId="4" applyFont="1" applyBorder="1" applyAlignment="1">
      <alignment horizontal="left" indent="1"/>
    </xf>
    <xf numFmtId="168" fontId="8" fillId="0" borderId="5" xfId="1567" applyNumberFormat="1" applyFont="1" applyBorder="1"/>
    <xf numFmtId="0" fontId="8" fillId="0" borderId="0" xfId="4" applyFont="1" applyFill="1" applyBorder="1" applyAlignment="1">
      <alignment horizontal="left" indent="1"/>
    </xf>
    <xf numFmtId="168" fontId="12" fillId="0" borderId="3" xfId="1567" applyNumberFormat="1" applyFont="1" applyBorder="1"/>
    <xf numFmtId="168" fontId="12" fillId="0" borderId="0" xfId="1567" applyNumberFormat="1" applyFont="1" applyBorder="1"/>
    <xf numFmtId="168" fontId="12" fillId="0" borderId="5" xfId="1567" applyNumberFormat="1" applyFont="1" applyBorder="1"/>
    <xf numFmtId="0" fontId="1" fillId="0" borderId="0" xfId="4" applyFont="1" applyAlignment="1">
      <alignment horizontal="right"/>
    </xf>
    <xf numFmtId="164" fontId="7" fillId="0" borderId="3" xfId="4" applyNumberFormat="1" applyFont="1" applyBorder="1"/>
    <xf numFmtId="164" fontId="7" fillId="0" borderId="0" xfId="4" applyNumberFormat="1" applyFont="1" applyBorder="1"/>
    <xf numFmtId="164" fontId="7" fillId="0" borderId="5" xfId="4" applyNumberFormat="1" applyFont="1" applyBorder="1"/>
    <xf numFmtId="0" fontId="7" fillId="0" borderId="25" xfId="4" applyFont="1" applyBorder="1"/>
    <xf numFmtId="0" fontId="31" fillId="0" borderId="0" xfId="4" applyFont="1" applyBorder="1"/>
    <xf numFmtId="175" fontId="31" fillId="0" borderId="0" xfId="4" applyNumberFormat="1" applyFont="1" applyBorder="1" applyAlignment="1">
      <alignment horizontal="centerContinuous"/>
    </xf>
    <xf numFmtId="0" fontId="1" fillId="0" borderId="0" xfId="4" quotePrefix="1" applyFont="1" applyFill="1" applyBorder="1"/>
    <xf numFmtId="183" fontId="6" fillId="0" borderId="0" xfId="4" applyNumberFormat="1" applyFont="1" applyFill="1" applyBorder="1"/>
    <xf numFmtId="183" fontId="6" fillId="0" borderId="5" xfId="4" applyNumberFormat="1" applyFont="1" applyFill="1" applyBorder="1"/>
    <xf numFmtId="167" fontId="1" fillId="0" borderId="0" xfId="4" applyNumberFormat="1" applyFont="1"/>
    <xf numFmtId="0" fontId="0" fillId="0" borderId="0" xfId="4" applyFont="1" applyFill="1"/>
    <xf numFmtId="183" fontId="6" fillId="0" borderId="0" xfId="4" applyNumberFormat="1" applyFont="1" applyBorder="1"/>
    <xf numFmtId="168" fontId="14" fillId="0" borderId="0" xfId="1567" applyNumberFormat="1" applyFont="1" applyBorder="1"/>
    <xf numFmtId="183" fontId="7" fillId="0" borderId="0" xfId="4" applyNumberFormat="1" applyFont="1" applyBorder="1"/>
    <xf numFmtId="183" fontId="6" fillId="0" borderId="5" xfId="4" applyNumberFormat="1" applyFont="1" applyBorder="1"/>
    <xf numFmtId="183" fontId="6" fillId="0" borderId="12" xfId="4" applyNumberFormat="1" applyFont="1" applyBorder="1"/>
    <xf numFmtId="183" fontId="6" fillId="0" borderId="3" xfId="4" applyNumberFormat="1" applyFont="1" applyBorder="1"/>
    <xf numFmtId="183" fontId="6" fillId="0" borderId="12" xfId="4" applyNumberFormat="1" applyFont="1" applyFill="1" applyBorder="1"/>
    <xf numFmtId="183" fontId="6" fillId="0" borderId="3" xfId="4" applyNumberFormat="1" applyFont="1" applyFill="1" applyBorder="1"/>
    <xf numFmtId="0" fontId="43" fillId="0" borderId="0" xfId="4" applyFont="1" applyFill="1"/>
    <xf numFmtId="0" fontId="6" fillId="0" borderId="12" xfId="4" applyFont="1" applyFill="1" applyBorder="1" applyAlignment="1">
      <alignment horizontal="left"/>
    </xf>
    <xf numFmtId="43" fontId="1" fillId="0" borderId="0" xfId="4" applyNumberFormat="1" applyFont="1" applyFill="1"/>
    <xf numFmtId="178" fontId="11" fillId="0" borderId="39" xfId="664" applyNumberFormat="1" applyFont="1" applyBorder="1"/>
    <xf numFmtId="178" fontId="11" fillId="0" borderId="41" xfId="664" applyNumberFormat="1" applyFont="1" applyBorder="1"/>
    <xf numFmtId="164" fontId="6" fillId="0" borderId="3" xfId="4" applyNumberFormat="1" applyFont="1" applyBorder="1"/>
    <xf numFmtId="1" fontId="9" fillId="32" borderId="12" xfId="1512" applyNumberFormat="1" applyFont="1" applyFill="1" applyBorder="1" applyAlignment="1">
      <alignment horizontal="right"/>
    </xf>
    <xf numFmtId="37" fontId="6" fillId="0" borderId="0" xfId="4" applyNumberFormat="1" applyFont="1"/>
    <xf numFmtId="0" fontId="1" fillId="0" borderId="5" xfId="4" applyFont="1" applyBorder="1"/>
    <xf numFmtId="9" fontId="1" fillId="0" borderId="0" xfId="4" applyNumberFormat="1" applyFont="1"/>
    <xf numFmtId="9" fontId="1" fillId="0" borderId="0" xfId="4" applyNumberFormat="1" applyFont="1" applyFill="1"/>
    <xf numFmtId="0" fontId="7" fillId="0" borderId="40" xfId="4" applyFont="1" applyFill="1" applyBorder="1"/>
    <xf numFmtId="0" fontId="8" fillId="0" borderId="40" xfId="4" applyFont="1" applyFill="1" applyBorder="1" applyAlignment="1">
      <alignment horizontal="left" indent="1"/>
    </xf>
    <xf numFmtId="0" fontId="8" fillId="0" borderId="3" xfId="4" applyFont="1" applyFill="1" applyBorder="1"/>
    <xf numFmtId="168" fontId="1" fillId="0" borderId="0" xfId="4" applyNumberFormat="1" applyFont="1" applyFill="1"/>
    <xf numFmtId="44" fontId="1" fillId="0" borderId="0" xfId="4" applyNumberFormat="1" applyFont="1" applyFill="1"/>
    <xf numFmtId="174" fontId="11" fillId="0" borderId="0" xfId="4" applyNumberFormat="1" applyFont="1" applyFill="1" applyBorder="1"/>
    <xf numFmtId="174" fontId="24" fillId="0" borderId="0" xfId="4" applyNumberFormat="1" applyFont="1" applyFill="1" applyBorder="1"/>
    <xf numFmtId="0" fontId="19" fillId="0" borderId="40" xfId="4" applyFont="1" applyFill="1" applyBorder="1"/>
    <xf numFmtId="0" fontId="19" fillId="0" borderId="41" xfId="4" applyFont="1" applyFill="1" applyBorder="1"/>
    <xf numFmtId="174" fontId="19" fillId="0" borderId="40" xfId="4" applyNumberFormat="1" applyFont="1" applyFill="1" applyBorder="1"/>
    <xf numFmtId="174" fontId="19" fillId="0" borderId="4" xfId="4" applyNumberFormat="1" applyFont="1" applyFill="1" applyBorder="1"/>
    <xf numFmtId="174" fontId="19" fillId="0" borderId="41" xfId="4" applyNumberFormat="1" applyFont="1" applyFill="1" applyBorder="1"/>
    <xf numFmtId="0" fontId="44" fillId="0" borderId="0" xfId="4" applyFont="1"/>
    <xf numFmtId="0" fontId="1" fillId="0" borderId="3" xfId="4" applyFont="1" applyBorder="1"/>
    <xf numFmtId="0" fontId="1" fillId="0" borderId="4" xfId="4" applyFont="1" applyFill="1" applyBorder="1"/>
    <xf numFmtId="0" fontId="7" fillId="0" borderId="39" xfId="4" applyFont="1" applyFill="1" applyBorder="1"/>
    <xf numFmtId="0" fontId="8" fillId="0" borderId="5" xfId="4" applyFont="1" applyFill="1" applyBorder="1"/>
    <xf numFmtId="0" fontId="8" fillId="0" borderId="41" xfId="4" applyFont="1" applyFill="1" applyBorder="1"/>
    <xf numFmtId="0" fontId="7" fillId="0" borderId="41" xfId="4" applyFont="1" applyFill="1" applyBorder="1"/>
    <xf numFmtId="0" fontId="8" fillId="0" borderId="41" xfId="4" applyFont="1" applyFill="1" applyBorder="1" applyAlignment="1">
      <alignment horizontal="left" indent="1"/>
    </xf>
    <xf numFmtId="44" fontId="1" fillId="0" borderId="0" xfId="4" applyNumberFormat="1" applyFont="1"/>
    <xf numFmtId="205" fontId="31" fillId="0" borderId="0" xfId="4" applyNumberFormat="1" applyFont="1" applyBorder="1" applyAlignment="1">
      <alignment horizontal="centerContinuous"/>
    </xf>
    <xf numFmtId="184" fontId="7" fillId="0" borderId="4" xfId="4" applyNumberFormat="1" applyFont="1" applyFill="1" applyBorder="1"/>
    <xf numFmtId="186" fontId="7" fillId="0" borderId="0" xfId="4" applyNumberFormat="1" applyFont="1" applyFill="1" applyBorder="1"/>
    <xf numFmtId="0" fontId="18" fillId="0" borderId="0" xfId="4" applyFont="1" applyFill="1" applyBorder="1"/>
    <xf numFmtId="183" fontId="19" fillId="0" borderId="0" xfId="4" applyNumberFormat="1" applyFont="1" applyFill="1" applyBorder="1"/>
    <xf numFmtId="183" fontId="1" fillId="0" borderId="0" xfId="4" applyNumberFormat="1" applyFont="1"/>
    <xf numFmtId="171" fontId="11" fillId="0" borderId="0" xfId="4" applyNumberFormat="1" applyFont="1" applyFill="1" applyBorder="1"/>
    <xf numFmtId="171" fontId="11" fillId="0" borderId="6" xfId="4" applyNumberFormat="1" applyFont="1" applyFill="1" applyBorder="1"/>
    <xf numFmtId="183" fontId="11" fillId="0" borderId="0" xfId="4" applyNumberFormat="1" applyFont="1" applyFill="1" applyBorder="1"/>
    <xf numFmtId="0" fontId="22" fillId="0" borderId="3" xfId="4" applyFont="1" applyBorder="1"/>
    <xf numFmtId="0" fontId="18" fillId="0" borderId="40" xfId="4" applyFont="1" applyFill="1" applyBorder="1"/>
    <xf numFmtId="0" fontId="31" fillId="0" borderId="4" xfId="4" applyFont="1" applyBorder="1"/>
    <xf numFmtId="175" fontId="31" fillId="0" borderId="3" xfId="4" applyNumberFormat="1" applyFont="1" applyBorder="1" applyAlignment="1">
      <alignment horizontal="centerContinuous"/>
    </xf>
    <xf numFmtId="175" fontId="31" fillId="0" borderId="5" xfId="4" applyNumberFormat="1" applyFont="1" applyBorder="1" applyAlignment="1">
      <alignment horizontal="centerContinuous"/>
    </xf>
    <xf numFmtId="0" fontId="1" fillId="0" borderId="40" xfId="4" applyFont="1" applyBorder="1"/>
    <xf numFmtId="0" fontId="1" fillId="0" borderId="41" xfId="4" applyFont="1" applyBorder="1"/>
    <xf numFmtId="183" fontId="11" fillId="0" borderId="3" xfId="4" applyNumberFormat="1" applyFont="1" applyFill="1" applyBorder="1"/>
    <xf numFmtId="183" fontId="11" fillId="0" borderId="5" xfId="4" applyNumberFormat="1" applyFont="1" applyFill="1" applyBorder="1"/>
    <xf numFmtId="183" fontId="19" fillId="0" borderId="40" xfId="4" applyNumberFormat="1" applyFont="1" applyFill="1" applyBorder="1"/>
    <xf numFmtId="183" fontId="19" fillId="0" borderId="4" xfId="4" applyNumberFormat="1" applyFont="1" applyFill="1" applyBorder="1"/>
    <xf numFmtId="183" fontId="19" fillId="0" borderId="41" xfId="4" applyNumberFormat="1" applyFont="1" applyFill="1" applyBorder="1"/>
    <xf numFmtId="0" fontId="45" fillId="0" borderId="0" xfId="4" applyFont="1"/>
    <xf numFmtId="0" fontId="45" fillId="0" borderId="3" xfId="4" applyFont="1" applyBorder="1"/>
    <xf numFmtId="0" fontId="46" fillId="0" borderId="0" xfId="4" applyFont="1" applyBorder="1"/>
    <xf numFmtId="0" fontId="45" fillId="0" borderId="0" xfId="4" applyFont="1" applyBorder="1"/>
    <xf numFmtId="0" fontId="45" fillId="0" borderId="5" xfId="4" applyFont="1" applyBorder="1"/>
    <xf numFmtId="9" fontId="14" fillId="0" borderId="0" xfId="1567" applyFont="1" applyFill="1" applyBorder="1"/>
    <xf numFmtId="168" fontId="14" fillId="0" borderId="3" xfId="1567" applyNumberFormat="1" applyFont="1" applyFill="1" applyBorder="1"/>
    <xf numFmtId="168" fontId="14" fillId="0" borderId="0" xfId="1567" applyNumberFormat="1" applyFont="1" applyFill="1" applyBorder="1"/>
    <xf numFmtId="168" fontId="14" fillId="0" borderId="5" xfId="1567" applyNumberFormat="1" applyFont="1" applyFill="1" applyBorder="1"/>
    <xf numFmtId="0" fontId="46" fillId="0" borderId="0" xfId="4" applyFont="1"/>
    <xf numFmtId="168" fontId="14" fillId="0" borderId="3" xfId="1567" applyNumberFormat="1" applyFont="1" applyBorder="1"/>
    <xf numFmtId="164" fontId="6" fillId="0" borderId="5" xfId="4" applyNumberFormat="1" applyFont="1" applyBorder="1"/>
    <xf numFmtId="183" fontId="7" fillId="0" borderId="3" xfId="4" applyNumberFormat="1" applyFont="1" applyBorder="1"/>
    <xf numFmtId="164" fontId="11" fillId="0" borderId="40" xfId="4" applyNumberFormat="1" applyFont="1" applyFill="1" applyBorder="1"/>
    <xf numFmtId="164" fontId="11" fillId="0" borderId="4" xfId="4" applyNumberFormat="1" applyFont="1" applyFill="1" applyBorder="1"/>
    <xf numFmtId="164" fontId="6" fillId="0" borderId="40" xfId="4" applyNumberFormat="1" applyFont="1" applyFill="1" applyBorder="1"/>
    <xf numFmtId="167" fontId="11" fillId="0" borderId="6" xfId="4" applyNumberFormat="1" applyFont="1" applyFill="1" applyBorder="1" applyAlignment="1"/>
    <xf numFmtId="37" fontId="6" fillId="0" borderId="0" xfId="4" applyNumberFormat="1" applyFont="1" applyFill="1" applyBorder="1" applyAlignment="1">
      <alignment horizontal="center"/>
    </xf>
    <xf numFmtId="0" fontId="11" fillId="0" borderId="0" xfId="4" applyFont="1" applyBorder="1" applyAlignment="1">
      <alignment horizontal="center"/>
    </xf>
    <xf numFmtId="164" fontId="6" fillId="0" borderId="0" xfId="4" applyNumberFormat="1" applyFont="1" applyBorder="1" applyAlignment="1">
      <alignment horizontal="center"/>
    </xf>
    <xf numFmtId="0" fontId="0" fillId="0" borderId="0" xfId="4" applyFont="1" applyBorder="1"/>
    <xf numFmtId="0" fontId="1" fillId="0" borderId="25" xfId="4" applyFont="1" applyBorder="1"/>
    <xf numFmtId="0" fontId="45" fillId="0" borderId="25" xfId="4" applyFont="1" applyBorder="1"/>
    <xf numFmtId="0" fontId="46" fillId="0" borderId="25" xfId="4" applyFont="1" applyBorder="1"/>
    <xf numFmtId="0" fontId="46" fillId="0" borderId="3" xfId="4" applyFont="1" applyBorder="1"/>
    <xf numFmtId="10" fontId="0" fillId="0" borderId="0" xfId="4" applyNumberFormat="1" applyFont="1"/>
    <xf numFmtId="168" fontId="15" fillId="0" borderId="5" xfId="1567" applyNumberFormat="1" applyFont="1" applyFill="1" applyBorder="1"/>
    <xf numFmtId="167" fontId="11" fillId="0" borderId="5" xfId="4" applyNumberFormat="1" applyFont="1" applyFill="1" applyBorder="1" applyAlignment="1"/>
    <xf numFmtId="0" fontId="65" fillId="50" borderId="1" xfId="4" applyFont="1" applyFill="1" applyBorder="1"/>
    <xf numFmtId="175" fontId="65" fillId="50" borderId="1" xfId="4" applyNumberFormat="1" applyFont="1" applyFill="1" applyBorder="1" applyAlignment="1">
      <alignment horizontal="centerContinuous"/>
    </xf>
    <xf numFmtId="0" fontId="1" fillId="50" borderId="42" xfId="4" applyFont="1" applyFill="1" applyBorder="1"/>
    <xf numFmtId="0" fontId="1" fillId="50" borderId="1" xfId="4" applyFont="1" applyFill="1" applyBorder="1"/>
    <xf numFmtId="175" fontId="31" fillId="50" borderId="1" xfId="4" applyNumberFormat="1" applyFont="1" applyFill="1" applyBorder="1" applyAlignment="1">
      <alignment horizontal="centerContinuous"/>
    </xf>
    <xf numFmtId="175" fontId="31" fillId="50" borderId="43" xfId="4" applyNumberFormat="1" applyFont="1" applyFill="1" applyBorder="1" applyAlignment="1">
      <alignment horizontal="centerContinuous"/>
    </xf>
    <xf numFmtId="0" fontId="22" fillId="0" borderId="40" xfId="4" applyFont="1" applyBorder="1"/>
    <xf numFmtId="183" fontId="11" fillId="0" borderId="40" xfId="4" applyNumberFormat="1" applyFont="1" applyFill="1" applyBorder="1"/>
    <xf numFmtId="183" fontId="11" fillId="0" borderId="4" xfId="4" applyNumberFormat="1" applyFont="1" applyFill="1" applyBorder="1"/>
    <xf numFmtId="183" fontId="11" fillId="0" borderId="41" xfId="4" applyNumberFormat="1" applyFont="1" applyFill="1" applyBorder="1"/>
    <xf numFmtId="0" fontId="46" fillId="0" borderId="42" xfId="4" applyFont="1" applyFill="1" applyBorder="1"/>
    <xf numFmtId="0" fontId="46" fillId="0" borderId="1" xfId="4" applyFont="1" applyBorder="1"/>
    <xf numFmtId="0" fontId="46" fillId="0" borderId="42" xfId="4" applyFont="1" applyBorder="1"/>
    <xf numFmtId="0" fontId="46" fillId="0" borderId="43" xfId="4" applyFont="1" applyBorder="1"/>
    <xf numFmtId="168" fontId="47" fillId="0" borderId="42" xfId="1567" applyNumberFormat="1" applyFont="1" applyFill="1" applyBorder="1"/>
    <xf numFmtId="168" fontId="47" fillId="0" borderId="1" xfId="1567" applyNumberFormat="1" applyFont="1" applyFill="1" applyBorder="1"/>
    <xf numFmtId="168" fontId="47" fillId="0" borderId="43" xfId="1567" applyNumberFormat="1" applyFont="1" applyFill="1" applyBorder="1"/>
    <xf numFmtId="0" fontId="1" fillId="0" borderId="42" xfId="4" applyFont="1" applyBorder="1"/>
    <xf numFmtId="0" fontId="1" fillId="0" borderId="1" xfId="4" applyFont="1" applyBorder="1"/>
    <xf numFmtId="0" fontId="1" fillId="0" borderId="43" xfId="4" applyFont="1" applyBorder="1"/>
    <xf numFmtId="9" fontId="47" fillId="0" borderId="1" xfId="1567" applyFont="1" applyFill="1" applyBorder="1"/>
    <xf numFmtId="196" fontId="6" fillId="0" borderId="0" xfId="4" applyNumberFormat="1" applyFont="1" applyFill="1" applyBorder="1"/>
    <xf numFmtId="196" fontId="19" fillId="0" borderId="1" xfId="4" applyNumberFormat="1" applyFont="1" applyFill="1" applyBorder="1"/>
    <xf numFmtId="196" fontId="11" fillId="0" borderId="0" xfId="4" applyNumberFormat="1" applyFont="1" applyFill="1" applyBorder="1"/>
    <xf numFmtId="196" fontId="11" fillId="0" borderId="3" xfId="4" applyNumberFormat="1" applyFont="1" applyFill="1" applyBorder="1"/>
    <xf numFmtId="196" fontId="11" fillId="0" borderId="5" xfId="4" applyNumberFormat="1" applyFont="1" applyFill="1" applyBorder="1"/>
    <xf numFmtId="196" fontId="6" fillId="0" borderId="5" xfId="4" applyNumberFormat="1" applyFont="1" applyFill="1" applyBorder="1"/>
    <xf numFmtId="196" fontId="6" fillId="0" borderId="3" xfId="4" applyNumberFormat="1" applyFont="1" applyFill="1" applyBorder="1"/>
    <xf numFmtId="196" fontId="11" fillId="0" borderId="40" xfId="4" applyNumberFormat="1" applyFont="1" applyFill="1" applyBorder="1"/>
    <xf numFmtId="196" fontId="11" fillId="0" borderId="4" xfId="4" applyNumberFormat="1" applyFont="1" applyFill="1" applyBorder="1"/>
    <xf numFmtId="196" fontId="11" fillId="0" borderId="41" xfId="4" applyNumberFormat="1" applyFont="1" applyFill="1" applyBorder="1"/>
    <xf numFmtId="196" fontId="6" fillId="0" borderId="41" xfId="4" applyNumberFormat="1" applyFont="1" applyFill="1" applyBorder="1"/>
    <xf numFmtId="196" fontId="6" fillId="0" borderId="40" xfId="4" applyNumberFormat="1" applyFont="1" applyFill="1" applyBorder="1"/>
    <xf numFmtId="196" fontId="19" fillId="0" borderId="40" xfId="4" applyNumberFormat="1" applyFont="1" applyFill="1" applyBorder="1"/>
    <xf numFmtId="196" fontId="19" fillId="0" borderId="4" xfId="4" applyNumberFormat="1" applyFont="1" applyFill="1" applyBorder="1"/>
    <xf numFmtId="196" fontId="19" fillId="0" borderId="41" xfId="4" applyNumberFormat="1" applyFont="1" applyFill="1" applyBorder="1"/>
    <xf numFmtId="0" fontId="65" fillId="50" borderId="42" xfId="4" applyFont="1" applyFill="1" applyBorder="1" applyAlignment="1">
      <alignment vertical="center"/>
    </xf>
    <xf numFmtId="0" fontId="18" fillId="0" borderId="3" xfId="4" applyFont="1" applyBorder="1"/>
    <xf numFmtId="0" fontId="18" fillId="0" borderId="42" xfId="4" applyFont="1" applyBorder="1" applyAlignment="1">
      <alignment vertical="center"/>
    </xf>
    <xf numFmtId="0" fontId="22" fillId="0" borderId="40" xfId="4" applyFont="1" applyBorder="1" applyAlignment="1">
      <alignment horizontal="left" vertical="center" indent="1"/>
    </xf>
    <xf numFmtId="0" fontId="18" fillId="0" borderId="40" xfId="4" applyFont="1" applyFill="1" applyBorder="1" applyAlignment="1">
      <alignment vertical="center"/>
    </xf>
    <xf numFmtId="0" fontId="22" fillId="0" borderId="3" xfId="4" applyFont="1" applyBorder="1" applyAlignment="1">
      <alignment horizontal="left" vertical="center" indent="1"/>
    </xf>
    <xf numFmtId="196" fontId="6" fillId="0" borderId="4" xfId="4" applyNumberFormat="1" applyFont="1" applyFill="1" applyBorder="1"/>
    <xf numFmtId="0" fontId="18" fillId="0" borderId="1" xfId="4" applyFont="1" applyBorder="1"/>
    <xf numFmtId="175" fontId="18" fillId="0" borderId="42" xfId="4" applyNumberFormat="1" applyFont="1" applyBorder="1" applyAlignment="1">
      <alignment horizontal="centerContinuous"/>
    </xf>
    <xf numFmtId="175" fontId="18" fillId="0" borderId="1" xfId="4" applyNumberFormat="1" applyFont="1" applyBorder="1" applyAlignment="1">
      <alignment horizontal="centerContinuous"/>
    </xf>
    <xf numFmtId="175" fontId="18" fillId="0" borderId="43" xfId="4" applyNumberFormat="1" applyFont="1" applyBorder="1" applyAlignment="1">
      <alignment horizontal="centerContinuous"/>
    </xf>
    <xf numFmtId="196" fontId="66" fillId="0" borderId="42" xfId="4" applyNumberFormat="1" applyFont="1" applyFill="1" applyBorder="1"/>
    <xf numFmtId="196" fontId="66" fillId="0" borderId="1" xfId="4" applyNumberFormat="1" applyFont="1" applyFill="1" applyBorder="1"/>
    <xf numFmtId="196" fontId="19" fillId="0" borderId="43" xfId="4" applyNumberFormat="1" applyFont="1" applyFill="1" applyBorder="1"/>
    <xf numFmtId="196" fontId="19" fillId="0" borderId="42" xfId="4" applyNumberFormat="1" applyFont="1" applyFill="1" applyBorder="1"/>
    <xf numFmtId="196" fontId="66" fillId="0" borderId="43" xfId="4" applyNumberFormat="1" applyFont="1" applyFill="1" applyBorder="1"/>
    <xf numFmtId="0" fontId="18" fillId="0" borderId="25" xfId="4" applyFont="1" applyBorder="1"/>
    <xf numFmtId="0" fontId="18" fillId="0" borderId="42" xfId="4" applyFont="1" applyBorder="1"/>
    <xf numFmtId="196" fontId="6" fillId="32" borderId="0" xfId="4" applyNumberFormat="1" applyFont="1" applyFill="1" applyBorder="1"/>
    <xf numFmtId="196" fontId="6" fillId="32" borderId="5" xfId="4" applyNumberFormat="1" applyFont="1" applyFill="1" applyBorder="1"/>
    <xf numFmtId="196" fontId="6" fillId="32" borderId="4" xfId="4" applyNumberFormat="1" applyFont="1" applyFill="1" applyBorder="1"/>
    <xf numFmtId="196" fontId="6" fillId="32" borderId="41" xfId="4" applyNumberFormat="1" applyFont="1" applyFill="1" applyBorder="1"/>
    <xf numFmtId="196" fontId="11" fillId="32" borderId="0" xfId="4" applyNumberFormat="1" applyFont="1" applyFill="1" applyBorder="1"/>
    <xf numFmtId="196" fontId="6" fillId="0" borderId="39" xfId="4" applyNumberFormat="1" applyFont="1" applyFill="1" applyBorder="1"/>
    <xf numFmtId="196" fontId="11" fillId="32" borderId="3" xfId="4" applyNumberFormat="1" applyFont="1" applyFill="1" applyBorder="1"/>
    <xf numFmtId="196" fontId="11" fillId="32" borderId="40" xfId="4" applyNumberFormat="1" applyFont="1" applyFill="1" applyBorder="1"/>
    <xf numFmtId="196" fontId="11" fillId="32" borderId="4" xfId="4" applyNumberFormat="1" applyFont="1" applyFill="1" applyBorder="1"/>
    <xf numFmtId="175" fontId="31" fillId="0" borderId="39" xfId="4" applyNumberFormat="1" applyFont="1" applyBorder="1" applyAlignment="1">
      <alignment horizontal="centerContinuous"/>
    </xf>
    <xf numFmtId="169" fontId="1" fillId="0" borderId="0" xfId="4" applyNumberFormat="1" applyFont="1"/>
    <xf numFmtId="171" fontId="24" fillId="0" borderId="0" xfId="4" applyNumberFormat="1" applyFont="1" applyFill="1" applyBorder="1"/>
    <xf numFmtId="178" fontId="0" fillId="0" borderId="0" xfId="664" applyNumberFormat="1" applyFont="1"/>
    <xf numFmtId="168" fontId="0" fillId="0" borderId="0" xfId="1567" applyNumberFormat="1" applyFont="1"/>
    <xf numFmtId="44" fontId="0" fillId="0" borderId="0" xfId="956" applyFont="1"/>
    <xf numFmtId="165" fontId="16" fillId="32" borderId="3" xfId="1513" applyNumberFormat="1" applyFont="1" applyFill="1" applyBorder="1" applyAlignment="1">
      <alignment horizontal="right"/>
    </xf>
    <xf numFmtId="165" fontId="7" fillId="32" borderId="0" xfId="1513" applyNumberFormat="1" applyFont="1" applyFill="1" applyBorder="1" applyAlignment="1">
      <alignment horizontal="right"/>
    </xf>
    <xf numFmtId="165" fontId="7" fillId="32" borderId="5" xfId="1513" applyNumberFormat="1" applyFont="1" applyFill="1" applyBorder="1" applyAlignment="1">
      <alignment horizontal="right"/>
    </xf>
    <xf numFmtId="165" fontId="7" fillId="32" borderId="3" xfId="1513" applyNumberFormat="1" applyFont="1" applyFill="1" applyBorder="1" applyAlignment="1">
      <alignment horizontal="right"/>
    </xf>
    <xf numFmtId="165" fontId="9" fillId="32" borderId="0" xfId="1513" applyNumberFormat="1" applyFont="1" applyFill="1" applyBorder="1" applyAlignment="1">
      <alignment horizontal="right"/>
    </xf>
    <xf numFmtId="165" fontId="9" fillId="32" borderId="5" xfId="1513" applyNumberFormat="1" applyFont="1" applyFill="1" applyBorder="1" applyAlignment="1">
      <alignment horizontal="right"/>
    </xf>
    <xf numFmtId="165" fontId="9" fillId="32" borderId="3" xfId="1513" applyNumberFormat="1" applyFont="1" applyFill="1" applyBorder="1" applyAlignment="1">
      <alignment horizontal="right"/>
    </xf>
    <xf numFmtId="167" fontId="6" fillId="0" borderId="5" xfId="4" applyNumberFormat="1" applyFont="1" applyFill="1" applyBorder="1" applyAlignment="1"/>
    <xf numFmtId="165" fontId="9" fillId="32" borderId="42" xfId="1513" applyNumberFormat="1" applyFont="1" applyFill="1" applyBorder="1" applyAlignment="1">
      <alignment horizontal="right"/>
    </xf>
    <xf numFmtId="165" fontId="9" fillId="32" borderId="1" xfId="1513" applyNumberFormat="1" applyFont="1" applyFill="1" applyBorder="1" applyAlignment="1">
      <alignment horizontal="right"/>
    </xf>
    <xf numFmtId="165" fontId="9" fillId="32" borderId="43" xfId="1513" applyNumberFormat="1" applyFont="1" applyFill="1" applyBorder="1" applyAlignment="1">
      <alignment horizontal="right"/>
    </xf>
    <xf numFmtId="172" fontId="11" fillId="0" borderId="0" xfId="4" applyNumberFormat="1" applyFont="1" applyFill="1" applyBorder="1" applyAlignment="1"/>
    <xf numFmtId="44" fontId="6" fillId="0" borderId="5" xfId="956" applyFont="1" applyFill="1" applyBorder="1"/>
    <xf numFmtId="1" fontId="9" fillId="32" borderId="42" xfId="1513" applyNumberFormat="1" applyFont="1" applyFill="1" applyBorder="1" applyAlignment="1">
      <alignment horizontal="right"/>
    </xf>
    <xf numFmtId="1" fontId="9" fillId="32" borderId="1" xfId="1513" applyNumberFormat="1" applyFont="1" applyFill="1" applyBorder="1" applyAlignment="1">
      <alignment horizontal="right"/>
    </xf>
    <xf numFmtId="0" fontId="0" fillId="41" borderId="0" xfId="4" applyFont="1" applyFill="1"/>
    <xf numFmtId="1" fontId="9" fillId="32" borderId="6" xfId="1512" applyNumberFormat="1" applyFont="1" applyFill="1" applyBorder="1" applyAlignment="1">
      <alignment horizontal="right"/>
    </xf>
    <xf numFmtId="1" fontId="9" fillId="0" borderId="42" xfId="1512" applyNumberFormat="1" applyFont="1" applyFill="1" applyBorder="1" applyAlignment="1">
      <alignment horizontal="right"/>
    </xf>
    <xf numFmtId="1" fontId="9" fillId="0" borderId="1" xfId="1512" applyNumberFormat="1" applyFont="1" applyFill="1" applyBorder="1" applyAlignment="1">
      <alignment horizontal="right"/>
    </xf>
    <xf numFmtId="44" fontId="6" fillId="0" borderId="0" xfId="956" applyFont="1"/>
    <xf numFmtId="44" fontId="6" fillId="0" borderId="3" xfId="956" applyFont="1" applyFill="1" applyBorder="1"/>
    <xf numFmtId="44" fontId="6" fillId="0" borderId="0" xfId="956" applyFont="1" applyFill="1" applyBorder="1"/>
    <xf numFmtId="44" fontId="6" fillId="0" borderId="25" xfId="956" applyFont="1" applyBorder="1"/>
    <xf numFmtId="44" fontId="6" fillId="0" borderId="0" xfId="956" applyFont="1" applyFill="1" applyBorder="1" applyAlignment="1"/>
    <xf numFmtId="44" fontId="6" fillId="0" borderId="5" xfId="956" applyFont="1" applyFill="1" applyBorder="1" applyAlignment="1"/>
    <xf numFmtId="196" fontId="6" fillId="32" borderId="3" xfId="4" applyNumberFormat="1" applyFont="1" applyFill="1" applyBorder="1"/>
    <xf numFmtId="196" fontId="6" fillId="32" borderId="40" xfId="4" applyNumberFormat="1" applyFont="1" applyFill="1" applyBorder="1"/>
    <xf numFmtId="0" fontId="46" fillId="0" borderId="42" xfId="4" applyFont="1" applyBorder="1" applyAlignment="1">
      <alignment vertical="center"/>
    </xf>
    <xf numFmtId="175" fontId="46" fillId="0" borderId="42" xfId="4" applyNumberFormat="1" applyFont="1" applyBorder="1" applyAlignment="1">
      <alignment horizontal="centerContinuous"/>
    </xf>
    <xf numFmtId="175" fontId="46" fillId="0" borderId="1" xfId="4" applyNumberFormat="1" applyFont="1" applyBorder="1" applyAlignment="1">
      <alignment horizontal="centerContinuous"/>
    </xf>
    <xf numFmtId="175" fontId="46" fillId="0" borderId="43" xfId="4" applyNumberFormat="1" applyFont="1" applyBorder="1" applyAlignment="1">
      <alignment horizontal="centerContinuous"/>
    </xf>
    <xf numFmtId="168" fontId="46" fillId="0" borderId="42" xfId="4" applyNumberFormat="1" applyFont="1" applyBorder="1" applyAlignment="1">
      <alignment horizontal="centerContinuous"/>
    </xf>
    <xf numFmtId="168" fontId="46" fillId="0" borderId="1" xfId="4" applyNumberFormat="1" applyFont="1" applyBorder="1" applyAlignment="1">
      <alignment horizontal="centerContinuous"/>
    </xf>
    <xf numFmtId="168" fontId="46" fillId="0" borderId="43" xfId="4" applyNumberFormat="1" applyFont="1" applyBorder="1" applyAlignment="1">
      <alignment horizontal="centerContinuous"/>
    </xf>
    <xf numFmtId="168" fontId="68" fillId="0" borderId="42" xfId="4" applyNumberFormat="1" applyFont="1" applyFill="1" applyBorder="1"/>
    <xf numFmtId="168" fontId="47" fillId="0" borderId="1" xfId="4" applyNumberFormat="1" applyFont="1" applyFill="1" applyBorder="1"/>
    <xf numFmtId="168" fontId="68" fillId="0" borderId="1" xfId="4" applyNumberFormat="1" applyFont="1" applyFill="1" applyBorder="1"/>
    <xf numFmtId="168" fontId="68" fillId="0" borderId="43" xfId="4" applyNumberFormat="1" applyFont="1" applyFill="1" applyBorder="1"/>
    <xf numFmtId="168" fontId="46" fillId="0" borderId="25" xfId="4" applyNumberFormat="1" applyFont="1" applyBorder="1"/>
    <xf numFmtId="168" fontId="46" fillId="0" borderId="42" xfId="4" applyNumberFormat="1" applyFont="1" applyBorder="1"/>
    <xf numFmtId="168" fontId="46" fillId="0" borderId="1" xfId="4" applyNumberFormat="1" applyFont="1" applyBorder="1"/>
    <xf numFmtId="0" fontId="45" fillId="0" borderId="3" xfId="4" applyFont="1" applyBorder="1" applyAlignment="1">
      <alignment horizontal="left" vertical="center" indent="1"/>
    </xf>
    <xf numFmtId="175" fontId="46" fillId="0" borderId="3" xfId="4" applyNumberFormat="1" applyFont="1" applyBorder="1" applyAlignment="1">
      <alignment horizontal="centerContinuous"/>
    </xf>
    <xf numFmtId="175" fontId="46" fillId="0" borderId="0" xfId="4" applyNumberFormat="1" applyFont="1" applyBorder="1" applyAlignment="1">
      <alignment horizontal="centerContinuous"/>
    </xf>
    <xf numFmtId="175" fontId="46" fillId="0" borderId="5" xfId="4" applyNumberFormat="1" applyFont="1" applyBorder="1" applyAlignment="1">
      <alignment horizontal="centerContinuous"/>
    </xf>
    <xf numFmtId="168" fontId="15" fillId="0" borderId="3" xfId="4" applyNumberFormat="1" applyFont="1" applyFill="1" applyBorder="1"/>
    <xf numFmtId="168" fontId="15" fillId="0" borderId="0" xfId="4" applyNumberFormat="1" applyFont="1" applyFill="1" applyBorder="1"/>
    <xf numFmtId="168" fontId="14" fillId="0" borderId="5" xfId="4" applyNumberFormat="1" applyFont="1" applyFill="1" applyBorder="1"/>
    <xf numFmtId="168" fontId="15" fillId="0" borderId="5" xfId="4" applyNumberFormat="1" applyFont="1" applyFill="1" applyBorder="1"/>
    <xf numFmtId="168" fontId="45" fillId="0" borderId="25" xfId="4" applyNumberFormat="1" applyFont="1" applyBorder="1"/>
    <xf numFmtId="168" fontId="45" fillId="0" borderId="3" xfId="4" applyNumberFormat="1" applyFont="1" applyBorder="1"/>
    <xf numFmtId="168" fontId="45" fillId="0" borderId="0" xfId="4" applyNumberFormat="1" applyFont="1" applyBorder="1"/>
    <xf numFmtId="168" fontId="46" fillId="0" borderId="0" xfId="4" applyNumberFormat="1" applyFont="1" applyBorder="1" applyAlignment="1">
      <alignment horizontal="centerContinuous"/>
    </xf>
    <xf numFmtId="168" fontId="46" fillId="0" borderId="5" xfId="4" applyNumberFormat="1" applyFont="1" applyBorder="1" applyAlignment="1">
      <alignment horizontal="centerContinuous"/>
    </xf>
    <xf numFmtId="168" fontId="46" fillId="0" borderId="3" xfId="4" applyNumberFormat="1" applyFont="1" applyBorder="1" applyAlignment="1">
      <alignment horizontal="centerContinuous"/>
    </xf>
    <xf numFmtId="168" fontId="14" fillId="0" borderId="0" xfId="4" applyNumberFormat="1" applyFont="1" applyFill="1" applyBorder="1"/>
    <xf numFmtId="168" fontId="47" fillId="0" borderId="42" xfId="4" applyNumberFormat="1" applyFont="1" applyFill="1" applyBorder="1"/>
    <xf numFmtId="168" fontId="47" fillId="0" borderId="43" xfId="4" applyNumberFormat="1" applyFont="1" applyFill="1" applyBorder="1"/>
    <xf numFmtId="168" fontId="45" fillId="0" borderId="5" xfId="4" applyNumberFormat="1" applyFont="1" applyBorder="1"/>
    <xf numFmtId="168" fontId="15" fillId="32" borderId="3" xfId="4" applyNumberFormat="1" applyFont="1" applyFill="1" applyBorder="1"/>
    <xf numFmtId="168" fontId="15" fillId="32" borderId="0" xfId="4" applyNumberFormat="1" applyFont="1" applyFill="1" applyBorder="1"/>
    <xf numFmtId="168" fontId="14" fillId="0" borderId="3" xfId="4" applyNumberFormat="1" applyFont="1" applyFill="1" applyBorder="1"/>
    <xf numFmtId="168" fontId="14" fillId="32" borderId="5" xfId="4" applyNumberFormat="1" applyFont="1" applyFill="1" applyBorder="1"/>
    <xf numFmtId="168" fontId="14" fillId="32" borderId="3" xfId="4" applyNumberFormat="1" applyFont="1" applyFill="1" applyBorder="1"/>
    <xf numFmtId="0" fontId="45" fillId="0" borderId="40" xfId="4" applyFont="1" applyBorder="1" applyAlignment="1">
      <alignment horizontal="left" vertical="center" indent="1"/>
    </xf>
    <xf numFmtId="0" fontId="46" fillId="0" borderId="4" xfId="4" applyFont="1" applyBorder="1"/>
    <xf numFmtId="0" fontId="45" fillId="0" borderId="40" xfId="4" applyFont="1" applyBorder="1"/>
    <xf numFmtId="0" fontId="45" fillId="0" borderId="4" xfId="4" applyFont="1" applyBorder="1"/>
    <xf numFmtId="0" fontId="45" fillId="0" borderId="41" xfId="4" applyFont="1" applyBorder="1"/>
    <xf numFmtId="168" fontId="45" fillId="0" borderId="40" xfId="4" applyNumberFormat="1" applyFont="1" applyBorder="1"/>
    <xf numFmtId="168" fontId="45" fillId="0" borderId="4" xfId="4" applyNumberFormat="1" applyFont="1" applyBorder="1"/>
    <xf numFmtId="168" fontId="45" fillId="0" borderId="41" xfId="4" applyNumberFormat="1" applyFont="1" applyBorder="1"/>
    <xf numFmtId="168" fontId="15" fillId="32" borderId="40" xfId="4" applyNumberFormat="1" applyFont="1" applyFill="1" applyBorder="1"/>
    <xf numFmtId="168" fontId="15" fillId="32" borderId="4" xfId="4" applyNumberFormat="1" applyFont="1" applyFill="1" applyBorder="1"/>
    <xf numFmtId="168" fontId="14" fillId="0" borderId="40" xfId="4" applyNumberFormat="1" applyFont="1" applyFill="1" applyBorder="1"/>
    <xf numFmtId="168" fontId="14" fillId="0" borderId="4" xfId="4" applyNumberFormat="1" applyFont="1" applyFill="1" applyBorder="1"/>
    <xf numFmtId="168" fontId="14" fillId="32" borderId="41" xfId="4" applyNumberFormat="1" applyFont="1" applyFill="1" applyBorder="1"/>
    <xf numFmtId="168" fontId="14" fillId="32" borderId="40" xfId="4" applyNumberFormat="1" applyFont="1" applyFill="1" applyBorder="1"/>
    <xf numFmtId="168" fontId="15" fillId="0" borderId="4" xfId="4" applyNumberFormat="1" applyFont="1" applyFill="1" applyBorder="1"/>
    <xf numFmtId="168" fontId="15" fillId="0" borderId="41" xfId="4" applyNumberFormat="1" applyFont="1" applyFill="1" applyBorder="1"/>
    <xf numFmtId="168" fontId="15" fillId="0" borderId="40" xfId="4" applyNumberFormat="1" applyFont="1" applyFill="1" applyBorder="1"/>
    <xf numFmtId="0" fontId="46" fillId="0" borderId="40" xfId="4" applyFont="1" applyFill="1" applyBorder="1" applyAlignment="1">
      <alignment vertical="center"/>
    </xf>
    <xf numFmtId="168" fontId="47" fillId="0" borderId="40" xfId="4" applyNumberFormat="1" applyFont="1" applyFill="1" applyBorder="1"/>
    <xf numFmtId="168" fontId="47" fillId="0" borderId="4" xfId="4" applyNumberFormat="1" applyFont="1" applyFill="1" applyBorder="1"/>
    <xf numFmtId="168" fontId="47" fillId="0" borderId="41" xfId="4" applyNumberFormat="1" applyFont="1" applyFill="1" applyBorder="1"/>
    <xf numFmtId="168" fontId="45" fillId="0" borderId="42" xfId="4" applyNumberFormat="1" applyFont="1" applyBorder="1"/>
    <xf numFmtId="168" fontId="45" fillId="0" borderId="1" xfId="4" applyNumberFormat="1" applyFont="1" applyBorder="1"/>
    <xf numFmtId="168" fontId="45" fillId="0" borderId="43" xfId="4" applyNumberFormat="1" applyFont="1" applyBorder="1"/>
    <xf numFmtId="167" fontId="17" fillId="0" borderId="39" xfId="4" applyNumberFormat="1" applyFont="1" applyFill="1" applyBorder="1" applyAlignment="1"/>
    <xf numFmtId="175" fontId="6" fillId="0" borderId="12" xfId="4" applyNumberFormat="1" applyFont="1" applyFill="1" applyBorder="1"/>
    <xf numFmtId="175" fontId="6" fillId="0" borderId="3" xfId="4" applyNumberFormat="1" applyFont="1" applyFill="1" applyBorder="1"/>
    <xf numFmtId="164" fontId="6" fillId="0" borderId="6" xfId="4" applyNumberFormat="1" applyFont="1" applyBorder="1"/>
    <xf numFmtId="44" fontId="6" fillId="0" borderId="3" xfId="956" applyFont="1" applyFill="1" applyBorder="1" applyAlignment="1"/>
    <xf numFmtId="0" fontId="8" fillId="0" borderId="12" xfId="4" applyFont="1" applyBorder="1"/>
    <xf numFmtId="0" fontId="8" fillId="0" borderId="6" xfId="4" applyFont="1" applyBorder="1"/>
    <xf numFmtId="0" fontId="8" fillId="0" borderId="4" xfId="4" applyFont="1" applyFill="1" applyBorder="1" applyAlignment="1">
      <alignment horizontal="left" indent="1"/>
    </xf>
    <xf numFmtId="168" fontId="8" fillId="0" borderId="40" xfId="1567" applyNumberFormat="1" applyFont="1" applyFill="1" applyBorder="1"/>
    <xf numFmtId="168" fontId="14" fillId="0" borderId="40" xfId="1567" applyNumberFormat="1" applyFont="1" applyBorder="1"/>
    <xf numFmtId="168" fontId="14" fillId="0" borderId="4" xfId="1567" applyNumberFormat="1" applyFont="1" applyBorder="1"/>
    <xf numFmtId="10" fontId="1" fillId="0" borderId="0" xfId="4" applyNumberFormat="1" applyFont="1"/>
    <xf numFmtId="207" fontId="20" fillId="0" borderId="1" xfId="664" applyNumberFormat="1" applyFont="1" applyFill="1" applyBorder="1"/>
    <xf numFmtId="44" fontId="6" fillId="0" borderId="0" xfId="956" applyFont="1" applyBorder="1"/>
    <xf numFmtId="183" fontId="19" fillId="0" borderId="43" xfId="4" applyNumberFormat="1" applyFont="1" applyFill="1" applyBorder="1"/>
    <xf numFmtId="168" fontId="8" fillId="0" borderId="3" xfId="1567" applyNumberFormat="1" applyFont="1" applyBorder="1"/>
    <xf numFmtId="165" fontId="9" fillId="0" borderId="42" xfId="1513" applyNumberFormat="1" applyFont="1" applyFill="1" applyBorder="1" applyAlignment="1">
      <alignment horizontal="right"/>
    </xf>
    <xf numFmtId="165" fontId="9" fillId="0" borderId="1" xfId="1513" applyNumberFormat="1" applyFont="1" applyFill="1" applyBorder="1" applyAlignment="1">
      <alignment horizontal="right"/>
    </xf>
    <xf numFmtId="174" fontId="1" fillId="0" borderId="0" xfId="4" applyNumberFormat="1" applyFont="1"/>
    <xf numFmtId="174" fontId="1" fillId="0" borderId="0" xfId="4" applyNumberFormat="1" applyFont="1" applyFill="1"/>
    <xf numFmtId="181" fontId="6" fillId="0" borderId="39" xfId="664" applyNumberFormat="1" applyFont="1" applyFill="1" applyBorder="1"/>
    <xf numFmtId="181" fontId="20" fillId="0" borderId="1" xfId="664" applyNumberFormat="1" applyFont="1" applyFill="1" applyBorder="1"/>
    <xf numFmtId="169" fontId="19" fillId="32" borderId="42" xfId="4" applyNumberFormat="1" applyFont="1" applyFill="1" applyBorder="1" applyAlignment="1">
      <alignment horizontal="right"/>
    </xf>
    <xf numFmtId="169" fontId="19" fillId="32" borderId="1" xfId="4" applyNumberFormat="1" applyFont="1" applyFill="1" applyBorder="1" applyAlignment="1">
      <alignment horizontal="right"/>
    </xf>
    <xf numFmtId="169" fontId="19" fillId="32" borderId="43" xfId="4" applyNumberFormat="1" applyFont="1" applyFill="1" applyBorder="1" applyAlignment="1">
      <alignment horizontal="right"/>
    </xf>
    <xf numFmtId="0" fontId="19" fillId="32" borderId="42" xfId="4" applyFont="1" applyFill="1" applyBorder="1" applyAlignment="1">
      <alignment horizontal="left"/>
    </xf>
    <xf numFmtId="0" fontId="19" fillId="32" borderId="1" xfId="4" applyFont="1" applyFill="1" applyBorder="1" applyAlignment="1">
      <alignment horizontal="right"/>
    </xf>
    <xf numFmtId="168" fontId="12" fillId="0" borderId="40" xfId="1567" applyNumberFormat="1" applyFont="1" applyFill="1" applyBorder="1"/>
    <xf numFmtId="168" fontId="12" fillId="0" borderId="4" xfId="1567" applyNumberFormat="1" applyFont="1" applyFill="1" applyBorder="1"/>
    <xf numFmtId="168" fontId="12" fillId="0" borderId="41" xfId="1567" applyNumberFormat="1" applyFont="1" applyFill="1" applyBorder="1"/>
    <xf numFmtId="168" fontId="11" fillId="0" borderId="4" xfId="1567" applyNumberFormat="1" applyFont="1" applyFill="1" applyBorder="1"/>
    <xf numFmtId="0" fontId="34" fillId="0" borderId="0" xfId="4" applyFont="1"/>
    <xf numFmtId="0" fontId="34" fillId="0" borderId="3" xfId="4" applyFont="1" applyFill="1" applyBorder="1" applyAlignment="1">
      <alignment horizontal="left"/>
    </xf>
    <xf numFmtId="0" fontId="34" fillId="0" borderId="25" xfId="4" applyFont="1" applyBorder="1"/>
    <xf numFmtId="0" fontId="67" fillId="0" borderId="0" xfId="4" applyFont="1"/>
    <xf numFmtId="0" fontId="34" fillId="0" borderId="5" xfId="4" applyFont="1" applyFill="1" applyBorder="1" applyAlignment="1">
      <alignment horizontal="left" indent="1"/>
    </xf>
    <xf numFmtId="164" fontId="33" fillId="0" borderId="3" xfId="4" applyNumberFormat="1" applyFont="1" applyFill="1" applyBorder="1" applyAlignment="1"/>
    <xf numFmtId="164" fontId="34" fillId="0" borderId="0" xfId="4" applyNumberFormat="1" applyFont="1" applyFill="1" applyBorder="1" applyAlignment="1"/>
    <xf numFmtId="164" fontId="34" fillId="0" borderId="5" xfId="4" applyNumberFormat="1" applyFont="1" applyFill="1" applyBorder="1" applyAlignment="1"/>
    <xf numFmtId="164" fontId="34" fillId="0" borderId="3" xfId="4" applyNumberFormat="1" applyFont="1" applyFill="1" applyBorder="1" applyAlignment="1"/>
    <xf numFmtId="0" fontId="34" fillId="0" borderId="3" xfId="4" applyFont="1" applyBorder="1"/>
    <xf numFmtId="43" fontId="6" fillId="0" borderId="0" xfId="664" applyFont="1"/>
    <xf numFmtId="43" fontId="8" fillId="0" borderId="3" xfId="664" applyFont="1" applyFill="1" applyBorder="1" applyAlignment="1">
      <alignment horizontal="left" indent="1"/>
    </xf>
    <xf numFmtId="43" fontId="8" fillId="0" borderId="5" xfId="664" applyFont="1" applyFill="1" applyBorder="1" applyAlignment="1">
      <alignment horizontal="left" indent="1"/>
    </xf>
    <xf numFmtId="43" fontId="8" fillId="0" borderId="3" xfId="664" applyFont="1" applyFill="1" applyBorder="1" applyAlignment="1"/>
    <xf numFmtId="43" fontId="8" fillId="0" borderId="0" xfId="664" applyFont="1" applyFill="1" applyBorder="1" applyAlignment="1"/>
    <xf numFmtId="43" fontId="8" fillId="0" borderId="5" xfId="664" applyFont="1" applyFill="1" applyBorder="1" applyAlignment="1"/>
    <xf numFmtId="43" fontId="0" fillId="0" borderId="0" xfId="664" applyFont="1"/>
    <xf numFmtId="0" fontId="34" fillId="0" borderId="3" xfId="4" applyFont="1" applyFill="1" applyBorder="1"/>
    <xf numFmtId="0" fontId="34" fillId="0" borderId="5" xfId="4" applyFont="1" applyFill="1" applyBorder="1"/>
    <xf numFmtId="164" fontId="33" fillId="0" borderId="0" xfId="4" applyNumberFormat="1" applyFont="1" applyFill="1" applyBorder="1" applyAlignment="1"/>
    <xf numFmtId="164" fontId="33" fillId="0" borderId="5" xfId="4" applyNumberFormat="1" applyFont="1" applyFill="1" applyBorder="1" applyAlignment="1"/>
    <xf numFmtId="178" fontId="6" fillId="0" borderId="0" xfId="664" applyNumberFormat="1" applyFont="1"/>
    <xf numFmtId="178" fontId="6" fillId="0" borderId="3" xfId="664" applyNumberFormat="1" applyFont="1" applyFill="1" applyBorder="1" applyAlignment="1">
      <alignment horizontal="left"/>
    </xf>
    <xf numFmtId="178" fontId="6" fillId="0" borderId="5" xfId="664" applyNumberFormat="1" applyFont="1" applyFill="1" applyBorder="1" applyAlignment="1">
      <alignment horizontal="left" indent="1"/>
    </xf>
    <xf numFmtId="178" fontId="11" fillId="0" borderId="3" xfId="664" applyNumberFormat="1" applyFont="1" applyFill="1" applyBorder="1" applyAlignment="1"/>
    <xf numFmtId="178" fontId="11" fillId="0" borderId="0" xfId="664" applyNumberFormat="1" applyFont="1" applyFill="1" applyBorder="1" applyAlignment="1"/>
    <xf numFmtId="178" fontId="11" fillId="0" borderId="5" xfId="664" applyNumberFormat="1" applyFont="1" applyFill="1" applyBorder="1" applyAlignment="1"/>
    <xf numFmtId="178" fontId="6" fillId="0" borderId="3" xfId="664" applyNumberFormat="1" applyFont="1" applyFill="1" applyBorder="1" applyAlignment="1"/>
    <xf numFmtId="178" fontId="6" fillId="0" borderId="0" xfId="664" applyNumberFormat="1" applyFont="1" applyFill="1" applyBorder="1" applyAlignment="1"/>
    <xf numFmtId="178" fontId="6" fillId="0" borderId="5" xfId="664" applyNumberFormat="1" applyFont="1" applyFill="1" applyBorder="1" applyAlignment="1"/>
    <xf numFmtId="178" fontId="6" fillId="0" borderId="25" xfId="664" applyNumberFormat="1" applyFont="1" applyBorder="1"/>
    <xf numFmtId="178" fontId="34" fillId="0" borderId="0" xfId="664" applyNumberFormat="1" applyFont="1"/>
    <xf numFmtId="178" fontId="34" fillId="0" borderId="3" xfId="664" applyNumberFormat="1" applyFont="1" applyFill="1" applyBorder="1" applyAlignment="1">
      <alignment horizontal="left"/>
    </xf>
    <xf numFmtId="178" fontId="34" fillId="0" borderId="5" xfId="664" applyNumberFormat="1" applyFont="1" applyFill="1" applyBorder="1" applyAlignment="1">
      <alignment horizontal="left" indent="1"/>
    </xf>
    <xf numFmtId="178" fontId="33" fillId="0" borderId="3" xfId="664" applyNumberFormat="1" applyFont="1" applyFill="1" applyBorder="1" applyAlignment="1"/>
    <xf numFmtId="178" fontId="33" fillId="0" borderId="0" xfId="664" applyNumberFormat="1" applyFont="1" applyFill="1" applyBorder="1" applyAlignment="1"/>
    <xf numFmtId="178" fontId="33" fillId="0" borderId="5" xfId="664" applyNumberFormat="1" applyFont="1" applyFill="1" applyBorder="1" applyAlignment="1"/>
    <xf numFmtId="178" fontId="34" fillId="0" borderId="3" xfId="664" applyNumberFormat="1" applyFont="1" applyFill="1" applyBorder="1" applyAlignment="1"/>
    <xf numFmtId="178" fontId="34" fillId="0" borderId="0" xfId="664" applyNumberFormat="1" applyFont="1" applyFill="1" applyBorder="1" applyAlignment="1"/>
    <xf numFmtId="178" fontId="34" fillId="0" borderId="5" xfId="664" applyNumberFormat="1" applyFont="1" applyFill="1" applyBorder="1" applyAlignment="1"/>
    <xf numFmtId="178" fontId="34" fillId="0" borderId="0" xfId="664" applyNumberFormat="1" applyFont="1" applyBorder="1"/>
    <xf numFmtId="178" fontId="34" fillId="0" borderId="25" xfId="664" applyNumberFormat="1" applyFont="1" applyBorder="1"/>
    <xf numFmtId="178" fontId="67" fillId="0" borderId="0" xfId="664" applyNumberFormat="1" applyFont="1"/>
    <xf numFmtId="178" fontId="6" fillId="0" borderId="40" xfId="664" applyNumberFormat="1" applyFont="1" applyBorder="1"/>
    <xf numFmtId="178" fontId="6" fillId="0" borderId="4" xfId="664" applyNumberFormat="1" applyFont="1" applyBorder="1"/>
    <xf numFmtId="178" fontId="6" fillId="0" borderId="41" xfId="664" applyNumberFormat="1" applyFont="1" applyBorder="1"/>
    <xf numFmtId="164" fontId="11" fillId="52" borderId="3" xfId="4" applyNumberFormat="1" applyFont="1" applyFill="1" applyBorder="1" applyAlignment="1"/>
    <xf numFmtId="164" fontId="11" fillId="52" borderId="0" xfId="4" applyNumberFormat="1" applyFont="1" applyFill="1" applyBorder="1" applyAlignment="1"/>
    <xf numFmtId="167" fontId="17" fillId="0" borderId="6" xfId="4" applyNumberFormat="1" applyFont="1" applyFill="1" applyBorder="1" applyAlignment="1"/>
    <xf numFmtId="0" fontId="0" fillId="0" borderId="5" xfId="4" applyFont="1" applyBorder="1"/>
    <xf numFmtId="0" fontId="34" fillId="0" borderId="5" xfId="4" applyFont="1" applyBorder="1"/>
    <xf numFmtId="0" fontId="34" fillId="0" borderId="0" xfId="4" applyFont="1" applyBorder="1"/>
    <xf numFmtId="43" fontId="6" fillId="0" borderId="0" xfId="664" applyFont="1" applyBorder="1"/>
    <xf numFmtId="167" fontId="6" fillId="0" borderId="12" xfId="4" applyNumberFormat="1" applyFont="1" applyFill="1" applyBorder="1" applyAlignment="1"/>
    <xf numFmtId="167" fontId="6" fillId="0" borderId="6" xfId="4" applyNumberFormat="1" applyFont="1" applyFill="1" applyBorder="1" applyAlignment="1"/>
    <xf numFmtId="44" fontId="6" fillId="0" borderId="5" xfId="956" applyFont="1" applyBorder="1"/>
    <xf numFmtId="1" fontId="9" fillId="0" borderId="0" xfId="1512" applyNumberFormat="1" applyFont="1" applyFill="1" applyBorder="1" applyAlignment="1">
      <alignment horizontal="right"/>
    </xf>
    <xf numFmtId="164" fontId="34" fillId="46" borderId="3" xfId="1511" applyNumberFormat="1" applyFont="1" applyFill="1" applyBorder="1"/>
    <xf numFmtId="164" fontId="34" fillId="46" borderId="0" xfId="1511" applyNumberFormat="1" applyFont="1" applyFill="1" applyBorder="1"/>
    <xf numFmtId="164" fontId="34" fillId="46" borderId="5" xfId="1511" applyNumberFormat="1" applyFont="1" applyFill="1" applyBorder="1"/>
    <xf numFmtId="164" fontId="70" fillId="46" borderId="0" xfId="1511" applyNumberFormat="1" applyFont="1" applyFill="1" applyBorder="1"/>
    <xf numFmtId="0" fontId="34" fillId="0" borderId="0" xfId="4" applyFont="1" applyFill="1" applyBorder="1"/>
    <xf numFmtId="164" fontId="34" fillId="0" borderId="0" xfId="4" applyNumberFormat="1" applyFont="1" applyFill="1" applyBorder="1"/>
    <xf numFmtId="164" fontId="6" fillId="46" borderId="6" xfId="1511" applyNumberFormat="1" applyFont="1" applyFill="1" applyBorder="1"/>
    <xf numFmtId="178" fontId="6" fillId="0" borderId="3" xfId="4" applyNumberFormat="1" applyFont="1" applyBorder="1"/>
    <xf numFmtId="178" fontId="6" fillId="0" borderId="0" xfId="4" applyNumberFormat="1" applyFont="1" applyBorder="1"/>
    <xf numFmtId="178" fontId="6" fillId="0" borderId="5" xfId="4" applyNumberFormat="1" applyFont="1" applyBorder="1"/>
    <xf numFmtId="164" fontId="34" fillId="0" borderId="3" xfId="4" applyNumberFormat="1" applyFont="1" applyBorder="1"/>
    <xf numFmtId="164" fontId="34" fillId="0" borderId="0" xfId="4" applyNumberFormat="1" applyFont="1" applyBorder="1"/>
    <xf numFmtId="164" fontId="34" fillId="0" borderId="5" xfId="4" applyNumberFormat="1" applyFont="1" applyBorder="1"/>
    <xf numFmtId="10" fontId="6" fillId="0" borderId="3" xfId="4" applyNumberFormat="1" applyFont="1" applyBorder="1"/>
    <xf numFmtId="10" fontId="6" fillId="0" borderId="0" xfId="4" applyNumberFormat="1" applyFont="1" applyBorder="1"/>
    <xf numFmtId="10" fontId="6" fillId="0" borderId="5" xfId="4" applyNumberFormat="1" applyFont="1" applyBorder="1"/>
    <xf numFmtId="178" fontId="6" fillId="0" borderId="3" xfId="664" applyNumberFormat="1" applyFont="1" applyBorder="1"/>
    <xf numFmtId="178" fontId="34" fillId="0" borderId="3" xfId="664" applyNumberFormat="1" applyFont="1" applyBorder="1"/>
    <xf numFmtId="178" fontId="34" fillId="0" borderId="5" xfId="664" applyNumberFormat="1" applyFont="1" applyBorder="1"/>
    <xf numFmtId="178" fontId="34" fillId="0" borderId="3" xfId="4" applyNumberFormat="1" applyFont="1" applyBorder="1"/>
    <xf numFmtId="178" fontId="34" fillId="0" borderId="0" xfId="4" applyNumberFormat="1" applyFont="1" applyBorder="1"/>
    <xf numFmtId="178" fontId="34" fillId="0" borderId="5" xfId="4" applyNumberFormat="1" applyFont="1" applyBorder="1"/>
    <xf numFmtId="178" fontId="6" fillId="0" borderId="40" xfId="4" applyNumberFormat="1" applyFont="1" applyBorder="1"/>
    <xf numFmtId="178" fontId="6" fillId="0" borderId="4" xfId="4" applyNumberFormat="1" applyFont="1" applyBorder="1"/>
    <xf numFmtId="178" fontId="6" fillId="0" borderId="41" xfId="4" applyNumberFormat="1" applyFont="1" applyBorder="1"/>
    <xf numFmtId="164" fontId="34" fillId="0" borderId="3" xfId="4" applyNumberFormat="1" applyFont="1" applyFill="1" applyBorder="1"/>
    <xf numFmtId="10" fontId="11" fillId="0" borderId="0" xfId="4" applyNumberFormat="1" applyFont="1" applyBorder="1"/>
    <xf numFmtId="10" fontId="11" fillId="0" borderId="5" xfId="4" applyNumberFormat="1" applyFont="1" applyBorder="1"/>
    <xf numFmtId="10" fontId="11" fillId="0" borderId="3" xfId="4" applyNumberFormat="1" applyFont="1" applyBorder="1"/>
    <xf numFmtId="209" fontId="6" fillId="0" borderId="0" xfId="4" applyNumberFormat="1" applyFont="1"/>
    <xf numFmtId="209" fontId="6" fillId="0" borderId="3" xfId="4" applyNumberFormat="1" applyFont="1" applyFill="1" applyBorder="1"/>
    <xf numFmtId="209" fontId="6" fillId="0" borderId="0" xfId="4" applyNumberFormat="1" applyFont="1" applyBorder="1"/>
    <xf numFmtId="209" fontId="6" fillId="0" borderId="3" xfId="4" applyNumberFormat="1" applyFont="1" applyBorder="1"/>
    <xf numFmtId="209" fontId="6" fillId="0" borderId="5" xfId="4" applyNumberFormat="1" applyFont="1" applyBorder="1"/>
    <xf numFmtId="209" fontId="0" fillId="0" borderId="0" xfId="4" applyNumberFormat="1" applyFont="1"/>
    <xf numFmtId="209" fontId="34" fillId="0" borderId="0" xfId="4" applyNumberFormat="1" applyFont="1"/>
    <xf numFmtId="209" fontId="34" fillId="0" borderId="3" xfId="4" applyNumberFormat="1" applyFont="1" applyFill="1" applyBorder="1"/>
    <xf numFmtId="209" fontId="34" fillId="0" borderId="0" xfId="4" applyNumberFormat="1" applyFont="1" applyBorder="1"/>
    <xf numFmtId="209" fontId="34" fillId="0" borderId="3" xfId="4" applyNumberFormat="1" applyFont="1" applyBorder="1"/>
    <xf numFmtId="209" fontId="34" fillId="0" borderId="5" xfId="4" applyNumberFormat="1" applyFont="1" applyBorder="1"/>
    <xf numFmtId="209" fontId="67" fillId="0" borderId="0" xfId="4" applyNumberFormat="1" applyFont="1"/>
    <xf numFmtId="209" fontId="6" fillId="0" borderId="5" xfId="4" applyNumberFormat="1" applyFont="1" applyFill="1" applyBorder="1"/>
    <xf numFmtId="209" fontId="6" fillId="46" borderId="3" xfId="1511" applyNumberFormat="1" applyFont="1" applyFill="1" applyBorder="1"/>
    <xf numFmtId="209" fontId="6" fillId="46" borderId="0" xfId="1511" applyNumberFormat="1" applyFont="1" applyFill="1" applyBorder="1"/>
    <xf numFmtId="209" fontId="6" fillId="46" borderId="5" xfId="1511" applyNumberFormat="1" applyFont="1" applyFill="1" applyBorder="1"/>
    <xf numFmtId="209" fontId="6" fillId="0" borderId="25" xfId="4" applyNumberFormat="1" applyFont="1" applyBorder="1"/>
    <xf numFmtId="209" fontId="21" fillId="46" borderId="0" xfId="1511" applyNumberFormat="1" applyFont="1" applyFill="1" applyBorder="1"/>
    <xf numFmtId="209" fontId="21" fillId="46" borderId="5" xfId="1511" applyNumberFormat="1" applyFont="1" applyFill="1" applyBorder="1"/>
    <xf numFmtId="209" fontId="34" fillId="0" borderId="5" xfId="4" applyNumberFormat="1" applyFont="1" applyFill="1" applyBorder="1"/>
    <xf numFmtId="209" fontId="34" fillId="46" borderId="3" xfId="1511" applyNumberFormat="1" applyFont="1" applyFill="1" applyBorder="1"/>
    <xf numFmtId="209" fontId="34" fillId="46" borderId="0" xfId="1511" applyNumberFormat="1" applyFont="1" applyFill="1" applyBorder="1"/>
    <xf numFmtId="209" fontId="34" fillId="46" borderId="5" xfId="1511" applyNumberFormat="1" applyFont="1" applyFill="1" applyBorder="1"/>
    <xf numFmtId="209" fontId="34" fillId="0" borderId="25" xfId="4" applyNumberFormat="1" applyFont="1" applyBorder="1"/>
    <xf numFmtId="209" fontId="70" fillId="46" borderId="0" xfId="1511" applyNumberFormat="1" applyFont="1" applyFill="1" applyBorder="1"/>
    <xf numFmtId="209" fontId="70" fillId="46" borderId="5" xfId="1511" applyNumberFormat="1" applyFont="1" applyFill="1" applyBorder="1"/>
    <xf numFmtId="181" fontId="17" fillId="0" borderId="0" xfId="4" applyNumberFormat="1" applyFont="1" applyFill="1" applyBorder="1"/>
    <xf numFmtId="9" fontId="6" fillId="0" borderId="0" xfId="1567" applyFont="1" applyFill="1" applyBorder="1"/>
    <xf numFmtId="164" fontId="6" fillId="0" borderId="12" xfId="4" applyNumberFormat="1" applyFont="1" applyFill="1" applyBorder="1"/>
    <xf numFmtId="164" fontId="17" fillId="0" borderId="5" xfId="4" applyNumberFormat="1" applyFont="1" applyBorder="1"/>
    <xf numFmtId="10" fontId="11" fillId="0" borderId="5" xfId="1567" applyNumberFormat="1" applyFont="1" applyBorder="1"/>
    <xf numFmtId="178" fontId="13" fillId="0" borderId="5" xfId="664" applyNumberFormat="1" applyFont="1" applyBorder="1"/>
    <xf numFmtId="178" fontId="69" fillId="0" borderId="5" xfId="664" applyNumberFormat="1" applyFont="1" applyBorder="1"/>
    <xf numFmtId="168" fontId="1" fillId="0" borderId="0" xfId="1567" applyNumberFormat="1" applyFont="1"/>
    <xf numFmtId="178" fontId="11" fillId="0" borderId="12" xfId="664" applyNumberFormat="1" applyFont="1" applyFill="1" applyBorder="1" applyAlignment="1"/>
    <xf numFmtId="178" fontId="6" fillId="0" borderId="40" xfId="664" applyNumberFormat="1" applyFont="1" applyFill="1" applyBorder="1"/>
    <xf numFmtId="167" fontId="11" fillId="0" borderId="12" xfId="4" applyNumberFormat="1" applyFont="1" applyFill="1" applyBorder="1" applyAlignment="1"/>
    <xf numFmtId="168" fontId="8" fillId="0" borderId="3" xfId="1567" applyNumberFormat="1" applyFont="1" applyFill="1" applyBorder="1" applyAlignment="1">
      <alignment horizontal="right"/>
    </xf>
    <xf numFmtId="178" fontId="17" fillId="0" borderId="3" xfId="4" applyNumberFormat="1" applyFont="1" applyBorder="1"/>
    <xf numFmtId="183" fontId="6" fillId="0" borderId="6" xfId="4" applyNumberFormat="1" applyFont="1" applyFill="1" applyBorder="1"/>
    <xf numFmtId="181" fontId="24" fillId="0" borderId="0" xfId="4" applyNumberFormat="1" applyFont="1" applyFill="1" applyBorder="1"/>
    <xf numFmtId="175" fontId="11" fillId="0" borderId="6" xfId="4" applyNumberFormat="1" applyFont="1" applyFill="1" applyBorder="1"/>
    <xf numFmtId="185" fontId="6" fillId="46" borderId="0" xfId="664" applyNumberFormat="1" applyFont="1" applyFill="1" applyBorder="1"/>
    <xf numFmtId="210" fontId="1" fillId="0" borderId="0" xfId="4" applyNumberFormat="1" applyFont="1"/>
    <xf numFmtId="183" fontId="0" fillId="0" borderId="0" xfId="4" applyNumberFormat="1" applyFont="1"/>
    <xf numFmtId="168" fontId="1" fillId="0" borderId="0" xfId="4" applyNumberFormat="1" applyFont="1"/>
    <xf numFmtId="178" fontId="17" fillId="0" borderId="0" xfId="4" applyNumberFormat="1" applyFont="1" applyBorder="1"/>
    <xf numFmtId="164" fontId="6" fillId="32" borderId="0" xfId="4" applyNumberFormat="1" applyFont="1" applyFill="1" applyBorder="1"/>
    <xf numFmtId="167" fontId="19" fillId="0" borderId="0" xfId="4" applyNumberFormat="1" applyFont="1" applyFill="1" applyBorder="1" applyAlignment="1"/>
    <xf numFmtId="0" fontId="19" fillId="0" borderId="0" xfId="4" applyFont="1" applyFill="1"/>
    <xf numFmtId="174" fontId="19" fillId="0" borderId="0" xfId="4" applyNumberFormat="1" applyFont="1" applyFill="1" applyBorder="1"/>
    <xf numFmtId="0" fontId="0" fillId="0" borderId="3" xfId="0" applyBorder="1"/>
    <xf numFmtId="1" fontId="9" fillId="32" borderId="6" xfId="1513" applyNumberFormat="1" applyFont="1" applyFill="1" applyBorder="1" applyAlignment="1">
      <alignment horizontal="right"/>
    </xf>
    <xf numFmtId="1" fontId="9" fillId="0" borderId="6" xfId="1512" applyNumberFormat="1" applyFont="1" applyFill="1" applyBorder="1" applyAlignment="1">
      <alignment horizontal="right"/>
    </xf>
    <xf numFmtId="0" fontId="0" fillId="0" borderId="5" xfId="0" applyBorder="1"/>
    <xf numFmtId="44" fontId="6" fillId="0" borderId="3" xfId="4" applyNumberFormat="1" applyFont="1" applyBorder="1"/>
    <xf numFmtId="1" fontId="9" fillId="51" borderId="43" xfId="1512" applyNumberFormat="1" applyFont="1" applyFill="1" applyBorder="1" applyAlignment="1">
      <alignment horizontal="right"/>
    </xf>
    <xf numFmtId="1" fontId="9" fillId="51" borderId="1" xfId="1512" applyNumberFormat="1" applyFont="1" applyFill="1" applyBorder="1" applyAlignment="1">
      <alignment horizontal="right"/>
    </xf>
    <xf numFmtId="165" fontId="9" fillId="51" borderId="43" xfId="1513" applyNumberFormat="1" applyFont="1" applyFill="1" applyBorder="1" applyAlignment="1">
      <alignment horizontal="right"/>
    </xf>
    <xf numFmtId="165" fontId="9" fillId="51" borderId="1" xfId="1513" applyNumberFormat="1" applyFont="1" applyFill="1" applyBorder="1" applyAlignment="1">
      <alignment horizontal="right"/>
    </xf>
    <xf numFmtId="1" fontId="9" fillId="51" borderId="1" xfId="1513" applyNumberFormat="1" applyFont="1" applyFill="1" applyBorder="1" applyAlignment="1">
      <alignment horizontal="right"/>
    </xf>
    <xf numFmtId="1" fontId="9" fillId="51" borderId="43" xfId="1513" applyNumberFormat="1" applyFont="1" applyFill="1" applyBorder="1" applyAlignment="1">
      <alignment horizontal="right"/>
    </xf>
    <xf numFmtId="175" fontId="39" fillId="50" borderId="1" xfId="4" applyNumberFormat="1" applyFont="1" applyFill="1" applyBorder="1" applyAlignment="1">
      <alignment horizontal="left"/>
    </xf>
    <xf numFmtId="196" fontId="11" fillId="0" borderId="6" xfId="4" applyNumberFormat="1" applyFont="1" applyFill="1" applyBorder="1"/>
    <xf numFmtId="168" fontId="14" fillId="0" borderId="4" xfId="1567" applyNumberFormat="1" applyFont="1" applyFill="1" applyBorder="1"/>
    <xf numFmtId="196" fontId="11" fillId="0" borderId="39" xfId="4" applyNumberFormat="1" applyFont="1" applyFill="1" applyBorder="1"/>
    <xf numFmtId="175" fontId="39" fillId="50" borderId="43" xfId="4" applyNumberFormat="1" applyFont="1" applyFill="1" applyBorder="1" applyAlignment="1">
      <alignment horizontal="left"/>
    </xf>
    <xf numFmtId="168" fontId="14" fillId="0" borderId="41" xfId="1567" applyNumberFormat="1" applyFont="1" applyFill="1" applyBorder="1"/>
    <xf numFmtId="212" fontId="1" fillId="0" borderId="0" xfId="4" applyNumberFormat="1" applyFont="1"/>
    <xf numFmtId="43" fontId="1" fillId="0" borderId="0" xfId="4" applyNumberFormat="1" applyFont="1"/>
    <xf numFmtId="43" fontId="6" fillId="0" borderId="3" xfId="4" applyNumberFormat="1" applyFont="1" applyBorder="1"/>
    <xf numFmtId="0" fontId="22" fillId="32" borderId="0" xfId="4" applyFont="1" applyFill="1"/>
    <xf numFmtId="183" fontId="6" fillId="0" borderId="39" xfId="4" applyNumberFormat="1" applyFont="1" applyFill="1" applyBorder="1"/>
    <xf numFmtId="41" fontId="6" fillId="0" borderId="5" xfId="4" applyNumberFormat="1" applyFont="1" applyFill="1" applyBorder="1"/>
    <xf numFmtId="0" fontId="22" fillId="32" borderId="0" xfId="4" applyFont="1" applyFill="1" applyBorder="1"/>
    <xf numFmtId="213" fontId="20" fillId="0" borderId="1" xfId="664" applyNumberFormat="1" applyFont="1" applyFill="1" applyBorder="1"/>
    <xf numFmtId="173" fontId="20" fillId="0" borderId="1" xfId="664" applyNumberFormat="1" applyFont="1" applyFill="1" applyBorder="1"/>
    <xf numFmtId="173" fontId="20" fillId="0" borderId="42" xfId="664" applyNumberFormat="1" applyFont="1" applyFill="1" applyBorder="1"/>
    <xf numFmtId="196" fontId="19" fillId="46" borderId="1" xfId="4" applyNumberFormat="1" applyFont="1" applyFill="1" applyBorder="1"/>
    <xf numFmtId="196" fontId="73" fillId="0" borderId="42" xfId="4" applyNumberFormat="1" applyFont="1" applyFill="1" applyBorder="1"/>
    <xf numFmtId="196" fontId="74" fillId="0" borderId="3" xfId="4" applyNumberFormat="1" applyFont="1" applyFill="1" applyBorder="1"/>
    <xf numFmtId="196" fontId="74" fillId="0" borderId="40" xfId="4" applyNumberFormat="1" applyFont="1" applyFill="1" applyBorder="1"/>
    <xf numFmtId="196" fontId="73" fillId="0" borderId="40" xfId="4" applyNumberFormat="1" applyFont="1" applyFill="1" applyBorder="1"/>
    <xf numFmtId="0" fontId="0" fillId="0" borderId="0" xfId="0" applyBorder="1"/>
    <xf numFmtId="187" fontId="6" fillId="46" borderId="0" xfId="956" applyNumberFormat="1" applyFont="1" applyFill="1" applyBorder="1"/>
    <xf numFmtId="187" fontId="6" fillId="46" borderId="0" xfId="1511" applyNumberFormat="1" applyFont="1" applyFill="1" applyBorder="1"/>
    <xf numFmtId="187" fontId="6" fillId="46" borderId="5" xfId="1511" applyNumberFormat="1" applyFont="1" applyFill="1" applyBorder="1"/>
    <xf numFmtId="187" fontId="6" fillId="46" borderId="5" xfId="956" applyNumberFormat="1" applyFont="1" applyFill="1" applyBorder="1"/>
    <xf numFmtId="187" fontId="6" fillId="0" borderId="25" xfId="4" applyNumberFormat="1" applyFont="1" applyBorder="1"/>
    <xf numFmtId="185" fontId="6" fillId="46" borderId="5" xfId="664" applyNumberFormat="1" applyFont="1" applyFill="1" applyBorder="1"/>
    <xf numFmtId="178" fontId="6" fillId="0" borderId="3" xfId="664" applyNumberFormat="1" applyFont="1" applyFill="1" applyBorder="1"/>
    <xf numFmtId="178" fontId="76" fillId="0" borderId="3" xfId="664" applyNumberFormat="1" applyFont="1" applyFill="1" applyBorder="1"/>
    <xf numFmtId="178" fontId="76" fillId="0" borderId="0" xfId="664" applyNumberFormat="1" applyFont="1" applyFill="1" applyBorder="1"/>
    <xf numFmtId="187" fontId="6" fillId="0" borderId="3" xfId="956" applyNumberFormat="1" applyFont="1" applyFill="1" applyBorder="1"/>
    <xf numFmtId="187" fontId="6" fillId="0" borderId="0" xfId="956" applyNumberFormat="1" applyFont="1" applyFill="1" applyBorder="1"/>
    <xf numFmtId="214" fontId="31" fillId="0" borderId="0" xfId="4" applyNumberFormat="1" applyFont="1" applyBorder="1" applyAlignment="1">
      <alignment horizontal="centerContinuous"/>
    </xf>
    <xf numFmtId="168" fontId="79" fillId="0" borderId="5" xfId="1641" applyNumberFormat="1" applyFont="1" applyFill="1" applyBorder="1" applyAlignment="1"/>
    <xf numFmtId="168" fontId="79" fillId="0" borderId="0" xfId="1641" applyNumberFormat="1" applyFont="1" applyFill="1" applyBorder="1" applyAlignment="1"/>
    <xf numFmtId="164" fontId="78" fillId="0" borderId="0" xfId="4" applyNumberFormat="1" applyFont="1" applyFill="1" applyBorder="1" applyAlignment="1"/>
    <xf numFmtId="164" fontId="78" fillId="0" borderId="5" xfId="4" applyNumberFormat="1" applyFont="1" applyFill="1" applyBorder="1" applyAlignment="1"/>
    <xf numFmtId="0" fontId="19" fillId="0" borderId="5" xfId="4" applyFont="1" applyBorder="1"/>
    <xf numFmtId="43" fontId="6" fillId="0" borderId="5" xfId="664" applyFont="1" applyBorder="1"/>
    <xf numFmtId="175" fontId="78" fillId="0" borderId="6" xfId="4" applyNumberFormat="1" applyFont="1" applyFill="1" applyBorder="1"/>
    <xf numFmtId="175" fontId="78" fillId="0" borderId="5" xfId="4" applyNumberFormat="1" applyFont="1" applyFill="1" applyBorder="1"/>
    <xf numFmtId="175" fontId="78" fillId="0" borderId="0" xfId="4" applyNumberFormat="1" applyFont="1" applyFill="1" applyBorder="1"/>
    <xf numFmtId="175" fontId="78" fillId="0" borderId="39" xfId="4" applyNumberFormat="1" applyFont="1" applyFill="1" applyBorder="1"/>
    <xf numFmtId="167" fontId="6" fillId="0" borderId="0" xfId="4" applyNumberFormat="1" applyFont="1" applyBorder="1"/>
    <xf numFmtId="6" fontId="6" fillId="0" borderId="0" xfId="4" applyNumberFormat="1" applyFont="1" applyBorder="1"/>
    <xf numFmtId="44" fontId="6" fillId="0" borderId="0" xfId="4" applyNumberFormat="1" applyFont="1" applyBorder="1"/>
    <xf numFmtId="0" fontId="22" fillId="0" borderId="0" xfId="5" applyFont="1"/>
    <xf numFmtId="1" fontId="9" fillId="32" borderId="39" xfId="1513" applyNumberFormat="1" applyFont="1" applyFill="1" applyBorder="1" applyAlignment="1">
      <alignment horizontal="right"/>
    </xf>
    <xf numFmtId="10" fontId="7" fillId="0" borderId="0" xfId="1567" applyNumberFormat="1" applyFont="1" applyFill="1" applyBorder="1" applyAlignment="1"/>
    <xf numFmtId="168" fontId="84" fillId="0" borderId="0" xfId="1567" applyNumberFormat="1" applyFont="1" applyFill="1" applyBorder="1" applyAlignment="1"/>
    <xf numFmtId="168" fontId="84" fillId="0" borderId="5" xfId="1567" applyNumberFormat="1" applyFont="1" applyFill="1" applyBorder="1" applyAlignment="1"/>
    <xf numFmtId="216" fontId="20" fillId="0" borderId="1" xfId="664" applyNumberFormat="1" applyFont="1" applyFill="1" applyBorder="1"/>
    <xf numFmtId="196" fontId="7" fillId="0" borderId="40" xfId="4" applyNumberFormat="1" applyFont="1" applyFill="1" applyBorder="1"/>
    <xf numFmtId="9" fontId="1" fillId="0" borderId="0" xfId="1567" applyFont="1"/>
    <xf numFmtId="1" fontId="9" fillId="51" borderId="6" xfId="1512" applyNumberFormat="1" applyFont="1" applyFill="1" applyBorder="1" applyAlignment="1">
      <alignment horizontal="right"/>
    </xf>
    <xf numFmtId="1" fontId="9" fillId="51" borderId="39" xfId="1512" applyNumberFormat="1" applyFont="1" applyFill="1" applyBorder="1" applyAlignment="1">
      <alignment horizontal="right"/>
    </xf>
    <xf numFmtId="178" fontId="11" fillId="0" borderId="3" xfId="664" applyNumberFormat="1" applyFont="1" applyBorder="1"/>
    <xf numFmtId="164" fontId="6" fillId="0" borderId="0" xfId="4" applyNumberFormat="1" applyFont="1"/>
    <xf numFmtId="183" fontId="22" fillId="0" borderId="0" xfId="4" applyNumberFormat="1" applyFont="1"/>
    <xf numFmtId="10" fontId="7" fillId="0" borderId="5" xfId="1567" applyNumberFormat="1" applyFont="1" applyFill="1" applyBorder="1" applyAlignment="1"/>
    <xf numFmtId="165" fontId="9" fillId="51" borderId="5" xfId="1513" applyNumberFormat="1" applyFont="1" applyFill="1" applyBorder="1" applyAlignment="1">
      <alignment horizontal="right"/>
    </xf>
    <xf numFmtId="165" fontId="9" fillId="51" borderId="0" xfId="1513" applyNumberFormat="1" applyFont="1" applyFill="1" applyBorder="1" applyAlignment="1">
      <alignment horizontal="right"/>
    </xf>
    <xf numFmtId="211" fontId="6" fillId="0" borderId="0" xfId="5" applyNumberFormat="1" applyFont="1" applyFill="1" applyBorder="1" applyAlignment="1"/>
    <xf numFmtId="187" fontId="1" fillId="0" borderId="0" xfId="956" applyNumberFormat="1" applyFont="1" applyFill="1"/>
    <xf numFmtId="168" fontId="1" fillId="0" borderId="0" xfId="1567" applyNumberFormat="1" applyFont="1" applyFill="1"/>
    <xf numFmtId="174" fontId="7" fillId="0" borderId="0" xfId="5" applyNumberFormat="1" applyFont="1" applyFill="1" applyBorder="1"/>
    <xf numFmtId="173" fontId="20" fillId="0" borderId="43" xfId="664" applyNumberFormat="1" applyFont="1" applyFill="1" applyBorder="1"/>
    <xf numFmtId="168" fontId="68" fillId="0" borderId="6" xfId="4" applyNumberFormat="1" applyFont="1" applyFill="1" applyBorder="1"/>
    <xf numFmtId="168" fontId="68" fillId="0" borderId="12" xfId="4" applyNumberFormat="1" applyFont="1" applyFill="1" applyBorder="1"/>
    <xf numFmtId="168" fontId="68" fillId="0" borderId="39" xfId="4" applyNumberFormat="1" applyFont="1" applyFill="1" applyBorder="1"/>
    <xf numFmtId="168" fontId="72" fillId="0" borderId="40" xfId="4" applyNumberFormat="1" applyFont="1" applyFill="1" applyBorder="1"/>
    <xf numFmtId="168" fontId="68" fillId="0" borderId="41" xfId="4" applyNumberFormat="1" applyFont="1" applyFill="1" applyBorder="1"/>
    <xf numFmtId="168" fontId="15" fillId="0" borderId="12" xfId="4" applyNumberFormat="1" applyFont="1" applyFill="1" applyBorder="1"/>
    <xf numFmtId="168" fontId="15" fillId="0" borderId="6" xfId="4" applyNumberFormat="1" applyFont="1" applyFill="1" applyBorder="1"/>
    <xf numFmtId="168" fontId="15" fillId="0" borderId="39" xfId="4" applyNumberFormat="1" applyFont="1" applyFill="1" applyBorder="1"/>
    <xf numFmtId="164" fontId="22" fillId="0" borderId="0" xfId="4" applyNumberFormat="1" applyFont="1"/>
    <xf numFmtId="181" fontId="6" fillId="0" borderId="4" xfId="4" applyNumberFormat="1" applyFont="1" applyFill="1" applyBorder="1"/>
    <xf numFmtId="181" fontId="6" fillId="0" borderId="40" xfId="4" applyNumberFormat="1" applyFont="1" applyFill="1" applyBorder="1"/>
    <xf numFmtId="44" fontId="19" fillId="0" borderId="0" xfId="4" applyNumberFormat="1" applyFont="1" applyFill="1" applyBorder="1"/>
    <xf numFmtId="168" fontId="6" fillId="0" borderId="0" xfId="1567" applyNumberFormat="1" applyFont="1" applyFill="1" applyBorder="1" applyAlignment="1"/>
    <xf numFmtId="168" fontId="19" fillId="0" borderId="0" xfId="1567" applyNumberFormat="1" applyFont="1" applyFill="1" applyBorder="1" applyAlignment="1"/>
    <xf numFmtId="0" fontId="6" fillId="0" borderId="0" xfId="5" applyFont="1"/>
    <xf numFmtId="168" fontId="6" fillId="0" borderId="0" xfId="1567" applyNumberFormat="1" applyFont="1"/>
    <xf numFmtId="173" fontId="11" fillId="0" borderId="0" xfId="664" applyNumberFormat="1" applyFont="1" applyFill="1" applyBorder="1" applyAlignment="1"/>
    <xf numFmtId="0" fontId="11" fillId="0" borderId="12" xfId="4" applyFont="1" applyFill="1" applyBorder="1"/>
    <xf numFmtId="181" fontId="17" fillId="0" borderId="5" xfId="4" applyNumberFormat="1" applyFont="1" applyFill="1" applyBorder="1"/>
    <xf numFmtId="181" fontId="7" fillId="0" borderId="47" xfId="4" applyNumberFormat="1" applyFont="1" applyFill="1" applyBorder="1"/>
    <xf numFmtId="178" fontId="11" fillId="0" borderId="0" xfId="4" applyNumberFormat="1" applyFont="1" applyBorder="1"/>
    <xf numFmtId="1" fontId="9" fillId="51" borderId="6" xfId="1513" applyNumberFormat="1" applyFont="1" applyFill="1" applyBorder="1" applyAlignment="1">
      <alignment horizontal="right"/>
    </xf>
    <xf numFmtId="0" fontId="11" fillId="0" borderId="0" xfId="4" applyFont="1" applyBorder="1"/>
    <xf numFmtId="0" fontId="0" fillId="0" borderId="25" xfId="0" applyBorder="1"/>
    <xf numFmtId="44" fontId="1" fillId="0" borderId="0" xfId="956" applyNumberFormat="1" applyFont="1" applyFill="1"/>
    <xf numFmtId="212" fontId="7" fillId="0" borderId="0" xfId="4" applyNumberFormat="1" applyFont="1" applyFill="1" applyBorder="1"/>
    <xf numFmtId="1" fontId="9" fillId="51" borderId="42" xfId="1512" applyNumberFormat="1" applyFont="1" applyFill="1" applyBorder="1" applyAlignment="1">
      <alignment horizontal="right"/>
    </xf>
    <xf numFmtId="165" fontId="9" fillId="51" borderId="42" xfId="1513" applyNumberFormat="1" applyFont="1" applyFill="1" applyBorder="1" applyAlignment="1">
      <alignment horizontal="right"/>
    </xf>
    <xf numFmtId="164" fontId="13" fillId="0" borderId="3" xfId="4" applyNumberFormat="1" applyFont="1" applyFill="1" applyBorder="1"/>
    <xf numFmtId="164" fontId="11" fillId="0" borderId="3" xfId="664" applyNumberFormat="1" applyFont="1" applyFill="1" applyBorder="1"/>
    <xf numFmtId="196" fontId="6" fillId="0" borderId="0" xfId="4" applyNumberFormat="1" applyFont="1" applyFill="1" applyBorder="1" applyAlignment="1"/>
    <xf numFmtId="196" fontId="6" fillId="0" borderId="4" xfId="664" applyNumberFormat="1" applyFont="1" applyBorder="1"/>
    <xf numFmtId="183" fontId="6" fillId="0" borderId="3" xfId="4" applyNumberFormat="1" applyFont="1" applyFill="1" applyBorder="1" applyAlignment="1"/>
    <xf numFmtId="183" fontId="6" fillId="0" borderId="0" xfId="4" applyNumberFormat="1" applyFont="1" applyFill="1" applyBorder="1" applyAlignment="1"/>
    <xf numFmtId="183" fontId="6" fillId="0" borderId="40" xfId="664" applyNumberFormat="1" applyFont="1" applyBorder="1"/>
    <xf numFmtId="183" fontId="6" fillId="0" borderId="4" xfId="664" applyNumberFormat="1" applyFont="1" applyBorder="1"/>
    <xf numFmtId="187" fontId="6" fillId="46" borderId="3" xfId="956" applyNumberFormat="1" applyFont="1" applyFill="1" applyBorder="1"/>
    <xf numFmtId="185" fontId="6" fillId="46" borderId="3" xfId="664" applyNumberFormat="1" applyFont="1" applyFill="1" applyBorder="1"/>
    <xf numFmtId="175" fontId="78" fillId="0" borderId="3" xfId="4" applyNumberFormat="1" applyFont="1" applyFill="1" applyBorder="1"/>
    <xf numFmtId="196" fontId="6" fillId="0" borderId="5" xfId="4" applyNumberFormat="1" applyFont="1" applyFill="1" applyBorder="1" applyAlignment="1"/>
    <xf numFmtId="196" fontId="6" fillId="0" borderId="41" xfId="664" applyNumberFormat="1" applyFont="1" applyBorder="1"/>
    <xf numFmtId="181" fontId="1" fillId="0" borderId="0" xfId="4" applyNumberFormat="1" applyFont="1"/>
    <xf numFmtId="167" fontId="11" fillId="0" borderId="39" xfId="4" applyNumberFormat="1" applyFont="1" applyFill="1" applyBorder="1" applyAlignment="1"/>
    <xf numFmtId="10" fontId="6" fillId="0" borderId="5" xfId="1567" applyNumberFormat="1" applyFont="1" applyBorder="1"/>
    <xf numFmtId="178" fontId="6" fillId="0" borderId="39" xfId="664" applyNumberFormat="1" applyFont="1" applyBorder="1"/>
    <xf numFmtId="181" fontId="11" fillId="0" borderId="48" xfId="4" applyNumberFormat="1" applyFont="1" applyFill="1" applyBorder="1"/>
    <xf numFmtId="1" fontId="9" fillId="32" borderId="43" xfId="1513" applyNumberFormat="1" applyFont="1" applyFill="1" applyBorder="1" applyAlignment="1">
      <alignment horizontal="right"/>
    </xf>
    <xf numFmtId="165" fontId="9" fillId="51" borderId="3" xfId="1513" applyNumberFormat="1" applyFont="1" applyFill="1" applyBorder="1" applyAlignment="1">
      <alignment horizontal="right"/>
    </xf>
    <xf numFmtId="167" fontId="17" fillId="0" borderId="12" xfId="4" applyNumberFormat="1" applyFont="1" applyFill="1" applyBorder="1" applyAlignment="1"/>
    <xf numFmtId="10" fontId="7" fillId="0" borderId="3" xfId="1567" applyNumberFormat="1" applyFont="1" applyFill="1" applyBorder="1" applyAlignment="1"/>
    <xf numFmtId="168" fontId="79" fillId="0" borderId="3" xfId="1641" applyNumberFormat="1" applyFont="1" applyFill="1" applyBorder="1" applyAlignment="1"/>
    <xf numFmtId="164" fontId="78" fillId="0" borderId="3" xfId="4" applyNumberFormat="1" applyFont="1" applyFill="1" applyBorder="1" applyAlignment="1"/>
    <xf numFmtId="168" fontId="11" fillId="0" borderId="3" xfId="1567" applyNumberFormat="1" applyFont="1" applyFill="1" applyBorder="1" applyAlignment="1"/>
    <xf numFmtId="168" fontId="84" fillId="0" borderId="3" xfId="1567" applyNumberFormat="1" applyFont="1" applyFill="1" applyBorder="1" applyAlignment="1"/>
    <xf numFmtId="174" fontId="19" fillId="0" borderId="3" xfId="4" applyNumberFormat="1" applyFont="1" applyFill="1" applyBorder="1"/>
    <xf numFmtId="181" fontId="231" fillId="0" borderId="0" xfId="4" applyNumberFormat="1" applyFont="1" applyFill="1" applyBorder="1"/>
    <xf numFmtId="164" fontId="231" fillId="0" borderId="0" xfId="4" applyNumberFormat="1" applyFont="1" applyFill="1" applyBorder="1"/>
    <xf numFmtId="0" fontId="0" fillId="0" borderId="3" xfId="4" applyFont="1" applyFill="1" applyBorder="1"/>
    <xf numFmtId="175" fontId="78" fillId="0" borderId="12" xfId="4" applyNumberFormat="1" applyFont="1" applyFill="1" applyBorder="1"/>
    <xf numFmtId="43" fontId="6" fillId="0" borderId="0" xfId="4" applyNumberFormat="1" applyFont="1" applyBorder="1"/>
    <xf numFmtId="181" fontId="11" fillId="0" borderId="49" xfId="4" applyNumberFormat="1" applyFont="1" applyFill="1" applyBorder="1"/>
    <xf numFmtId="181" fontId="7" fillId="0" borderId="49" xfId="4" applyNumberFormat="1" applyFont="1" applyFill="1" applyBorder="1"/>
    <xf numFmtId="175" fontId="232" fillId="0" borderId="6" xfId="4" applyNumberFormat="1" applyFont="1" applyFill="1" applyBorder="1"/>
    <xf numFmtId="44" fontId="232" fillId="0" borderId="0" xfId="956" applyFont="1" applyFill="1" applyBorder="1"/>
    <xf numFmtId="44" fontId="232" fillId="0" borderId="3" xfId="956" applyFont="1" applyFill="1" applyBorder="1"/>
    <xf numFmtId="44" fontId="232" fillId="0" borderId="5" xfId="956" applyFont="1" applyFill="1" applyBorder="1"/>
    <xf numFmtId="168" fontId="233" fillId="0" borderId="0" xfId="1567" applyNumberFormat="1" applyFont="1" applyFill="1" applyBorder="1"/>
    <xf numFmtId="168" fontId="233" fillId="0" borderId="5" xfId="1567" applyNumberFormat="1" applyFont="1" applyFill="1" applyBorder="1"/>
    <xf numFmtId="168" fontId="233" fillId="0" borderId="3" xfId="1567" applyNumberFormat="1" applyFont="1" applyFill="1" applyBorder="1"/>
    <xf numFmtId="183" fontId="6" fillId="0" borderId="4" xfId="4" applyNumberFormat="1" applyFont="1" applyFill="1" applyBorder="1"/>
    <xf numFmtId="183" fontId="6" fillId="0" borderId="41" xfId="4" applyNumberFormat="1" applyFont="1" applyFill="1" applyBorder="1"/>
    <xf numFmtId="183" fontId="6" fillId="0" borderId="40" xfId="4" applyNumberFormat="1" applyFont="1" applyFill="1" applyBorder="1"/>
    <xf numFmtId="0" fontId="0" fillId="0" borderId="0" xfId="0" applyFill="1" applyBorder="1"/>
    <xf numFmtId="167" fontId="6" fillId="0" borderId="0" xfId="5" applyNumberFormat="1" applyFont="1" applyFill="1" applyBorder="1" applyAlignment="1"/>
    <xf numFmtId="168" fontId="79" fillId="0" borderId="0" xfId="1567" applyNumberFormat="1" applyFont="1" applyFill="1" applyBorder="1" applyAlignment="1"/>
    <xf numFmtId="1" fontId="9" fillId="0" borderId="5" xfId="1512" applyNumberFormat="1" applyFont="1" applyFill="1" applyBorder="1" applyAlignment="1">
      <alignment horizontal="right"/>
    </xf>
    <xf numFmtId="1" fontId="9" fillId="0" borderId="4" xfId="1512" applyNumberFormat="1" applyFont="1" applyFill="1" applyBorder="1" applyAlignment="1">
      <alignment horizontal="right"/>
    </xf>
    <xf numFmtId="174" fontId="19" fillId="0" borderId="5" xfId="4" applyNumberFormat="1" applyFont="1" applyFill="1" applyBorder="1"/>
    <xf numFmtId="174" fontId="7" fillId="0" borderId="6" xfId="5" applyNumberFormat="1" applyFont="1" applyFill="1" applyBorder="1"/>
    <xf numFmtId="174" fontId="19" fillId="0" borderId="6" xfId="4" applyNumberFormat="1" applyFont="1" applyFill="1" applyBorder="1"/>
    <xf numFmtId="165" fontId="9" fillId="0" borderId="6" xfId="1513" applyNumberFormat="1" applyFont="1" applyFill="1" applyBorder="1" applyAlignment="1">
      <alignment horizontal="right"/>
    </xf>
    <xf numFmtId="0" fontId="0" fillId="0" borderId="0" xfId="0" applyFill="1"/>
    <xf numFmtId="168" fontId="79" fillId="0" borderId="5" xfId="1567" applyNumberFormat="1" applyFont="1" applyFill="1" applyBorder="1" applyAlignment="1"/>
    <xf numFmtId="1" fontId="9" fillId="0" borderId="43" xfId="1512" applyNumberFormat="1" applyFont="1" applyFill="1" applyBorder="1" applyAlignment="1">
      <alignment horizontal="right"/>
    </xf>
    <xf numFmtId="211" fontId="6" fillId="0" borderId="12" xfId="4" applyNumberFormat="1" applyFont="1" applyFill="1" applyBorder="1" applyAlignment="1"/>
    <xf numFmtId="211" fontId="6" fillId="0" borderId="6" xfId="4" applyNumberFormat="1" applyFont="1" applyFill="1" applyBorder="1" applyAlignment="1"/>
    <xf numFmtId="43" fontId="6" fillId="0" borderId="25" xfId="664" applyFont="1" applyBorder="1"/>
    <xf numFmtId="0" fontId="19" fillId="0" borderId="25" xfId="4" applyFont="1" applyBorder="1"/>
    <xf numFmtId="10" fontId="6" fillId="0" borderId="25" xfId="4" applyNumberFormat="1" applyFont="1" applyBorder="1"/>
    <xf numFmtId="168" fontId="79" fillId="0" borderId="3" xfId="1567" applyNumberFormat="1" applyFont="1" applyFill="1" applyBorder="1" applyAlignment="1"/>
    <xf numFmtId="43" fontId="11" fillId="0" borderId="0" xfId="4" applyNumberFormat="1" applyFont="1"/>
    <xf numFmtId="43" fontId="11" fillId="0" borderId="0" xfId="4" applyNumberFormat="1" applyFont="1" applyBorder="1"/>
    <xf numFmtId="164" fontId="235" fillId="0" borderId="5" xfId="4" applyNumberFormat="1" applyFont="1" applyFill="1" applyBorder="1"/>
    <xf numFmtId="181" fontId="235" fillId="0" borderId="5" xfId="4" applyNumberFormat="1" applyFont="1" applyFill="1" applyBorder="1"/>
    <xf numFmtId="178" fontId="235" fillId="0" borderId="5" xfId="664" applyNumberFormat="1" applyFont="1" applyBorder="1"/>
    <xf numFmtId="183" fontId="7" fillId="0" borderId="41" xfId="4" applyNumberFormat="1" applyFont="1" applyFill="1" applyBorder="1"/>
    <xf numFmtId="0" fontId="0" fillId="0" borderId="5" xfId="0" applyFill="1" applyBorder="1"/>
    <xf numFmtId="0" fontId="6" fillId="0" borderId="5" xfId="5" applyFont="1" applyBorder="1"/>
    <xf numFmtId="164" fontId="6" fillId="0" borderId="5" xfId="5" applyNumberFormat="1" applyFont="1" applyBorder="1"/>
    <xf numFmtId="168" fontId="12" fillId="0" borderId="0" xfId="1580" applyNumberFormat="1" applyFont="1" applyBorder="1"/>
    <xf numFmtId="168" fontId="8" fillId="0" borderId="0" xfId="1580" applyNumberFormat="1" applyFont="1" applyBorder="1"/>
    <xf numFmtId="0" fontId="6" fillId="0" borderId="0" xfId="5" applyFont="1" applyBorder="1"/>
    <xf numFmtId="164" fontId="6" fillId="0" borderId="0" xfId="5" applyNumberFormat="1" applyFont="1" applyBorder="1"/>
    <xf numFmtId="164" fontId="7" fillId="0" borderId="0" xfId="5" applyNumberFormat="1" applyFont="1" applyBorder="1"/>
    <xf numFmtId="168" fontId="8" fillId="0" borderId="4" xfId="1580" applyNumberFormat="1" applyFont="1" applyBorder="1"/>
    <xf numFmtId="164" fontId="0" fillId="0" borderId="3" xfId="0" applyNumberFormat="1" applyBorder="1"/>
    <xf numFmtId="169" fontId="11" fillId="0" borderId="0" xfId="5" applyNumberFormat="1" applyFont="1" applyFill="1" applyBorder="1"/>
    <xf numFmtId="44" fontId="11" fillId="0" borderId="0" xfId="960" applyFont="1" applyFill="1" applyBorder="1"/>
    <xf numFmtId="169" fontId="7" fillId="32" borderId="43" xfId="5" applyNumberFormat="1" applyFont="1" applyFill="1" applyBorder="1" applyAlignment="1">
      <alignment horizontal="right"/>
    </xf>
    <xf numFmtId="175" fontId="6" fillId="0" borderId="39" xfId="5" applyNumberFormat="1" applyFont="1" applyFill="1" applyBorder="1"/>
    <xf numFmtId="175" fontId="6" fillId="0" borderId="0" xfId="5" applyNumberFormat="1" applyFont="1" applyFill="1" applyBorder="1"/>
    <xf numFmtId="176" fontId="8" fillId="0" borderId="0" xfId="5" applyNumberFormat="1" applyFont="1" applyFill="1" applyBorder="1"/>
    <xf numFmtId="169" fontId="11" fillId="0" borderId="5" xfId="5" applyNumberFormat="1" applyFont="1" applyFill="1" applyBorder="1"/>
    <xf numFmtId="175" fontId="6" fillId="0" borderId="5" xfId="5" applyNumberFormat="1" applyFont="1" applyFill="1" applyBorder="1"/>
    <xf numFmtId="44" fontId="6" fillId="0" borderId="5" xfId="960" applyFont="1" applyFill="1" applyBorder="1"/>
    <xf numFmtId="164" fontId="6" fillId="0" borderId="5" xfId="5" applyNumberFormat="1" applyFont="1" applyFill="1" applyBorder="1"/>
    <xf numFmtId="168" fontId="8" fillId="0" borderId="5" xfId="1580" applyNumberFormat="1" applyFont="1" applyFill="1" applyBorder="1"/>
    <xf numFmtId="168" fontId="11" fillId="0" borderId="41" xfId="1580" applyNumberFormat="1" applyFont="1" applyFill="1" applyBorder="1"/>
    <xf numFmtId="178" fontId="6" fillId="0" borderId="41" xfId="691" applyNumberFormat="1" applyFont="1" applyBorder="1"/>
    <xf numFmtId="167" fontId="17" fillId="0" borderId="5" xfId="5" applyNumberFormat="1" applyFont="1" applyFill="1" applyBorder="1" applyAlignment="1"/>
    <xf numFmtId="168" fontId="12" fillId="0" borderId="5" xfId="1580" applyNumberFormat="1" applyFont="1" applyFill="1" applyBorder="1" applyAlignment="1"/>
    <xf numFmtId="168" fontId="8" fillId="0" borderId="5" xfId="1580" applyNumberFormat="1" applyFont="1" applyFill="1" applyBorder="1" applyAlignment="1"/>
    <xf numFmtId="164" fontId="34" fillId="0" borderId="5" xfId="5" applyNumberFormat="1" applyFont="1" applyFill="1" applyBorder="1" applyAlignment="1"/>
    <xf numFmtId="164" fontId="6" fillId="0" borderId="5" xfId="5" applyNumberFormat="1" applyFont="1" applyFill="1" applyBorder="1" applyAlignment="1"/>
    <xf numFmtId="164" fontId="7" fillId="0" borderId="5" xfId="5" applyNumberFormat="1" applyFont="1" applyFill="1" applyBorder="1" applyAlignment="1"/>
    <xf numFmtId="168" fontId="8" fillId="38" borderId="5" xfId="1580" applyNumberFormat="1" applyFont="1" applyFill="1" applyBorder="1" applyAlignment="1"/>
    <xf numFmtId="164" fontId="11" fillId="0" borderId="5" xfId="5" applyNumberFormat="1" applyFont="1" applyFill="1" applyBorder="1" applyAlignment="1"/>
    <xf numFmtId="169" fontId="11" fillId="0" borderId="5" xfId="5" applyNumberFormat="1" applyFont="1" applyFill="1" applyBorder="1" applyAlignment="1"/>
    <xf numFmtId="43" fontId="8" fillId="0" borderId="5" xfId="691" applyFont="1" applyFill="1" applyBorder="1" applyAlignment="1"/>
    <xf numFmtId="174" fontId="6" fillId="0" borderId="5" xfId="5" applyNumberFormat="1" applyFont="1" applyFill="1" applyBorder="1"/>
    <xf numFmtId="174" fontId="7" fillId="0" borderId="41" xfId="5" applyNumberFormat="1" applyFont="1" applyFill="1" applyBorder="1"/>
    <xf numFmtId="0" fontId="11" fillId="0" borderId="5" xfId="5" applyFont="1" applyFill="1" applyBorder="1"/>
    <xf numFmtId="169" fontId="6" fillId="0" borderId="5" xfId="5" applyNumberFormat="1" applyFont="1" applyFill="1" applyBorder="1"/>
    <xf numFmtId="164" fontId="13" fillId="0" borderId="5" xfId="5" applyNumberFormat="1" applyFont="1" applyFill="1" applyBorder="1"/>
    <xf numFmtId="164" fontId="6" fillId="0" borderId="41" xfId="5" applyNumberFormat="1" applyFont="1" applyFill="1" applyBorder="1"/>
    <xf numFmtId="164" fontId="7" fillId="0" borderId="39" xfId="5" applyNumberFormat="1" applyFont="1" applyFill="1" applyBorder="1"/>
    <xf numFmtId="164" fontId="11" fillId="0" borderId="5" xfId="5" applyNumberFormat="1" applyFont="1" applyFill="1" applyBorder="1"/>
    <xf numFmtId="164" fontId="7" fillId="0" borderId="43" xfId="5" applyNumberFormat="1" applyFont="1" applyFill="1" applyBorder="1"/>
    <xf numFmtId="164" fontId="11" fillId="0" borderId="41" xfId="5" applyNumberFormat="1" applyFont="1" applyFill="1" applyBorder="1"/>
    <xf numFmtId="0" fontId="11" fillId="0" borderId="0" xfId="5" applyFont="1" applyFill="1" applyBorder="1"/>
    <xf numFmtId="178" fontId="20" fillId="0" borderId="1" xfId="691" applyNumberFormat="1" applyFont="1" applyFill="1" applyBorder="1"/>
    <xf numFmtId="43" fontId="11" fillId="0" borderId="6" xfId="5" applyNumberFormat="1" applyFont="1" applyFill="1" applyBorder="1"/>
    <xf numFmtId="164" fontId="11" fillId="32" borderId="39" xfId="5" applyNumberFormat="1" applyFont="1" applyFill="1" applyBorder="1"/>
    <xf numFmtId="164" fontId="11" fillId="32" borderId="5" xfId="5" applyNumberFormat="1" applyFont="1" applyFill="1" applyBorder="1"/>
    <xf numFmtId="180" fontId="6" fillId="0" borderId="5" xfId="5" applyNumberFormat="1" applyFont="1" applyFill="1" applyBorder="1"/>
    <xf numFmtId="180" fontId="6" fillId="0" borderId="41" xfId="5" applyNumberFormat="1" applyFont="1" applyFill="1" applyBorder="1"/>
    <xf numFmtId="9" fontId="6" fillId="0" borderId="6" xfId="1580" applyFont="1" applyFill="1" applyBorder="1"/>
    <xf numFmtId="9" fontId="6" fillId="0" borderId="4" xfId="1580" applyFont="1" applyFill="1" applyBorder="1"/>
    <xf numFmtId="181" fontId="7" fillId="0" borderId="43" xfId="5" applyNumberFormat="1" applyFont="1" applyFill="1" applyBorder="1"/>
    <xf numFmtId="164" fontId="6" fillId="0" borderId="1" xfId="5" applyNumberFormat="1" applyFont="1" applyFill="1" applyBorder="1"/>
    <xf numFmtId="178" fontId="6" fillId="0" borderId="39" xfId="691" applyNumberFormat="1" applyFont="1" applyFill="1" applyBorder="1"/>
    <xf numFmtId="178" fontId="20" fillId="0" borderId="43" xfId="691" applyNumberFormat="1" applyFont="1" applyFill="1" applyBorder="1"/>
    <xf numFmtId="0" fontId="6" fillId="0" borderId="0" xfId="5" applyFont="1" applyFill="1" applyBorder="1"/>
    <xf numFmtId="164" fontId="6" fillId="0" borderId="39" xfId="5" applyNumberFormat="1" applyFont="1" applyFill="1" applyBorder="1"/>
    <xf numFmtId="178" fontId="6" fillId="0" borderId="0" xfId="691" applyNumberFormat="1" applyFont="1" applyFill="1" applyBorder="1"/>
    <xf numFmtId="178" fontId="6" fillId="0" borderId="5" xfId="5" applyNumberFormat="1" applyFont="1" applyBorder="1"/>
    <xf numFmtId="164" fontId="34" fillId="0" borderId="5" xfId="5" applyNumberFormat="1" applyFont="1" applyBorder="1"/>
    <xf numFmtId="10" fontId="6" fillId="0" borderId="5" xfId="5" applyNumberFormat="1" applyFont="1" applyBorder="1"/>
    <xf numFmtId="178" fontId="6" fillId="0" borderId="5" xfId="691" applyNumberFormat="1" applyFont="1" applyBorder="1"/>
    <xf numFmtId="178" fontId="34" fillId="0" borderId="5" xfId="691" applyNumberFormat="1" applyFont="1" applyBorder="1"/>
    <xf numFmtId="178" fontId="34" fillId="0" borderId="5" xfId="5" applyNumberFormat="1" applyFont="1" applyBorder="1"/>
    <xf numFmtId="178" fontId="6" fillId="0" borderId="41" xfId="5" applyNumberFormat="1" applyFont="1" applyBorder="1"/>
    <xf numFmtId="209" fontId="6" fillId="0" borderId="5" xfId="5" applyNumberFormat="1" applyFont="1" applyBorder="1"/>
    <xf numFmtId="209" fontId="34" fillId="0" borderId="5" xfId="5" applyNumberFormat="1" applyFont="1" applyBorder="1"/>
    <xf numFmtId="10" fontId="11" fillId="0" borderId="5" xfId="5" applyNumberFormat="1" applyFont="1" applyBorder="1"/>
    <xf numFmtId="41" fontId="11" fillId="0" borderId="5" xfId="5" applyNumberFormat="1" applyFont="1" applyFill="1" applyBorder="1"/>
    <xf numFmtId="181" fontId="6" fillId="0" borderId="5" xfId="5" applyNumberFormat="1" applyFont="1" applyFill="1" applyBorder="1"/>
    <xf numFmtId="181" fontId="11" fillId="0" borderId="5" xfId="5" applyNumberFormat="1" applyFont="1" applyFill="1" applyBorder="1"/>
    <xf numFmtId="181" fontId="6" fillId="0" borderId="41" xfId="5" applyNumberFormat="1" applyFont="1" applyFill="1" applyBorder="1"/>
    <xf numFmtId="181" fontId="7" fillId="0" borderId="5" xfId="5" applyNumberFormat="1" applyFont="1" applyFill="1" applyBorder="1"/>
    <xf numFmtId="181" fontId="16" fillId="0" borderId="5" xfId="5" applyNumberFormat="1" applyFont="1" applyFill="1" applyBorder="1"/>
    <xf numFmtId="181" fontId="7" fillId="0" borderId="41" xfId="5" applyNumberFormat="1" applyFont="1" applyFill="1" applyBorder="1"/>
    <xf numFmtId="181" fontId="7" fillId="0" borderId="0" xfId="5" applyNumberFormat="1" applyFont="1" applyFill="1" applyBorder="1"/>
    <xf numFmtId="178" fontId="6" fillId="0" borderId="43" xfId="691" applyNumberFormat="1" applyFont="1" applyFill="1" applyBorder="1"/>
    <xf numFmtId="178" fontId="20" fillId="0" borderId="41" xfId="691" applyNumberFormat="1" applyFont="1" applyFill="1" applyBorder="1"/>
    <xf numFmtId="37" fontId="16" fillId="0" borderId="0" xfId="5" applyNumberFormat="1" applyFont="1" applyFill="1" applyBorder="1"/>
    <xf numFmtId="0" fontId="11" fillId="0" borderId="0" xfId="5" applyFont="1"/>
    <xf numFmtId="178" fontId="11" fillId="0" borderId="5" xfId="691" applyNumberFormat="1" applyFont="1" applyFill="1" applyBorder="1"/>
    <xf numFmtId="168" fontId="12" fillId="32" borderId="5" xfId="1580" applyNumberFormat="1" applyFont="1" applyFill="1" applyBorder="1"/>
    <xf numFmtId="178" fontId="6" fillId="0" borderId="41" xfId="691" applyNumberFormat="1" applyFont="1" applyFill="1" applyBorder="1"/>
    <xf numFmtId="178" fontId="6" fillId="0" borderId="5" xfId="691" applyNumberFormat="1" applyFont="1" applyFill="1" applyBorder="1"/>
    <xf numFmtId="178" fontId="7" fillId="0" borderId="43" xfId="691" applyNumberFormat="1" applyFont="1" applyBorder="1"/>
    <xf numFmtId="178" fontId="6" fillId="0" borderId="1" xfId="691" applyNumberFormat="1" applyFont="1" applyBorder="1"/>
    <xf numFmtId="178" fontId="6" fillId="0" borderId="6" xfId="691" applyNumberFormat="1" applyFont="1" applyFill="1" applyBorder="1"/>
    <xf numFmtId="1" fontId="9" fillId="32" borderId="13" xfId="1512" applyNumberFormat="1" applyFont="1" applyFill="1" applyBorder="1" applyAlignment="1">
      <alignment horizontal="right"/>
    </xf>
    <xf numFmtId="168" fontId="12" fillId="32" borderId="41" xfId="1580" applyNumberFormat="1" applyFont="1" applyFill="1" applyBorder="1"/>
    <xf numFmtId="181" fontId="6" fillId="0" borderId="39" xfId="5" applyNumberFormat="1" applyFont="1" applyBorder="1"/>
    <xf numFmtId="181" fontId="6" fillId="0" borderId="41" xfId="5" applyNumberFormat="1" applyFont="1" applyBorder="1"/>
    <xf numFmtId="37" fontId="6" fillId="0" borderId="0" xfId="5" applyNumberFormat="1" applyFont="1" applyFill="1" applyBorder="1"/>
    <xf numFmtId="169" fontId="6" fillId="0" borderId="0" xfId="5" applyNumberFormat="1" applyFont="1" applyFill="1" applyBorder="1"/>
    <xf numFmtId="41" fontId="11" fillId="0" borderId="0" xfId="5" applyNumberFormat="1" applyFont="1" applyFill="1" applyBorder="1"/>
    <xf numFmtId="181" fontId="6" fillId="0" borderId="0" xfId="5" applyNumberFormat="1" applyFont="1" applyFill="1" applyBorder="1"/>
    <xf numFmtId="181" fontId="7" fillId="0" borderId="46" xfId="5" applyNumberFormat="1" applyFont="1" applyFill="1" applyBorder="1"/>
    <xf numFmtId="181" fontId="11" fillId="0" borderId="0" xfId="5" applyNumberFormat="1" applyFont="1" applyFill="1" applyBorder="1"/>
    <xf numFmtId="181" fontId="16" fillId="0" borderId="0" xfId="5" applyNumberFormat="1" applyFont="1" applyFill="1" applyBorder="1"/>
    <xf numFmtId="181" fontId="7" fillId="0" borderId="4" xfId="5" applyNumberFormat="1" applyFont="1" applyFill="1" applyBorder="1"/>
    <xf numFmtId="37" fontId="6" fillId="0" borderId="5" xfId="5" applyNumberFormat="1" applyFont="1" applyFill="1" applyBorder="1"/>
    <xf numFmtId="168" fontId="12" fillId="0" borderId="0" xfId="1580" applyNumberFormat="1" applyFont="1" applyFill="1" applyBorder="1"/>
    <xf numFmtId="272" fontId="79" fillId="0" borderId="3" xfId="1641" applyNumberFormat="1" applyFont="1" applyFill="1" applyBorder="1" applyAlignment="1"/>
    <xf numFmtId="1" fontId="9" fillId="51" borderId="42" xfId="1513" applyNumberFormat="1" applyFont="1" applyFill="1" applyBorder="1" applyAlignment="1">
      <alignment horizontal="right"/>
    </xf>
    <xf numFmtId="168" fontId="12" fillId="0" borderId="5" xfId="1580" applyNumberFormat="1" applyFont="1" applyFill="1" applyBorder="1"/>
    <xf numFmtId="0" fontId="1" fillId="0" borderId="0" xfId="2160"/>
    <xf numFmtId="0" fontId="1" fillId="59" borderId="0" xfId="2159" applyFont="1" applyFill="1" applyAlignment="1">
      <alignment vertical="top"/>
    </xf>
    <xf numFmtId="0" fontId="1" fillId="59" borderId="0" xfId="2160" applyFill="1" applyAlignment="1">
      <alignment vertical="top"/>
    </xf>
    <xf numFmtId="0" fontId="1" fillId="59" borderId="0" xfId="2160" applyFill="1"/>
    <xf numFmtId="0" fontId="6" fillId="59" borderId="0" xfId="2159" applyFont="1" applyFill="1" applyAlignment="1">
      <alignment horizontal="left" vertical="top"/>
    </xf>
    <xf numFmtId="0" fontId="1" fillId="59" borderId="0" xfId="2160" applyFont="1" applyFill="1" applyAlignment="1">
      <alignment vertical="top"/>
    </xf>
    <xf numFmtId="0" fontId="30" fillId="59" borderId="0" xfId="2159" applyFont="1" applyFill="1" applyAlignment="1">
      <alignment vertical="top"/>
    </xf>
    <xf numFmtId="0" fontId="0" fillId="59" borderId="0" xfId="0" applyFill="1" applyAlignment="1">
      <alignment vertical="top"/>
    </xf>
    <xf numFmtId="0" fontId="248" fillId="59" borderId="0" xfId="0" applyFont="1" applyFill="1" applyAlignment="1">
      <alignment vertical="top"/>
    </xf>
    <xf numFmtId="0" fontId="249" fillId="59" borderId="0" xfId="0" applyFont="1" applyFill="1" applyAlignment="1">
      <alignment vertical="top"/>
    </xf>
    <xf numFmtId="0" fontId="249" fillId="59" borderId="0" xfId="0" applyFont="1" applyFill="1" applyAlignment="1">
      <alignment vertical="top"/>
    </xf>
    <xf numFmtId="0" fontId="248" fillId="59" borderId="0" xfId="0" applyFont="1" applyFill="1" applyAlignment="1">
      <alignment vertical="top"/>
    </xf>
    <xf numFmtId="0" fontId="0" fillId="59" borderId="0" xfId="0" applyFill="1" applyAlignment="1">
      <alignment vertical="top"/>
    </xf>
    <xf numFmtId="0" fontId="0" fillId="59" borderId="58" xfId="0" applyFill="1" applyBorder="1" applyAlignment="1">
      <alignment vertical="top"/>
    </xf>
    <xf numFmtId="0" fontId="248" fillId="59" borderId="54" xfId="0" applyFont="1" applyFill="1" applyBorder="1" applyAlignment="1">
      <alignment vertical="top"/>
    </xf>
    <xf numFmtId="0" fontId="248" fillId="59" borderId="55" xfId="0" applyFont="1" applyFill="1" applyBorder="1" applyAlignment="1">
      <alignment vertical="top"/>
    </xf>
    <xf numFmtId="0" fontId="248" fillId="59" borderId="56" xfId="0" applyFont="1" applyFill="1" applyBorder="1" applyAlignment="1">
      <alignment vertical="top"/>
    </xf>
    <xf numFmtId="0" fontId="248" fillId="59" borderId="57" xfId="0" applyFont="1" applyFill="1" applyBorder="1" applyAlignment="1">
      <alignment vertical="top"/>
    </xf>
    <xf numFmtId="9" fontId="248" fillId="59" borderId="54" xfId="0" applyNumberFormat="1" applyFont="1" applyFill="1" applyBorder="1" applyAlignment="1">
      <alignment vertical="top"/>
    </xf>
    <xf numFmtId="3" fontId="248" fillId="59" borderId="54" xfId="0" applyNumberFormat="1" applyFont="1" applyFill="1" applyBorder="1" applyAlignment="1">
      <alignment vertical="top"/>
    </xf>
    <xf numFmtId="0" fontId="0" fillId="59" borderId="59" xfId="0" applyFill="1" applyBorder="1" applyAlignment="1">
      <alignment vertical="top"/>
    </xf>
    <xf numFmtId="2" fontId="1" fillId="0" borderId="0" xfId="2160" applyNumberFormat="1" applyAlignment="1">
      <alignment horizontal="left"/>
    </xf>
    <xf numFmtId="0" fontId="1" fillId="0" borderId="0" xfId="2160" applyNumberFormat="1" applyAlignment="1">
      <alignment horizontal="left"/>
    </xf>
    <xf numFmtId="1" fontId="1" fillId="0" borderId="0" xfId="2160" applyNumberFormat="1" applyAlignment="1">
      <alignment horizontal="left"/>
    </xf>
    <xf numFmtId="0" fontId="1" fillId="0" borderId="0" xfId="2160" applyFont="1"/>
    <xf numFmtId="278" fontId="1" fillId="0" borderId="0" xfId="2160" applyNumberFormat="1" applyAlignment="1">
      <alignment horizontal="left"/>
    </xf>
    <xf numFmtId="49" fontId="1" fillId="0" borderId="0" xfId="2160" applyNumberFormat="1"/>
  </cellXfs>
  <cellStyles count="2161">
    <cellStyle name="-" xfId="1"/>
    <cellStyle name=" 1" xfId="2"/>
    <cellStyle name=" 1 2" xfId="3"/>
    <cellStyle name="_x000a_386grabber=M" xfId="4"/>
    <cellStyle name="_x000a_386grabber=M 2" xfId="5"/>
    <cellStyle name="_x000a_386grabber=M 2 2" xfId="6"/>
    <cellStyle name="_x000a_386grabber=M 2 3" xfId="7"/>
    <cellStyle name="_x000a_386grabber=M 2 4" xfId="8"/>
    <cellStyle name="_x000a_386grabber=M 3" xfId="9"/>
    <cellStyle name="_x000a_386grabber=M 3 2" xfId="10"/>
    <cellStyle name="$" xfId="11"/>
    <cellStyle name="$ &amp; ¢" xfId="12"/>
    <cellStyle name="$ 1 decimal" xfId="13"/>
    <cellStyle name="$_AA - BenefitsBonus " xfId="14"/>
    <cellStyle name="%" xfId="15"/>
    <cellStyle name="% 2" xfId="16"/>
    <cellStyle name="% 2 2" xfId="17"/>
    <cellStyle name="% 3" xfId="18"/>
    <cellStyle name="% 3 2" xfId="19"/>
    <cellStyle name="% 4" xfId="20"/>
    <cellStyle name="% 4 2" xfId="21"/>
    <cellStyle name="% 5" xfId="22"/>
    <cellStyle name="% 5 2" xfId="23"/>
    <cellStyle name="% 6" xfId="24"/>
    <cellStyle name="% 7" xfId="25"/>
    <cellStyle name="% Growth" xfId="26"/>
    <cellStyle name="% of Revenues" xfId="27"/>
    <cellStyle name="%.00" xfId="28"/>
    <cellStyle name="******************************************" xfId="29"/>
    <cellStyle name="****************************************** 2" xfId="30"/>
    <cellStyle name="****************************************** 3" xfId="31"/>
    <cellStyle name="****************************************** 4" xfId="32"/>
    <cellStyle name="??" xfId="33"/>
    <cellStyle name="?? [0.00]_HELPDESK" xfId="34"/>
    <cellStyle name="?? [0]_??" xfId="35"/>
    <cellStyle name="?? 2" xfId="36"/>
    <cellStyle name="???? [0.00]_HELPDESK" xfId="37"/>
    <cellStyle name="?????_VERA" xfId="38"/>
    <cellStyle name="????_HELPDESK" xfId="39"/>
    <cellStyle name="???[0]_For vlookup" xfId="40"/>
    <cellStyle name="???_For vlookup" xfId="41"/>
    <cellStyle name="??_?.????" xfId="42"/>
    <cellStyle name="?@疾_2332JT3_2313COP2 " xfId="43"/>
    <cellStyle name="?Q\?1@" xfId="44"/>
    <cellStyle name="?Q\?1@ 2" xfId="45"/>
    <cellStyle name="_2003AIMInformation for Reports" xfId="46"/>
    <cellStyle name="_2345" xfId="47"/>
    <cellStyle name="_2345_Exhibit NB QoQ" xfId="48"/>
    <cellStyle name="_2345_Exhibt NB MOM" xfId="49"/>
    <cellStyle name="_2345_MBNB shipments_20080909" xfId="50"/>
    <cellStyle name="_2345_MBNB shipments_20090309.wip" xfId="51"/>
    <cellStyle name="_2345_MBNB shipments_Dec06_wip" xfId="52"/>
    <cellStyle name="_2345_MBNB shipments_July07.wip" xfId="53"/>
    <cellStyle name="_2345_NB-Mthly(0)" xfId="54"/>
    <cellStyle name="_2345_TWN Top 4 MB 5 NB" xfId="55"/>
    <cellStyle name="_2379-13" xfId="56"/>
    <cellStyle name="_2379-13_Exhibit NB QoQ" xfId="57"/>
    <cellStyle name="_2379-13_Exhibt NB MOM" xfId="58"/>
    <cellStyle name="_2379-13_MBNB shipments_20080909" xfId="59"/>
    <cellStyle name="_2379-13_MBNB shipments_20090309.wip" xfId="60"/>
    <cellStyle name="_2379-13_MBNB shipments_Dec06_wip" xfId="61"/>
    <cellStyle name="_2379-13_MBNB shipments_July07.wip" xfId="62"/>
    <cellStyle name="_2379-13_NB-Mthly(0)" xfId="63"/>
    <cellStyle name="_2379-13_TWN Top 4 MB 5 NB" xfId="64"/>
    <cellStyle name="_2391_050503" xfId="65"/>
    <cellStyle name="_2391_050503_Exhibit NB QoQ" xfId="66"/>
    <cellStyle name="_2391_050503_Exhibt NB MOM" xfId="67"/>
    <cellStyle name="_2391_050503_MBNB shipments_20080909" xfId="68"/>
    <cellStyle name="_2391_050503_MBNB shipments_20090309.wip" xfId="69"/>
    <cellStyle name="_2391_050503_MBNB shipments_Dec06_wip" xfId="70"/>
    <cellStyle name="_2391_050503_MBNB shipments_July07.wip" xfId="71"/>
    <cellStyle name="_2391_050503_NB-Mthly(0)" xfId="72"/>
    <cellStyle name="_2391_050503_TWN Top 4 MB 5 NB" xfId="73"/>
    <cellStyle name="_AA - BenefitsBonus " xfId="74"/>
    <cellStyle name="_AC_InterContinental" xfId="75"/>
    <cellStyle name="_AIMP Europe Stats May 2004" xfId="76"/>
    <cellStyle name="_Annaul model" xfId="77"/>
    <cellStyle name="_asustek0613" xfId="78"/>
    <cellStyle name="_asustek0613_Exhibit NB QoQ" xfId="79"/>
    <cellStyle name="_asustek0613_Exhibt NB MOM" xfId="80"/>
    <cellStyle name="_asustek0613_MBNB shipments_20080909" xfId="81"/>
    <cellStyle name="_asustek0613_MBNB shipments_20090309.wip" xfId="82"/>
    <cellStyle name="_asustek0613_MBNB shipments_Dec06_wip" xfId="83"/>
    <cellStyle name="_asustek0613_MBNB shipments_July07.wip" xfId="84"/>
    <cellStyle name="_asustek0613_NB-Mthly(0)" xfId="85"/>
    <cellStyle name="_asustek0613_TWN Top 4 MB 5 NB" xfId="86"/>
    <cellStyle name="_Book1" xfId="87"/>
    <cellStyle name="_Book2" xfId="88"/>
    <cellStyle name="_Book2_Exhibit NB QoQ" xfId="89"/>
    <cellStyle name="_Book2_Exhibt NB MOM" xfId="90"/>
    <cellStyle name="_Book2_MBNB shipments_20080909" xfId="91"/>
    <cellStyle name="_Book2_MBNB shipments_20090309.wip" xfId="92"/>
    <cellStyle name="_Book2_MBNB shipments_Dec06_wip" xfId="93"/>
    <cellStyle name="_Book2_MBNB shipments_July07.wip" xfId="94"/>
    <cellStyle name="_Book2_NB-Mthly(0)" xfId="95"/>
    <cellStyle name="_Book2_TWN Top 4 MB 5 NB" xfId="96"/>
    <cellStyle name="_Book7" xfId="97"/>
    <cellStyle name="_Book7_Exhibit NB QoQ" xfId="98"/>
    <cellStyle name="_Book7_Exhibt NB MOM" xfId="99"/>
    <cellStyle name="_Book7_MBNB shipments_20080909" xfId="100"/>
    <cellStyle name="_Book7_MBNB shipments_20090309.wip" xfId="101"/>
    <cellStyle name="_Book7_MBNB shipments_Dec06_wip" xfId="102"/>
    <cellStyle name="_Book7_MBNB shipments_July07.wip" xfId="103"/>
    <cellStyle name="_Book7_NB-Mthly(0)" xfId="104"/>
    <cellStyle name="_Book7_TWN Top 4 MB 5 NB" xfId="105"/>
    <cellStyle name="_By Technology, Market Share_Copy of Model2018_AAC_(WIP) " xfId="106"/>
    <cellStyle name="_CFA10" xfId="107"/>
    <cellStyle name="_CFA4" xfId="108"/>
    <cellStyle name="_Chartered_Copy of Model2018_AAC_(WIP) " xfId="109"/>
    <cellStyle name="_Chartered_Ichia Model2402_Modelware_Copy of Model2018_AAC_(WIP) " xfId="110"/>
    <cellStyle name="_Chartered_Model_2402(New)_Modelware_Copy of Model2018_AAC_(WIP) " xfId="111"/>
    <cellStyle name="_Chartered_Model_3311(New)_Copy of Model2018_AAC_(WIP) " xfId="112"/>
    <cellStyle name="_Comma_AA - BenefitsBonus " xfId="113"/>
    <cellStyle name="_Copy of Model2018_AAC_(WIP) " xfId="114"/>
    <cellStyle name="_Currency_AA - BenefitsBonus " xfId="115"/>
    <cellStyle name="_CurrencySpace_AA - BenefitsBonus " xfId="116"/>
    <cellStyle name="_DA" xfId="117"/>
    <cellStyle name="_DPA" xfId="118"/>
    <cellStyle name="_EBS Template" xfId="119"/>
    <cellStyle name="_EBS Template_Exhibit NB QoQ" xfId="120"/>
    <cellStyle name="_EBS Template_Exhibt NB MOM" xfId="121"/>
    <cellStyle name="_EBS Template_MBNB shipments_20080909" xfId="122"/>
    <cellStyle name="_EBS Template_MBNB shipments_20090309.wip" xfId="123"/>
    <cellStyle name="_EBS Template_MBNB shipments_Dec06_wip" xfId="124"/>
    <cellStyle name="_EBS Template_MBNB shipments_July07.wip" xfId="125"/>
    <cellStyle name="_EBS Template_NB-Mthly(0)" xfId="126"/>
    <cellStyle name="_EBS Template_TWN Top 4 MB 5 NB" xfId="127"/>
    <cellStyle name="_EBS Template1" xfId="128"/>
    <cellStyle name="_EBS Template1_Exhibit NB QoQ" xfId="129"/>
    <cellStyle name="_EBS Template1_Exhibt NB MOM" xfId="130"/>
    <cellStyle name="_EBS Template1_MBNB shipments_20080909" xfId="131"/>
    <cellStyle name="_EBS Template1_MBNB shipments_20090309.wip" xfId="132"/>
    <cellStyle name="_EBS Template1_MBNB shipments_Dec06_wip" xfId="133"/>
    <cellStyle name="_EBS Template1_MBNB shipments_July07.wip" xfId="134"/>
    <cellStyle name="_EBS Template1_NB-Mthly(0)" xfId="135"/>
    <cellStyle name="_EBS Template1_TWN Top 4 MB 5 NB" xfId="136"/>
    <cellStyle name="_EPS" xfId="137"/>
    <cellStyle name="_EPS1" xfId="138"/>
    <cellStyle name="_exchange rates" xfId="139"/>
    <cellStyle name="_Exhibit NB QoQ" xfId="140"/>
    <cellStyle name="_Exhibt NB MOM" xfId="141"/>
    <cellStyle name="_Fall 2002 IT Services Forecast Supplement" xfId="142"/>
    <cellStyle name="_Forecast Review -Fall 2002 IT Services Nov 13" xfId="143"/>
    <cellStyle name="_GMT_070822" xfId="144"/>
    <cellStyle name="_Google Inc_Draft_112907_OPT for MSFT" xfId="145"/>
    <cellStyle name="—_GS_Cash " xfId="146"/>
    <cellStyle name="—_GS_Cash  2" xfId="147"/>
    <cellStyle name="_Ichia Model2402_Modelware_Copy of Model2018_AAC_(WIP) " xfId="148"/>
    <cellStyle name="_Info" xfId="149"/>
    <cellStyle name="_Internal--Forecast Accuracy" xfId="150"/>
    <cellStyle name="_Internal--Market Share and Service Line Forecast" xfId="151"/>
    <cellStyle name="_Internal--Market Share and Vertical Forecast" xfId="152"/>
    <cellStyle name="_IV6" xfId="153"/>
    <cellStyle name="_JapaneseCatalog" xfId="154"/>
    <cellStyle name="_Market sizing Generic" xfId="155"/>
    <cellStyle name="_MBNB shipments_20080909" xfId="156"/>
    <cellStyle name="_MBNB shipments_20090309.wip" xfId="157"/>
    <cellStyle name="_MBNB shipments_Dec06_wip" xfId="158"/>
    <cellStyle name="_MBNB shipments_July07.wip" xfId="159"/>
    <cellStyle name="_Metrics1" xfId="160"/>
    <cellStyle name="_Metrics11" xfId="161"/>
    <cellStyle name="_Metrics13" xfId="162"/>
    <cellStyle name="_Metrics3" xfId="163"/>
    <cellStyle name="_Metrics5" xfId="164"/>
    <cellStyle name="_Metrics7" xfId="165"/>
    <cellStyle name="_Metrics9" xfId="166"/>
    <cellStyle name="_Mkt Seg SRS Shell" xfId="167"/>
    <cellStyle name="_Model_2402(New)_Modelware_Copy of Model2018_AAC_(WIP) " xfId="168"/>
    <cellStyle name="_Model_3311(New)_Copy of Model2018_AAC_(WIP) " xfId="169"/>
    <cellStyle name="_Model2394" xfId="170"/>
    <cellStyle name="_Model2394_Exhibit NB QoQ" xfId="171"/>
    <cellStyle name="_Model2394_Exhibt NB MOM" xfId="172"/>
    <cellStyle name="_Model2394_MBNB shipments_20080909" xfId="173"/>
    <cellStyle name="_Model2394_MBNB shipments_20090309.wip" xfId="174"/>
    <cellStyle name="_Model2394_MBNB shipments_Dec06_wip" xfId="175"/>
    <cellStyle name="_Model2394_MBNB shipments_July07.wip" xfId="176"/>
    <cellStyle name="_Model2394_NB-Mthly(0)" xfId="177"/>
    <cellStyle name="_Model2394_TWN Top 4 MB 5 NB" xfId="178"/>
    <cellStyle name="_Model2401_2Q03result" xfId="179"/>
    <cellStyle name="_Model2401_2Q03result_Exhibit NB QoQ" xfId="180"/>
    <cellStyle name="_Model2401_2Q03result_Exhibt NB MOM" xfId="181"/>
    <cellStyle name="_Model2401_2Q03result_MBNB shipments_20080909" xfId="182"/>
    <cellStyle name="_Model2401_2Q03result_MBNB shipments_20090309.wip" xfId="183"/>
    <cellStyle name="_Model2401_2Q03result_MBNB shipments_Dec06_wip" xfId="184"/>
    <cellStyle name="_Model2401_2Q03result_MBNB shipments_July07.wip" xfId="185"/>
    <cellStyle name="_Model2401_2Q03result_NB-Mthly(0)" xfId="186"/>
    <cellStyle name="_Model2401_2Q03result_TWN Top 4 MB 5 NB" xfId="187"/>
    <cellStyle name="_Model3008_08'03" xfId="188"/>
    <cellStyle name="_Model3008_08'03_Exhibit NB QoQ" xfId="189"/>
    <cellStyle name="_Model3008_08'03_Exhibt NB MOM" xfId="190"/>
    <cellStyle name="_Model3008_08'03_MBNB shipments_20080909" xfId="191"/>
    <cellStyle name="_Model3008_08'03_MBNB shipments_20090309.wip" xfId="192"/>
    <cellStyle name="_Model3008_08'03_MBNB shipments_Dec06_wip" xfId="193"/>
    <cellStyle name="_Model3008_08'03_MBNB shipments_July07.wip" xfId="194"/>
    <cellStyle name="_Model3008_08'03_NB-Mthly(0)" xfId="195"/>
    <cellStyle name="_Model3008_08'03_TWN Top 4 MB 5 NB" xfId="196"/>
    <cellStyle name="_Model3019_08'03" xfId="197"/>
    <cellStyle name="_Model3019_08'03_Exhibit NB QoQ" xfId="198"/>
    <cellStyle name="_Model3019_08'03_Exhibt NB MOM" xfId="199"/>
    <cellStyle name="_Model3019_08'03_MBNB shipments_20080909" xfId="200"/>
    <cellStyle name="_Model3019_08'03_MBNB shipments_20090309.wip" xfId="201"/>
    <cellStyle name="_Model3019_08'03_MBNB shipments_Dec06_wip" xfId="202"/>
    <cellStyle name="_Model3019_08'03_MBNB shipments_July07.wip" xfId="203"/>
    <cellStyle name="_Model3019_08'03_NB-Mthly(0)" xfId="204"/>
    <cellStyle name="_Model3019_08'03_TWN Top 4 MB 5 NB" xfId="205"/>
    <cellStyle name="_Model3059" xfId="206"/>
    <cellStyle name="_Model3059_Exhibit NB QoQ" xfId="207"/>
    <cellStyle name="_Model3059_Exhibt NB MOM" xfId="208"/>
    <cellStyle name="_Model3059_MBNB shipments_20080909" xfId="209"/>
    <cellStyle name="_Model3059_MBNB shipments_20090309.wip" xfId="210"/>
    <cellStyle name="_Model3059_MBNB shipments_Dec06_wip" xfId="211"/>
    <cellStyle name="_Model3059_MBNB shipments_July07.wip" xfId="212"/>
    <cellStyle name="_Model3059_NB-Mthly(0)" xfId="213"/>
    <cellStyle name="_Model3059_TWN Top 4 MB 5 NB" xfId="214"/>
    <cellStyle name="_Monthly sales" xfId="215"/>
    <cellStyle name="_Multiple_AA - BenefitsBonus " xfId="216"/>
    <cellStyle name="_MultipleSpace_AA - BenefitsBonus " xfId="217"/>
    <cellStyle name="_MW_CFA" xfId="218"/>
    <cellStyle name="_MWAnalytics" xfId="219"/>
    <cellStyle name="_NB-Mthly(0)" xfId="220"/>
    <cellStyle name="_Percent_AA - BenefitsBonus " xfId="221"/>
    <cellStyle name="_PercentSpace_AA - BenefitsBonus " xfId="222"/>
    <cellStyle name="_Pivot AIMP 2003 2 June 2004 for publication" xfId="223"/>
    <cellStyle name="_prelim vs final" xfId="224"/>
    <cellStyle name="_Print Generic Charts Library" xfId="225"/>
    <cellStyle name="_quaterly model" xfId="226"/>
    <cellStyle name="_Rama Other Companies" xfId="227"/>
    <cellStyle name="_RI valuation" xfId="228"/>
    <cellStyle name="_ROE2" xfId="229"/>
    <cellStyle name="_ROE4" xfId="230"/>
    <cellStyle name="_ROE8" xfId="231"/>
    <cellStyle name="_RRS1" xfId="232"/>
    <cellStyle name="_RRS1 2" xfId="233"/>
    <cellStyle name="_RRS1 2 2" xfId="234"/>
    <cellStyle name="_RRS1 3" xfId="235"/>
    <cellStyle name="_RRS1 3 2" xfId="236"/>
    <cellStyle name="_RRS1 4" xfId="237"/>
    <cellStyle name="_RRS1 4 2" xfId="238"/>
    <cellStyle name="_RRS1 5" xfId="239"/>
    <cellStyle name="_RRS1 5 2" xfId="240"/>
    <cellStyle name="_RRS1 6" xfId="241"/>
    <cellStyle name="_RRS1 7" xfId="242"/>
    <cellStyle name="_RRS15" xfId="243"/>
    <cellStyle name="_RRS20" xfId="244"/>
    <cellStyle name="_RRS3" xfId="245"/>
    <cellStyle name="_RRS3 2" xfId="246"/>
    <cellStyle name="_RRS3 2 2" xfId="247"/>
    <cellStyle name="_RRS3 3" xfId="248"/>
    <cellStyle name="_RRS3 3 2" xfId="249"/>
    <cellStyle name="_RRS3 4" xfId="250"/>
    <cellStyle name="_RRS3 4 2" xfId="251"/>
    <cellStyle name="_RRS3 5" xfId="252"/>
    <cellStyle name="_RRS3 5 2" xfId="253"/>
    <cellStyle name="_RRS3 6" xfId="254"/>
    <cellStyle name="_RRS3 7" xfId="255"/>
    <cellStyle name="_RRS4" xfId="256"/>
    <cellStyle name="_RRS4 2" xfId="257"/>
    <cellStyle name="_RRS4 2 2" xfId="258"/>
    <cellStyle name="_RRS4 3" xfId="259"/>
    <cellStyle name="_RRS4 3 2" xfId="260"/>
    <cellStyle name="_RRS4 4" xfId="261"/>
    <cellStyle name="_RRS4 4 2" xfId="262"/>
    <cellStyle name="_RRS4 5" xfId="263"/>
    <cellStyle name="_RRS4 5 2" xfId="264"/>
    <cellStyle name="_RRS4 6" xfId="265"/>
    <cellStyle name="_RRS4 7" xfId="266"/>
    <cellStyle name="_RRS6" xfId="267"/>
    <cellStyle name="_SUMMARY " xfId="268"/>
    <cellStyle name="_SUMMARY  10" xfId="269"/>
    <cellStyle name="_SUMMARY  10 2" xfId="270"/>
    <cellStyle name="_SUMMARY  11" xfId="271"/>
    <cellStyle name="_SUMMARY  12" xfId="272"/>
    <cellStyle name="_SUMMARY  13" xfId="273"/>
    <cellStyle name="_SUMMARY  14" xfId="274"/>
    <cellStyle name="_SUMMARY  15" xfId="275"/>
    <cellStyle name="_SUMMARY  15 2" xfId="276"/>
    <cellStyle name="_SUMMARY  16" xfId="277"/>
    <cellStyle name="_SUMMARY  2" xfId="278"/>
    <cellStyle name="_SUMMARY  2 2" xfId="279"/>
    <cellStyle name="_SUMMARY  3" xfId="280"/>
    <cellStyle name="_SUMMARY  3 2" xfId="281"/>
    <cellStyle name="_SUMMARY  3 2 2" xfId="282"/>
    <cellStyle name="_SUMMARY  3 2 2 2" xfId="283"/>
    <cellStyle name="_SUMMARY  3 2 3" xfId="284"/>
    <cellStyle name="_SUMMARY  3 3" xfId="285"/>
    <cellStyle name="_SUMMARY  3 3 2" xfId="286"/>
    <cellStyle name="_SUMMARY  3 4" xfId="287"/>
    <cellStyle name="_SUMMARY  4" xfId="288"/>
    <cellStyle name="_SUMMARY  4 2" xfId="289"/>
    <cellStyle name="_SUMMARY  4 2 2" xfId="290"/>
    <cellStyle name="_SUMMARY  4 3" xfId="291"/>
    <cellStyle name="_SUMMARY  4 4" xfId="292"/>
    <cellStyle name="_SUMMARY  5" xfId="293"/>
    <cellStyle name="_SUMMARY  5 2" xfId="294"/>
    <cellStyle name="_SUMMARY  5 2 2" xfId="295"/>
    <cellStyle name="_SUMMARY  5 3" xfId="296"/>
    <cellStyle name="_SUMMARY  6" xfId="297"/>
    <cellStyle name="_SUMMARY  6 2" xfId="298"/>
    <cellStyle name="_SUMMARY  6 2 2" xfId="299"/>
    <cellStyle name="_SUMMARY  6 3" xfId="300"/>
    <cellStyle name="_SUMMARY  6 4" xfId="301"/>
    <cellStyle name="_SUMMARY  7" xfId="302"/>
    <cellStyle name="_SUMMARY  7 2" xfId="303"/>
    <cellStyle name="_SUMMARY  7 3" xfId="304"/>
    <cellStyle name="_SUMMARY  8" xfId="305"/>
    <cellStyle name="_SUMMARY  8 2" xfId="306"/>
    <cellStyle name="_SUMMARY  8 3" xfId="307"/>
    <cellStyle name="_SUMMARY  9" xfId="308"/>
    <cellStyle name="_SUMMARY  9 2" xfId="309"/>
    <cellStyle name="_SY Earnings(Labor cost)" xfId="310"/>
    <cellStyle name="_Taiwan" xfId="311"/>
    <cellStyle name="_Template Stats" xfId="312"/>
    <cellStyle name="_TWN Top 4 MB 5 NB" xfId="313"/>
    <cellStyle name="_US GAAP" xfId="314"/>
    <cellStyle name="_US GAAP_Copy of Model2018_AAC_(WIP) " xfId="315"/>
    <cellStyle name="_US GAAP_Exhibit NB QoQ" xfId="316"/>
    <cellStyle name="_US GAAP_Exhibt NB MOM" xfId="317"/>
    <cellStyle name="_US GAAP_MBNB shipments_20080909" xfId="318"/>
    <cellStyle name="_US GAAP_MBNB shipments_20090309.wip" xfId="319"/>
    <cellStyle name="_US GAAP_MBNB shipments_Dec06_wip" xfId="320"/>
    <cellStyle name="_US GAAP_MBNB shipments_July07.wip" xfId="321"/>
    <cellStyle name="_US GAAP_NB-Mthly(0)" xfId="322"/>
    <cellStyle name="_US GAAP_TWN Top 4 MB 5 NB" xfId="323"/>
    <cellStyle name="_Valuation_ROC RI" xfId="324"/>
    <cellStyle name="_Wireline Tel Forecast " xfId="325"/>
    <cellStyle name="_Wireline Tel Forecast  2" xfId="326"/>
    <cellStyle name="_Word Charts" xfId="327"/>
    <cellStyle name="_Zip Stats_2004" xfId="328"/>
    <cellStyle name="’Ê‰Ý [0.00]_GE 3 MINIMUM" xfId="329"/>
    <cellStyle name="’Ê‰Ý_GE 3 MINIMUM" xfId="330"/>
    <cellStyle name="“ú–{Œê" xfId="331"/>
    <cellStyle name="£ BP" xfId="332"/>
    <cellStyle name="£ BP 2" xfId="333"/>
    <cellStyle name="¤@¯ë_2311" xfId="334"/>
    <cellStyle name="¤d¤À¦ì[0]_2311" xfId="335"/>
    <cellStyle name="¤d¤À¦ì_2311" xfId="336"/>
    <cellStyle name="¥ JY" xfId="337"/>
    <cellStyle name="¥ JY 2" xfId="338"/>
    <cellStyle name="¥ JY 3" xfId="339"/>
    <cellStyle name="=C:\WINNT35\SYSTEM32\COMMAND.COM" xfId="340"/>
    <cellStyle name="=C:\WINNT35\SYSTEM32\COMMAND.COM 2" xfId="341"/>
    <cellStyle name="=C:\WINNT35\SYSTEM32\COMMAND.COM 2 2" xfId="342"/>
    <cellStyle name="=C:\WINNT35\SYSTEM32\COMMAND.COM 3" xfId="343"/>
    <cellStyle name="=C:\WINNT35\SYSTEM32\COMMAND.COM 3 2" xfId="344"/>
    <cellStyle name="=C:\WINNT35\SYSTEM32\COMMAND.COM 4" xfId="345"/>
    <cellStyle name="=C:\WINNT35\SYSTEM32\COMMAND.COM 4 2" xfId="346"/>
    <cellStyle name="=C:\WINNT35\SYSTEM32\COMMAND.COM 5" xfId="347"/>
    <cellStyle name="=C:\WINNT35\SYSTEM32\COMMAND.COM 5 2" xfId="348"/>
    <cellStyle name="=C:\WINNT35\SYSTEM32\COMMAND.COM 6" xfId="349"/>
    <cellStyle name="=C:\WINNT35\SYSTEM32\COMMAND.COM 7" xfId="350"/>
    <cellStyle name="§Q\?1@" xfId="351"/>
    <cellStyle name="•W€_Comparables" xfId="352"/>
    <cellStyle name="•W_EditLog" xfId="353"/>
    <cellStyle name="0" xfId="354"/>
    <cellStyle name="0%" xfId="355"/>
    <cellStyle name="0% 2" xfId="356"/>
    <cellStyle name="0% 2 2" xfId="357"/>
    <cellStyle name="0% 3" xfId="358"/>
    <cellStyle name="0% 3 2" xfId="359"/>
    <cellStyle name="0% 4" xfId="360"/>
    <cellStyle name="0% 4 2" xfId="361"/>
    <cellStyle name="0% 5" xfId="362"/>
    <cellStyle name="0% 5 2" xfId="363"/>
    <cellStyle name="0% 6" xfId="364"/>
    <cellStyle name="0% 7" xfId="365"/>
    <cellStyle name="0,0_x000d__x000a_NA_x000d__x000a_" xfId="366"/>
    <cellStyle name="0.0" xfId="367"/>
    <cellStyle name="0.0%" xfId="368"/>
    <cellStyle name="0.0_40050504 (pension)" xfId="369"/>
    <cellStyle name="0.00" xfId="370"/>
    <cellStyle name="0.00%" xfId="371"/>
    <cellStyle name="0.00_40050504 (pension)" xfId="372"/>
    <cellStyle name="0_40050504 (pension)" xfId="373"/>
    <cellStyle name="0_Capex &amp; Depreciation " xfId="374"/>
    <cellStyle name="0_Capex &amp; Depreciation _RRST1" xfId="375"/>
    <cellStyle name="0_Capex &amp; Depreciation _RRST1 2" xfId="376"/>
    <cellStyle name="0_Capex &amp; Depreciation _RRST12" xfId="377"/>
    <cellStyle name="0_Capex &amp; Depreciation _RRST19" xfId="378"/>
    <cellStyle name="0_Capex &amp; Depreciation _RRST19 2" xfId="379"/>
    <cellStyle name="0_Capex &amp; Depreciation _RRST20" xfId="380"/>
    <cellStyle name="0_Capex &amp; Depreciation _RRST20 2" xfId="381"/>
    <cellStyle name="0_Capex &amp; Depreciation _RRST25" xfId="382"/>
    <cellStyle name="0_Capex &amp; Depreciation _RRST25 2" xfId="383"/>
    <cellStyle name="0_Capex &amp; Depreciation _RRST3" xfId="384"/>
    <cellStyle name="0_Capex &amp; Depreciation _RRST6" xfId="385"/>
    <cellStyle name="0_Capex &amp; Depreciation _RRST6 2" xfId="386"/>
    <cellStyle name="0_Capex &amp; Depreciation _RRST9" xfId="387"/>
    <cellStyle name="0_Capex &amp; Depreciation _RRST9 2" xfId="388"/>
    <cellStyle name="0_ConsensusPanel_v20080325 (2)" xfId="389"/>
    <cellStyle name="0_Copy of Model2018_AAC_(WIP) " xfId="390"/>
    <cellStyle name="0_geconsensusv1" xfId="391"/>
    <cellStyle name="0_Handset component data_Copy of Model2018_AAC_(WIP) " xfId="392"/>
    <cellStyle name="0_IV2" xfId="393"/>
    <cellStyle name="0_IV6" xfId="394"/>
    <cellStyle name="0_Japan Pension Module Sumitomo Chemical" xfId="395"/>
    <cellStyle name="0_JapaneseCatalog" xfId="396"/>
    <cellStyle name="0_MB-Mthly(1)" xfId="397"/>
    <cellStyle name="0_MB-Mthly(1)_Exhibit NB QoQ" xfId="398"/>
    <cellStyle name="0_MB-Mthly(1)_Exhibt NB MOM" xfId="399"/>
    <cellStyle name="0_MB-Mthly(1)_MBNB shipments_20080909" xfId="400"/>
    <cellStyle name="0_MB-Mthly(1)_MBNB shipments_20090309.wip" xfId="401"/>
    <cellStyle name="0_MB-Mthly(1)_MBNB shipments_Dec06_wip" xfId="402"/>
    <cellStyle name="0_MB-Mthly(1)_MBNB shipments_July07.wip" xfId="403"/>
    <cellStyle name="0_MB-Mthly(1)_NB-Mthly(0)" xfId="404"/>
    <cellStyle name="0_ROE2" xfId="405"/>
    <cellStyle name="0_ROE4" xfId="406"/>
    <cellStyle name="0_SmartChart_B1035" xfId="407"/>
    <cellStyle name="0_SmartChart_B1200" xfId="408"/>
    <cellStyle name="0_SmartChart_C1035" xfId="409"/>
    <cellStyle name="0_SmartChart_O1200" xfId="410"/>
    <cellStyle name="0_TWN Top 4 MB 5 NB" xfId="411"/>
    <cellStyle name="0_TWN Top 4 MB 5 NB_Exhibit NB QoQ" xfId="412"/>
    <cellStyle name="0_TWN Top 4 MB 5 NB_Exhibt NB MOM" xfId="413"/>
    <cellStyle name="0_TWN Top 4 MB 5 NB_MBNB shipments_20080909" xfId="414"/>
    <cellStyle name="0_TWN Top 4 MB 5 NB_MBNB shipments_20090309.wip" xfId="415"/>
    <cellStyle name="0_TWN Top 4 MB 5 NB_MBNB shipments_Dec06_wip" xfId="416"/>
    <cellStyle name="0_TWN Top 4 MB 5 NB_MBNB shipments_July07.wip" xfId="417"/>
    <cellStyle name="0_Valuing BP " xfId="418"/>
    <cellStyle name="0_Valuing BP _RRST1" xfId="419"/>
    <cellStyle name="0_Valuing BP _RRST1 2" xfId="420"/>
    <cellStyle name="0_Valuing BP _RRST12" xfId="421"/>
    <cellStyle name="0_Valuing BP _RRST19" xfId="422"/>
    <cellStyle name="0_Valuing BP _RRST19 2" xfId="423"/>
    <cellStyle name="0_Valuing BP _RRST20" xfId="424"/>
    <cellStyle name="0_Valuing BP _RRST20 2" xfId="425"/>
    <cellStyle name="0_Valuing BP _RRST25" xfId="426"/>
    <cellStyle name="0_Valuing BP _RRST25 2" xfId="427"/>
    <cellStyle name="0_Valuing BP _RRST3" xfId="428"/>
    <cellStyle name="0_Valuing BP _RRST6" xfId="429"/>
    <cellStyle name="0_Valuing BP _RRST6 2" xfId="430"/>
    <cellStyle name="0_Valuing BP _RRST9" xfId="431"/>
    <cellStyle name="0_Valuing BP _RRST9 2" xfId="432"/>
    <cellStyle name="0_Vendor revenues_Copy of Model2018_AAC_(WIP) " xfId="433"/>
    <cellStyle name="0_Wireline Tel Forecast " xfId="434"/>
    <cellStyle name="0_WW NB DT PC &amp;TWN NB MB Qly" xfId="435"/>
    <cellStyle name="0_WW NB DT PC &amp;TWN NB MB Qly_Exhibit NB QoQ" xfId="436"/>
    <cellStyle name="0_WW NB DT PC &amp;TWN NB MB Qly_Exhibt NB MOM" xfId="437"/>
    <cellStyle name="0_WW NB DT PC &amp;TWN NB MB Qly_MBNB shipments_20080909" xfId="438"/>
    <cellStyle name="0_WW NB DT PC &amp;TWN NB MB Qly_MBNB shipments_20090309.wip" xfId="439"/>
    <cellStyle name="0_WW NB DT PC &amp;TWN NB MB Qly_MBNB shipments_Dec06_wip" xfId="440"/>
    <cellStyle name="0_WW NB DT PC &amp;TWN NB MB Qly_MBNB shipments_July07.wip" xfId="441"/>
    <cellStyle name="0_Yardstick2012" xfId="442"/>
    <cellStyle name="1,comma" xfId="443"/>
    <cellStyle name="1,comma 2" xfId="444"/>
    <cellStyle name="1,comma 2 2" xfId="445"/>
    <cellStyle name="1,comma 3" xfId="446"/>
    <cellStyle name="1,comma 3 2" xfId="447"/>
    <cellStyle name="1,comma 4" xfId="448"/>
    <cellStyle name="1,comma 4 2" xfId="449"/>
    <cellStyle name="1,comma 5" xfId="450"/>
    <cellStyle name="1,comma 5 2" xfId="451"/>
    <cellStyle name="1,comma 6" xfId="452"/>
    <cellStyle name="1,comma 7" xfId="453"/>
    <cellStyle name="¹eºÐA²_AIAIC°AuCoE² " xfId="454"/>
    <cellStyle name="20% - Accent1" xfId="455" builtinId="30" customBuiltin="1"/>
    <cellStyle name="20% - Accent1 2" xfId="456"/>
    <cellStyle name="20% - Accent1 2 2" xfId="457"/>
    <cellStyle name="20% - Accent1 2 3" xfId="458"/>
    <cellStyle name="20% - Accent1 3" xfId="459"/>
    <cellStyle name="20% - Accent2" xfId="460" builtinId="34" customBuiltin="1"/>
    <cellStyle name="20% - Accent2 2" xfId="461"/>
    <cellStyle name="20% - Accent2 3" xfId="462"/>
    <cellStyle name="20% - Accent3" xfId="463" builtinId="38" customBuiltin="1"/>
    <cellStyle name="20% - Accent3 2" xfId="464"/>
    <cellStyle name="20% - Accent3 2 2" xfId="465"/>
    <cellStyle name="20% - Accent3 2 3" xfId="466"/>
    <cellStyle name="20% - Accent3 3" xfId="467"/>
    <cellStyle name="20% - Accent4" xfId="468" builtinId="42" customBuiltin="1"/>
    <cellStyle name="20% - Accent4 2" xfId="469"/>
    <cellStyle name="20% - Accent4 3" xfId="470"/>
    <cellStyle name="20% - Accent5" xfId="471" builtinId="46" customBuiltin="1"/>
    <cellStyle name="20% - Accent5 2" xfId="472"/>
    <cellStyle name="20% - Accent5 3" xfId="473"/>
    <cellStyle name="20% - Accent6" xfId="474" builtinId="50" customBuiltin="1"/>
    <cellStyle name="20% - Accent6 2" xfId="475"/>
    <cellStyle name="20% - Accent6 2 2" xfId="476"/>
    <cellStyle name="20% - Accent6 2 3" xfId="477"/>
    <cellStyle name="20% - Accent6 3" xfId="478"/>
    <cellStyle name="³f¹ô [0]_2311" xfId="479"/>
    <cellStyle name="³f¹ô_2311" xfId="480"/>
    <cellStyle name="40% - Accent1" xfId="481" builtinId="31" customBuiltin="1"/>
    <cellStyle name="40% - Accent1 2" xfId="482"/>
    <cellStyle name="40% - Accent1 2 2" xfId="483"/>
    <cellStyle name="40% - Accent1 2 3" xfId="484"/>
    <cellStyle name="40% - Accent1 3" xfId="485"/>
    <cellStyle name="40% - Accent2" xfId="486" builtinId="35" customBuiltin="1"/>
    <cellStyle name="40% - Accent2 2" xfId="487"/>
    <cellStyle name="40% - Accent2 3" xfId="488"/>
    <cellStyle name="40% - Accent3" xfId="489" builtinId="39" customBuiltin="1"/>
    <cellStyle name="40% - Accent3 2" xfId="490"/>
    <cellStyle name="40% - Accent3 3" xfId="491"/>
    <cellStyle name="40% - Accent4" xfId="492" builtinId="43" customBuiltin="1"/>
    <cellStyle name="40% - Accent4 2" xfId="493"/>
    <cellStyle name="40% - Accent4 2 2" xfId="494"/>
    <cellStyle name="40% - Accent4 2 3" xfId="495"/>
    <cellStyle name="40% - Accent4 3" xfId="496"/>
    <cellStyle name="40% - Accent5" xfId="497" builtinId="47" customBuiltin="1"/>
    <cellStyle name="40% - Accent5 2" xfId="498"/>
    <cellStyle name="40% - Accent5 2 2" xfId="499"/>
    <cellStyle name="40% - Accent5 2 3" xfId="500"/>
    <cellStyle name="40% - Accent5 3" xfId="501"/>
    <cellStyle name="40% - Accent6" xfId="502" builtinId="51" customBuiltin="1"/>
    <cellStyle name="40% - Accent6 2" xfId="503"/>
    <cellStyle name="40% - Accent6 2 2" xfId="504"/>
    <cellStyle name="40% - Accent6 2 3" xfId="505"/>
    <cellStyle name="40% - Accent6 3" xfId="506"/>
    <cellStyle name="60% - Accent1" xfId="507" builtinId="32" customBuiltin="1"/>
    <cellStyle name="60% - Accent1 2" xfId="508"/>
    <cellStyle name="60% - Accent1 2 2" xfId="509"/>
    <cellStyle name="60% - Accent1 2 3" xfId="510"/>
    <cellStyle name="60% - Accent1 3" xfId="511"/>
    <cellStyle name="60% - Accent2" xfId="512" builtinId="36" customBuiltin="1"/>
    <cellStyle name="60% - Accent2 2" xfId="513"/>
    <cellStyle name="60% - Accent2 2 2" xfId="514"/>
    <cellStyle name="60% - Accent2 2 3" xfId="515"/>
    <cellStyle name="60% - Accent2 3" xfId="516"/>
    <cellStyle name="60% - Accent3" xfId="517" builtinId="40" customBuiltin="1"/>
    <cellStyle name="60% - Accent3 2" xfId="518"/>
    <cellStyle name="60% - Accent3 2 2" xfId="519"/>
    <cellStyle name="60% - Accent3 2 3" xfId="520"/>
    <cellStyle name="60% - Accent3 3" xfId="521"/>
    <cellStyle name="60% - Accent4" xfId="522" builtinId="44" customBuiltin="1"/>
    <cellStyle name="60% - Accent4 2" xfId="523"/>
    <cellStyle name="60% - Accent4 2 2" xfId="524"/>
    <cellStyle name="60% - Accent4 2 3" xfId="525"/>
    <cellStyle name="60% - Accent4 3" xfId="526"/>
    <cellStyle name="60% - Accent5" xfId="527" builtinId="48" customBuiltin="1"/>
    <cellStyle name="60% - Accent5 2" xfId="528"/>
    <cellStyle name="60% - Accent5 2 2" xfId="529"/>
    <cellStyle name="60% - Accent5 2 3" xfId="530"/>
    <cellStyle name="60% - Accent5 3" xfId="531"/>
    <cellStyle name="60% - Accent6" xfId="532" builtinId="52" customBuiltin="1"/>
    <cellStyle name="60% - Accent6 2" xfId="533"/>
    <cellStyle name="60% - Accent6 2 2" xfId="534"/>
    <cellStyle name="60% - Accent6 2 3" xfId="535"/>
    <cellStyle name="60% - Accent6 3" xfId="536"/>
    <cellStyle name="752131" xfId="537"/>
    <cellStyle name="752131 2" xfId="538"/>
    <cellStyle name="A¨­￠￢￠O [0]_¨oCAuCoEⓒ÷ " xfId="539"/>
    <cellStyle name="A¨­￠￢￠O_¨oCAuCoEⓒ÷ " xfId="540"/>
    <cellStyle name="Accent1" xfId="541" builtinId="29" customBuiltin="1"/>
    <cellStyle name="Accent1 2" xfId="542"/>
    <cellStyle name="Accent1 2 2" xfId="543"/>
    <cellStyle name="Accent1 2 3" xfId="544"/>
    <cellStyle name="Accent1 3" xfId="545"/>
    <cellStyle name="Accent2" xfId="546" builtinId="33" customBuiltin="1"/>
    <cellStyle name="Accent2 2" xfId="547"/>
    <cellStyle name="Accent2 2 2" xfId="548"/>
    <cellStyle name="Accent2 2 3" xfId="549"/>
    <cellStyle name="Accent2 3" xfId="550"/>
    <cellStyle name="Accent3" xfId="551" builtinId="37" customBuiltin="1"/>
    <cellStyle name="Accent3 2" xfId="552"/>
    <cellStyle name="Accent3 2 2" xfId="553"/>
    <cellStyle name="Accent3 2 3" xfId="554"/>
    <cellStyle name="Accent3 3" xfId="555"/>
    <cellStyle name="Accent4" xfId="556" builtinId="41" customBuiltin="1"/>
    <cellStyle name="Accent4 2" xfId="557"/>
    <cellStyle name="Accent4 3" xfId="558"/>
    <cellStyle name="Accent5" xfId="559" builtinId="45" customBuiltin="1"/>
    <cellStyle name="Accent5 2" xfId="560"/>
    <cellStyle name="Accent5 3" xfId="561"/>
    <cellStyle name="Accent6" xfId="562" builtinId="49" customBuiltin="1"/>
    <cellStyle name="Accent6 2" xfId="563"/>
    <cellStyle name="Accent6 2 2" xfId="564"/>
    <cellStyle name="Accent6 2 3" xfId="565"/>
    <cellStyle name="Accent6 3" xfId="566"/>
    <cellStyle name="Acctg" xfId="567"/>
    <cellStyle name="AeE­ [0]_¼oAa½CAu " xfId="568"/>
    <cellStyle name="ÅëÈ­ [0]_cover " xfId="569"/>
    <cellStyle name="AeE­ [0]_INQUIRY ¿μ¾÷AßAø " xfId="570"/>
    <cellStyle name="AeE­_¼oAa½CAu " xfId="571"/>
    <cellStyle name="ÅëÈ­_cover " xfId="572"/>
    <cellStyle name="AeE­_INQUIRY ¿μ¾÷AßAø " xfId="573"/>
    <cellStyle name="AeE¡ⓒ [0]_¨oCAuCoEⓒ÷ " xfId="574"/>
    <cellStyle name="AeE¡ⓒ_¨oCAuCoEⓒ÷ " xfId="575"/>
    <cellStyle name="AFE" xfId="576"/>
    <cellStyle name="ales" xfId="577"/>
    <cellStyle name="Analyst Name" xfId="578"/>
    <cellStyle name="AÞ¸¶ [0]_¼oAa½CAu " xfId="579"/>
    <cellStyle name="ÄÞ¸¶ [0]_cover " xfId="580"/>
    <cellStyle name="AÞ¸¶ [0]_INQUIRY ¿μ¾÷AßAø " xfId="581"/>
    <cellStyle name="AÞ¸¶_¼oAa½CAu " xfId="582"/>
    <cellStyle name="ÄÞ¸¶_cover " xfId="583"/>
    <cellStyle name="AÞ¸¶_INQUIRY ¿μ¾÷AßAø " xfId="584"/>
    <cellStyle name="Availability" xfId="585"/>
    <cellStyle name="Background" xfId="586"/>
    <cellStyle name="Bad" xfId="587" builtinId="27" customBuiltin="1"/>
    <cellStyle name="Bad 2" xfId="588"/>
    <cellStyle name="Bad 2 2" xfId="589"/>
    <cellStyle name="Bad 2 3" xfId="590"/>
    <cellStyle name="Bad 3" xfId="591"/>
    <cellStyle name="Balance Sheet" xfId="592"/>
    <cellStyle name="BalanceSheet" xfId="593"/>
    <cellStyle name="Band 2" xfId="594"/>
    <cellStyle name="big-font" xfId="595"/>
    <cellStyle name="Blue" xfId="596"/>
    <cellStyle name="Blue 2" xfId="597"/>
    <cellStyle name="BLuedashZero" xfId="598"/>
    <cellStyle name="Body" xfId="599"/>
    <cellStyle name="Bold/Border" xfId="600"/>
    <cellStyle name="Border, Bottom" xfId="601"/>
    <cellStyle name="Border, Left" xfId="602"/>
    <cellStyle name="Border, Right" xfId="603"/>
    <cellStyle name="Border, Top" xfId="604"/>
    <cellStyle name="bottom-title" xfId="605"/>
    <cellStyle name="Bullet" xfId="606"/>
    <cellStyle name="Bullet 2" xfId="607"/>
    <cellStyle name="C?AØ_laroux_1ON" xfId="608"/>
    <cellStyle name="c_HardInc" xfId="609"/>
    <cellStyle name="c_HardInc " xfId="610"/>
    <cellStyle name="c_HardInc _Catalog" xfId="611"/>
    <cellStyle name="c_HardInc _JapaneseCatalog" xfId="612"/>
    <cellStyle name="c_HardInc _RRST1" xfId="613"/>
    <cellStyle name="c_HardInc _RRST1 2" xfId="614"/>
    <cellStyle name="c_HardInc _RRST12" xfId="615"/>
    <cellStyle name="c_HardInc _RRST19" xfId="616"/>
    <cellStyle name="c_HardInc _RRST19 2" xfId="617"/>
    <cellStyle name="c_HardInc _RRST20" xfId="618"/>
    <cellStyle name="c_HardInc _RRST20 2" xfId="619"/>
    <cellStyle name="c_HardInc _RRST25" xfId="620"/>
    <cellStyle name="c_HardInc _RRST25 2" xfId="621"/>
    <cellStyle name="c_HardInc _RRST3" xfId="622"/>
    <cellStyle name="c_HardInc _RRST6" xfId="623"/>
    <cellStyle name="c_HardInc _RRST6 2" xfId="624"/>
    <cellStyle name="c_HardInc _RRST9" xfId="625"/>
    <cellStyle name="c_HardInc _RRST9 2" xfId="626"/>
    <cellStyle name="C¡IA¨ª_¡ic¨u¡A¨￢I¨￢¡Æ AN¡Æe " xfId="627"/>
    <cellStyle name="C￥AØ_  FAB AIA¤  " xfId="628"/>
    <cellStyle name="Ç¥ÁØ_»ç¾÷ºÎº° ÃÑ°è " xfId="629"/>
    <cellStyle name="C￥AØ_≫c¾÷ºIº° AN°e " xfId="630"/>
    <cellStyle name="Ç¥ÁØ_0N-HANDLING " xfId="631"/>
    <cellStyle name="C￥AØ_¼±AoAc°i_1_³≫ºI°eE¹´e AßA¤A÷AI " xfId="632"/>
    <cellStyle name="Ç¥ÁØ_5-1±¤°í " xfId="633"/>
    <cellStyle name="C￥AØ_5-1±¤°i _6RCB1 " xfId="634"/>
    <cellStyle name="Ç¥ÁØ_Áý°èÇ¥(2¿ù) " xfId="635"/>
    <cellStyle name="C￥AØ_CoAo¹yAI °A¾×¿ⓒ½A " xfId="636"/>
    <cellStyle name="Ç¥ÁØ_cover " xfId="637"/>
    <cellStyle name="C05_Style E Text" xfId="638"/>
    <cellStyle name="Calc Currency (0)" xfId="639"/>
    <cellStyle name="Calculation" xfId="640" builtinId="22" customBuiltin="1"/>
    <cellStyle name="Calculation 2" xfId="641"/>
    <cellStyle name="Calculation 2 2" xfId="642"/>
    <cellStyle name="Calculation 2 3" xfId="643"/>
    <cellStyle name="Calculation 3" xfId="644"/>
    <cellStyle name="CashFlow" xfId="645"/>
    <cellStyle name="Cents" xfId="646"/>
    <cellStyle name="Cents 2" xfId="647"/>
    <cellStyle name="Cents 3" xfId="648"/>
    <cellStyle name="Change" xfId="649"/>
    <cellStyle name="Changeable" xfId="650"/>
    <cellStyle name="ChartingText" xfId="651"/>
    <cellStyle name="Check Cell" xfId="652" builtinId="23" customBuiltin="1"/>
    <cellStyle name="Check Cell 2" xfId="653"/>
    <cellStyle name="Check Cell 3" xfId="654"/>
    <cellStyle name="CHPAboveAverage" xfId="655"/>
    <cellStyle name="CHPBelowAverage" xfId="656"/>
    <cellStyle name="CHPBottom" xfId="657"/>
    <cellStyle name="CHPTop" xfId="658"/>
    <cellStyle name="Colhead_left" xfId="659"/>
    <cellStyle name="ColHeading" xfId="660"/>
    <cellStyle name="ColumnHeaderNormal" xfId="661"/>
    <cellStyle name="ColumnHeadings" xfId="662"/>
    <cellStyle name="ColumnHeadings2" xfId="663"/>
    <cellStyle name="Comma" xfId="664" builtinId="3"/>
    <cellStyle name="Comma  - Style1" xfId="665"/>
    <cellStyle name="Comma  - Style1 2" xfId="666"/>
    <cellStyle name="Comma  - Style2" xfId="667"/>
    <cellStyle name="Comma  - Style2 2" xfId="668"/>
    <cellStyle name="Comma  - Style2 3" xfId="669"/>
    <cellStyle name="Comma  - Style3" xfId="670"/>
    <cellStyle name="Comma  - Style3 2" xfId="671"/>
    <cellStyle name="Comma  - Style3 3" xfId="672"/>
    <cellStyle name="Comma  - Style4" xfId="673"/>
    <cellStyle name="Comma  - Style4 2" xfId="674"/>
    <cellStyle name="Comma  - Style4 3" xfId="675"/>
    <cellStyle name="Comma  - Style5" xfId="676"/>
    <cellStyle name="Comma  - Style5 2" xfId="677"/>
    <cellStyle name="Comma  - Style5 3" xfId="678"/>
    <cellStyle name="Comma  - Style6" xfId="679"/>
    <cellStyle name="Comma  - Style6 2" xfId="680"/>
    <cellStyle name="Comma  - Style6 3" xfId="681"/>
    <cellStyle name="Comma  - Style7" xfId="682"/>
    <cellStyle name="Comma  - Style7 2" xfId="683"/>
    <cellStyle name="Comma  - Style7 3" xfId="684"/>
    <cellStyle name="Comma  - Style8" xfId="685"/>
    <cellStyle name="Comma  - Style8 2" xfId="686"/>
    <cellStyle name="Comma  - Style8 3" xfId="687"/>
    <cellStyle name="Comma (1)" xfId="688"/>
    <cellStyle name="Comma [1]" xfId="689"/>
    <cellStyle name="Comma [2]" xfId="690"/>
    <cellStyle name="Comma 10" xfId="691"/>
    <cellStyle name="Comma 10 2" xfId="692"/>
    <cellStyle name="Comma 10 2 2" xfId="693"/>
    <cellStyle name="Comma 10 2 3" xfId="694"/>
    <cellStyle name="Comma 10 3" xfId="695"/>
    <cellStyle name="Comma 10 4" xfId="696"/>
    <cellStyle name="Comma 10 5" xfId="697"/>
    <cellStyle name="Comma 10 5 2" xfId="698"/>
    <cellStyle name="Comma 100" xfId="699"/>
    <cellStyle name="Comma 101" xfId="700"/>
    <cellStyle name="Comma 102" xfId="701"/>
    <cellStyle name="Comma 103" xfId="702"/>
    <cellStyle name="Comma 104" xfId="703"/>
    <cellStyle name="Comma 105" xfId="704"/>
    <cellStyle name="Comma 11" xfId="705"/>
    <cellStyle name="Comma 11 2" xfId="706"/>
    <cellStyle name="Comma 11 3" xfId="707"/>
    <cellStyle name="Comma 12" xfId="708"/>
    <cellStyle name="Comma 12 2" xfId="709"/>
    <cellStyle name="Comma 12 3" xfId="710"/>
    <cellStyle name="Comma 13" xfId="711"/>
    <cellStyle name="Comma 13 2" xfId="712"/>
    <cellStyle name="Comma 13 3" xfId="713"/>
    <cellStyle name="Comma 14" xfId="714"/>
    <cellStyle name="Comma 14 2" xfId="715"/>
    <cellStyle name="Comma 14 3" xfId="716"/>
    <cellStyle name="Comma 15" xfId="717"/>
    <cellStyle name="Comma 15 2" xfId="718"/>
    <cellStyle name="Comma 15 3" xfId="719"/>
    <cellStyle name="Comma 16" xfId="720"/>
    <cellStyle name="Comma 16 2" xfId="721"/>
    <cellStyle name="Comma 16 3" xfId="722"/>
    <cellStyle name="Comma 17" xfId="723"/>
    <cellStyle name="Comma 17 2" xfId="724"/>
    <cellStyle name="Comma 17 2 2" xfId="725"/>
    <cellStyle name="Comma 17 3" xfId="726"/>
    <cellStyle name="Comma 17 4" xfId="727"/>
    <cellStyle name="Comma 18" xfId="728"/>
    <cellStyle name="Comma 18 2" xfId="729"/>
    <cellStyle name="Comma 18 2 2" xfId="730"/>
    <cellStyle name="Comma 18 3" xfId="731"/>
    <cellStyle name="Comma 18 4" xfId="732"/>
    <cellStyle name="Comma 19" xfId="733"/>
    <cellStyle name="Comma 19 2" xfId="734"/>
    <cellStyle name="Comma 19 2 2" xfId="735"/>
    <cellStyle name="Comma 19 3" xfId="736"/>
    <cellStyle name="Comma 2" xfId="737"/>
    <cellStyle name="Comma 2 2" xfId="738"/>
    <cellStyle name="Comma 2 2 2" xfId="739"/>
    <cellStyle name="Comma 2 2 3" xfId="740"/>
    <cellStyle name="Comma 2 2 4" xfId="741"/>
    <cellStyle name="Comma 2 2 4 2" xfId="742"/>
    <cellStyle name="Comma 2 3" xfId="743"/>
    <cellStyle name="Comma 2 3 2" xfId="744"/>
    <cellStyle name="Comma 2 3 3" xfId="745"/>
    <cellStyle name="Comma 2 3 3 2" xfId="746"/>
    <cellStyle name="Comma 2 4" xfId="747"/>
    <cellStyle name="Comma 2_Exhibits" xfId="748"/>
    <cellStyle name="Comma 20" xfId="749"/>
    <cellStyle name="Comma 20 2" xfId="750"/>
    <cellStyle name="Comma 20 2 2" xfId="751"/>
    <cellStyle name="Comma 20 3" xfId="752"/>
    <cellStyle name="Comma 21" xfId="753"/>
    <cellStyle name="Comma 21 2" xfId="754"/>
    <cellStyle name="Comma 21 2 2" xfId="755"/>
    <cellStyle name="Comma 21 3" xfId="756"/>
    <cellStyle name="Comma 22" xfId="757"/>
    <cellStyle name="Comma 22 2" xfId="758"/>
    <cellStyle name="Comma 23" xfId="759"/>
    <cellStyle name="Comma 23 2" xfId="760"/>
    <cellStyle name="Comma 24" xfId="761"/>
    <cellStyle name="Comma 24 2" xfId="762"/>
    <cellStyle name="Comma 24 3" xfId="763"/>
    <cellStyle name="Comma 25" xfId="764"/>
    <cellStyle name="Comma 25 2" xfId="765"/>
    <cellStyle name="Comma 25 3" xfId="766"/>
    <cellStyle name="Comma 26" xfId="767"/>
    <cellStyle name="Comma 26 2" xfId="768"/>
    <cellStyle name="Comma 26 3" xfId="769"/>
    <cellStyle name="Comma 27" xfId="770"/>
    <cellStyle name="Comma 27 2" xfId="771"/>
    <cellStyle name="Comma 27 3" xfId="772"/>
    <cellStyle name="Comma 27 4" xfId="773"/>
    <cellStyle name="Comma 28" xfId="774"/>
    <cellStyle name="Comma 28 2" xfId="775"/>
    <cellStyle name="Comma 28 3" xfId="776"/>
    <cellStyle name="Comma 28 4" xfId="777"/>
    <cellStyle name="Comma 29" xfId="778"/>
    <cellStyle name="Comma 29 2" xfId="779"/>
    <cellStyle name="Comma 29 3" xfId="780"/>
    <cellStyle name="Comma 29 4" xfId="781"/>
    <cellStyle name="Comma 3" xfId="782"/>
    <cellStyle name="Comma 3 2" xfId="783"/>
    <cellStyle name="Comma 3 2 2" xfId="784"/>
    <cellStyle name="Comma 3 2 2 2" xfId="785"/>
    <cellStyle name="Comma 3 2 3" xfId="786"/>
    <cellStyle name="Comma 3 2 4" xfId="787"/>
    <cellStyle name="Comma 3 2 5" xfId="788"/>
    <cellStyle name="Comma 3 3" xfId="789"/>
    <cellStyle name="Comma 3 3 2" xfId="790"/>
    <cellStyle name="Comma 3 4" xfId="791"/>
    <cellStyle name="Comma 3 5" xfId="792"/>
    <cellStyle name="Comma 3 6" xfId="793"/>
    <cellStyle name="Comma 3 6 2" xfId="794"/>
    <cellStyle name="Comma 30" xfId="795"/>
    <cellStyle name="Comma 30 2" xfId="796"/>
    <cellStyle name="Comma 31" xfId="797"/>
    <cellStyle name="Comma 31 2" xfId="798"/>
    <cellStyle name="Comma 32" xfId="799"/>
    <cellStyle name="Comma 32 2" xfId="800"/>
    <cellStyle name="Comma 33" xfId="801"/>
    <cellStyle name="Comma 33 2" xfId="802"/>
    <cellStyle name="Comma 34" xfId="803"/>
    <cellStyle name="Comma 34 2" xfId="804"/>
    <cellStyle name="Comma 35" xfId="805"/>
    <cellStyle name="Comma 35 2" xfId="806"/>
    <cellStyle name="Comma 36" xfId="807"/>
    <cellStyle name="Comma 36 2" xfId="808"/>
    <cellStyle name="Comma 37" xfId="809"/>
    <cellStyle name="Comma 37 2" xfId="810"/>
    <cellStyle name="Comma 38" xfId="811"/>
    <cellStyle name="Comma 38 2" xfId="812"/>
    <cellStyle name="Comma 39" xfId="813"/>
    <cellStyle name="Comma 39 2" xfId="814"/>
    <cellStyle name="Comma 4" xfId="815"/>
    <cellStyle name="Comma 4 2" xfId="816"/>
    <cellStyle name="Comma 4 2 2" xfId="817"/>
    <cellStyle name="Comma 4 3" xfId="818"/>
    <cellStyle name="Comma 4 4" xfId="819"/>
    <cellStyle name="Comma 4 5" xfId="820"/>
    <cellStyle name="Comma 4 5 2" xfId="821"/>
    <cellStyle name="Comma 40" xfId="822"/>
    <cellStyle name="Comma 40 2" xfId="823"/>
    <cellStyle name="Comma 41" xfId="824"/>
    <cellStyle name="Comma 41 2" xfId="825"/>
    <cellStyle name="Comma 42" xfId="826"/>
    <cellStyle name="Comma 42 2" xfId="827"/>
    <cellStyle name="Comma 43" xfId="828"/>
    <cellStyle name="Comma 43 2" xfId="829"/>
    <cellStyle name="Comma 44" xfId="830"/>
    <cellStyle name="Comma 45" xfId="831"/>
    <cellStyle name="Comma 46" xfId="832"/>
    <cellStyle name="Comma 47" xfId="833"/>
    <cellStyle name="Comma 48" xfId="834"/>
    <cellStyle name="Comma 49" xfId="835"/>
    <cellStyle name="Comma 5" xfId="836"/>
    <cellStyle name="Comma 5 2" xfId="837"/>
    <cellStyle name="Comma 5 2 2" xfId="838"/>
    <cellStyle name="Comma 5 3" xfId="839"/>
    <cellStyle name="Comma 5 4" xfId="840"/>
    <cellStyle name="Comma 5 5" xfId="841"/>
    <cellStyle name="Comma 50" xfId="842"/>
    <cellStyle name="Comma 51" xfId="843"/>
    <cellStyle name="Comma 52" xfId="844"/>
    <cellStyle name="Comma 52 2" xfId="845"/>
    <cellStyle name="Comma 52 3" xfId="846"/>
    <cellStyle name="Comma 53" xfId="847"/>
    <cellStyle name="Comma 53 2" xfId="848"/>
    <cellStyle name="Comma 53 3" xfId="849"/>
    <cellStyle name="Comma 54" xfId="850"/>
    <cellStyle name="Comma 54 2" xfId="851"/>
    <cellStyle name="Comma 54 3" xfId="852"/>
    <cellStyle name="Comma 55" xfId="853"/>
    <cellStyle name="Comma 55 2" xfId="854"/>
    <cellStyle name="Comma 55 3" xfId="855"/>
    <cellStyle name="Comma 56" xfId="856"/>
    <cellStyle name="Comma 56 2" xfId="857"/>
    <cellStyle name="Comma 56 3" xfId="858"/>
    <cellStyle name="Comma 57" xfId="859"/>
    <cellStyle name="Comma 57 2" xfId="860"/>
    <cellStyle name="Comma 57 3" xfId="861"/>
    <cellStyle name="Comma 58" xfId="862"/>
    <cellStyle name="Comma 58 2" xfId="863"/>
    <cellStyle name="Comma 58 3" xfId="864"/>
    <cellStyle name="Comma 59" xfId="865"/>
    <cellStyle name="Comma 59 2" xfId="866"/>
    <cellStyle name="Comma 6" xfId="867"/>
    <cellStyle name="Comma 6 2" xfId="868"/>
    <cellStyle name="Comma 6 2 2" xfId="869"/>
    <cellStyle name="Comma 6 3" xfId="870"/>
    <cellStyle name="Comma 6 4" xfId="871"/>
    <cellStyle name="Comma 6 5" xfId="872"/>
    <cellStyle name="Comma 60" xfId="873"/>
    <cellStyle name="Comma 61" xfId="874"/>
    <cellStyle name="Comma 61 2" xfId="875"/>
    <cellStyle name="Comma 62" xfId="876"/>
    <cellStyle name="Comma 62 2" xfId="877"/>
    <cellStyle name="Comma 63" xfId="878"/>
    <cellStyle name="Comma 63 2" xfId="879"/>
    <cellStyle name="Comma 64" xfId="880"/>
    <cellStyle name="Comma 64 2" xfId="881"/>
    <cellStyle name="Comma 65" xfId="882"/>
    <cellStyle name="Comma 65 2" xfId="883"/>
    <cellStyle name="Comma 66" xfId="884"/>
    <cellStyle name="Comma 66 2" xfId="885"/>
    <cellStyle name="Comma 67" xfId="886"/>
    <cellStyle name="Comma 68" xfId="887"/>
    <cellStyle name="Comma 69" xfId="888"/>
    <cellStyle name="Comma 7" xfId="889"/>
    <cellStyle name="Comma 7 2" xfId="890"/>
    <cellStyle name="Comma 7 3" xfId="891"/>
    <cellStyle name="Comma 70" xfId="892"/>
    <cellStyle name="Comma 71" xfId="893"/>
    <cellStyle name="Comma 72" xfId="894"/>
    <cellStyle name="Comma 73" xfId="895"/>
    <cellStyle name="Comma 74" xfId="896"/>
    <cellStyle name="Comma 75" xfId="897"/>
    <cellStyle name="Comma 76" xfId="898"/>
    <cellStyle name="Comma 77" xfId="899"/>
    <cellStyle name="Comma 78" xfId="900"/>
    <cellStyle name="Comma 79" xfId="901"/>
    <cellStyle name="Comma 8" xfId="902"/>
    <cellStyle name="Comma 8 2" xfId="903"/>
    <cellStyle name="Comma 8 3" xfId="904"/>
    <cellStyle name="Comma 8 3 2" xfId="905"/>
    <cellStyle name="Comma 8 4" xfId="906"/>
    <cellStyle name="Comma 80" xfId="907"/>
    <cellStyle name="Comma 81" xfId="908"/>
    <cellStyle name="Comma 82" xfId="909"/>
    <cellStyle name="Comma 83" xfId="910"/>
    <cellStyle name="Comma 84" xfId="911"/>
    <cellStyle name="Comma 85" xfId="912"/>
    <cellStyle name="Comma 86" xfId="913"/>
    <cellStyle name="Comma 87" xfId="914"/>
    <cellStyle name="Comma 88" xfId="915"/>
    <cellStyle name="Comma 89" xfId="916"/>
    <cellStyle name="Comma 9" xfId="917"/>
    <cellStyle name="Comma 9 2" xfId="918"/>
    <cellStyle name="Comma 9 2 2" xfId="919"/>
    <cellStyle name="Comma 9 3" xfId="920"/>
    <cellStyle name="Comma 9 4" xfId="921"/>
    <cellStyle name="Comma 9 5" xfId="922"/>
    <cellStyle name="Comma 9 5 2" xfId="923"/>
    <cellStyle name="Comma 90" xfId="924"/>
    <cellStyle name="Comma 90 2" xfId="925"/>
    <cellStyle name="Comma 91" xfId="926"/>
    <cellStyle name="Comma 91 2" xfId="927"/>
    <cellStyle name="Comma 92" xfId="928"/>
    <cellStyle name="Comma 92 2" xfId="929"/>
    <cellStyle name="Comma 93" xfId="930"/>
    <cellStyle name="Comma 93 2" xfId="931"/>
    <cellStyle name="Comma 94" xfId="932"/>
    <cellStyle name="Comma 94 2" xfId="933"/>
    <cellStyle name="Comma 95" xfId="934"/>
    <cellStyle name="Comma 95 2" xfId="935"/>
    <cellStyle name="Comma 96" xfId="936"/>
    <cellStyle name="Comma 96 2" xfId="937"/>
    <cellStyle name="Comma 97" xfId="938"/>
    <cellStyle name="Comma 97 2" xfId="939"/>
    <cellStyle name="Comma 98" xfId="940"/>
    <cellStyle name="Comma 98 2" xfId="941"/>
    <cellStyle name="Comma 99" xfId="942"/>
    <cellStyle name="Comma0" xfId="943"/>
    <cellStyle name="CommaU [0]" xfId="944"/>
    <cellStyle name="CommaU [1]" xfId="945"/>
    <cellStyle name="CommaU [2]" xfId="946"/>
    <cellStyle name="Comment" xfId="947"/>
    <cellStyle name="Comment 2" xfId="948"/>
    <cellStyle name="Company" xfId="949"/>
    <cellStyle name="CompanyName" xfId="950"/>
    <cellStyle name="CompanyName 2" xfId="951"/>
    <cellStyle name="Copied" xfId="952"/>
    <cellStyle name="CurRatio" xfId="953"/>
    <cellStyle name="Curren - Style7" xfId="954"/>
    <cellStyle name="Curren - Style8" xfId="955"/>
    <cellStyle name="Currency" xfId="956" builtinId="4"/>
    <cellStyle name="Currency (1)" xfId="957"/>
    <cellStyle name="Currency [1]" xfId="958"/>
    <cellStyle name="Currency [2]" xfId="959"/>
    <cellStyle name="Currency 10" xfId="960"/>
    <cellStyle name="Currency 10 2" xfId="961"/>
    <cellStyle name="Currency 11" xfId="962"/>
    <cellStyle name="Currency 11 2" xfId="963"/>
    <cellStyle name="Currency 11 3" xfId="964"/>
    <cellStyle name="Currency 12" xfId="965"/>
    <cellStyle name="Currency 12 2" xfId="966"/>
    <cellStyle name="Currency 13" xfId="967"/>
    <cellStyle name="Currency 13 2" xfId="968"/>
    <cellStyle name="Currency 14" xfId="969"/>
    <cellStyle name="Currency 15" xfId="970"/>
    <cellStyle name="Currency 16" xfId="971"/>
    <cellStyle name="Currency 17" xfId="972"/>
    <cellStyle name="Currency 18" xfId="973"/>
    <cellStyle name="Currency 19" xfId="974"/>
    <cellStyle name="Currency 2" xfId="975"/>
    <cellStyle name="Currency 2 2" xfId="976"/>
    <cellStyle name="Currency 2 2 2" xfId="977"/>
    <cellStyle name="Currency 2 2 3" xfId="978"/>
    <cellStyle name="Currency 2 3" xfId="979"/>
    <cellStyle name="Currency 20" xfId="980"/>
    <cellStyle name="Currency 21" xfId="981"/>
    <cellStyle name="Currency 22" xfId="982"/>
    <cellStyle name="Currency 23" xfId="983"/>
    <cellStyle name="Currency 24" xfId="984"/>
    <cellStyle name="Currency 25" xfId="985"/>
    <cellStyle name="Currency 26" xfId="986"/>
    <cellStyle name="Currency 26 2" xfId="987"/>
    <cellStyle name="Currency 27" xfId="988"/>
    <cellStyle name="Currency 27 2" xfId="989"/>
    <cellStyle name="Currency 28" xfId="990"/>
    <cellStyle name="Currency 28 2" xfId="991"/>
    <cellStyle name="Currency 29" xfId="992"/>
    <cellStyle name="Currency 29 2" xfId="993"/>
    <cellStyle name="Currency 3" xfId="994"/>
    <cellStyle name="Currency 3 2" xfId="995"/>
    <cellStyle name="Currency 3 2 2" xfId="996"/>
    <cellStyle name="Currency 3 2 2 2" xfId="997"/>
    <cellStyle name="Currency 3 2 3" xfId="998"/>
    <cellStyle name="Currency 3 3" xfId="999"/>
    <cellStyle name="Currency 3 3 2" xfId="1000"/>
    <cellStyle name="Currency 3 4" xfId="1001"/>
    <cellStyle name="Currency 30" xfId="1002"/>
    <cellStyle name="Currency 30 2" xfId="1003"/>
    <cellStyle name="Currency 31" xfId="1004"/>
    <cellStyle name="Currency 31 2" xfId="1005"/>
    <cellStyle name="Currency 32" xfId="1006"/>
    <cellStyle name="Currency 32 2" xfId="1007"/>
    <cellStyle name="Currency 33" xfId="1008"/>
    <cellStyle name="Currency 33 2" xfId="1009"/>
    <cellStyle name="Currency 34" xfId="1010"/>
    <cellStyle name="Currency 34 2" xfId="1011"/>
    <cellStyle name="Currency 35" xfId="1012"/>
    <cellStyle name="Currency 36" xfId="1013"/>
    <cellStyle name="Currency 37" xfId="1014"/>
    <cellStyle name="Currency 38" xfId="1015"/>
    <cellStyle name="Currency 39" xfId="1016"/>
    <cellStyle name="Currency 4" xfId="1017"/>
    <cellStyle name="Currency 4 2" xfId="1018"/>
    <cellStyle name="Currency 4 2 2" xfId="1019"/>
    <cellStyle name="Currency 4 3" xfId="1020"/>
    <cellStyle name="Currency 4 4" xfId="1021"/>
    <cellStyle name="Currency 4 5" xfId="1022"/>
    <cellStyle name="Currency 40" xfId="1023"/>
    <cellStyle name="Currency 41" xfId="1024"/>
    <cellStyle name="Currency 5" xfId="1025"/>
    <cellStyle name="Currency 5 2" xfId="1026"/>
    <cellStyle name="Currency 5 2 2" xfId="1027"/>
    <cellStyle name="Currency 5 3" xfId="1028"/>
    <cellStyle name="Currency 5 4" xfId="1029"/>
    <cellStyle name="Currency 5 5" xfId="1030"/>
    <cellStyle name="Currency 6" xfId="1031"/>
    <cellStyle name="Currency 6 2" xfId="1032"/>
    <cellStyle name="Currency 7" xfId="1033"/>
    <cellStyle name="Currency 7 2" xfId="1034"/>
    <cellStyle name="Currency 7 2 2" xfId="1035"/>
    <cellStyle name="Currency 7 3" xfId="1036"/>
    <cellStyle name="Currency 8" xfId="1037"/>
    <cellStyle name="Currency 8 2" xfId="1038"/>
    <cellStyle name="Currency 8 2 2" xfId="1039"/>
    <cellStyle name="Currency 8 3" xfId="1040"/>
    <cellStyle name="Currency 8 4" xfId="1041"/>
    <cellStyle name="Currency 9" xfId="1042"/>
    <cellStyle name="Currency 9 2" xfId="1043"/>
    <cellStyle name="Currency 9 3" xfId="1044"/>
    <cellStyle name="Currency(1)" xfId="1045"/>
    <cellStyle name="Currency(1) 2" xfId="1046"/>
    <cellStyle name="Currency0" xfId="1047"/>
    <cellStyle name="CUS.Work.Area" xfId="1048"/>
    <cellStyle name="C㯵rrency_㳔PC Data" xfId="1049"/>
    <cellStyle name="d_yield_AA - BenefitsBonus " xfId="1050"/>
    <cellStyle name="d_yield_AA - BenefitsBonus  2" xfId="1051"/>
    <cellStyle name="Dash" xfId="1052"/>
    <cellStyle name="Dash 2" xfId="1053"/>
    <cellStyle name="Data_0dp" xfId="1054"/>
    <cellStyle name="DataEntry" xfId="1055"/>
    <cellStyle name="DataEntry%" xfId="1056"/>
    <cellStyle name="DataEntry_Model2401" xfId="1057"/>
    <cellStyle name="Date" xfId="1058"/>
    <cellStyle name="Date m-yy" xfId="1059"/>
    <cellStyle name="Date2" xfId="1060"/>
    <cellStyle name="Dates" xfId="1061"/>
    <cellStyle name="DateYear" xfId="1062"/>
    <cellStyle name="Decimal" xfId="1063"/>
    <cellStyle name="decimal 1" xfId="1064"/>
    <cellStyle name="Decimal 2" xfId="1065"/>
    <cellStyle name="Decimal_ConsensusPanel_v20080325 (2)" xfId="1066"/>
    <cellStyle name="Derive" xfId="1067"/>
    <cellStyle name="Dollar" xfId="1068"/>
    <cellStyle name="Dollar 2" xfId="1069"/>
    <cellStyle name="Dollars" xfId="1070"/>
    <cellStyle name="DollarWhole" xfId="1071"/>
    <cellStyle name="Entered" xfId="1072"/>
    <cellStyle name="Explanatory Text" xfId="1073" builtinId="53" customBuiltin="1"/>
    <cellStyle name="Explanatory Text 2" xfId="1074"/>
    <cellStyle name="Explanatory Text 3" xfId="1075"/>
    <cellStyle name="f‰H_x0010_‹Ëf‰h,ÿt$_x0018_è¸Wÿÿé&gt;Ëÿÿ÷Ç_x0001_" xfId="1076"/>
    <cellStyle name="Fail" xfId="1077"/>
    <cellStyle name="Fail 2" xfId="1078"/>
    <cellStyle name="FieldName" xfId="1079"/>
    <cellStyle name="FiscalPeriod" xfId="1080"/>
    <cellStyle name="FiscalPeriod 2" xfId="1081"/>
    <cellStyle name="Fixed" xfId="1082"/>
    <cellStyle name="Fixed (1)" xfId="1083"/>
    <cellStyle name="Fixed [2]" xfId="1084"/>
    <cellStyle name="Fixed 2" xfId="1085"/>
    <cellStyle name="Fixed 3" xfId="1086"/>
    <cellStyle name="Fixed_1" xfId="1087"/>
    <cellStyle name="Footnote" xfId="1088"/>
    <cellStyle name="g_rate_AA - BenefitsBonus " xfId="1089"/>
    <cellStyle name="g_rate_AA - BenefitsBonus  2" xfId="1090"/>
    <cellStyle name="G02 Table Text" xfId="1091"/>
    <cellStyle name="G04_Main head" xfId="1092"/>
    <cellStyle name="G05 Tab Head Bold" xfId="1093"/>
    <cellStyle name="G05 Tab Head Bold 2" xfId="1094"/>
    <cellStyle name="G05 Tab Head Bold 2 2" xfId="1095"/>
    <cellStyle name="G05 Tab Head Bold 3" xfId="1096"/>
    <cellStyle name="G05 Tab Head Bold 3 2" xfId="1097"/>
    <cellStyle name="G05 Tab Head Bold 4" xfId="1098"/>
    <cellStyle name="G05 Tab Head Bold 4 2" xfId="1099"/>
    <cellStyle name="G05 Tab Head Bold 5" xfId="1100"/>
    <cellStyle name="G05 Tab Head Bold 5 2" xfId="1101"/>
    <cellStyle name="G05 Tab Head Bold 6" xfId="1102"/>
    <cellStyle name="G05 Tab Head Bold 7" xfId="1103"/>
    <cellStyle name="G05 Tab Head Light" xfId="1104"/>
    <cellStyle name="G05 Tab Head Light 2" xfId="1105"/>
    <cellStyle name="G05 Tab Head Light 2 2" xfId="1106"/>
    <cellStyle name="G05 Tab Head Light 3" xfId="1107"/>
    <cellStyle name="G05 Tab Head Light 3 2" xfId="1108"/>
    <cellStyle name="G05 Tab Head Light 4" xfId="1109"/>
    <cellStyle name="G05 Tab Head Light 4 2" xfId="1110"/>
    <cellStyle name="G05 Tab Head Light 5" xfId="1111"/>
    <cellStyle name="G05 Tab Head Light 5 2" xfId="1112"/>
    <cellStyle name="G05 Tab Head Light 6" xfId="1113"/>
    <cellStyle name="G05 Tab Head Light 7" xfId="1114"/>
    <cellStyle name="Good" xfId="1115" builtinId="26" customBuiltin="1"/>
    <cellStyle name="Good 2" xfId="1116"/>
    <cellStyle name="Good 2 2" xfId="1117"/>
    <cellStyle name="Good 2 3" xfId="1118"/>
    <cellStyle name="Good 3" xfId="1119"/>
    <cellStyle name="Green" xfId="1120"/>
    <cellStyle name="Green 2" xfId="1121"/>
    <cellStyle name="Green 2 2" xfId="1122"/>
    <cellStyle name="Green 2 2 2" xfId="1123"/>
    <cellStyle name="Green 2 3" xfId="1124"/>
    <cellStyle name="Green 3" xfId="1125"/>
    <cellStyle name="Green 3 2" xfId="1126"/>
    <cellStyle name="Green 4" xfId="1127"/>
    <cellStyle name="Green 4 2" xfId="1128"/>
    <cellStyle name="Grey" xfId="1129"/>
    <cellStyle name="Grey 2" xfId="1130"/>
    <cellStyle name="Growth%" xfId="1131"/>
    <cellStyle name="GrowthRate" xfId="1132"/>
    <cellStyle name="hard no" xfId="1133"/>
    <cellStyle name="hard no 2" xfId="1134"/>
    <cellStyle name="hardno" xfId="1135"/>
    <cellStyle name="HEADER" xfId="1136"/>
    <cellStyle name="Header1" xfId="1137"/>
    <cellStyle name="Header1 2" xfId="1138"/>
    <cellStyle name="Header2" xfId="1139"/>
    <cellStyle name="Header2 2" xfId="1140"/>
    <cellStyle name="Heading 1" xfId="1141" builtinId="16" customBuiltin="1"/>
    <cellStyle name="Heading 1 2" xfId="1142"/>
    <cellStyle name="Heading 1 2 2" xfId="1143"/>
    <cellStyle name="Heading 1 2 3" xfId="1144"/>
    <cellStyle name="Heading 1 3" xfId="1145"/>
    <cellStyle name="Heading 2" xfId="1146" builtinId="17" customBuiltin="1"/>
    <cellStyle name="Heading 2 2" xfId="1147"/>
    <cellStyle name="Heading 2 2 2" xfId="1148"/>
    <cellStyle name="Heading 2 2 3" xfId="1149"/>
    <cellStyle name="Heading 2 3" xfId="1150"/>
    <cellStyle name="Heading 3" xfId="1151" builtinId="18" customBuiltin="1"/>
    <cellStyle name="Heading 3 2" xfId="1152"/>
    <cellStyle name="Heading 3 2 2" xfId="1153"/>
    <cellStyle name="Heading 3 2 3" xfId="1154"/>
    <cellStyle name="Heading 3 3" xfId="1155"/>
    <cellStyle name="Heading 4" xfId="1156" builtinId="19" customBuiltin="1"/>
    <cellStyle name="Heading 4 2" xfId="1157"/>
    <cellStyle name="Heading 4 3" xfId="1158"/>
    <cellStyle name="Heading1" xfId="1159"/>
    <cellStyle name="Heading2" xfId="1160"/>
    <cellStyle name="Hidden" xfId="1161"/>
    <cellStyle name="Hidden 2" xfId="1162"/>
    <cellStyle name="HIGHLIGHT" xfId="1163"/>
    <cellStyle name="Hyperlink 2" xfId="1164"/>
    <cellStyle name="Hyperlink 2 2" xfId="1165"/>
    <cellStyle name="Hyperlink 2 3" xfId="1166"/>
    <cellStyle name="Hyperlink 2 4" xfId="1167"/>
    <cellStyle name="Hyperlink 3" xfId="1168"/>
    <cellStyle name="Hyperlink 4" xfId="1169"/>
    <cellStyle name="Hyperlink 4 2" xfId="1170"/>
    <cellStyle name="Hyperlink 4 3" xfId="1171"/>
    <cellStyle name="Hyperlink 4 3 2" xfId="1172"/>
    <cellStyle name="Hyperlink 4 4" xfId="1173"/>
    <cellStyle name="Income Statement" xfId="1174"/>
    <cellStyle name="IncomeStatement" xfId="1175"/>
    <cellStyle name="Info_Main" xfId="1176"/>
    <cellStyle name="Input" xfId="1177" builtinId="20" customBuiltin="1"/>
    <cellStyle name="Input [yellow]" xfId="1178"/>
    <cellStyle name="Input [yellow] 2" xfId="1179"/>
    <cellStyle name="Input 10" xfId="1180"/>
    <cellStyle name="Input 11" xfId="1181"/>
    <cellStyle name="Input 12" xfId="1182"/>
    <cellStyle name="Input 13" xfId="1183"/>
    <cellStyle name="Input 14" xfId="1184"/>
    <cellStyle name="Input 15" xfId="1185"/>
    <cellStyle name="Input 16" xfId="1186"/>
    <cellStyle name="Input 17" xfId="1187"/>
    <cellStyle name="Input 18" xfId="1188"/>
    <cellStyle name="Input 19" xfId="1189"/>
    <cellStyle name="Input 2" xfId="1190"/>
    <cellStyle name="Input 20" xfId="1191"/>
    <cellStyle name="Input 21" xfId="1192"/>
    <cellStyle name="Input 22" xfId="1193"/>
    <cellStyle name="Input 23" xfId="1194"/>
    <cellStyle name="Input 24" xfId="1195"/>
    <cellStyle name="Input 25" xfId="1196"/>
    <cellStyle name="Input 26" xfId="1197"/>
    <cellStyle name="Input 27" xfId="1198"/>
    <cellStyle name="Input 28" xfId="1199"/>
    <cellStyle name="Input 29" xfId="1200"/>
    <cellStyle name="Input 3" xfId="1201"/>
    <cellStyle name="Input 30" xfId="1202"/>
    <cellStyle name="Input 4" xfId="1203"/>
    <cellStyle name="Input 5" xfId="1204"/>
    <cellStyle name="Input 6" xfId="1205"/>
    <cellStyle name="Input 7" xfId="1206"/>
    <cellStyle name="Input 8" xfId="1207"/>
    <cellStyle name="Input 9" xfId="1208"/>
    <cellStyle name="Input Titles" xfId="1209"/>
    <cellStyle name="Input%" xfId="1210"/>
    <cellStyle name="InputBlueFont" xfId="1211"/>
    <cellStyle name="InputDate" xfId="1212"/>
    <cellStyle name="InputDecimal" xfId="1213"/>
    <cellStyle name="InputDescriptions" xfId="1214"/>
    <cellStyle name="InputHeading1" xfId="1215"/>
    <cellStyle name="InputValue" xfId="1216"/>
    <cellStyle name="Integer" xfId="1217"/>
    <cellStyle name="Integer 2" xfId="1218"/>
    <cellStyle name="Invisible" xfId="1219"/>
    <cellStyle name="Italic" xfId="1220"/>
    <cellStyle name="Item" xfId="1221"/>
    <cellStyle name="ItemTypeClass" xfId="1222"/>
    <cellStyle name="KP_Normal" xfId="1223"/>
    <cellStyle name="KPMG Heading 1" xfId="1224"/>
    <cellStyle name="KPMG Heading 2" xfId="1225"/>
    <cellStyle name="KPMG Heading 3" xfId="1226"/>
    <cellStyle name="KPMG Heading 4" xfId="1227"/>
    <cellStyle name="KPMG Normal" xfId="1228"/>
    <cellStyle name="KPMG Normal Text" xfId="1229"/>
    <cellStyle name="l]_x000d__x000a_Path=M:\RIOCEN01_x000d__x000a_Name=Carlos Emilio Brousse_x000d__x000a_DDEApps=nsf,nsg,nsh,ntf,ns2,ors,org_x000d__x000a_SmartIcons=Todos_x000d__x000a_" xfId="1230"/>
    <cellStyle name="Linked Cell" xfId="1231" builtinId="24" customBuiltin="1"/>
    <cellStyle name="Linked Cell 2" xfId="1232"/>
    <cellStyle name="Linked Cell 2 2" xfId="1233"/>
    <cellStyle name="Linked Cell 2 3" xfId="1234"/>
    <cellStyle name="Linked Cell 3" xfId="1235"/>
    <cellStyle name="m_AA - BenefitsBonus " xfId="1236"/>
    <cellStyle name="Margins" xfId="1237"/>
    <cellStyle name="MetricLabel" xfId="1238"/>
    <cellStyle name="MetricLabel 2" xfId="1239"/>
    <cellStyle name="MetricLabelBlue" xfId="1240"/>
    <cellStyle name="MetricLabelBlue 2" xfId="1241"/>
    <cellStyle name="MetricValue" xfId="1242"/>
    <cellStyle name="MetricValue 2" xfId="1243"/>
    <cellStyle name="middle" xfId="1244"/>
    <cellStyle name="middle-title" xfId="1245"/>
    <cellStyle name="mm/dd/yy" xfId="1246"/>
    <cellStyle name="MonthYears" xfId="1247"/>
    <cellStyle name="MonthYears 2" xfId="1248"/>
    <cellStyle name="Multiple" xfId="1249"/>
    <cellStyle name="Multiple 2" xfId="1250"/>
    <cellStyle name="Neutral" xfId="1251" builtinId="28" customBuiltin="1"/>
    <cellStyle name="Neutral 2" xfId="1252"/>
    <cellStyle name="Neutral 2 2" xfId="1253"/>
    <cellStyle name="Neutral 2 3" xfId="1254"/>
    <cellStyle name="Neutral 3" xfId="1255"/>
    <cellStyle name="NewColumnHeaderNormal" xfId="1256"/>
    <cellStyle name="NewSectionHeaderNormal" xfId="1257"/>
    <cellStyle name="NewTitleNormal" xfId="1258"/>
    <cellStyle name="No Commas" xfId="1259"/>
    <cellStyle name="no dec" xfId="1260"/>
    <cellStyle name="Normal" xfId="0" builtinId="0"/>
    <cellStyle name="Normal - Style1" xfId="1261"/>
    <cellStyle name="Normal - Style1 2" xfId="1262"/>
    <cellStyle name="Normal - Style1 3" xfId="1263"/>
    <cellStyle name="Normal 10" xfId="1264"/>
    <cellStyle name="Normal 10 2" xfId="1265"/>
    <cellStyle name="Normal 10 2 2" xfId="1266"/>
    <cellStyle name="Normal 10 2 3" xfId="1267"/>
    <cellStyle name="Normal 10 3" xfId="1268"/>
    <cellStyle name="Normal 10 4" xfId="1269"/>
    <cellStyle name="Normal 10 5" xfId="1270"/>
    <cellStyle name="Normal 10_Exhibits" xfId="1271"/>
    <cellStyle name="Normal 100" xfId="1272"/>
    <cellStyle name="Normal 101" xfId="1273"/>
    <cellStyle name="Normal 102" xfId="1274"/>
    <cellStyle name="Normal 103" xfId="1275"/>
    <cellStyle name="Normal 104" xfId="1276"/>
    <cellStyle name="Normal 105" xfId="1277"/>
    <cellStyle name="Normal 106" xfId="1278"/>
    <cellStyle name="Normal 107" xfId="1279"/>
    <cellStyle name="Normal 108" xfId="1280"/>
    <cellStyle name="Normal 109" xfId="1281"/>
    <cellStyle name="Normal 11" xfId="1282"/>
    <cellStyle name="Normal 11 2" xfId="1283"/>
    <cellStyle name="Normal 11 3" xfId="1284"/>
    <cellStyle name="Normal 11 4" xfId="1285"/>
    <cellStyle name="Normal 11 5" xfId="1286"/>
    <cellStyle name="Normal 11 6" xfId="1287"/>
    <cellStyle name="Normal 110" xfId="1288"/>
    <cellStyle name="Normal 111" xfId="1289"/>
    <cellStyle name="Normal 112" xfId="1290"/>
    <cellStyle name="Normal 113" xfId="1291"/>
    <cellStyle name="Normal 114" xfId="1292"/>
    <cellStyle name="Normal 115" xfId="2160"/>
    <cellStyle name="Normal 12" xfId="1293"/>
    <cellStyle name="Normal 12 2" xfId="1294"/>
    <cellStyle name="Normal 12 2 2" xfId="1295"/>
    <cellStyle name="Normal 12 3" xfId="1296"/>
    <cellStyle name="Normal 12 4" xfId="1297"/>
    <cellStyle name="Normal 12 5" xfId="1298"/>
    <cellStyle name="Normal 12 6" xfId="1299"/>
    <cellStyle name="Normal 12 7" xfId="1300"/>
    <cellStyle name="Normal 13" xfId="1301"/>
    <cellStyle name="Normal 13 2" xfId="1302"/>
    <cellStyle name="Normal 13 3" xfId="1303"/>
    <cellStyle name="Normal 13 4" xfId="1304"/>
    <cellStyle name="Normal 13 5" xfId="1305"/>
    <cellStyle name="Normal 13 6" xfId="1306"/>
    <cellStyle name="Normal 14" xfId="1307"/>
    <cellStyle name="Normal 14 2" xfId="1308"/>
    <cellStyle name="Normal 14 3" xfId="1309"/>
    <cellStyle name="Normal 14 4" xfId="1310"/>
    <cellStyle name="Normal 15" xfId="1311"/>
    <cellStyle name="Normal 15 2" xfId="1312"/>
    <cellStyle name="Normal 16" xfId="1313"/>
    <cellStyle name="Normal 16 2" xfId="1314"/>
    <cellStyle name="Normal 16 2 2" xfId="1315"/>
    <cellStyle name="Normal 16 2 2 2" xfId="1316"/>
    <cellStyle name="Normal 16 3" xfId="1317"/>
    <cellStyle name="Normal 16 4" xfId="1318"/>
    <cellStyle name="Normal 16 5" xfId="1319"/>
    <cellStyle name="Normal 17" xfId="1320"/>
    <cellStyle name="Normal 17 2" xfId="1321"/>
    <cellStyle name="Normal 17 3" xfId="1322"/>
    <cellStyle name="Normal 18" xfId="1323"/>
    <cellStyle name="Normal 18 2" xfId="1324"/>
    <cellStyle name="Normal 19" xfId="1325"/>
    <cellStyle name="Normal 19 2" xfId="1326"/>
    <cellStyle name="Normal 2" xfId="1327"/>
    <cellStyle name="Normal 2 2" xfId="1328"/>
    <cellStyle name="Normal 2 2 2" xfId="1329"/>
    <cellStyle name="Normal 2 2 3" xfId="1330"/>
    <cellStyle name="Normal 2 2 4" xfId="1331"/>
    <cellStyle name="Normal 2 3" xfId="1332"/>
    <cellStyle name="Normal 2 3 2" xfId="1333"/>
    <cellStyle name="Normal 2 3 3" xfId="1334"/>
    <cellStyle name="Normal 2 3 4" xfId="1335"/>
    <cellStyle name="Normal 2 4" xfId="1336"/>
    <cellStyle name="Normal 2 4 2" xfId="1337"/>
    <cellStyle name="Normal 2 4 3" xfId="1338"/>
    <cellStyle name="Normal 2 5" xfId="1339"/>
    <cellStyle name="Normal 2 6" xfId="1340"/>
    <cellStyle name="Normal 2 6 2" xfId="1341"/>
    <cellStyle name="Normal 2_Exhibits" xfId="1342"/>
    <cellStyle name="Normal 20" xfId="1343"/>
    <cellStyle name="Normal 20 2" xfId="1344"/>
    <cellStyle name="Normal 20 2 2" xfId="1345"/>
    <cellStyle name="Normal 20 3" xfId="1346"/>
    <cellStyle name="Normal 21" xfId="1347"/>
    <cellStyle name="Normal 21 2" xfId="1348"/>
    <cellStyle name="Normal 22" xfId="1349"/>
    <cellStyle name="Normal 22 2" xfId="1350"/>
    <cellStyle name="Normal 22 3" xfId="1351"/>
    <cellStyle name="Normal 23" xfId="1352"/>
    <cellStyle name="Normal 23 2" xfId="1353"/>
    <cellStyle name="Normal 24" xfId="1354"/>
    <cellStyle name="Normal 24 2" xfId="1355"/>
    <cellStyle name="Normal 25" xfId="1356"/>
    <cellStyle name="Normal 25 2" xfId="1357"/>
    <cellStyle name="Normal 25 3" xfId="1358"/>
    <cellStyle name="Normal 26" xfId="1359"/>
    <cellStyle name="Normal 26 2" xfId="1360"/>
    <cellStyle name="Normal 27" xfId="1361"/>
    <cellStyle name="Normal 27 2" xfId="1362"/>
    <cellStyle name="Normal 28" xfId="1363"/>
    <cellStyle name="Normal 28 2" xfId="1364"/>
    <cellStyle name="Normal 29" xfId="1365"/>
    <cellStyle name="Normal 3" xfId="1366"/>
    <cellStyle name="Normal 3 2" xfId="1367"/>
    <cellStyle name="Normal 3 2 2" xfId="1368"/>
    <cellStyle name="Normal 3 2 2 2" xfId="1369"/>
    <cellStyle name="Normal 3 2 3" xfId="1370"/>
    <cellStyle name="Normal 3 2 3 2" xfId="1371"/>
    <cellStyle name="Normal 3 2 4" xfId="1372"/>
    <cellStyle name="Normal 3 2 5" xfId="1373"/>
    <cellStyle name="Normal 3 3" xfId="1374"/>
    <cellStyle name="Normal 3 3 2" xfId="1375"/>
    <cellStyle name="Normal 3 3 3" xfId="1376"/>
    <cellStyle name="Normal 3 3 4" xfId="1377"/>
    <cellStyle name="Normal 3 3 5" xfId="1378"/>
    <cellStyle name="Normal 3 4" xfId="1379"/>
    <cellStyle name="Normal 3 4 2" xfId="1380"/>
    <cellStyle name="Normal 3 5" xfId="1381"/>
    <cellStyle name="Normal 3 6" xfId="1382"/>
    <cellStyle name="Normal 3 7" xfId="1383"/>
    <cellStyle name="Normal 30" xfId="1384"/>
    <cellStyle name="Normal 30 2" xfId="1385"/>
    <cellStyle name="Normal 31" xfId="1386"/>
    <cellStyle name="Normal 31 2" xfId="1387"/>
    <cellStyle name="Normal 32" xfId="1388"/>
    <cellStyle name="Normal 32 2" xfId="1389"/>
    <cellStyle name="Normal 33" xfId="1390"/>
    <cellStyle name="Normal 33 2" xfId="1391"/>
    <cellStyle name="Normal 34" xfId="1392"/>
    <cellStyle name="Normal 34 2" xfId="1393"/>
    <cellStyle name="Normal 35" xfId="1394"/>
    <cellStyle name="Normal 35 2" xfId="1395"/>
    <cellStyle name="Normal 36" xfId="1396"/>
    <cellStyle name="Normal 36 2" xfId="1397"/>
    <cellStyle name="Normal 36 3" xfId="1398"/>
    <cellStyle name="Normal 37" xfId="1399"/>
    <cellStyle name="Normal 37 2" xfId="1400"/>
    <cellStyle name="Normal 38" xfId="1401"/>
    <cellStyle name="Normal 39" xfId="1402"/>
    <cellStyle name="Normal 4" xfId="1403"/>
    <cellStyle name="Normal 4 2" xfId="1404"/>
    <cellStyle name="Normal 4 2 2" xfId="1405"/>
    <cellStyle name="Normal 4 3" xfId="1406"/>
    <cellStyle name="Normal 4 3 2" xfId="1407"/>
    <cellStyle name="Normal 4 3 3" xfId="1408"/>
    <cellStyle name="Normal 4 4" xfId="1409"/>
    <cellStyle name="Normal 4 4 2" xfId="1410"/>
    <cellStyle name="Normal 4 5" xfId="1411"/>
    <cellStyle name="Normal 4 6" xfId="1412"/>
    <cellStyle name="Normal 4 6 2" xfId="1413"/>
    <cellStyle name="Normal 40" xfId="1414"/>
    <cellStyle name="Normal 41" xfId="1415"/>
    <cellStyle name="Normal 42" xfId="1416"/>
    <cellStyle name="Normal 43" xfId="1417"/>
    <cellStyle name="Normal 44" xfId="1418"/>
    <cellStyle name="Normal 45" xfId="1419"/>
    <cellStyle name="Normal 46" xfId="1420"/>
    <cellStyle name="Normal 47" xfId="1421"/>
    <cellStyle name="Normal 48" xfId="1422"/>
    <cellStyle name="Normal 49" xfId="1423"/>
    <cellStyle name="Normal 5" xfId="1424"/>
    <cellStyle name="Normal 5 2" xfId="1425"/>
    <cellStyle name="Normal 5 2 2" xfId="1426"/>
    <cellStyle name="Normal 5 3" xfId="1427"/>
    <cellStyle name="Normal 5 3 2" xfId="1428"/>
    <cellStyle name="Normal 5 4" xfId="1429"/>
    <cellStyle name="Normal 5 5" xfId="1430"/>
    <cellStyle name="Normal 5 6" xfId="1431"/>
    <cellStyle name="Normal 50" xfId="1432"/>
    <cellStyle name="Normal 51" xfId="1433"/>
    <cellStyle name="Normal 52" xfId="1434"/>
    <cellStyle name="Normal 53" xfId="1435"/>
    <cellStyle name="Normal 54" xfId="1436"/>
    <cellStyle name="Normal 55" xfId="1437"/>
    <cellStyle name="Normal 56" xfId="1438"/>
    <cellStyle name="Normal 57" xfId="1439"/>
    <cellStyle name="Normal 58" xfId="1440"/>
    <cellStyle name="Normal 59" xfId="1441"/>
    <cellStyle name="Normal 6" xfId="1442"/>
    <cellStyle name="Normal 6 2" xfId="1443"/>
    <cellStyle name="Normal 6 2 2" xfId="1444"/>
    <cellStyle name="Normal 6 2 2 2" xfId="1445"/>
    <cellStyle name="Normal 6 2 3" xfId="1446"/>
    <cellStyle name="Normal 6 3" xfId="1447"/>
    <cellStyle name="Normal 6 4" xfId="1448"/>
    <cellStyle name="Normal 6 5" xfId="1449"/>
    <cellStyle name="Normal 6 6" xfId="1450"/>
    <cellStyle name="Normal 6 7" xfId="1451"/>
    <cellStyle name="Normal 60" xfId="1452"/>
    <cellStyle name="Normal 61" xfId="1453"/>
    <cellStyle name="Normal 62" xfId="1454"/>
    <cellStyle name="Normal 63" xfId="1455"/>
    <cellStyle name="Normal 64" xfId="1456"/>
    <cellStyle name="Normal 65" xfId="1457"/>
    <cellStyle name="Normal 66" xfId="1458"/>
    <cellStyle name="Normal 67" xfId="1459"/>
    <cellStyle name="Normal 68" xfId="1460"/>
    <cellStyle name="Normal 69" xfId="1461"/>
    <cellStyle name="Normal 7" xfId="1462"/>
    <cellStyle name="Normal 7 2" xfId="1463"/>
    <cellStyle name="Normal 7 2 2" xfId="1464"/>
    <cellStyle name="Normal 7 3" xfId="1465"/>
    <cellStyle name="Normal 7 4" xfId="1466"/>
    <cellStyle name="Normal 70" xfId="1467"/>
    <cellStyle name="Normal 71" xfId="1468"/>
    <cellStyle name="Normal 72" xfId="1469"/>
    <cellStyle name="Normal 73" xfId="1470"/>
    <cellStyle name="Normal 74" xfId="1471"/>
    <cellStyle name="Normal 74 2" xfId="1472"/>
    <cellStyle name="Normal 74 3" xfId="1473"/>
    <cellStyle name="Normal 75" xfId="1474"/>
    <cellStyle name="Normal 76" xfId="1475"/>
    <cellStyle name="Normal 77" xfId="1476"/>
    <cellStyle name="Normal 78" xfId="1477"/>
    <cellStyle name="Normal 79" xfId="1478"/>
    <cellStyle name="Normal 8" xfId="1479"/>
    <cellStyle name="Normal 8 2" xfId="1480"/>
    <cellStyle name="Normal 8 2 2" xfId="1481"/>
    <cellStyle name="Normal 8 3" xfId="1482"/>
    <cellStyle name="Normal 8 4" xfId="1483"/>
    <cellStyle name="Normal 80" xfId="1484"/>
    <cellStyle name="Normal 81" xfId="1485"/>
    <cellStyle name="Normal 82" xfId="1486"/>
    <cellStyle name="Normal 83" xfId="1487"/>
    <cellStyle name="Normal 84" xfId="1488"/>
    <cellStyle name="Normal 85" xfId="1489"/>
    <cellStyle name="Normal 86" xfId="1490"/>
    <cellStyle name="Normal 87" xfId="1491"/>
    <cellStyle name="Normal 88" xfId="1492"/>
    <cellStyle name="Normal 89" xfId="1493"/>
    <cellStyle name="Normal 9" xfId="1494"/>
    <cellStyle name="Normal 9 2" xfId="1495"/>
    <cellStyle name="Normal 9 3" xfId="1496"/>
    <cellStyle name="Normal 9 4" xfId="1497"/>
    <cellStyle name="Normal 90" xfId="1498"/>
    <cellStyle name="Normal 91" xfId="1499"/>
    <cellStyle name="Normal 92" xfId="1500"/>
    <cellStyle name="Normal 93" xfId="1501"/>
    <cellStyle name="Normal 94" xfId="1502"/>
    <cellStyle name="Normal 95" xfId="1503"/>
    <cellStyle name="Normal 96" xfId="1504"/>
    <cellStyle name="Normal 97" xfId="1505"/>
    <cellStyle name="Normal 98" xfId="1506"/>
    <cellStyle name="Normal 99" xfId="1507"/>
    <cellStyle name="Normal Bold" xfId="1508"/>
    <cellStyle name="Normal Bold 2" xfId="1509"/>
    <cellStyle name="Normal Bold 3" xfId="1510"/>
    <cellStyle name="Normal_AMCCBLSH" xfId="1511"/>
    <cellStyle name="Normal_Book3" xfId="1512"/>
    <cellStyle name="Normal_DisclaimerSheet Samples" xfId="2159"/>
    <cellStyle name="Normal_intc(1).o" xfId="1513"/>
    <cellStyle name="NormalItalic" xfId="1514"/>
    <cellStyle name="Note" xfId="1515" builtinId="10" customBuiltin="1"/>
    <cellStyle name="Note 10" xfId="1516"/>
    <cellStyle name="Note 11" xfId="1517"/>
    <cellStyle name="Note 12" xfId="1518"/>
    <cellStyle name="Note 13" xfId="1519"/>
    <cellStyle name="Note 14" xfId="1520"/>
    <cellStyle name="Note 14 2" xfId="1521"/>
    <cellStyle name="Note 15" xfId="1522"/>
    <cellStyle name="Note 15 2" xfId="1523"/>
    <cellStyle name="Note 16" xfId="1524"/>
    <cellStyle name="Note 2" xfId="1525"/>
    <cellStyle name="Note 2 2" xfId="1526"/>
    <cellStyle name="Note 2 3" xfId="1527"/>
    <cellStyle name="Note 3" xfId="1528"/>
    <cellStyle name="Note 3 2" xfId="1529"/>
    <cellStyle name="Note 4" xfId="1530"/>
    <cellStyle name="Note 4 2" xfId="1531"/>
    <cellStyle name="Note 4 3" xfId="1532"/>
    <cellStyle name="Note 4 3 2" xfId="1533"/>
    <cellStyle name="Note 5" xfId="1534"/>
    <cellStyle name="Note 5 2" xfId="1535"/>
    <cellStyle name="Note 6" xfId="1536"/>
    <cellStyle name="Note 6 2" xfId="1537"/>
    <cellStyle name="Note 7" xfId="1538"/>
    <cellStyle name="Note 7 2" xfId="1539"/>
    <cellStyle name="Note 7 3" xfId="1540"/>
    <cellStyle name="Note 8" xfId="1541"/>
    <cellStyle name="Note 8 2" xfId="1542"/>
    <cellStyle name="Note 9" xfId="1543"/>
    <cellStyle name="Note 9 2" xfId="1544"/>
    <cellStyle name="Notes" xfId="1545"/>
    <cellStyle name="num,nodecpts" xfId="1546"/>
    <cellStyle name="Number" xfId="1547"/>
    <cellStyle name="number 2" xfId="1548"/>
    <cellStyle name="Number 2 2" xfId="1549"/>
    <cellStyle name="Number 2 3" xfId="1550"/>
    <cellStyle name="Numbers" xfId="1551"/>
    <cellStyle name="Numbers [0]" xfId="1552"/>
    <cellStyle name="Œ…‹æØ‚è [0.00]_GE 3 MINIMUM" xfId="1553"/>
    <cellStyle name="Œ…‹æØ‚è_GE 3 MINIMUM" xfId="1554"/>
    <cellStyle name="Onedec_FT Valuation " xfId="1555"/>
    <cellStyle name="OneDecimal" xfId="1556"/>
    <cellStyle name="Other%" xfId="1557"/>
    <cellStyle name="outh America" xfId="1558"/>
    <cellStyle name="Output" xfId="1559" builtinId="21" customBuiltin="1"/>
    <cellStyle name="Output 2" xfId="1560"/>
    <cellStyle name="Output 3" xfId="1561"/>
    <cellStyle name="Override" xfId="1562"/>
    <cellStyle name="p " xfId="1563"/>
    <cellStyle name="Pass" xfId="1564"/>
    <cellStyle name="Pass 2" xfId="1565"/>
    <cellStyle name="Pec (2dec,fs)" xfId="1566"/>
    <cellStyle name="Percent" xfId="1567" builtinId="5"/>
    <cellStyle name="Percent (1)" xfId="1568"/>
    <cellStyle name="Percent [2]" xfId="1569"/>
    <cellStyle name="Percent [2] 2" xfId="1570"/>
    <cellStyle name="Percent [2] 2 2" xfId="1571"/>
    <cellStyle name="Percent [2] 3" xfId="1572"/>
    <cellStyle name="Percent [2] 3 2" xfId="1573"/>
    <cellStyle name="Percent [2] 4" xfId="1574"/>
    <cellStyle name="Percent [2] 4 2" xfId="1575"/>
    <cellStyle name="Percent [2] 5" xfId="1576"/>
    <cellStyle name="Percent [2] 5 2" xfId="1577"/>
    <cellStyle name="Percent [2] 6" xfId="1578"/>
    <cellStyle name="Percent [2] 7" xfId="1579"/>
    <cellStyle name="Percent 10" xfId="1580"/>
    <cellStyle name="Percent 10 2" xfId="1581"/>
    <cellStyle name="Percent 10 2 2" xfId="1582"/>
    <cellStyle name="Percent 10 2 2 2" xfId="1583"/>
    <cellStyle name="Percent 10 3" xfId="1584"/>
    <cellStyle name="Percent 10 4" xfId="1585"/>
    <cellStyle name="Percent 10 5" xfId="1586"/>
    <cellStyle name="Percent 10 5 2" xfId="1587"/>
    <cellStyle name="Percent 100" xfId="1588"/>
    <cellStyle name="Percent 101" xfId="1589"/>
    <cellStyle name="Percent 102" xfId="1590"/>
    <cellStyle name="Percent 102 2" xfId="1591"/>
    <cellStyle name="Percent 103" xfId="1592"/>
    <cellStyle name="Percent 103 2" xfId="1593"/>
    <cellStyle name="Percent 104" xfId="1594"/>
    <cellStyle name="Percent 104 2" xfId="1595"/>
    <cellStyle name="Percent 105" xfId="1596"/>
    <cellStyle name="Percent 105 2" xfId="1597"/>
    <cellStyle name="Percent 106" xfId="1598"/>
    <cellStyle name="Percent 106 2" xfId="1599"/>
    <cellStyle name="Percent 107" xfId="1600"/>
    <cellStyle name="Percent 107 2" xfId="1601"/>
    <cellStyle name="Percent 108" xfId="1602"/>
    <cellStyle name="Percent 108 2" xfId="1603"/>
    <cellStyle name="Percent 109" xfId="1604"/>
    <cellStyle name="Percent 109 2" xfId="1605"/>
    <cellStyle name="Percent 11" xfId="1606"/>
    <cellStyle name="Percent 11 2" xfId="1607"/>
    <cellStyle name="Percent 11 3" xfId="1608"/>
    <cellStyle name="Percent 110" xfId="1609"/>
    <cellStyle name="Percent 110 2" xfId="1610"/>
    <cellStyle name="Percent 111" xfId="1611"/>
    <cellStyle name="Percent 112" xfId="1612"/>
    <cellStyle name="Percent 113" xfId="1613"/>
    <cellStyle name="Percent 114" xfId="1614"/>
    <cellStyle name="Percent 115" xfId="1615"/>
    <cellStyle name="Percent 116" xfId="1616"/>
    <cellStyle name="Percent 117" xfId="1617"/>
    <cellStyle name="Percent 12" xfId="1618"/>
    <cellStyle name="Percent 12 2" xfId="1619"/>
    <cellStyle name="Percent 12 3" xfId="1620"/>
    <cellStyle name="Percent 13" xfId="1621"/>
    <cellStyle name="Percent 13 2" xfId="1622"/>
    <cellStyle name="Percent 13 3" xfId="1623"/>
    <cellStyle name="Percent 14" xfId="1624"/>
    <cellStyle name="Percent 14 2" xfId="1625"/>
    <cellStyle name="Percent 14 3" xfId="1626"/>
    <cellStyle name="Percent 15" xfId="1627"/>
    <cellStyle name="Percent 15 2" xfId="1628"/>
    <cellStyle name="Percent 15 3" xfId="1629"/>
    <cellStyle name="Percent 16" xfId="1630"/>
    <cellStyle name="Percent 16 2" xfId="1631"/>
    <cellStyle name="Percent 16 3" xfId="1632"/>
    <cellStyle name="Percent 17" xfId="1633"/>
    <cellStyle name="Percent 17 2" xfId="1634"/>
    <cellStyle name="Percent 17 2 2" xfId="1635"/>
    <cellStyle name="Percent 17 3" xfId="1636"/>
    <cellStyle name="Percent 18" xfId="1637"/>
    <cellStyle name="Percent 18 2" xfId="1638"/>
    <cellStyle name="Percent 19" xfId="1639"/>
    <cellStyle name="Percent 19 2" xfId="1640"/>
    <cellStyle name="Percent 2" xfId="1641"/>
    <cellStyle name="Percent 2 2" xfId="1642"/>
    <cellStyle name="Percent 2 2 2" xfId="1643"/>
    <cellStyle name="Percent 2 2 2 2" xfId="1644"/>
    <cellStyle name="Percent 2 2 2 3" xfId="1645"/>
    <cellStyle name="Percent 2 2 3" xfId="1646"/>
    <cellStyle name="Percent 2 2 4" xfId="1647"/>
    <cellStyle name="Percent 2 2 4 2" xfId="1648"/>
    <cellStyle name="Percent 2 3" xfId="1649"/>
    <cellStyle name="Percent 2 3 2" xfId="1650"/>
    <cellStyle name="Percent 2 3 2 2" xfId="1651"/>
    <cellStyle name="Percent 2 3 2 3" xfId="1652"/>
    <cellStyle name="Percent 2 3 3" xfId="1653"/>
    <cellStyle name="Percent 2 4" xfId="1654"/>
    <cellStyle name="Percent 2 5" xfId="1655"/>
    <cellStyle name="Percent 2 6" xfId="1656"/>
    <cellStyle name="Percent 20" xfId="1657"/>
    <cellStyle name="Percent 20 2" xfId="1658"/>
    <cellStyle name="Percent 20 2 2" xfId="1659"/>
    <cellStyle name="Percent 20 3" xfId="1660"/>
    <cellStyle name="Percent 20 4" xfId="1661"/>
    <cellStyle name="Percent 21" xfId="1662"/>
    <cellStyle name="Percent 21 2" xfId="1663"/>
    <cellStyle name="Percent 21 2 2" xfId="1664"/>
    <cellStyle name="Percent 21 3" xfId="1665"/>
    <cellStyle name="Percent 21 4" xfId="1666"/>
    <cellStyle name="Percent 22" xfId="1667"/>
    <cellStyle name="Percent 22 2" xfId="1668"/>
    <cellStyle name="Percent 22 3" xfId="1669"/>
    <cellStyle name="Percent 22 4" xfId="1670"/>
    <cellStyle name="Percent 23" xfId="1671"/>
    <cellStyle name="Percent 23 2" xfId="1672"/>
    <cellStyle name="Percent 23 2 2" xfId="1673"/>
    <cellStyle name="Percent 23 3" xfId="1674"/>
    <cellStyle name="Percent 23 4" xfId="1675"/>
    <cellStyle name="Percent 23 5" xfId="1676"/>
    <cellStyle name="Percent 24" xfId="1677"/>
    <cellStyle name="Percent 24 2" xfId="1678"/>
    <cellStyle name="Percent 25" xfId="1679"/>
    <cellStyle name="Percent 25 2" xfId="1680"/>
    <cellStyle name="Percent 25 2 2" xfId="1681"/>
    <cellStyle name="Percent 25 3" xfId="1682"/>
    <cellStyle name="Percent 26" xfId="1683"/>
    <cellStyle name="Percent 26 2" xfId="1684"/>
    <cellStyle name="Percent 26 3" xfId="1685"/>
    <cellStyle name="Percent 27" xfId="1686"/>
    <cellStyle name="Percent 27 2" xfId="1687"/>
    <cellStyle name="Percent 28" xfId="1688"/>
    <cellStyle name="Percent 28 2" xfId="1689"/>
    <cellStyle name="Percent 28 3" xfId="1690"/>
    <cellStyle name="Percent 29" xfId="1691"/>
    <cellStyle name="Percent 29 2" xfId="1692"/>
    <cellStyle name="Percent 3" xfId="1693"/>
    <cellStyle name="Percent 3 2" xfId="1694"/>
    <cellStyle name="Percent 3 2 2" xfId="1695"/>
    <cellStyle name="Percent 3 2 2 2" xfId="1696"/>
    <cellStyle name="Percent 3 2 3" xfId="1697"/>
    <cellStyle name="Percent 3 3" xfId="1698"/>
    <cellStyle name="Percent 3 3 2" xfId="1699"/>
    <cellStyle name="Percent 3 4" xfId="1700"/>
    <cellStyle name="Percent 3 5" xfId="1701"/>
    <cellStyle name="Percent 3 5 2" xfId="1702"/>
    <cellStyle name="Percent 30" xfId="1703"/>
    <cellStyle name="Percent 30 2" xfId="1704"/>
    <cellStyle name="Percent 31" xfId="1705"/>
    <cellStyle name="Percent 32" xfId="1706"/>
    <cellStyle name="Percent 32 2" xfId="1707"/>
    <cellStyle name="Percent 33" xfId="1708"/>
    <cellStyle name="Percent 33 2" xfId="1709"/>
    <cellStyle name="Percent 34" xfId="1710"/>
    <cellStyle name="Percent 34 2" xfId="1711"/>
    <cellStyle name="Percent 35" xfId="1712"/>
    <cellStyle name="Percent 35 2" xfId="1713"/>
    <cellStyle name="Percent 36" xfId="1714"/>
    <cellStyle name="Percent 36 2" xfId="1715"/>
    <cellStyle name="Percent 37" xfId="1716"/>
    <cellStyle name="Percent 37 2" xfId="1717"/>
    <cellStyle name="Percent 38" xfId="1718"/>
    <cellStyle name="Percent 38 2" xfId="1719"/>
    <cellStyle name="Percent 39" xfId="1720"/>
    <cellStyle name="Percent 39 2" xfId="1721"/>
    <cellStyle name="Percent 4" xfId="1722"/>
    <cellStyle name="Percent 4 2" xfId="1723"/>
    <cellStyle name="Percent 4 2 2" xfId="1724"/>
    <cellStyle name="Percent 4 2 3" xfId="1725"/>
    <cellStyle name="Percent 4 2 4" xfId="1726"/>
    <cellStyle name="Percent 4 3" xfId="1727"/>
    <cellStyle name="Percent 4 3 2" xfId="1728"/>
    <cellStyle name="Percent 4 3 3" xfId="1729"/>
    <cellStyle name="Percent 4 4" xfId="1730"/>
    <cellStyle name="Percent 4 5" xfId="1731"/>
    <cellStyle name="Percent 40" xfId="1732"/>
    <cellStyle name="Percent 41" xfId="1733"/>
    <cellStyle name="Percent 42" xfId="1734"/>
    <cellStyle name="Percent 42 2" xfId="1735"/>
    <cellStyle name="Percent 43" xfId="1736"/>
    <cellStyle name="Percent 43 2" xfId="1737"/>
    <cellStyle name="Percent 44" xfId="1738"/>
    <cellStyle name="Percent 44 2" xfId="1739"/>
    <cellStyle name="Percent 44 2 2" xfId="1740"/>
    <cellStyle name="Percent 45" xfId="1741"/>
    <cellStyle name="Percent 45 2" xfId="1742"/>
    <cellStyle name="Percent 45 2 2" xfId="1743"/>
    <cellStyle name="Percent 46" xfId="1744"/>
    <cellStyle name="Percent 46 2" xfId="1745"/>
    <cellStyle name="Percent 46 2 2" xfId="1746"/>
    <cellStyle name="Percent 47" xfId="1747"/>
    <cellStyle name="Percent 47 2" xfId="1748"/>
    <cellStyle name="Percent 47 2 2" xfId="1749"/>
    <cellStyle name="Percent 48" xfId="1750"/>
    <cellStyle name="Percent 48 2" xfId="1751"/>
    <cellStyle name="Percent 48 2 2" xfId="1752"/>
    <cellStyle name="Percent 49" xfId="1753"/>
    <cellStyle name="Percent 49 2" xfId="1754"/>
    <cellStyle name="Percent 5" xfId="1755"/>
    <cellStyle name="Percent 5 2" xfId="1756"/>
    <cellStyle name="Percent 5 2 2" xfId="1757"/>
    <cellStyle name="Percent 5 3" xfId="1758"/>
    <cellStyle name="Percent 5 4" xfId="1759"/>
    <cellStyle name="Percent 5 5" xfId="1760"/>
    <cellStyle name="Percent 5 6" xfId="1761"/>
    <cellStyle name="Percent 5 6 2" xfId="1762"/>
    <cellStyle name="Percent 50" xfId="1763"/>
    <cellStyle name="Percent 50 2" xfId="1764"/>
    <cellStyle name="Percent 51" xfId="1765"/>
    <cellStyle name="Percent 51 2" xfId="1766"/>
    <cellStyle name="Percent 52" xfId="1767"/>
    <cellStyle name="Percent 52 2" xfId="1768"/>
    <cellStyle name="Percent 53" xfId="1769"/>
    <cellStyle name="Percent 53 2" xfId="1770"/>
    <cellStyle name="Percent 54" xfId="1771"/>
    <cellStyle name="Percent 54 2" xfId="1772"/>
    <cellStyle name="Percent 55" xfId="1773"/>
    <cellStyle name="Percent 55 2" xfId="1774"/>
    <cellStyle name="Percent 56" xfId="1775"/>
    <cellStyle name="Percent 57" xfId="1776"/>
    <cellStyle name="Percent 58" xfId="1777"/>
    <cellStyle name="Percent 59" xfId="1778"/>
    <cellStyle name="Percent 6" xfId="1779"/>
    <cellStyle name="Percent 6 2" xfId="1780"/>
    <cellStyle name="Percent 6 2 2" xfId="1781"/>
    <cellStyle name="Percent 6 3" xfId="1782"/>
    <cellStyle name="Percent 6 4" xfId="1783"/>
    <cellStyle name="Percent 6 5" xfId="1784"/>
    <cellStyle name="Percent 60" xfId="1785"/>
    <cellStyle name="Percent 61" xfId="1786"/>
    <cellStyle name="Percent 62" xfId="1787"/>
    <cellStyle name="Percent 63" xfId="1788"/>
    <cellStyle name="Percent 64" xfId="1789"/>
    <cellStyle name="Percent 64 2" xfId="1790"/>
    <cellStyle name="Percent 64 3" xfId="1791"/>
    <cellStyle name="Percent 65" xfId="1792"/>
    <cellStyle name="Percent 65 2" xfId="1793"/>
    <cellStyle name="Percent 65 3" xfId="1794"/>
    <cellStyle name="Percent 66" xfId="1795"/>
    <cellStyle name="Percent 66 2" xfId="1796"/>
    <cellStyle name="Percent 66 3" xfId="1797"/>
    <cellStyle name="Percent 67" xfId="1798"/>
    <cellStyle name="Percent 67 2" xfId="1799"/>
    <cellStyle name="Percent 67 3" xfId="1800"/>
    <cellStyle name="Percent 68" xfId="1801"/>
    <cellStyle name="Percent 68 2" xfId="1802"/>
    <cellStyle name="Percent 68 3" xfId="1803"/>
    <cellStyle name="Percent 69" xfId="1804"/>
    <cellStyle name="Percent 69 2" xfId="1805"/>
    <cellStyle name="Percent 69 3" xfId="1806"/>
    <cellStyle name="Percent 7" xfId="1807"/>
    <cellStyle name="Percent 7 2" xfId="1808"/>
    <cellStyle name="Percent 7 3" xfId="1809"/>
    <cellStyle name="Percent 70" xfId="1810"/>
    <cellStyle name="Percent 70 2" xfId="1811"/>
    <cellStyle name="Percent 70 3" xfId="1812"/>
    <cellStyle name="Percent 71" xfId="1813"/>
    <cellStyle name="Percent 71 2" xfId="1814"/>
    <cellStyle name="Percent 72" xfId="1815"/>
    <cellStyle name="Percent 73" xfId="1816"/>
    <cellStyle name="Percent 73 2" xfId="1817"/>
    <cellStyle name="Percent 74" xfId="1818"/>
    <cellStyle name="Percent 74 2" xfId="1819"/>
    <cellStyle name="Percent 75" xfId="1820"/>
    <cellStyle name="Percent 75 2" xfId="1821"/>
    <cellStyle name="Percent 76" xfId="1822"/>
    <cellStyle name="Percent 76 2" xfId="1823"/>
    <cellStyle name="Percent 77" xfId="1824"/>
    <cellStyle name="Percent 77 2" xfId="1825"/>
    <cellStyle name="Percent 78" xfId="1826"/>
    <cellStyle name="Percent 78 2" xfId="1827"/>
    <cellStyle name="Percent 79" xfId="1828"/>
    <cellStyle name="Percent 8" xfId="1829"/>
    <cellStyle name="Percent 8 2" xfId="1830"/>
    <cellStyle name="Percent 8 3" xfId="1831"/>
    <cellStyle name="Percent 8 4" xfId="1832"/>
    <cellStyle name="Percent 8 4 2" xfId="1833"/>
    <cellStyle name="Percent 8 5" xfId="1834"/>
    <cellStyle name="Percent 80" xfId="1835"/>
    <cellStyle name="Percent 81" xfId="1836"/>
    <cellStyle name="Percent 82" xfId="1837"/>
    <cellStyle name="Percent 83" xfId="1838"/>
    <cellStyle name="Percent 84" xfId="1839"/>
    <cellStyle name="Percent 85" xfId="1840"/>
    <cellStyle name="Percent 86" xfId="1841"/>
    <cellStyle name="Percent 87" xfId="1842"/>
    <cellStyle name="Percent 88" xfId="1843"/>
    <cellStyle name="Percent 89" xfId="1844"/>
    <cellStyle name="Percent 9" xfId="1845"/>
    <cellStyle name="Percent 9 2" xfId="1846"/>
    <cellStyle name="Percent 9 2 2" xfId="1847"/>
    <cellStyle name="Percent 9 3" xfId="1848"/>
    <cellStyle name="Percent 9 4" xfId="1849"/>
    <cellStyle name="Percent 9 4 2" xfId="1850"/>
    <cellStyle name="Percent 9 5" xfId="1851"/>
    <cellStyle name="Percent 9 5 2" xfId="1852"/>
    <cellStyle name="Percent 90" xfId="1853"/>
    <cellStyle name="Percent 91" xfId="1854"/>
    <cellStyle name="Percent 92" xfId="1855"/>
    <cellStyle name="Percent 93" xfId="1856"/>
    <cellStyle name="Percent 94" xfId="1857"/>
    <cellStyle name="Percent 95" xfId="1858"/>
    <cellStyle name="Percent 96" xfId="1859"/>
    <cellStyle name="Percent 97" xfId="1860"/>
    <cellStyle name="Percent 98" xfId="1861"/>
    <cellStyle name="Percent 99" xfId="1862"/>
    <cellStyle name="Percent.0" xfId="1863"/>
    <cellStyle name="Percent[1]" xfId="1864"/>
    <cellStyle name="Percent0" xfId="1865"/>
    <cellStyle name="Percent1" xfId="1866"/>
    <cellStyle name="Percent1 2" xfId="1867"/>
    <cellStyle name="Percent2" xfId="1868"/>
    <cellStyle name="Percent2 2" xfId="1869"/>
    <cellStyle name="percentage" xfId="1870"/>
    <cellStyle name="Percentage[1]" xfId="1871"/>
    <cellStyle name="PercentChange" xfId="1872"/>
    <cellStyle name="Percent-Input" xfId="1873"/>
    <cellStyle name="PercentPresentation" xfId="1874"/>
    <cellStyle name="POPS" xfId="1875"/>
    <cellStyle name="PresentationZero" xfId="1876"/>
    <cellStyle name="price" xfId="1877"/>
    <cellStyle name="ProgramVariable" xfId="1878"/>
    <cellStyle name="ProtectedDates" xfId="1879"/>
    <cellStyle name="q_AA - BenefitsBonus " xfId="1880"/>
    <cellStyle name="Ratio" xfId="1881"/>
    <cellStyle name="Ratios" xfId="1882"/>
    <cellStyle name="RatioX" xfId="1883"/>
    <cellStyle name="RED" xfId="1884"/>
    <cellStyle name="Ref Numbers" xfId="1885"/>
    <cellStyle name="Report" xfId="1886"/>
    <cellStyle name="Restruct" xfId="1887"/>
    <cellStyle name="Restruct 2" xfId="1888"/>
    <cellStyle name="Restruct 2 2" xfId="1889"/>
    <cellStyle name="Restruct 2 2 2" xfId="1890"/>
    <cellStyle name="Restruct 2 3" xfId="1891"/>
    <cellStyle name="Restruct 3" xfId="1892"/>
    <cellStyle name="Restruct 3 2" xfId="1893"/>
    <cellStyle name="Restruct 4" xfId="1894"/>
    <cellStyle name="Restruct 4 2" xfId="1895"/>
    <cellStyle name="RevList" xfId="1896"/>
    <cellStyle name="Right" xfId="1897"/>
    <cellStyle name="Role" xfId="1898"/>
    <cellStyle name="RRSInstruction" xfId="1899"/>
    <cellStyle name="RRSInstruction 2" xfId="1900"/>
    <cellStyle name="s_DCFLBO Code_Wireline Tel Forecast " xfId="1901"/>
    <cellStyle name="s_HardInc " xfId="1902"/>
    <cellStyle name="s_HardInc _Catalog" xfId="1903"/>
    <cellStyle name="s_HardInc _JapaneseCatalog" xfId="1904"/>
    <cellStyle name="s_HardInc _RRST1" xfId="1905"/>
    <cellStyle name="s_HardInc _RRST1 2" xfId="1906"/>
    <cellStyle name="s_HardInc _RRST12" xfId="1907"/>
    <cellStyle name="s_HardInc _RRST19" xfId="1908"/>
    <cellStyle name="s_HardInc _RRST19 2" xfId="1909"/>
    <cellStyle name="s_HardInc _RRST20" xfId="1910"/>
    <cellStyle name="s_HardInc _RRST20 2" xfId="1911"/>
    <cellStyle name="s_HardInc _RRST25" xfId="1912"/>
    <cellStyle name="s_HardInc _RRST25 2" xfId="1913"/>
    <cellStyle name="s_HardInc _RRST3" xfId="1914"/>
    <cellStyle name="s_HardInc _RRST6" xfId="1915"/>
    <cellStyle name="s_HardInc _RRST6 2" xfId="1916"/>
    <cellStyle name="s_HardInc _RRST9" xfId="1917"/>
    <cellStyle name="s_HardInc _RRST9 2" xfId="1918"/>
    <cellStyle name="s_Valuation " xfId="1919"/>
    <cellStyle name="s_Valuation _Catalog" xfId="1920"/>
    <cellStyle name="s_Valuation _JapaneseCatalog" xfId="1921"/>
    <cellStyle name="s_Valuation _RRST1" xfId="1922"/>
    <cellStyle name="s_Valuation _RRST1 2" xfId="1923"/>
    <cellStyle name="s_Valuation _RRST12" xfId="1924"/>
    <cellStyle name="s_Valuation _RRST19" xfId="1925"/>
    <cellStyle name="s_Valuation _RRST19 2" xfId="1926"/>
    <cellStyle name="s_Valuation _RRST20" xfId="1927"/>
    <cellStyle name="s_Valuation _RRST20 2" xfId="1928"/>
    <cellStyle name="s_Valuation _RRST25" xfId="1929"/>
    <cellStyle name="s_Valuation _RRST25 2" xfId="1930"/>
    <cellStyle name="s_Valuation _RRST3" xfId="1931"/>
    <cellStyle name="s_Valuation _RRST6" xfId="1932"/>
    <cellStyle name="s_Valuation _RRST6 2" xfId="1933"/>
    <cellStyle name="s_Valuation _RRST9" xfId="1934"/>
    <cellStyle name="s_Valuation _RRST9 2" xfId="1935"/>
    <cellStyle name="ScripFactor" xfId="1936"/>
    <cellStyle name="SectionHeaderNormal" xfId="1937"/>
    <cellStyle name="SectionHeading" xfId="1938"/>
    <cellStyle name="Shade" xfId="1939"/>
    <cellStyle name="Shaded" xfId="1940"/>
    <cellStyle name="Shares" xfId="1941"/>
    <cellStyle name="Source Line" xfId="1942"/>
    <cellStyle name="SPEC" xfId="1943"/>
    <cellStyle name="ssp " xfId="1944"/>
    <cellStyle name="Standard" xfId="1945"/>
    <cellStyle name="Style 1" xfId="1946"/>
    <cellStyle name="Style 1 10" xfId="1947"/>
    <cellStyle name="Style 1 10 2" xfId="1948"/>
    <cellStyle name="Style 1 11" xfId="1949"/>
    <cellStyle name="Style 1 11 2" xfId="1950"/>
    <cellStyle name="Style 1 12" xfId="1951"/>
    <cellStyle name="Style 1 13" xfId="1952"/>
    <cellStyle name="Style 1 14" xfId="1953"/>
    <cellStyle name="Style 1 15" xfId="1954"/>
    <cellStyle name="Style 1 16" xfId="1955"/>
    <cellStyle name="Style 1 17" xfId="1956"/>
    <cellStyle name="Style 1 18" xfId="1957"/>
    <cellStyle name="Style 1 18 2" xfId="1958"/>
    <cellStyle name="Style 1 19" xfId="1959"/>
    <cellStyle name="Style 1 2" xfId="1960"/>
    <cellStyle name="Style 1 2 2" xfId="1961"/>
    <cellStyle name="Style 1 2 2 2" xfId="1962"/>
    <cellStyle name="Style 1 2 3" xfId="1963"/>
    <cellStyle name="Style 1 2 4" xfId="1964"/>
    <cellStyle name="Style 1 3" xfId="1965"/>
    <cellStyle name="Style 1 3 2" xfId="1966"/>
    <cellStyle name="Style 1 3 2 2" xfId="1967"/>
    <cellStyle name="Style 1 3 2 2 2" xfId="1968"/>
    <cellStyle name="Style 1 3 2 3" xfId="1969"/>
    <cellStyle name="Style 1 3 2 4" xfId="1970"/>
    <cellStyle name="Style 1 3 2 5" xfId="1971"/>
    <cellStyle name="Style 1 3 2 6" xfId="1972"/>
    <cellStyle name="Style 1 3 3" xfId="1973"/>
    <cellStyle name="Style 1 3 3 2" xfId="1974"/>
    <cellStyle name="Style 1 3 4" xfId="1975"/>
    <cellStyle name="Style 1 3 5" xfId="1976"/>
    <cellStyle name="Style 1 3 6" xfId="1977"/>
    <cellStyle name="Style 1 3 7" xfId="1978"/>
    <cellStyle name="Style 1 3 8" xfId="1979"/>
    <cellStyle name="Style 1 4" xfId="1980"/>
    <cellStyle name="Style 1 4 2" xfId="1981"/>
    <cellStyle name="Style 1 4 2 2" xfId="1982"/>
    <cellStyle name="Style 1 4 2 2 2" xfId="1983"/>
    <cellStyle name="Style 1 4 2 3" xfId="1984"/>
    <cellStyle name="Style 1 4 2 4" xfId="1985"/>
    <cellStyle name="Style 1 4 3" xfId="1986"/>
    <cellStyle name="Style 1 4 3 2" xfId="1987"/>
    <cellStyle name="Style 1 4 4" xfId="1988"/>
    <cellStyle name="Style 1 4 5" xfId="1989"/>
    <cellStyle name="Style 1 4 6" xfId="1990"/>
    <cellStyle name="Style 1 5" xfId="1991"/>
    <cellStyle name="Style 1 5 2" xfId="1992"/>
    <cellStyle name="Style 1 5 2 2" xfId="1993"/>
    <cellStyle name="Style 1 5 2 2 2" xfId="1994"/>
    <cellStyle name="Style 1 5 2 3" xfId="1995"/>
    <cellStyle name="Style 1 5 3" xfId="1996"/>
    <cellStyle name="Style 1 5 4" xfId="1997"/>
    <cellStyle name="Style 1 5 5" xfId="1998"/>
    <cellStyle name="Style 1 6" xfId="1999"/>
    <cellStyle name="Style 1 6 2" xfId="2000"/>
    <cellStyle name="Style 1 6 2 2" xfId="2001"/>
    <cellStyle name="Style 1 6 2 3" xfId="2002"/>
    <cellStyle name="Style 1 6 3" xfId="2003"/>
    <cellStyle name="Style 1 6 4" xfId="2004"/>
    <cellStyle name="Style 1 7" xfId="2005"/>
    <cellStyle name="Style 1 7 2" xfId="2006"/>
    <cellStyle name="Style 1 7 3" xfId="2007"/>
    <cellStyle name="Style 1 7 4" xfId="2008"/>
    <cellStyle name="Style 1 8" xfId="2009"/>
    <cellStyle name="Style 1 8 2" xfId="2010"/>
    <cellStyle name="Style 1 8 3" xfId="2011"/>
    <cellStyle name="Style 1 9" xfId="2012"/>
    <cellStyle name="Style 1 9 2" xfId="2013"/>
    <cellStyle name="Style 1_Exhibits" xfId="2014"/>
    <cellStyle name="Style 2" xfId="2015"/>
    <cellStyle name="Style 2 2" xfId="2016"/>
    <cellStyle name="Style 2 2 2" xfId="2017"/>
    <cellStyle name="Style 2 3" xfId="2018"/>
    <cellStyle name="Style 2 3 2" xfId="2019"/>
    <cellStyle name="Style 2 4" xfId="2020"/>
    <cellStyle name="Style 2 4 2" xfId="2021"/>
    <cellStyle name="Style 2 5" xfId="2022"/>
    <cellStyle name="Style 2 5 2" xfId="2023"/>
    <cellStyle name="Style 2 6" xfId="2024"/>
    <cellStyle name="Style 24" xfId="2025"/>
    <cellStyle name="Style 26" xfId="2026"/>
    <cellStyle name="Style 27" xfId="2027"/>
    <cellStyle name="Style 3" xfId="2028"/>
    <cellStyle name="Style 3 2" xfId="2029"/>
    <cellStyle name="Style 3 2 2" xfId="2030"/>
    <cellStyle name="Style 32" xfId="2031"/>
    <cellStyle name="Style 4" xfId="2032"/>
    <cellStyle name="Style 4 2" xfId="2033"/>
    <cellStyle name="Style 4 2 2" xfId="2034"/>
    <cellStyle name="Style 5" xfId="2035"/>
    <cellStyle name="Style 5 2" xfId="2036"/>
    <cellStyle name="Style 5 2 2" xfId="2037"/>
    <cellStyle name="Style 5 2 3" xfId="2038"/>
    <cellStyle name="Style 5 3" xfId="2039"/>
    <cellStyle name="Style 5 3 2" xfId="2040"/>
    <cellStyle name="Style 5 4" xfId="2041"/>
    <cellStyle name="Style 5 4 2" xfId="2042"/>
    <cellStyle name="Style 5 5" xfId="2043"/>
    <cellStyle name="Style 5 5 2" xfId="2044"/>
    <cellStyle name="Style 5 6" xfId="2045"/>
    <cellStyle name="Style 5 7" xfId="2046"/>
    <cellStyle name="Style 6" xfId="2047"/>
    <cellStyle name="Style 7" xfId="2048"/>
    <cellStyle name="Style 8" xfId="2049"/>
    <cellStyle name="STYLE1" xfId="2050"/>
    <cellStyle name="STYLE2" xfId="2051"/>
    <cellStyle name="styleColumnTitles" xfId="2052"/>
    <cellStyle name="styleSeriesAttributes" xfId="2053"/>
    <cellStyle name="styleSeriesData" xfId="2054"/>
    <cellStyle name="styleSeriesDataForecast" xfId="2055"/>
    <cellStyle name="SubDollar" xfId="2056"/>
    <cellStyle name="SubGrowthRate" xfId="2057"/>
    <cellStyle name="Subhead" xfId="2058"/>
    <cellStyle name="Subscribers" xfId="2059"/>
    <cellStyle name="SubScript" xfId="2060"/>
    <cellStyle name="Subtotal" xfId="2061"/>
    <cellStyle name="SubVariable" xfId="2062"/>
    <cellStyle name="SuperScript" xfId="2063"/>
    <cellStyle name="Synopsis" xfId="2064"/>
    <cellStyle name="Table Heading" xfId="2065"/>
    <cellStyle name="Table Title" xfId="2066"/>
    <cellStyle name="Table Units" xfId="2067"/>
    <cellStyle name="TableName" xfId="2068"/>
    <cellStyle name="TableName 2" xfId="2069"/>
    <cellStyle name="Text Wrap" xfId="2070"/>
    <cellStyle name="TextBold" xfId="2071"/>
    <cellStyle name="textbold 2" xfId="2072"/>
    <cellStyle name="Text-fin statements" xfId="2073"/>
    <cellStyle name="TextItalic" xfId="2074"/>
    <cellStyle name="TextNormal" xfId="2075"/>
    <cellStyle name="Title" xfId="2076" builtinId="15" customBuiltin="1"/>
    <cellStyle name="Title 2" xfId="2077"/>
    <cellStyle name="Title 3" xfId="2078"/>
    <cellStyle name="Title Line" xfId="2079"/>
    <cellStyle name="title1" xfId="2080"/>
    <cellStyle name="title2" xfId="2081"/>
    <cellStyle name="TitleBar" xfId="2082"/>
    <cellStyle name="TitleII" xfId="2083"/>
    <cellStyle name="TitleNormal" xfId="2084"/>
    <cellStyle name="Titles" xfId="2085"/>
    <cellStyle name="Titles 2" xfId="2086"/>
    <cellStyle name="top" xfId="2087"/>
    <cellStyle name="Top Line" xfId="2088"/>
    <cellStyle name="Top Row" xfId="2089"/>
    <cellStyle name="Top Row 2" xfId="2090"/>
    <cellStyle name="Top Row 3" xfId="2091"/>
    <cellStyle name="Top Row 4" xfId="2092"/>
    <cellStyle name="top-title" xfId="2093"/>
    <cellStyle name="Total" xfId="2094" builtinId="25" customBuiltin="1"/>
    <cellStyle name="Total 10" xfId="2095"/>
    <cellStyle name="Total 11" xfId="2096"/>
    <cellStyle name="Total 2" xfId="2097"/>
    <cellStyle name="Total 2 2" xfId="2098"/>
    <cellStyle name="Total 2 3" xfId="2099"/>
    <cellStyle name="Total 2 4" xfId="2100"/>
    <cellStyle name="Total 3" xfId="2101"/>
    <cellStyle name="Total 4" xfId="2102"/>
    <cellStyle name="Total 5" xfId="2103"/>
    <cellStyle name="Total 6" xfId="2104"/>
    <cellStyle name="Total 7" xfId="2105"/>
    <cellStyle name="Total 8" xfId="2106"/>
    <cellStyle name="Total 9" xfId="2107"/>
    <cellStyle name="Total Row" xfId="2108"/>
    <cellStyle name="Totals" xfId="2109"/>
    <cellStyle name="underline 1 decimal" xfId="2110"/>
    <cellStyle name="UnderlineNormal" xfId="2111"/>
    <cellStyle name="UnderlineNormal 2" xfId="2112"/>
    <cellStyle name="Unprot" xfId="2113"/>
    <cellStyle name="Unprot$" xfId="2114"/>
    <cellStyle name="Unprotect" xfId="2115"/>
    <cellStyle name="Unprotected" xfId="2116"/>
    <cellStyle name="UnProtectedCalc" xfId="2117"/>
    <cellStyle name="Upload Only" xfId="2118"/>
    <cellStyle name="Upload Only 2" xfId="2119"/>
    <cellStyle name="Use_1dp" xfId="2120"/>
    <cellStyle name="UseB_1dp" xfId="2121"/>
    <cellStyle name="Warning Text" xfId="2122" builtinId="11" customBuiltin="1"/>
    <cellStyle name="Warning Text 2" xfId="2123"/>
    <cellStyle name="Warning Text 3" xfId="2124"/>
    <cellStyle name="WholeNumber" xfId="2125"/>
    <cellStyle name="Year" xfId="2126"/>
    <cellStyle name="Year 2" xfId="2127"/>
    <cellStyle name="Year 2 2" xfId="2128"/>
    <cellStyle name="Year 3" xfId="2129"/>
    <cellStyle name="Year 3 2" xfId="2130"/>
    <cellStyle name="Year 4" xfId="2131"/>
    <cellStyle name="Year 4 2" xfId="2132"/>
    <cellStyle name="Year 5" xfId="2133"/>
    <cellStyle name="Year 5 2" xfId="2134"/>
    <cellStyle name="Year 6" xfId="2135"/>
    <cellStyle name="Year 7" xfId="2136"/>
    <cellStyle name="Year_FT Valuation " xfId="2137"/>
    <cellStyle name="Years" xfId="2138"/>
    <cellStyle name="パーセント_QTBLNEW" xfId="2139"/>
    <cellStyle name="뷭?_BOOKSHIP_실적현황 " xfId="2140"/>
    <cellStyle name="쉼표_매출총괄(02)" xfId="2141"/>
    <cellStyle name="쬞\?1@" xfId="2142"/>
    <cellStyle name="콤마 [0]_   " xfId="2143"/>
    <cellStyle name="콤마_   " xfId="2144"/>
    <cellStyle name="통화 [0]_AP02MSEst" xfId="2145"/>
    <cellStyle name="통화_AP02MSEst" xfId="2146"/>
    <cellStyle name="표준_AP02MSEst" xfId="2147"/>
    <cellStyle name="하이퍼링크_000727 IMT-2000 시설투자물량(4210) 4FA고려 필요 " xfId="2148"/>
    <cellStyle name="一般_Book2" xfId="2149"/>
    <cellStyle name="千分位[0]_Book2" xfId="2150"/>
    <cellStyle name="千分位_Book2" xfId="2151"/>
    <cellStyle name="未定義" xfId="2152"/>
    <cellStyle name="桁区切り [0.00]_new dif survey sheet" xfId="2153"/>
    <cellStyle name="標準_5401a" xfId="2154"/>
    <cellStyle name="百分比_Comp1-QSI,Liteon" xfId="2155"/>
    <cellStyle name="貨幣 [0]_Book2" xfId="2156"/>
    <cellStyle name="貨幣_Book2" xfId="2157"/>
    <cellStyle name="超連結_Comp-Global" xfId="215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16" Target="../customXml/item1.xml" Type="http://schemas.openxmlformats.org/officeDocument/2006/relationships/customXml"/>
<Relationship Id="rId17" Target="../customXml/item2.xml" Type="http://schemas.openxmlformats.org/officeDocument/2006/relationships/customXml"/>
<Relationship Id="rId18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7</xdr:col>
      <xdr:colOff>390525</xdr:colOff>
      <xdr:row>197</xdr:row>
      <xdr:rowOff>104775</xdr:rowOff>
    </xdr:to>
    <xdr:pic>
      <xdr:nvPicPr>
        <xdr:cNvPr id="7311361" name="Picture 1" descr="C:\Users\vinayakr\AppData\Local\Temp\MercuryPriceRatingHistoryChart\XLNX.O_2018_04_25_18_42_2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033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1857375</xdr:colOff>
      <xdr:row>0</xdr:row>
      <xdr:rowOff>723900</xdr:rowOff>
    </xdr:to>
    <xdr:pic>
      <xdr:nvPicPr>
        <xdr:cNvPr id="3608323" name="Picture 9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"/>
          <a:ext cx="18192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1857375</xdr:colOff>
      <xdr:row>0</xdr:row>
      <xdr:rowOff>723900</xdr:rowOff>
    </xdr:to>
    <xdr:pic>
      <xdr:nvPicPr>
        <xdr:cNvPr id="7066848" name="Picture 4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"/>
          <a:ext cx="18192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76200</xdr:rowOff>
    </xdr:from>
    <xdr:to>
      <xdr:col>1</xdr:col>
      <xdr:colOff>1847850</xdr:colOff>
      <xdr:row>0</xdr:row>
      <xdr:rowOff>723900</xdr:rowOff>
    </xdr:to>
    <xdr:pic>
      <xdr:nvPicPr>
        <xdr:cNvPr id="6871321" name="Picture 42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76200"/>
          <a:ext cx="18192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1857375</xdr:colOff>
      <xdr:row>0</xdr:row>
      <xdr:rowOff>723900</xdr:rowOff>
    </xdr:to>
    <xdr:pic>
      <xdr:nvPicPr>
        <xdr:cNvPr id="697983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"/>
          <a:ext cx="18192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rev change analysis"/>
      <sheetName val="rev contribution analysis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  <sheetName val="Chart 6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4.xml" Type="http://schemas.openxmlformats.org/officeDocument/2006/relationships/drawing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5.xml" Type="http://schemas.openxmlformats.org/officeDocument/2006/relationships/drawing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/>
  <sheetData>
    <row r="1" spans="1:2">
      <c r="A1" s="368"/>
      <c r="B1" t="s">
        <v>263</v>
      </c>
    </row>
  </sheetData>
  <phoneticPr fontId="23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1"/>
  <sheetViews>
    <sheetView showGridLines="0" tabSelected="1" workbookViewId="0">
      <selection activeCell="Z1" sqref="Z1"/>
    </sheetView>
  </sheetViews>
  <sheetFormatPr defaultRowHeight="12.75"/>
  <cols>
    <col min="1" max="1" width="25.7109375" style="1034" customWidth="1"/>
    <col min="2" max="5" width="9.140625" style="1034"/>
    <col min="6" max="6" width="18.7109375" style="1034" customWidth="1"/>
    <col min="7" max="256" width="9.140625" style="1034"/>
    <col min="257" max="257" width="100.7109375" style="1034" customWidth="1"/>
    <col min="258" max="512" width="9.140625" style="1034"/>
    <col min="513" max="513" width="100.7109375" style="1034" customWidth="1"/>
    <col min="514" max="768" width="9.140625" style="1034"/>
    <col min="769" max="769" width="100.7109375" style="1034" customWidth="1"/>
    <col min="770" max="1024" width="9.140625" style="1034"/>
    <col min="1025" max="1025" width="100.7109375" style="1034" customWidth="1"/>
    <col min="1026" max="1280" width="9.140625" style="1034"/>
    <col min="1281" max="1281" width="100.7109375" style="1034" customWidth="1"/>
    <col min="1282" max="1536" width="9.140625" style="1034"/>
    <col min="1537" max="1537" width="100.7109375" style="1034" customWidth="1"/>
    <col min="1538" max="1792" width="9.140625" style="1034"/>
    <col min="1793" max="1793" width="100.7109375" style="1034" customWidth="1"/>
    <col min="1794" max="2048" width="9.140625" style="1034"/>
    <col min="2049" max="2049" width="100.7109375" style="1034" customWidth="1"/>
    <col min="2050" max="2304" width="9.140625" style="1034"/>
    <col min="2305" max="2305" width="100.7109375" style="1034" customWidth="1"/>
    <col min="2306" max="2560" width="9.140625" style="1034"/>
    <col min="2561" max="2561" width="100.7109375" style="1034" customWidth="1"/>
    <col min="2562" max="2816" width="9.140625" style="1034"/>
    <col min="2817" max="2817" width="100.7109375" style="1034" customWidth="1"/>
    <col min="2818" max="3072" width="9.140625" style="1034"/>
    <col min="3073" max="3073" width="100.7109375" style="1034" customWidth="1"/>
    <col min="3074" max="3328" width="9.140625" style="1034"/>
    <col min="3329" max="3329" width="100.7109375" style="1034" customWidth="1"/>
    <col min="3330" max="3584" width="9.140625" style="1034"/>
    <col min="3585" max="3585" width="100.7109375" style="1034" customWidth="1"/>
    <col min="3586" max="3840" width="9.140625" style="1034"/>
    <col min="3841" max="3841" width="100.7109375" style="1034" customWidth="1"/>
    <col min="3842" max="4096" width="9.140625" style="1034"/>
    <col min="4097" max="4097" width="100.7109375" style="1034" customWidth="1"/>
    <col min="4098" max="4352" width="9.140625" style="1034"/>
    <col min="4353" max="4353" width="100.7109375" style="1034" customWidth="1"/>
    <col min="4354" max="4608" width="9.140625" style="1034"/>
    <col min="4609" max="4609" width="100.7109375" style="1034" customWidth="1"/>
    <col min="4610" max="4864" width="9.140625" style="1034"/>
    <col min="4865" max="4865" width="100.7109375" style="1034" customWidth="1"/>
    <col min="4866" max="5120" width="9.140625" style="1034"/>
    <col min="5121" max="5121" width="100.7109375" style="1034" customWidth="1"/>
    <col min="5122" max="5376" width="9.140625" style="1034"/>
    <col min="5377" max="5377" width="100.7109375" style="1034" customWidth="1"/>
    <col min="5378" max="5632" width="9.140625" style="1034"/>
    <col min="5633" max="5633" width="100.7109375" style="1034" customWidth="1"/>
    <col min="5634" max="5888" width="9.140625" style="1034"/>
    <col min="5889" max="5889" width="100.7109375" style="1034" customWidth="1"/>
    <col min="5890" max="6144" width="9.140625" style="1034"/>
    <col min="6145" max="6145" width="100.7109375" style="1034" customWidth="1"/>
    <col min="6146" max="6400" width="9.140625" style="1034"/>
    <col min="6401" max="6401" width="100.7109375" style="1034" customWidth="1"/>
    <col min="6402" max="6656" width="9.140625" style="1034"/>
    <col min="6657" max="6657" width="100.7109375" style="1034" customWidth="1"/>
    <col min="6658" max="6912" width="9.140625" style="1034"/>
    <col min="6913" max="6913" width="100.7109375" style="1034" customWidth="1"/>
    <col min="6914" max="7168" width="9.140625" style="1034"/>
    <col min="7169" max="7169" width="100.7109375" style="1034" customWidth="1"/>
    <col min="7170" max="7424" width="9.140625" style="1034"/>
    <col min="7425" max="7425" width="100.7109375" style="1034" customWidth="1"/>
    <col min="7426" max="7680" width="9.140625" style="1034"/>
    <col min="7681" max="7681" width="100.7109375" style="1034" customWidth="1"/>
    <col min="7682" max="7936" width="9.140625" style="1034"/>
    <col min="7937" max="7937" width="100.7109375" style="1034" customWidth="1"/>
    <col min="7938" max="8192" width="9.140625" style="1034"/>
    <col min="8193" max="8193" width="100.7109375" style="1034" customWidth="1"/>
    <col min="8194" max="8448" width="9.140625" style="1034"/>
    <col min="8449" max="8449" width="100.7109375" style="1034" customWidth="1"/>
    <col min="8450" max="8704" width="9.140625" style="1034"/>
    <col min="8705" max="8705" width="100.7109375" style="1034" customWidth="1"/>
    <col min="8706" max="8960" width="9.140625" style="1034"/>
    <col min="8961" max="8961" width="100.7109375" style="1034" customWidth="1"/>
    <col min="8962" max="9216" width="9.140625" style="1034"/>
    <col min="9217" max="9217" width="100.7109375" style="1034" customWidth="1"/>
    <col min="9218" max="9472" width="9.140625" style="1034"/>
    <col min="9473" max="9473" width="100.7109375" style="1034" customWidth="1"/>
    <col min="9474" max="9728" width="9.140625" style="1034"/>
    <col min="9729" max="9729" width="100.7109375" style="1034" customWidth="1"/>
    <col min="9730" max="9984" width="9.140625" style="1034"/>
    <col min="9985" max="9985" width="100.7109375" style="1034" customWidth="1"/>
    <col min="9986" max="10240" width="9.140625" style="1034"/>
    <col min="10241" max="10241" width="100.7109375" style="1034" customWidth="1"/>
    <col min="10242" max="10496" width="9.140625" style="1034"/>
    <col min="10497" max="10497" width="100.7109375" style="1034" customWidth="1"/>
    <col min="10498" max="10752" width="9.140625" style="1034"/>
    <col min="10753" max="10753" width="100.7109375" style="1034" customWidth="1"/>
    <col min="10754" max="11008" width="9.140625" style="1034"/>
    <col min="11009" max="11009" width="100.7109375" style="1034" customWidth="1"/>
    <col min="11010" max="11264" width="9.140625" style="1034"/>
    <col min="11265" max="11265" width="100.7109375" style="1034" customWidth="1"/>
    <col min="11266" max="11520" width="9.140625" style="1034"/>
    <col min="11521" max="11521" width="100.7109375" style="1034" customWidth="1"/>
    <col min="11522" max="11776" width="9.140625" style="1034"/>
    <col min="11777" max="11777" width="100.7109375" style="1034" customWidth="1"/>
    <col min="11778" max="12032" width="9.140625" style="1034"/>
    <col min="12033" max="12033" width="100.7109375" style="1034" customWidth="1"/>
    <col min="12034" max="12288" width="9.140625" style="1034"/>
    <col min="12289" max="12289" width="100.7109375" style="1034" customWidth="1"/>
    <col min="12290" max="12544" width="9.140625" style="1034"/>
    <col min="12545" max="12545" width="100.7109375" style="1034" customWidth="1"/>
    <col min="12546" max="12800" width="9.140625" style="1034"/>
    <col min="12801" max="12801" width="100.7109375" style="1034" customWidth="1"/>
    <col min="12802" max="13056" width="9.140625" style="1034"/>
    <col min="13057" max="13057" width="100.7109375" style="1034" customWidth="1"/>
    <col min="13058" max="13312" width="9.140625" style="1034"/>
    <col min="13313" max="13313" width="100.7109375" style="1034" customWidth="1"/>
    <col min="13314" max="13568" width="9.140625" style="1034"/>
    <col min="13569" max="13569" width="100.7109375" style="1034" customWidth="1"/>
    <col min="13570" max="13824" width="9.140625" style="1034"/>
    <col min="13825" max="13825" width="100.7109375" style="1034" customWidth="1"/>
    <col min="13826" max="14080" width="9.140625" style="1034"/>
    <col min="14081" max="14081" width="100.7109375" style="1034" customWidth="1"/>
    <col min="14082" max="14336" width="9.140625" style="1034"/>
    <col min="14337" max="14337" width="100.7109375" style="1034" customWidth="1"/>
    <col min="14338" max="14592" width="9.140625" style="1034"/>
    <col min="14593" max="14593" width="100.7109375" style="1034" customWidth="1"/>
    <col min="14594" max="14848" width="9.140625" style="1034"/>
    <col min="14849" max="14849" width="100.7109375" style="1034" customWidth="1"/>
    <col min="14850" max="15104" width="9.140625" style="1034"/>
    <col min="15105" max="15105" width="100.7109375" style="1034" customWidth="1"/>
    <col min="15106" max="15360" width="9.140625" style="1034"/>
    <col min="15361" max="15361" width="100.7109375" style="1034" customWidth="1"/>
    <col min="15362" max="15616" width="9.140625" style="1034"/>
    <col min="15617" max="15617" width="100.7109375" style="1034" customWidth="1"/>
    <col min="15618" max="15872" width="9.140625" style="1034"/>
    <col min="15873" max="15873" width="100.7109375" style="1034" customWidth="1"/>
    <col min="15874" max="16128" width="9.140625" style="1034"/>
    <col min="16129" max="16129" width="100.7109375" style="1034" customWidth="1"/>
    <col min="16130" max="16384" width="9.140625" style="1034"/>
  </cols>
  <sheetData>
    <row r="1" spans="1:8" ht="30" customHeight="1">
      <c r="A1" s="1032"/>
      <c r="B1" s="1033"/>
      <c r="C1" s="1033"/>
      <c r="D1" s="1033"/>
      <c r="E1" s="1033"/>
      <c r="F1" s="1033"/>
      <c r="G1" s="1033"/>
      <c r="H1" s="1033"/>
    </row>
    <row r="2" spans="1:8" ht="14.25">
      <c r="A2" s="1035" t="s">
        <v>501</v>
      </c>
      <c r="B2" s="1033"/>
      <c r="C2" s="1033"/>
      <c r="D2" s="1033"/>
      <c r="E2" s="1033"/>
      <c r="F2" s="1033"/>
      <c r="G2" s="1033"/>
      <c r="H2" s="1033"/>
    </row>
    <row r="3" spans="1:8" ht="14.25">
      <c r="A3" s="1035" t="s">
        <v>502</v>
      </c>
      <c r="B3" s="1033"/>
      <c r="C3" s="1033"/>
      <c r="D3" s="1033"/>
      <c r="E3" s="1033"/>
      <c r="F3" s="1033"/>
      <c r="G3" s="1033"/>
      <c r="H3" s="1033"/>
    </row>
    <row r="4" spans="1:8" ht="14.25">
      <c r="A4" s="1035" t="s">
        <v>503</v>
      </c>
      <c r="B4" s="1033"/>
      <c r="C4" s="1033"/>
      <c r="D4" s="1033"/>
      <c r="E4" s="1033"/>
      <c r="F4" s="1033"/>
      <c r="G4" s="1033"/>
      <c r="H4" s="1033"/>
    </row>
    <row r="5" spans="1:8" ht="14.25">
      <c r="A5" s="1035" t="s">
        <v>504</v>
      </c>
      <c r="B5" s="1033"/>
      <c r="C5" s="1033"/>
      <c r="D5" s="1033"/>
      <c r="E5" s="1033"/>
      <c r="F5" s="1033"/>
      <c r="G5" s="1033"/>
      <c r="H5" s="1033"/>
    </row>
    <row r="6" spans="1:8" ht="14.25">
      <c r="A6" s="1035"/>
      <c r="B6" s="1033"/>
      <c r="C6" s="1033"/>
      <c r="D6" s="1033"/>
      <c r="E6" s="1033"/>
      <c r="F6" s="1033"/>
      <c r="G6" s="1033"/>
      <c r="H6" s="1033"/>
    </row>
    <row r="7" spans="1:8">
      <c r="A7" s="1032" t="s">
        <v>505</v>
      </c>
      <c r="B7" s="1033"/>
      <c r="C7" s="1033"/>
      <c r="D7" s="1033"/>
      <c r="E7" s="1033"/>
      <c r="F7" s="1033"/>
      <c r="G7" s="1033"/>
      <c r="H7" s="1033"/>
    </row>
    <row r="8" spans="1:8">
      <c r="A8" s="1032" t="s">
        <v>506</v>
      </c>
      <c r="B8" s="1033"/>
      <c r="C8" s="1033"/>
      <c r="D8" s="1033"/>
      <c r="E8" s="1033"/>
      <c r="F8" s="1033"/>
      <c r="G8" s="1033"/>
      <c r="H8" s="1033"/>
    </row>
    <row r="9" spans="1:8">
      <c r="A9" s="1032"/>
      <c r="B9" s="1033"/>
      <c r="C9" s="1033"/>
      <c r="D9" s="1033"/>
      <c r="E9" s="1033"/>
      <c r="F9" s="1033"/>
      <c r="G9" s="1033"/>
      <c r="H9" s="1033"/>
    </row>
    <row r="10" spans="1:8">
      <c r="A10" s="1036" t="s">
        <v>507</v>
      </c>
      <c r="B10" s="1033"/>
      <c r="C10" s="1033"/>
      <c r="D10" s="1033"/>
      <c r="E10" s="1033"/>
      <c r="F10" s="1033"/>
      <c r="G10" s="1033"/>
      <c r="H10" s="1033"/>
    </row>
    <row r="11" spans="1:8">
      <c r="A11" s="1036" t="s">
        <v>508</v>
      </c>
      <c r="B11" s="1033"/>
      <c r="C11" s="1033"/>
      <c r="D11" s="1033"/>
      <c r="E11" s="1033"/>
      <c r="F11" s="1033"/>
      <c r="G11" s="1033"/>
      <c r="H11" s="1033"/>
    </row>
    <row r="12" spans="1:8">
      <c r="A12" s="1036" t="s">
        <v>509</v>
      </c>
      <c r="B12" s="1033"/>
      <c r="C12" s="1033"/>
      <c r="D12" s="1033"/>
      <c r="E12" s="1033"/>
      <c r="F12" s="1033"/>
      <c r="G12" s="1033"/>
      <c r="H12" s="1033"/>
    </row>
    <row r="13" spans="1:8">
      <c r="A13" s="1036" t="s">
        <v>510</v>
      </c>
      <c r="B13" s="1033"/>
      <c r="C13" s="1033"/>
      <c r="D13" s="1033"/>
      <c r="E13" s="1033"/>
      <c r="F13" s="1033"/>
      <c r="G13" s="1033"/>
      <c r="H13" s="1033"/>
    </row>
    <row r="14" spans="1:8">
      <c r="A14" s="1036" t="s">
        <v>511</v>
      </c>
      <c r="B14" s="1033"/>
      <c r="C14" s="1033"/>
      <c r="D14" s="1033"/>
      <c r="E14" s="1033"/>
      <c r="F14" s="1033"/>
      <c r="G14" s="1033"/>
      <c r="H14" s="1033"/>
    </row>
    <row r="15" spans="1:8">
      <c r="A15" s="1036" t="s">
        <v>512</v>
      </c>
      <c r="B15" s="1033"/>
      <c r="C15" s="1033"/>
      <c r="D15" s="1033"/>
      <c r="E15" s="1033"/>
      <c r="F15" s="1033"/>
      <c r="G15" s="1033"/>
      <c r="H15" s="1033"/>
    </row>
    <row r="16" spans="1:8">
      <c r="A16" s="1036"/>
      <c r="B16" s="1033"/>
      <c r="C16" s="1033"/>
      <c r="D16" s="1033"/>
      <c r="E16" s="1033"/>
      <c r="F16" s="1033"/>
      <c r="G16" s="1033"/>
      <c r="H16" s="1033"/>
    </row>
    <row r="17" spans="1:8">
      <c r="A17" s="1036" t="s">
        <v>498</v>
      </c>
      <c r="B17" s="1033"/>
      <c r="C17" s="1033"/>
      <c r="D17" s="1033"/>
      <c r="E17" s="1033"/>
      <c r="F17" s="1033"/>
      <c r="G17" s="1033"/>
      <c r="H17" s="1033"/>
    </row>
    <row r="18" spans="1:8">
      <c r="A18" s="1036"/>
      <c r="B18" s="1033"/>
      <c r="C18" s="1033"/>
      <c r="D18" s="1033"/>
      <c r="E18" s="1033"/>
      <c r="F18" s="1033"/>
      <c r="G18" s="1033"/>
      <c r="H18" s="1033"/>
    </row>
    <row r="19" spans="1:8">
      <c r="A19" s="1036" t="s">
        <v>499</v>
      </c>
      <c r="B19" s="1033"/>
      <c r="C19" s="1033"/>
      <c r="D19" s="1033"/>
      <c r="E19" s="1033"/>
      <c r="F19" s="1033"/>
      <c r="G19" s="1033"/>
      <c r="H19" s="1033"/>
    </row>
    <row r="20" spans="1:8">
      <c r="A20" s="1032"/>
      <c r="B20" s="1033"/>
      <c r="C20" s="1033"/>
      <c r="D20" s="1033"/>
      <c r="E20" s="1033"/>
      <c r="F20" s="1033"/>
      <c r="G20" s="1033"/>
      <c r="H20" s="1033"/>
    </row>
    <row r="21" spans="1:8">
      <c r="A21" s="1037" t="s">
        <v>500</v>
      </c>
      <c r="B21" s="1033"/>
      <c r="C21" s="1033"/>
      <c r="D21" s="1033"/>
      <c r="E21" s="1033"/>
      <c r="F21" s="1033"/>
      <c r="G21" s="1033"/>
      <c r="H21" s="1033"/>
    </row>
    <row r="22" spans="1:8">
      <c r="A22" s="1038"/>
      <c r="B22" s="1038"/>
      <c r="C22" s="1038"/>
      <c r="D22" s="1038"/>
      <c r="E22" s="1038"/>
      <c r="F22" s="1038"/>
      <c r="G22" s="1038"/>
      <c r="H22" s="1038"/>
    </row>
    <row r="23" spans="1:8">
      <c r="A23" s="1039" t="s">
        <v>791</v>
      </c>
      <c r="B23" s="1038"/>
      <c r="C23" s="1038"/>
      <c r="D23" s="1038"/>
      <c r="E23" s="1038"/>
      <c r="F23" s="1038"/>
      <c r="G23" s="1038"/>
      <c r="H23" s="1038"/>
    </row>
    <row r="24" spans="1:8">
      <c r="A24" s="1039" t="s">
        <v>792</v>
      </c>
      <c r="B24" s="1038"/>
      <c r="C24" s="1038"/>
      <c r="D24" s="1038"/>
      <c r="E24" s="1038"/>
      <c r="F24" s="1038"/>
      <c r="G24" s="1038"/>
      <c r="H24" s="1038"/>
    </row>
    <row r="25" spans="1:8">
      <c r="A25" s="1039" t="s">
        <v>793</v>
      </c>
      <c r="B25" s="1038"/>
      <c r="C25" s="1038"/>
      <c r="D25" s="1038"/>
      <c r="E25" s="1038"/>
      <c r="F25" s="1038"/>
      <c r="G25" s="1038"/>
      <c r="H25" s="1038"/>
    </row>
    <row r="26" spans="1:8">
      <c r="A26" s="1039" t="s">
        <v>794</v>
      </c>
      <c r="B26" s="1038"/>
      <c r="C26" s="1038"/>
      <c r="D26" s="1038"/>
      <c r="E26" s="1038"/>
      <c r="F26" s="1038"/>
      <c r="G26" s="1038"/>
      <c r="H26" s="1038"/>
    </row>
    <row r="27" spans="1:8">
      <c r="A27" s="1038"/>
      <c r="B27" s="1038"/>
      <c r="C27" s="1038"/>
      <c r="D27" s="1038"/>
      <c r="E27" s="1038"/>
      <c r="F27" s="1038"/>
      <c r="G27" s="1038"/>
      <c r="H27" s="1038"/>
    </row>
    <row r="28" spans="1:8">
      <c r="A28" s="1038"/>
      <c r="B28" s="1038"/>
      <c r="C28" s="1038"/>
      <c r="D28" s="1038"/>
      <c r="E28" s="1038"/>
      <c r="F28" s="1038"/>
      <c r="G28" s="1038"/>
      <c r="H28" s="1038"/>
    </row>
    <row r="29" spans="1:8">
      <c r="A29" s="1039" t="s">
        <v>786</v>
      </c>
      <c r="B29" s="1038"/>
      <c r="C29" s="1038"/>
      <c r="D29" s="1038"/>
      <c r="E29" s="1038"/>
      <c r="F29" s="1038"/>
      <c r="G29" s="1038"/>
      <c r="H29" s="1038"/>
    </row>
    <row r="30" spans="1:8">
      <c r="A30" s="1039" t="s">
        <v>787</v>
      </c>
      <c r="B30" s="1038"/>
      <c r="C30" s="1038"/>
      <c r="D30" s="1038"/>
      <c r="E30" s="1038"/>
      <c r="F30" s="1038"/>
      <c r="G30" s="1038"/>
      <c r="H30" s="1038"/>
    </row>
    <row r="31" spans="1:8">
      <c r="A31" s="1039" t="s">
        <v>788</v>
      </c>
      <c r="B31" s="1038"/>
      <c r="C31" s="1038"/>
      <c r="D31" s="1038"/>
      <c r="E31" s="1038"/>
      <c r="F31" s="1038"/>
      <c r="G31" s="1038"/>
      <c r="H31" s="1038"/>
    </row>
    <row r="32" spans="1:8">
      <c r="A32" s="1039" t="s">
        <v>789</v>
      </c>
      <c r="B32" s="1038"/>
      <c r="C32" s="1038"/>
      <c r="D32" s="1038"/>
      <c r="E32" s="1038"/>
      <c r="F32" s="1038"/>
      <c r="G32" s="1038"/>
      <c r="H32" s="1038"/>
    </row>
    <row r="33" spans="1:8">
      <c r="A33" s="1039" t="s">
        <v>790</v>
      </c>
      <c r="B33" s="1038"/>
      <c r="C33" s="1038"/>
      <c r="D33" s="1038"/>
      <c r="E33" s="1038"/>
      <c r="F33" s="1038"/>
      <c r="G33" s="1038"/>
      <c r="H33" s="1038"/>
    </row>
    <row r="34" spans="1:8">
      <c r="A34" s="1038"/>
      <c r="B34" s="1038"/>
      <c r="C34" s="1038"/>
      <c r="D34" s="1038"/>
      <c r="E34" s="1038"/>
      <c r="F34" s="1038"/>
      <c r="G34" s="1038"/>
      <c r="H34" s="1038"/>
    </row>
    <row r="35" spans="1:8">
      <c r="A35" s="1039" t="s">
        <v>782</v>
      </c>
      <c r="B35" s="1038"/>
      <c r="C35" s="1038"/>
      <c r="D35" s="1038"/>
      <c r="E35" s="1038"/>
      <c r="F35" s="1038"/>
      <c r="G35" s="1038"/>
      <c r="H35" s="1038"/>
    </row>
    <row r="36" spans="1:8">
      <c r="A36" s="1039" t="s">
        <v>783</v>
      </c>
      <c r="B36" s="1038"/>
      <c r="C36" s="1038"/>
      <c r="D36" s="1038"/>
      <c r="E36" s="1038"/>
      <c r="F36" s="1038"/>
      <c r="G36" s="1038"/>
      <c r="H36" s="1038"/>
    </row>
    <row r="37" spans="1:8">
      <c r="A37" s="1039" t="s">
        <v>784</v>
      </c>
      <c r="B37" s="1038"/>
      <c r="C37" s="1038"/>
      <c r="D37" s="1038"/>
      <c r="E37" s="1038"/>
      <c r="F37" s="1038"/>
      <c r="G37" s="1038"/>
      <c r="H37" s="1038"/>
    </row>
    <row r="38" spans="1:8">
      <c r="A38" s="1039" t="s">
        <v>785</v>
      </c>
      <c r="B38" s="1038"/>
      <c r="C38" s="1038"/>
      <c r="D38" s="1038"/>
      <c r="E38" s="1038"/>
      <c r="F38" s="1038"/>
      <c r="G38" s="1038"/>
      <c r="H38" s="1038"/>
    </row>
    <row r="39" spans="1:8">
      <c r="A39" s="1038"/>
      <c r="B39" s="1038"/>
      <c r="C39" s="1038"/>
      <c r="D39" s="1038"/>
      <c r="E39" s="1038"/>
      <c r="F39" s="1038"/>
      <c r="G39" s="1038"/>
      <c r="H39" s="1038"/>
    </row>
    <row r="40" spans="1:8">
      <c r="A40" s="1039" t="s">
        <v>776</v>
      </c>
      <c r="B40" s="1038"/>
      <c r="C40" s="1038"/>
      <c r="D40" s="1038"/>
      <c r="E40" s="1038"/>
      <c r="F40" s="1038"/>
      <c r="G40" s="1038"/>
      <c r="H40" s="1038"/>
    </row>
    <row r="41" spans="1:8">
      <c r="A41" s="1039" t="s">
        <v>777</v>
      </c>
      <c r="B41" s="1038"/>
      <c r="C41" s="1038"/>
      <c r="D41" s="1038"/>
      <c r="E41" s="1038"/>
      <c r="F41" s="1038"/>
      <c r="G41" s="1038"/>
      <c r="H41" s="1038"/>
    </row>
    <row r="42" spans="1:8">
      <c r="A42" s="1039" t="s">
        <v>778</v>
      </c>
      <c r="B42" s="1038"/>
      <c r="C42" s="1038"/>
      <c r="D42" s="1038"/>
      <c r="E42" s="1038"/>
      <c r="F42" s="1038"/>
      <c r="G42" s="1038"/>
      <c r="H42" s="1038"/>
    </row>
    <row r="43" spans="1:8">
      <c r="A43" s="1039" t="s">
        <v>779</v>
      </c>
      <c r="B43" s="1038"/>
      <c r="C43" s="1038"/>
      <c r="D43" s="1038"/>
      <c r="E43" s="1038"/>
      <c r="F43" s="1038"/>
      <c r="G43" s="1038"/>
      <c r="H43" s="1038"/>
    </row>
    <row r="44" spans="1:8">
      <c r="A44" s="1039" t="s">
        <v>780</v>
      </c>
      <c r="B44" s="1038"/>
      <c r="C44" s="1038"/>
      <c r="D44" s="1038"/>
      <c r="E44" s="1038"/>
      <c r="F44" s="1038"/>
      <c r="G44" s="1038"/>
      <c r="H44" s="1038"/>
    </row>
    <row r="45" spans="1:8">
      <c r="A45" s="1039" t="s">
        <v>781</v>
      </c>
      <c r="B45" s="1038"/>
      <c r="C45" s="1038"/>
      <c r="D45" s="1038"/>
      <c r="E45" s="1038"/>
      <c r="F45" s="1038"/>
      <c r="G45" s="1038"/>
      <c r="H45" s="1038"/>
    </row>
    <row r="46" spans="1:8">
      <c r="A46" s="1038"/>
      <c r="B46" s="1038"/>
      <c r="C46" s="1038"/>
      <c r="D46" s="1038"/>
      <c r="E46" s="1038"/>
      <c r="F46" s="1038"/>
      <c r="G46" s="1038"/>
      <c r="H46" s="1038"/>
    </row>
    <row r="47" spans="1:8" ht="15.75">
      <c r="A47" s="1040" t="s">
        <v>513</v>
      </c>
      <c r="B47" s="1038"/>
      <c r="C47" s="1038"/>
      <c r="D47" s="1038"/>
      <c r="E47" s="1038"/>
      <c r="F47" s="1038"/>
      <c r="G47" s="1038"/>
      <c r="H47" s="1038"/>
    </row>
    <row r="48" spans="1:8">
      <c r="A48" s="1038"/>
      <c r="B48" s="1038"/>
      <c r="C48" s="1038"/>
      <c r="D48" s="1038"/>
      <c r="E48" s="1038"/>
      <c r="F48" s="1038"/>
      <c r="G48" s="1038"/>
      <c r="H48" s="1038"/>
    </row>
    <row r="49" spans="1:8">
      <c r="A49" s="1039" t="s">
        <v>772</v>
      </c>
      <c r="B49" s="1038"/>
      <c r="C49" s="1038"/>
      <c r="D49" s="1038"/>
      <c r="E49" s="1038"/>
      <c r="F49" s="1038"/>
      <c r="G49" s="1038"/>
      <c r="H49" s="1038"/>
    </row>
    <row r="50" spans="1:8">
      <c r="A50" s="1039" t="s">
        <v>773</v>
      </c>
      <c r="B50" s="1038"/>
      <c r="C50" s="1038"/>
      <c r="D50" s="1038"/>
      <c r="E50" s="1038"/>
      <c r="F50" s="1038"/>
      <c r="G50" s="1038"/>
      <c r="H50" s="1038"/>
    </row>
    <row r="51" spans="1:8">
      <c r="A51" s="1039" t="s">
        <v>774</v>
      </c>
      <c r="B51" s="1038"/>
      <c r="C51" s="1038"/>
      <c r="D51" s="1038"/>
      <c r="E51" s="1038"/>
      <c r="F51" s="1038"/>
      <c r="G51" s="1038"/>
      <c r="H51" s="1038"/>
    </row>
    <row r="52" spans="1:8">
      <c r="A52" s="1039" t="s">
        <v>775</v>
      </c>
      <c r="B52" s="1038"/>
      <c r="C52" s="1038"/>
      <c r="D52" s="1038"/>
      <c r="E52" s="1038"/>
      <c r="F52" s="1038"/>
      <c r="G52" s="1038"/>
      <c r="H52" s="1038"/>
    </row>
    <row r="53" spans="1:8">
      <c r="A53" s="1038"/>
      <c r="B53" s="1038"/>
      <c r="C53" s="1038"/>
      <c r="D53" s="1038"/>
      <c r="E53" s="1038"/>
      <c r="F53" s="1038"/>
      <c r="G53" s="1038"/>
      <c r="H53" s="1038"/>
    </row>
    <row r="54" spans="1:8">
      <c r="A54" s="1039" t="s">
        <v>514</v>
      </c>
      <c r="B54" s="1038"/>
      <c r="C54" s="1038"/>
      <c r="D54" s="1038"/>
      <c r="E54" s="1038"/>
      <c r="F54" s="1038"/>
      <c r="G54" s="1038"/>
      <c r="H54" s="1038"/>
    </row>
    <row r="55" spans="1:8">
      <c r="A55" s="1038"/>
      <c r="B55" s="1038"/>
      <c r="C55" s="1038"/>
      <c r="D55" s="1038"/>
      <c r="E55" s="1038"/>
      <c r="F55" s="1038"/>
      <c r="G55" s="1038"/>
      <c r="H55" s="1038"/>
    </row>
    <row r="56" spans="1:8" ht="15.75">
      <c r="A56" s="1040" t="s">
        <v>515</v>
      </c>
      <c r="B56" s="1038"/>
      <c r="C56" s="1038"/>
      <c r="D56" s="1038"/>
      <c r="E56" s="1038"/>
      <c r="F56" s="1038"/>
      <c r="G56" s="1038"/>
      <c r="H56" s="1038"/>
    </row>
    <row r="57" spans="1:8">
      <c r="A57" s="1038"/>
      <c r="B57" s="1038"/>
      <c r="C57" s="1038"/>
      <c r="D57" s="1038"/>
      <c r="E57" s="1038"/>
      <c r="F57" s="1038"/>
      <c r="G57" s="1038"/>
      <c r="H57" s="1038"/>
    </row>
    <row r="58" spans="1:8">
      <c r="A58" s="1039" t="s">
        <v>770</v>
      </c>
      <c r="B58" s="1038"/>
      <c r="C58" s="1038"/>
      <c r="D58" s="1038"/>
      <c r="E58" s="1038"/>
      <c r="F58" s="1038"/>
      <c r="G58" s="1038"/>
      <c r="H58" s="1038"/>
    </row>
    <row r="59" spans="1:8">
      <c r="A59" s="1039" t="s">
        <v>771</v>
      </c>
      <c r="B59" s="1038"/>
      <c r="C59" s="1038"/>
      <c r="D59" s="1038"/>
      <c r="E59" s="1038"/>
      <c r="F59" s="1038"/>
      <c r="G59" s="1038"/>
      <c r="H59" s="1038"/>
    </row>
    <row r="60" spans="1:8">
      <c r="A60" s="1038"/>
      <c r="B60" s="1038"/>
      <c r="C60" s="1038"/>
      <c r="D60" s="1038"/>
      <c r="E60" s="1038"/>
      <c r="F60" s="1038"/>
      <c r="G60" s="1038"/>
      <c r="H60" s="1038"/>
    </row>
    <row r="61" spans="1:8" ht="15.75">
      <c r="A61" s="1040" t="s">
        <v>516</v>
      </c>
      <c r="B61" s="1038"/>
      <c r="C61" s="1038"/>
      <c r="D61" s="1038"/>
      <c r="E61" s="1038"/>
      <c r="F61" s="1038"/>
      <c r="G61" s="1038"/>
      <c r="H61" s="1038"/>
    </row>
    <row r="62" spans="1:8">
      <c r="A62" s="1038"/>
      <c r="B62" s="1038"/>
      <c r="C62" s="1038"/>
      <c r="D62" s="1038"/>
      <c r="E62" s="1038"/>
      <c r="F62" s="1038"/>
      <c r="G62" s="1038"/>
      <c r="H62" s="1038"/>
    </row>
    <row r="63" spans="1:8">
      <c r="A63" s="1039" t="s">
        <v>768</v>
      </c>
      <c r="B63" s="1038"/>
      <c r="C63" s="1038"/>
      <c r="D63" s="1038"/>
      <c r="E63" s="1038"/>
      <c r="F63" s="1038"/>
      <c r="G63" s="1038"/>
      <c r="H63" s="1038"/>
    </row>
    <row r="64" spans="1:8">
      <c r="A64" s="1039" t="s">
        <v>769</v>
      </c>
      <c r="B64" s="1038"/>
      <c r="C64" s="1038"/>
      <c r="D64" s="1038"/>
      <c r="E64" s="1038"/>
      <c r="F64" s="1038"/>
      <c r="G64" s="1038"/>
      <c r="H64" s="1038"/>
    </row>
    <row r="65" spans="1:8">
      <c r="A65" s="1038"/>
      <c r="B65" s="1038"/>
      <c r="C65" s="1038"/>
      <c r="D65" s="1038"/>
      <c r="E65" s="1038"/>
      <c r="F65" s="1038"/>
      <c r="G65" s="1038"/>
      <c r="H65" s="1038"/>
    </row>
    <row r="66" spans="1:8">
      <c r="A66" s="1039" t="s">
        <v>766</v>
      </c>
      <c r="B66" s="1038"/>
      <c r="C66" s="1038"/>
      <c r="D66" s="1038"/>
      <c r="E66" s="1038"/>
      <c r="F66" s="1038"/>
      <c r="G66" s="1038"/>
      <c r="H66" s="1038"/>
    </row>
    <row r="67" spans="1:8">
      <c r="A67" s="1039" t="s">
        <v>767</v>
      </c>
      <c r="B67" s="1038"/>
      <c r="C67" s="1038"/>
      <c r="D67" s="1038"/>
      <c r="E67" s="1038"/>
      <c r="F67" s="1038"/>
      <c r="G67" s="1038"/>
      <c r="H67" s="1038"/>
    </row>
    <row r="68" spans="1:8">
      <c r="A68" s="1038"/>
      <c r="B68" s="1038"/>
      <c r="C68" s="1038"/>
      <c r="D68" s="1038"/>
      <c r="E68" s="1038"/>
      <c r="F68" s="1038"/>
      <c r="G68" s="1038"/>
      <c r="H68" s="1038"/>
    </row>
    <row r="69" spans="1:8">
      <c r="A69" s="1039" t="s">
        <v>764</v>
      </c>
      <c r="B69" s="1038"/>
      <c r="C69" s="1038"/>
      <c r="D69" s="1038"/>
      <c r="E69" s="1038"/>
      <c r="F69" s="1038"/>
      <c r="G69" s="1038"/>
      <c r="H69" s="1038"/>
    </row>
    <row r="70" spans="1:8">
      <c r="A70" s="1039" t="s">
        <v>765</v>
      </c>
      <c r="B70" s="1038"/>
      <c r="C70" s="1038"/>
      <c r="D70" s="1038"/>
      <c r="E70" s="1038"/>
      <c r="F70" s="1038"/>
      <c r="G70" s="1038"/>
      <c r="H70" s="1038"/>
    </row>
    <row r="71" spans="1:8">
      <c r="A71" s="1038"/>
      <c r="B71" s="1038"/>
      <c r="C71" s="1038"/>
      <c r="D71" s="1038"/>
      <c r="E71" s="1038"/>
      <c r="F71" s="1038"/>
      <c r="G71" s="1038"/>
      <c r="H71" s="1038"/>
    </row>
    <row r="72" spans="1:8">
      <c r="A72" s="1039" t="s">
        <v>761</v>
      </c>
      <c r="B72" s="1038"/>
      <c r="C72" s="1038"/>
      <c r="D72" s="1038"/>
      <c r="E72" s="1038"/>
      <c r="F72" s="1038"/>
      <c r="G72" s="1038"/>
      <c r="H72" s="1038"/>
    </row>
    <row r="73" spans="1:8">
      <c r="A73" s="1039" t="s">
        <v>762</v>
      </c>
      <c r="B73" s="1038"/>
      <c r="C73" s="1038"/>
      <c r="D73" s="1038"/>
      <c r="E73" s="1038"/>
      <c r="F73" s="1038"/>
      <c r="G73" s="1038"/>
      <c r="H73" s="1038"/>
    </row>
    <row r="74" spans="1:8">
      <c r="A74" s="1039" t="s">
        <v>763</v>
      </c>
      <c r="B74" s="1038"/>
      <c r="C74" s="1038"/>
      <c r="D74" s="1038"/>
      <c r="E74" s="1038"/>
      <c r="F74" s="1038"/>
      <c r="G74" s="1038"/>
      <c r="H74" s="1038"/>
    </row>
    <row r="75" spans="1:8">
      <c r="A75" s="1038"/>
      <c r="B75" s="1038"/>
      <c r="C75" s="1038"/>
      <c r="D75" s="1038"/>
      <c r="E75" s="1038"/>
      <c r="F75" s="1038"/>
      <c r="G75" s="1038"/>
      <c r="H75" s="1038"/>
    </row>
    <row r="76" spans="1:8">
      <c r="A76" s="1039" t="s">
        <v>517</v>
      </c>
      <c r="B76" s="1038"/>
      <c r="C76" s="1038"/>
      <c r="D76" s="1038"/>
      <c r="E76" s="1038"/>
      <c r="F76" s="1038"/>
      <c r="G76" s="1038"/>
      <c r="H76" s="1038"/>
    </row>
    <row r="77" spans="1:8">
      <c r="A77" s="1038"/>
      <c r="B77" s="1038"/>
      <c r="C77" s="1038"/>
      <c r="D77" s="1038"/>
      <c r="E77" s="1038"/>
      <c r="F77" s="1038"/>
      <c r="G77" s="1038"/>
      <c r="H77" s="1038"/>
    </row>
    <row r="78" spans="1:8">
      <c r="A78" s="1039" t="s">
        <v>756</v>
      </c>
      <c r="B78" s="1038"/>
      <c r="C78" s="1038"/>
      <c r="D78" s="1038"/>
      <c r="E78" s="1038"/>
      <c r="F78" s="1038"/>
      <c r="G78" s="1038"/>
      <c r="H78" s="1038"/>
    </row>
    <row r="79" spans="1:8">
      <c r="A79" s="1039" t="s">
        <v>757</v>
      </c>
      <c r="B79" s="1038"/>
      <c r="C79" s="1038"/>
      <c r="D79" s="1038"/>
      <c r="E79" s="1038"/>
      <c r="F79" s="1038"/>
      <c r="G79" s="1038"/>
      <c r="H79" s="1038"/>
    </row>
    <row r="80" spans="1:8">
      <c r="A80" s="1039" t="s">
        <v>758</v>
      </c>
      <c r="B80" s="1038"/>
      <c r="C80" s="1038"/>
      <c r="D80" s="1038"/>
      <c r="E80" s="1038"/>
      <c r="F80" s="1038"/>
      <c r="G80" s="1038"/>
      <c r="H80" s="1038"/>
    </row>
    <row r="81" spans="1:8">
      <c r="A81" s="1039" t="s">
        <v>759</v>
      </c>
      <c r="B81" s="1038"/>
      <c r="C81" s="1038"/>
      <c r="D81" s="1038"/>
      <c r="E81" s="1038"/>
      <c r="F81" s="1038"/>
      <c r="G81" s="1038"/>
      <c r="H81" s="1038"/>
    </row>
    <row r="82" spans="1:8">
      <c r="A82" s="1039" t="s">
        <v>760</v>
      </c>
      <c r="B82" s="1038"/>
      <c r="C82" s="1038"/>
      <c r="D82" s="1038"/>
      <c r="E82" s="1038"/>
      <c r="F82" s="1038"/>
      <c r="G82" s="1038"/>
      <c r="H82" s="1038"/>
    </row>
    <row r="83" spans="1:8">
      <c r="A83" s="1039" t="s">
        <v>643</v>
      </c>
      <c r="B83" s="1038"/>
      <c r="C83" s="1038"/>
      <c r="D83" s="1038"/>
      <c r="E83" s="1038"/>
      <c r="F83" s="1038"/>
      <c r="G83" s="1038"/>
      <c r="H83" s="1038"/>
    </row>
    <row r="84" spans="1:8">
      <c r="A84" s="1038"/>
      <c r="B84" s="1038"/>
      <c r="C84" s="1038"/>
      <c r="D84" s="1038"/>
      <c r="E84" s="1038"/>
      <c r="F84" s="1038"/>
      <c r="G84" s="1038"/>
      <c r="H84" s="1038"/>
    </row>
    <row r="85" spans="1:8">
      <c r="A85" s="1039" t="s">
        <v>749</v>
      </c>
      <c r="B85" s="1038"/>
      <c r="C85" s="1038"/>
      <c r="D85" s="1038"/>
      <c r="E85" s="1038"/>
      <c r="F85" s="1038"/>
      <c r="G85" s="1038"/>
      <c r="H85" s="1038"/>
    </row>
    <row r="86" spans="1:8">
      <c r="A86" s="1039" t="s">
        <v>750</v>
      </c>
      <c r="B86" s="1038"/>
      <c r="C86" s="1038"/>
      <c r="D86" s="1038"/>
      <c r="E86" s="1038"/>
      <c r="F86" s="1038"/>
      <c r="G86" s="1038"/>
      <c r="H86" s="1038"/>
    </row>
    <row r="87" spans="1:8">
      <c r="A87" s="1039" t="s">
        <v>751</v>
      </c>
      <c r="B87" s="1038"/>
      <c r="C87" s="1038"/>
      <c r="D87" s="1038"/>
      <c r="E87" s="1038"/>
      <c r="F87" s="1038"/>
      <c r="G87" s="1038"/>
      <c r="H87" s="1038"/>
    </row>
    <row r="88" spans="1:8">
      <c r="A88" s="1039" t="s">
        <v>752</v>
      </c>
      <c r="B88" s="1038"/>
      <c r="C88" s="1038"/>
      <c r="D88" s="1038"/>
      <c r="E88" s="1038"/>
      <c r="F88" s="1038"/>
      <c r="G88" s="1038"/>
      <c r="H88" s="1038"/>
    </row>
    <row r="89" spans="1:8">
      <c r="A89" s="1039" t="s">
        <v>753</v>
      </c>
      <c r="B89" s="1038"/>
      <c r="C89" s="1038"/>
      <c r="D89" s="1038"/>
      <c r="E89" s="1038"/>
      <c r="F89" s="1038"/>
      <c r="G89" s="1038"/>
      <c r="H89" s="1038"/>
    </row>
    <row r="90" spans="1:8">
      <c r="A90" s="1039" t="s">
        <v>754</v>
      </c>
      <c r="B90" s="1038"/>
      <c r="C90" s="1038"/>
      <c r="D90" s="1038"/>
      <c r="E90" s="1038"/>
      <c r="F90" s="1038"/>
      <c r="G90" s="1038"/>
      <c r="H90" s="1038"/>
    </row>
    <row r="91" spans="1:8">
      <c r="A91" s="1039" t="s">
        <v>755</v>
      </c>
      <c r="B91" s="1038"/>
      <c r="C91" s="1038"/>
      <c r="D91" s="1038"/>
      <c r="E91" s="1038"/>
      <c r="F91" s="1038"/>
      <c r="G91" s="1038"/>
      <c r="H91" s="1038"/>
    </row>
    <row r="92" spans="1:8">
      <c r="A92" s="1038"/>
      <c r="B92" s="1038"/>
      <c r="C92" s="1038"/>
      <c r="D92" s="1038"/>
      <c r="E92" s="1038"/>
      <c r="F92" s="1038"/>
      <c r="G92" s="1038"/>
      <c r="H92" s="1038"/>
    </row>
    <row r="93" spans="1:8">
      <c r="A93" s="1039" t="s">
        <v>747</v>
      </c>
      <c r="B93" s="1038"/>
      <c r="C93" s="1038"/>
      <c r="D93" s="1038"/>
      <c r="E93" s="1038"/>
      <c r="F93" s="1038"/>
      <c r="G93" s="1038"/>
      <c r="H93" s="1038"/>
    </row>
    <row r="94" spans="1:8">
      <c r="A94" s="1039" t="s">
        <v>748</v>
      </c>
      <c r="B94" s="1038"/>
      <c r="C94" s="1038"/>
      <c r="D94" s="1038"/>
      <c r="E94" s="1038"/>
      <c r="F94" s="1038"/>
      <c r="G94" s="1038"/>
      <c r="H94" s="1038"/>
    </row>
    <row r="95" spans="1:8">
      <c r="A95" s="1038"/>
      <c r="B95" s="1038"/>
      <c r="C95" s="1038"/>
      <c r="D95" s="1038"/>
      <c r="E95" s="1038"/>
      <c r="F95" s="1038"/>
      <c r="G95" s="1038"/>
      <c r="H95" s="1038"/>
    </row>
    <row r="96" spans="1:8" ht="15.75">
      <c r="A96" s="1040" t="s">
        <v>518</v>
      </c>
      <c r="B96" s="1038"/>
      <c r="C96" s="1038"/>
      <c r="D96" s="1038"/>
      <c r="E96" s="1038"/>
      <c r="F96" s="1038"/>
      <c r="G96" s="1038"/>
      <c r="H96" s="1038"/>
    </row>
    <row r="97" spans="1:8">
      <c r="A97" s="1038"/>
      <c r="B97" s="1038"/>
      <c r="C97" s="1038"/>
      <c r="D97" s="1038"/>
      <c r="E97" s="1038"/>
      <c r="F97" s="1038"/>
      <c r="G97" s="1038"/>
      <c r="H97" s="1038"/>
    </row>
    <row r="98" spans="1:8">
      <c r="A98" s="1039" t="s">
        <v>738</v>
      </c>
      <c r="B98" s="1038"/>
      <c r="C98" s="1038"/>
      <c r="D98" s="1038"/>
      <c r="E98" s="1038"/>
      <c r="F98" s="1038"/>
      <c r="G98" s="1038"/>
      <c r="H98" s="1038"/>
    </row>
    <row r="99" spans="1:8">
      <c r="A99" s="1039" t="s">
        <v>739</v>
      </c>
      <c r="B99" s="1038"/>
      <c r="C99" s="1038"/>
      <c r="D99" s="1038"/>
      <c r="E99" s="1038"/>
      <c r="F99" s="1038"/>
      <c r="G99" s="1038"/>
      <c r="H99" s="1038"/>
    </row>
    <row r="100" spans="1:8">
      <c r="A100" s="1039" t="s">
        <v>740</v>
      </c>
      <c r="B100" s="1038"/>
      <c r="C100" s="1038"/>
      <c r="D100" s="1038"/>
      <c r="E100" s="1038"/>
      <c r="F100" s="1038"/>
      <c r="G100" s="1038"/>
      <c r="H100" s="1038"/>
    </row>
    <row r="101" spans="1:8">
      <c r="A101" s="1039" t="s">
        <v>741</v>
      </c>
      <c r="B101" s="1038"/>
      <c r="C101" s="1038"/>
      <c r="D101" s="1038"/>
      <c r="E101" s="1038"/>
      <c r="F101" s="1038"/>
      <c r="G101" s="1038"/>
      <c r="H101" s="1038"/>
    </row>
    <row r="102" spans="1:8">
      <c r="A102" s="1039" t="s">
        <v>742</v>
      </c>
      <c r="B102" s="1038"/>
      <c r="C102" s="1038"/>
      <c r="D102" s="1038"/>
      <c r="E102" s="1038"/>
      <c r="F102" s="1038"/>
      <c r="G102" s="1038"/>
      <c r="H102" s="1038"/>
    </row>
    <row r="103" spans="1:8">
      <c r="A103" s="1039" t="s">
        <v>743</v>
      </c>
      <c r="B103" s="1038"/>
      <c r="C103" s="1038"/>
      <c r="D103" s="1038"/>
      <c r="E103" s="1038"/>
      <c r="F103" s="1038"/>
      <c r="G103" s="1038"/>
      <c r="H103" s="1038"/>
    </row>
    <row r="104" spans="1:8">
      <c r="A104" s="1039" t="s">
        <v>744</v>
      </c>
      <c r="B104" s="1038"/>
      <c r="C104" s="1038"/>
      <c r="D104" s="1038"/>
      <c r="E104" s="1038"/>
      <c r="F104" s="1038"/>
      <c r="G104" s="1038"/>
      <c r="H104" s="1038"/>
    </row>
    <row r="105" spans="1:8">
      <c r="A105" s="1039" t="s">
        <v>745</v>
      </c>
      <c r="B105" s="1038"/>
      <c r="C105" s="1038"/>
      <c r="D105" s="1038"/>
      <c r="E105" s="1038"/>
      <c r="F105" s="1038"/>
      <c r="G105" s="1038"/>
      <c r="H105" s="1038"/>
    </row>
    <row r="106" spans="1:8">
      <c r="A106" s="1039" t="s">
        <v>746</v>
      </c>
      <c r="B106" s="1038"/>
      <c r="C106" s="1038"/>
      <c r="D106" s="1038"/>
      <c r="E106" s="1038"/>
      <c r="F106" s="1038"/>
      <c r="G106" s="1038"/>
      <c r="H106" s="1038"/>
    </row>
    <row r="107" spans="1:8">
      <c r="A107" s="1038"/>
      <c r="B107" s="1038"/>
      <c r="C107" s="1038"/>
      <c r="D107" s="1038"/>
      <c r="E107" s="1038"/>
      <c r="F107" s="1038"/>
      <c r="G107" s="1038"/>
      <c r="H107" s="1038"/>
    </row>
    <row r="108" spans="1:8" ht="15.75">
      <c r="A108" s="1041" t="s">
        <v>519</v>
      </c>
      <c r="B108" s="1041"/>
      <c r="C108" s="1041"/>
      <c r="D108" s="1041"/>
      <c r="E108" s="1041"/>
      <c r="F108" s="1041"/>
      <c r="G108" s="1041"/>
      <c r="H108" s="1041"/>
    </row>
    <row r="109" spans="1:8">
      <c r="A109" s="1042" t="s">
        <v>520</v>
      </c>
      <c r="B109" s="1042"/>
      <c r="C109" s="1042"/>
      <c r="D109" s="1042"/>
      <c r="E109" s="1042"/>
      <c r="F109" s="1042"/>
      <c r="G109" s="1042"/>
      <c r="H109" s="1042"/>
    </row>
    <row r="110" spans="1:8">
      <c r="A110" s="1043"/>
      <c r="B110" s="1043"/>
      <c r="C110" s="1043"/>
      <c r="D110" s="1043"/>
      <c r="E110" s="1043"/>
      <c r="F110" s="1043"/>
      <c r="G110" s="1043"/>
      <c r="H110" s="1043"/>
    </row>
    <row r="111" spans="1:8">
      <c r="A111" s="1042" t="s">
        <v>736</v>
      </c>
      <c r="B111" s="1042"/>
      <c r="C111" s="1042"/>
      <c r="D111" s="1042"/>
      <c r="E111" s="1042"/>
      <c r="F111" s="1042"/>
      <c r="G111" s="1042"/>
      <c r="H111" s="1042"/>
    </row>
    <row r="112" spans="1:8">
      <c r="A112" s="1039" t="s">
        <v>737</v>
      </c>
      <c r="B112" s="1039"/>
      <c r="C112" s="1039"/>
      <c r="D112" s="1039"/>
      <c r="E112" s="1039"/>
      <c r="F112" s="1039"/>
      <c r="G112" s="1039"/>
      <c r="H112" s="1039"/>
    </row>
    <row r="113" spans="1:8">
      <c r="A113" s="1043"/>
      <c r="B113" s="1043"/>
      <c r="C113" s="1043"/>
      <c r="D113" s="1043"/>
      <c r="E113" s="1043"/>
      <c r="F113" s="1043"/>
      <c r="G113" s="1043"/>
      <c r="H113" s="1043"/>
    </row>
    <row r="114" spans="1:8">
      <c r="A114" s="1042" t="s">
        <v>729</v>
      </c>
      <c r="B114" s="1042"/>
      <c r="C114" s="1042"/>
      <c r="D114" s="1042"/>
      <c r="E114" s="1042"/>
      <c r="F114" s="1042"/>
      <c r="G114" s="1042"/>
      <c r="H114" s="1042"/>
    </row>
    <row r="115" spans="1:8">
      <c r="A115" s="1039" t="s">
        <v>730</v>
      </c>
      <c r="B115" s="1039"/>
      <c r="C115" s="1039"/>
      <c r="D115" s="1039"/>
      <c r="E115" s="1039"/>
      <c r="F115" s="1039"/>
      <c r="G115" s="1039"/>
      <c r="H115" s="1039"/>
    </row>
    <row r="116" spans="1:8">
      <c r="A116" s="1039" t="s">
        <v>731</v>
      </c>
      <c r="B116" s="1039"/>
      <c r="C116" s="1039"/>
      <c r="D116" s="1039"/>
      <c r="E116" s="1039"/>
      <c r="F116" s="1039"/>
      <c r="G116" s="1039"/>
      <c r="H116" s="1039"/>
    </row>
    <row r="117" spans="1:8">
      <c r="A117" s="1039" t="s">
        <v>732</v>
      </c>
      <c r="B117" s="1039"/>
      <c r="C117" s="1039"/>
      <c r="D117" s="1039"/>
      <c r="E117" s="1039"/>
      <c r="F117" s="1039"/>
      <c r="G117" s="1039"/>
      <c r="H117" s="1039"/>
    </row>
    <row r="118" spans="1:8">
      <c r="A118" s="1039" t="s">
        <v>733</v>
      </c>
      <c r="B118" s="1039"/>
      <c r="C118" s="1039"/>
      <c r="D118" s="1039"/>
      <c r="E118" s="1039"/>
      <c r="F118" s="1039"/>
      <c r="G118" s="1039"/>
      <c r="H118" s="1039"/>
    </row>
    <row r="119" spans="1:8">
      <c r="A119" s="1039" t="s">
        <v>734</v>
      </c>
      <c r="B119" s="1039"/>
      <c r="C119" s="1039"/>
      <c r="D119" s="1039"/>
      <c r="E119" s="1039"/>
      <c r="F119" s="1039"/>
      <c r="G119" s="1039"/>
      <c r="H119" s="1039"/>
    </row>
    <row r="120" spans="1:8">
      <c r="A120" s="1039" t="s">
        <v>735</v>
      </c>
      <c r="B120" s="1039"/>
      <c r="C120" s="1039"/>
      <c r="D120" s="1039"/>
      <c r="E120" s="1039"/>
      <c r="F120" s="1039"/>
      <c r="G120" s="1039"/>
      <c r="H120" s="1039"/>
    </row>
    <row r="121" spans="1:8">
      <c r="A121" s="1044"/>
      <c r="B121" s="1044"/>
      <c r="C121" s="1044"/>
      <c r="D121" s="1044"/>
      <c r="E121" s="1044"/>
      <c r="F121" s="1044"/>
      <c r="G121" s="1044"/>
      <c r="H121" s="1044"/>
    </row>
    <row r="122" spans="1:8">
      <c r="A122" s="1045"/>
      <c r="B122" s="1046" t="s">
        <v>521</v>
      </c>
      <c r="C122" s="1047"/>
      <c r="D122" s="1046" t="s">
        <v>522</v>
      </c>
      <c r="E122" s="1048"/>
      <c r="F122" s="1047"/>
      <c r="G122" s="1046" t="s">
        <v>523</v>
      </c>
      <c r="H122" s="1047"/>
    </row>
    <row r="123" spans="1:8">
      <c r="A123" s="1045" t="s">
        <v>524</v>
      </c>
      <c r="B123" s="1045" t="s">
        <v>199</v>
      </c>
      <c r="C123" s="1045" t="s">
        <v>525</v>
      </c>
      <c r="D123" s="1045" t="s">
        <v>199</v>
      </c>
      <c r="E123" s="1045" t="s">
        <v>526</v>
      </c>
      <c r="F123" s="1045" t="s">
        <v>527</v>
      </c>
      <c r="G123" s="1045" t="s">
        <v>199</v>
      </c>
      <c r="H123" s="1045" t="s">
        <v>528</v>
      </c>
    </row>
    <row r="124" spans="1:8">
      <c r="A124" s="1045" t="s">
        <v>529</v>
      </c>
      <c r="B124" s="1045">
        <v>1189</v>
      </c>
      <c r="C124" s="1049">
        <v>0.38</v>
      </c>
      <c r="D124" s="1045">
        <v>315</v>
      </c>
      <c r="E124" s="1049">
        <v>0.41</v>
      </c>
      <c r="F124" s="1049">
        <v>0.26</v>
      </c>
      <c r="G124" s="1045">
        <v>555</v>
      </c>
      <c r="H124" s="1049">
        <v>0.39</v>
      </c>
    </row>
    <row r="125" spans="1:8">
      <c r="A125" s="1045" t="s">
        <v>530</v>
      </c>
      <c r="B125" s="1045">
        <v>1355</v>
      </c>
      <c r="C125" s="1049">
        <v>0.43</v>
      </c>
      <c r="D125" s="1045">
        <v>364</v>
      </c>
      <c r="E125" s="1049">
        <v>0.47</v>
      </c>
      <c r="F125" s="1049">
        <v>0.27</v>
      </c>
      <c r="G125" s="1045">
        <v>644</v>
      </c>
      <c r="H125" s="1049">
        <v>0.45</v>
      </c>
    </row>
    <row r="126" spans="1:8">
      <c r="A126" s="1045" t="s">
        <v>531</v>
      </c>
      <c r="B126" s="1045">
        <v>53</v>
      </c>
      <c r="C126" s="1049">
        <v>0.02</v>
      </c>
      <c r="D126" s="1045">
        <v>4</v>
      </c>
      <c r="E126" s="1049">
        <v>0.01</v>
      </c>
      <c r="F126" s="1049">
        <v>0.08</v>
      </c>
      <c r="G126" s="1045">
        <v>7</v>
      </c>
      <c r="H126" s="1049">
        <v>0</v>
      </c>
    </row>
    <row r="127" spans="1:8">
      <c r="A127" s="1045" t="s">
        <v>532</v>
      </c>
      <c r="B127" s="1045">
        <v>545</v>
      </c>
      <c r="C127" s="1049">
        <v>0.17</v>
      </c>
      <c r="D127" s="1045">
        <v>84</v>
      </c>
      <c r="E127" s="1049">
        <v>0.11</v>
      </c>
      <c r="F127" s="1049">
        <v>0.15</v>
      </c>
      <c r="G127" s="1045">
        <v>214</v>
      </c>
      <c r="H127" s="1049">
        <v>0.15</v>
      </c>
    </row>
    <row r="128" spans="1:8">
      <c r="A128" s="1045" t="s">
        <v>388</v>
      </c>
      <c r="B128" s="1050">
        <v>3142</v>
      </c>
      <c r="C128" s="1045"/>
      <c r="D128" s="1045">
        <v>767</v>
      </c>
      <c r="E128" s="1045"/>
      <c r="F128" s="1045"/>
      <c r="G128" s="1045">
        <v>1420</v>
      </c>
      <c r="H128" s="1045"/>
    </row>
    <row r="129" spans="1:8">
      <c r="A129" s="1051"/>
      <c r="B129" s="1051"/>
      <c r="C129" s="1051"/>
      <c r="D129" s="1051"/>
      <c r="E129" s="1051"/>
      <c r="F129" s="1051"/>
      <c r="G129" s="1051"/>
      <c r="H129" s="1051"/>
    </row>
    <row r="130" spans="1:8">
      <c r="A130" s="1042" t="s">
        <v>725</v>
      </c>
      <c r="B130" s="1042"/>
      <c r="C130" s="1042"/>
      <c r="D130" s="1042"/>
      <c r="E130" s="1042"/>
      <c r="F130" s="1042"/>
      <c r="G130" s="1042"/>
      <c r="H130" s="1042"/>
    </row>
    <row r="131" spans="1:8">
      <c r="A131" s="1039" t="s">
        <v>726</v>
      </c>
      <c r="B131" s="1039"/>
      <c r="C131" s="1039"/>
      <c r="D131" s="1039"/>
      <c r="E131" s="1039"/>
      <c r="F131" s="1039"/>
      <c r="G131" s="1039"/>
      <c r="H131" s="1039"/>
    </row>
    <row r="132" spans="1:8">
      <c r="A132" s="1039" t="s">
        <v>727</v>
      </c>
      <c r="B132" s="1039"/>
      <c r="C132" s="1039"/>
      <c r="D132" s="1039"/>
      <c r="E132" s="1039"/>
      <c r="F132" s="1039"/>
      <c r="G132" s="1039"/>
      <c r="H132" s="1039"/>
    </row>
    <row r="133" spans="1:8">
      <c r="A133" s="1039" t="s">
        <v>728</v>
      </c>
      <c r="B133" s="1039"/>
      <c r="C133" s="1039"/>
      <c r="D133" s="1039"/>
      <c r="E133" s="1039"/>
      <c r="F133" s="1039"/>
      <c r="G133" s="1039"/>
      <c r="H133" s="1039"/>
    </row>
    <row r="134" spans="1:8">
      <c r="A134" s="1038"/>
      <c r="B134" s="1038"/>
      <c r="C134" s="1038"/>
      <c r="D134" s="1038"/>
      <c r="E134" s="1038"/>
      <c r="F134" s="1038"/>
      <c r="G134" s="1038"/>
      <c r="H134" s="1038"/>
    </row>
    <row r="135" spans="1:8" ht="15.75">
      <c r="A135" s="1040" t="s">
        <v>533</v>
      </c>
      <c r="B135" s="1038"/>
      <c r="C135" s="1038"/>
      <c r="D135" s="1038"/>
      <c r="E135" s="1038"/>
      <c r="F135" s="1038"/>
      <c r="G135" s="1038"/>
      <c r="H135" s="1038"/>
    </row>
    <row r="136" spans="1:8">
      <c r="A136" s="1038"/>
      <c r="B136" s="1038"/>
      <c r="C136" s="1038"/>
      <c r="D136" s="1038"/>
      <c r="E136" s="1038"/>
      <c r="F136" s="1038"/>
      <c r="G136" s="1038"/>
      <c r="H136" s="1038"/>
    </row>
    <row r="137" spans="1:8">
      <c r="A137" s="1039" t="s">
        <v>723</v>
      </c>
      <c r="B137" s="1038"/>
      <c r="C137" s="1038"/>
      <c r="D137" s="1038"/>
      <c r="E137" s="1038"/>
      <c r="F137" s="1038"/>
      <c r="G137" s="1038"/>
      <c r="H137" s="1038"/>
    </row>
    <row r="138" spans="1:8">
      <c r="A138" s="1039" t="s">
        <v>724</v>
      </c>
      <c r="B138" s="1038"/>
      <c r="C138" s="1038"/>
      <c r="D138" s="1038"/>
      <c r="E138" s="1038"/>
      <c r="F138" s="1038"/>
      <c r="G138" s="1038"/>
      <c r="H138" s="1038"/>
    </row>
    <row r="139" spans="1:8">
      <c r="A139" s="1038"/>
      <c r="B139" s="1038"/>
      <c r="C139" s="1038"/>
      <c r="D139" s="1038"/>
      <c r="E139" s="1038"/>
      <c r="F139" s="1038"/>
      <c r="G139" s="1038"/>
      <c r="H139" s="1038"/>
    </row>
    <row r="140" spans="1:8">
      <c r="A140" s="1039" t="s">
        <v>720</v>
      </c>
      <c r="B140" s="1038"/>
      <c r="C140" s="1038"/>
      <c r="D140" s="1038"/>
      <c r="E140" s="1038"/>
      <c r="F140" s="1038"/>
      <c r="G140" s="1038"/>
      <c r="H140" s="1038"/>
    </row>
    <row r="141" spans="1:8">
      <c r="A141" s="1039" t="s">
        <v>721</v>
      </c>
      <c r="B141" s="1038"/>
      <c r="C141" s="1038"/>
      <c r="D141" s="1038"/>
      <c r="E141" s="1038"/>
      <c r="F141" s="1038"/>
      <c r="G141" s="1038"/>
      <c r="H141" s="1038"/>
    </row>
    <row r="142" spans="1:8">
      <c r="A142" s="1039" t="s">
        <v>722</v>
      </c>
      <c r="B142" s="1038"/>
      <c r="C142" s="1038"/>
      <c r="D142" s="1038"/>
      <c r="E142" s="1038"/>
      <c r="F142" s="1038"/>
      <c r="G142" s="1038"/>
      <c r="H142" s="1038"/>
    </row>
    <row r="143" spans="1:8">
      <c r="A143" s="1038"/>
      <c r="B143" s="1038"/>
      <c r="C143" s="1038"/>
      <c r="D143" s="1038"/>
      <c r="E143" s="1038"/>
      <c r="F143" s="1038"/>
      <c r="G143" s="1038"/>
      <c r="H143" s="1038"/>
    </row>
    <row r="144" spans="1:8">
      <c r="A144" s="1039" t="s">
        <v>717</v>
      </c>
      <c r="B144" s="1038"/>
      <c r="C144" s="1038"/>
      <c r="D144" s="1038"/>
      <c r="E144" s="1038"/>
      <c r="F144" s="1038"/>
      <c r="G144" s="1038"/>
      <c r="H144" s="1038"/>
    </row>
    <row r="145" spans="1:8">
      <c r="A145" s="1039" t="s">
        <v>718</v>
      </c>
      <c r="B145" s="1038"/>
      <c r="C145" s="1038"/>
      <c r="D145" s="1038"/>
      <c r="E145" s="1038"/>
      <c r="F145" s="1038"/>
      <c r="G145" s="1038"/>
      <c r="H145" s="1038"/>
    </row>
    <row r="146" spans="1:8">
      <c r="A146" s="1039" t="s">
        <v>719</v>
      </c>
      <c r="B146" s="1038"/>
      <c r="C146" s="1038"/>
      <c r="D146" s="1038"/>
      <c r="E146" s="1038"/>
      <c r="F146" s="1038"/>
      <c r="G146" s="1038"/>
      <c r="H146" s="1038"/>
    </row>
    <row r="147" spans="1:8">
      <c r="A147" s="1038"/>
      <c r="B147" s="1038"/>
      <c r="C147" s="1038"/>
      <c r="D147" s="1038"/>
      <c r="E147" s="1038"/>
      <c r="F147" s="1038"/>
      <c r="G147" s="1038"/>
      <c r="H147" s="1038"/>
    </row>
    <row r="148" spans="1:8">
      <c r="A148" s="1039" t="s">
        <v>714</v>
      </c>
      <c r="B148" s="1038"/>
      <c r="C148" s="1038"/>
      <c r="D148" s="1038"/>
      <c r="E148" s="1038"/>
      <c r="F148" s="1038"/>
      <c r="G148" s="1038"/>
      <c r="H148" s="1038"/>
    </row>
    <row r="149" spans="1:8">
      <c r="A149" s="1039" t="s">
        <v>715</v>
      </c>
      <c r="B149" s="1038"/>
      <c r="C149" s="1038"/>
      <c r="D149" s="1038"/>
      <c r="E149" s="1038"/>
      <c r="F149" s="1038"/>
      <c r="G149" s="1038"/>
      <c r="H149" s="1038"/>
    </row>
    <row r="150" spans="1:8">
      <c r="A150" s="1039" t="s">
        <v>716</v>
      </c>
      <c r="B150" s="1038"/>
      <c r="C150" s="1038"/>
      <c r="D150" s="1038"/>
      <c r="E150" s="1038"/>
      <c r="F150" s="1038"/>
      <c r="G150" s="1038"/>
      <c r="H150" s="1038"/>
    </row>
    <row r="151" spans="1:8">
      <c r="A151" s="1038"/>
      <c r="B151" s="1038"/>
      <c r="C151" s="1038"/>
      <c r="D151" s="1038"/>
      <c r="E151" s="1038"/>
      <c r="F151" s="1038"/>
      <c r="G151" s="1038"/>
      <c r="H151" s="1038"/>
    </row>
    <row r="152" spans="1:8">
      <c r="A152" s="1039" t="s">
        <v>712</v>
      </c>
      <c r="B152" s="1038"/>
      <c r="C152" s="1038"/>
      <c r="D152" s="1038"/>
      <c r="E152" s="1038"/>
      <c r="F152" s="1038"/>
      <c r="G152" s="1038"/>
      <c r="H152" s="1038"/>
    </row>
    <row r="153" spans="1:8">
      <c r="A153" s="1039" t="s">
        <v>713</v>
      </c>
      <c r="B153" s="1038"/>
      <c r="C153" s="1038"/>
      <c r="D153" s="1038"/>
      <c r="E153" s="1038"/>
      <c r="F153" s="1038"/>
      <c r="G153" s="1038"/>
      <c r="H153" s="1038"/>
    </row>
    <row r="154" spans="1:8">
      <c r="A154" s="1038"/>
      <c r="B154" s="1038"/>
      <c r="C154" s="1038"/>
      <c r="D154" s="1038"/>
      <c r="E154" s="1038"/>
      <c r="F154" s="1038"/>
      <c r="G154" s="1038"/>
      <c r="H154" s="1038"/>
    </row>
    <row r="155" spans="1:8" ht="15.75">
      <c r="A155" s="1040" t="s">
        <v>534</v>
      </c>
      <c r="B155" s="1038"/>
      <c r="C155" s="1038"/>
      <c r="D155" s="1038"/>
      <c r="E155" s="1038"/>
      <c r="F155" s="1038"/>
      <c r="G155" s="1038"/>
      <c r="H155" s="1038"/>
    </row>
    <row r="156" spans="1:8">
      <c r="A156" s="1038"/>
      <c r="B156" s="1038"/>
      <c r="C156" s="1038"/>
      <c r="D156" s="1038"/>
      <c r="E156" s="1038"/>
      <c r="F156" s="1038"/>
      <c r="G156" s="1038"/>
      <c r="H156" s="1038"/>
    </row>
    <row r="157" spans="1:8">
      <c r="A157" s="1039" t="s">
        <v>710</v>
      </c>
      <c r="B157" s="1038"/>
      <c r="C157" s="1038"/>
      <c r="D157" s="1038"/>
      <c r="E157" s="1038"/>
      <c r="F157" s="1038"/>
      <c r="G157" s="1038"/>
      <c r="H157" s="1038"/>
    </row>
    <row r="158" spans="1:8">
      <c r="A158" s="1039" t="s">
        <v>711</v>
      </c>
      <c r="B158" s="1038"/>
      <c r="C158" s="1038"/>
      <c r="D158" s="1038"/>
      <c r="E158" s="1038"/>
      <c r="F158" s="1038"/>
      <c r="G158" s="1038"/>
      <c r="H158" s="1038"/>
    </row>
    <row r="159" spans="1:8">
      <c r="A159" s="1038"/>
      <c r="B159" s="1038"/>
      <c r="C159" s="1038"/>
      <c r="D159" s="1038"/>
      <c r="E159" s="1038"/>
      <c r="F159" s="1038"/>
      <c r="G159" s="1038"/>
      <c r="H159" s="1038"/>
    </row>
    <row r="160" spans="1:8">
      <c r="A160" s="1039" t="s">
        <v>708</v>
      </c>
      <c r="B160" s="1038"/>
      <c r="C160" s="1038"/>
      <c r="D160" s="1038"/>
      <c r="E160" s="1038"/>
      <c r="F160" s="1038"/>
      <c r="G160" s="1038"/>
      <c r="H160" s="1038"/>
    </row>
    <row r="161" spans="1:8">
      <c r="A161" s="1039" t="s">
        <v>709</v>
      </c>
      <c r="B161" s="1038"/>
      <c r="C161" s="1038"/>
      <c r="D161" s="1038"/>
      <c r="E161" s="1038"/>
      <c r="F161" s="1038"/>
      <c r="G161" s="1038"/>
      <c r="H161" s="1038"/>
    </row>
    <row r="162" spans="1:8">
      <c r="A162" s="1038"/>
      <c r="B162" s="1038"/>
      <c r="C162" s="1038"/>
      <c r="D162" s="1038"/>
      <c r="E162" s="1038"/>
      <c r="F162" s="1038"/>
      <c r="G162" s="1038"/>
      <c r="H162" s="1038"/>
    </row>
    <row r="163" spans="1:8">
      <c r="A163" s="1039" t="s">
        <v>706</v>
      </c>
      <c r="B163" s="1038"/>
      <c r="C163" s="1038"/>
      <c r="D163" s="1038"/>
      <c r="E163" s="1038"/>
      <c r="F163" s="1038"/>
      <c r="G163" s="1038"/>
      <c r="H163" s="1038"/>
    </row>
    <row r="164" spans="1:8">
      <c r="A164" s="1039" t="s">
        <v>707</v>
      </c>
      <c r="B164" s="1038"/>
      <c r="C164" s="1038"/>
      <c r="D164" s="1038"/>
      <c r="E164" s="1038"/>
      <c r="F164" s="1038"/>
      <c r="G164" s="1038"/>
      <c r="H164" s="1038"/>
    </row>
    <row r="165" spans="1:8">
      <c r="A165" s="1038"/>
      <c r="B165" s="1038"/>
      <c r="C165" s="1038"/>
      <c r="D165" s="1038"/>
      <c r="E165" s="1038"/>
      <c r="F165" s="1038"/>
      <c r="G165" s="1038"/>
      <c r="H165" s="1038"/>
    </row>
    <row r="166" spans="1:8">
      <c r="A166" s="1039" t="s">
        <v>703</v>
      </c>
      <c r="B166" s="1038"/>
      <c r="C166" s="1038"/>
      <c r="D166" s="1038"/>
      <c r="E166" s="1038"/>
      <c r="F166" s="1038"/>
      <c r="G166" s="1038"/>
      <c r="H166" s="1038"/>
    </row>
    <row r="167" spans="1:8">
      <c r="A167" s="1039" t="s">
        <v>704</v>
      </c>
      <c r="B167" s="1038"/>
      <c r="C167" s="1038"/>
      <c r="D167" s="1038"/>
      <c r="E167" s="1038"/>
      <c r="F167" s="1038"/>
      <c r="G167" s="1038"/>
      <c r="H167" s="1038"/>
    </row>
    <row r="168" spans="1:8">
      <c r="A168" s="1039" t="s">
        <v>705</v>
      </c>
      <c r="B168" s="1038"/>
      <c r="C168" s="1038"/>
      <c r="D168" s="1038"/>
      <c r="E168" s="1038"/>
      <c r="F168" s="1038"/>
      <c r="G168" s="1038"/>
      <c r="H168" s="1038"/>
    </row>
    <row r="169" spans="1:8">
      <c r="A169" s="1038"/>
      <c r="B169" s="1038"/>
      <c r="C169" s="1038"/>
      <c r="D169" s="1038"/>
      <c r="E169" s="1038"/>
      <c r="F169" s="1038"/>
      <c r="G169" s="1038"/>
      <c r="H169" s="1038"/>
    </row>
    <row r="170" spans="1:8">
      <c r="A170" s="1038"/>
      <c r="B170" s="1038"/>
      <c r="C170" s="1038"/>
      <c r="D170" s="1038"/>
      <c r="E170" s="1038"/>
      <c r="F170" s="1038"/>
      <c r="G170" s="1038"/>
      <c r="H170" s="1038"/>
    </row>
    <row r="171" spans="1:8">
      <c r="A171" s="1039" t="s">
        <v>535</v>
      </c>
      <c r="B171" s="1038"/>
      <c r="C171" s="1038"/>
      <c r="D171" s="1038"/>
      <c r="E171" s="1038"/>
      <c r="F171" s="1038"/>
      <c r="G171" s="1038"/>
      <c r="H171" s="1038"/>
    </row>
    <row r="172" spans="1:8">
      <c r="A172" s="1038"/>
      <c r="B172" s="1038"/>
      <c r="C172" s="1038"/>
      <c r="D172" s="1038"/>
      <c r="E172" s="1038"/>
      <c r="F172" s="1038"/>
      <c r="G172" s="1038"/>
      <c r="H172" s="1038"/>
    </row>
    <row r="173" spans="1:8" ht="15.75">
      <c r="A173" s="1040" t="s">
        <v>536</v>
      </c>
      <c r="B173" s="1038"/>
      <c r="C173" s="1038"/>
      <c r="D173" s="1038"/>
      <c r="E173" s="1038"/>
      <c r="F173" s="1038"/>
      <c r="G173" s="1038"/>
      <c r="H173" s="1038"/>
    </row>
    <row r="174" spans="1:8">
      <c r="A174" s="1038"/>
      <c r="B174" s="1038"/>
      <c r="C174" s="1038"/>
      <c r="D174" s="1038"/>
      <c r="E174" s="1038"/>
      <c r="F174" s="1038"/>
      <c r="G174" s="1038"/>
      <c r="H174" s="1038"/>
    </row>
    <row r="175" spans="1:8">
      <c r="A175" s="1038"/>
      <c r="B175" s="1038"/>
      <c r="C175" s="1038"/>
      <c r="D175" s="1038"/>
      <c r="E175" s="1038"/>
      <c r="F175" s="1038"/>
      <c r="G175" s="1038"/>
      <c r="H175" s="1038"/>
    </row>
    <row r="176" spans="1:8">
      <c r="A176" s="1038"/>
      <c r="B176" s="1038"/>
      <c r="C176" s="1038"/>
      <c r="D176" s="1038"/>
      <c r="E176" s="1038"/>
      <c r="F176" s="1038"/>
      <c r="G176" s="1038"/>
      <c r="H176" s="1038"/>
    </row>
    <row r="177" spans="1:8">
      <c r="A177" s="1038"/>
      <c r="B177" s="1038"/>
      <c r="C177" s="1038"/>
      <c r="D177" s="1038"/>
      <c r="E177" s="1038"/>
      <c r="F177" s="1038"/>
      <c r="G177" s="1038"/>
      <c r="H177" s="1038"/>
    </row>
    <row r="178" spans="1:8">
      <c r="A178" s="1038"/>
      <c r="B178" s="1038"/>
      <c r="C178" s="1038"/>
      <c r="D178" s="1038"/>
      <c r="E178" s="1038"/>
      <c r="F178" s="1038"/>
      <c r="G178" s="1038"/>
      <c r="H178" s="1038"/>
    </row>
    <row r="179" spans="1:8">
      <c r="A179" s="1038"/>
      <c r="B179" s="1038"/>
      <c r="C179" s="1038"/>
      <c r="D179" s="1038"/>
      <c r="E179" s="1038"/>
      <c r="F179" s="1038"/>
      <c r="G179" s="1038"/>
      <c r="H179" s="1038"/>
    </row>
    <row r="180" spans="1:8">
      <c r="A180" s="1038"/>
      <c r="B180" s="1038"/>
      <c r="C180" s="1038"/>
      <c r="D180" s="1038"/>
      <c r="E180" s="1038"/>
      <c r="F180" s="1038"/>
      <c r="G180" s="1038"/>
      <c r="H180" s="1038"/>
    </row>
    <row r="181" spans="1:8">
      <c r="A181" s="1038"/>
      <c r="B181" s="1038"/>
      <c r="C181" s="1038"/>
      <c r="D181" s="1038"/>
      <c r="E181" s="1038"/>
      <c r="F181" s="1038"/>
      <c r="G181" s="1038"/>
      <c r="H181" s="1038"/>
    </row>
    <row r="182" spans="1:8">
      <c r="A182" s="1038"/>
      <c r="B182" s="1038"/>
      <c r="C182" s="1038"/>
      <c r="D182" s="1038"/>
      <c r="E182" s="1038"/>
      <c r="F182" s="1038"/>
      <c r="G182" s="1038"/>
      <c r="H182" s="1038"/>
    </row>
    <row r="183" spans="1:8">
      <c r="A183" s="1038"/>
      <c r="B183" s="1038"/>
      <c r="C183" s="1038"/>
      <c r="D183" s="1038"/>
      <c r="E183" s="1038"/>
      <c r="F183" s="1038"/>
      <c r="G183" s="1038"/>
      <c r="H183" s="1038"/>
    </row>
    <row r="184" spans="1:8">
      <c r="A184" s="1038"/>
      <c r="B184" s="1038"/>
      <c r="C184" s="1038"/>
      <c r="D184" s="1038"/>
      <c r="E184" s="1038"/>
      <c r="F184" s="1038"/>
      <c r="G184" s="1038"/>
      <c r="H184" s="1038"/>
    </row>
    <row r="185" spans="1:8">
      <c r="A185" s="1038"/>
      <c r="B185" s="1038"/>
      <c r="C185" s="1038"/>
      <c r="D185" s="1038"/>
      <c r="E185" s="1038"/>
      <c r="F185" s="1038"/>
      <c r="G185" s="1038"/>
      <c r="H185" s="1038"/>
    </row>
    <row r="186" spans="1:8">
      <c r="A186" s="1038"/>
      <c r="B186" s="1038"/>
      <c r="C186" s="1038"/>
      <c r="D186" s="1038"/>
      <c r="E186" s="1038"/>
      <c r="F186" s="1038"/>
      <c r="G186" s="1038"/>
      <c r="H186" s="1038"/>
    </row>
    <row r="187" spans="1:8">
      <c r="A187" s="1038"/>
      <c r="B187" s="1038"/>
      <c r="C187" s="1038"/>
      <c r="D187" s="1038"/>
      <c r="E187" s="1038"/>
      <c r="F187" s="1038"/>
      <c r="G187" s="1038"/>
      <c r="H187" s="1038"/>
    </row>
    <row r="188" spans="1:8">
      <c r="A188" s="1038"/>
      <c r="B188" s="1038"/>
      <c r="C188" s="1038"/>
      <c r="D188" s="1038"/>
      <c r="E188" s="1038"/>
      <c r="F188" s="1038"/>
      <c r="G188" s="1038"/>
      <c r="H188" s="1038"/>
    </row>
    <row r="189" spans="1:8">
      <c r="A189" s="1038"/>
      <c r="B189" s="1038"/>
      <c r="C189" s="1038"/>
      <c r="D189" s="1038"/>
      <c r="E189" s="1038"/>
      <c r="F189" s="1038"/>
      <c r="G189" s="1038"/>
      <c r="H189" s="1038"/>
    </row>
    <row r="190" spans="1:8">
      <c r="A190" s="1038"/>
      <c r="B190" s="1038"/>
      <c r="C190" s="1038"/>
      <c r="D190" s="1038"/>
      <c r="E190" s="1038"/>
      <c r="F190" s="1038"/>
      <c r="G190" s="1038"/>
      <c r="H190" s="1038"/>
    </row>
    <row r="191" spans="1:8">
      <c r="A191" s="1038"/>
      <c r="B191" s="1038"/>
      <c r="C191" s="1038"/>
      <c r="D191" s="1038"/>
      <c r="E191" s="1038"/>
      <c r="F191" s="1038"/>
      <c r="G191" s="1038"/>
      <c r="H191" s="1038"/>
    </row>
    <row r="192" spans="1:8">
      <c r="A192" s="1038"/>
      <c r="B192" s="1038"/>
      <c r="C192" s="1038"/>
      <c r="D192" s="1038"/>
      <c r="E192" s="1038"/>
      <c r="F192" s="1038"/>
      <c r="G192" s="1038"/>
      <c r="H192" s="1038"/>
    </row>
    <row r="193" spans="1:8">
      <c r="A193" s="1038"/>
      <c r="B193" s="1038"/>
      <c r="C193" s="1038"/>
      <c r="D193" s="1038"/>
      <c r="E193" s="1038"/>
      <c r="F193" s="1038"/>
      <c r="G193" s="1038"/>
      <c r="H193" s="1038"/>
    </row>
    <row r="194" spans="1:8">
      <c r="A194" s="1038"/>
      <c r="B194" s="1038"/>
      <c r="C194" s="1038"/>
      <c r="D194" s="1038"/>
      <c r="E194" s="1038"/>
      <c r="F194" s="1038"/>
      <c r="G194" s="1038"/>
      <c r="H194" s="1038"/>
    </row>
    <row r="195" spans="1:8">
      <c r="A195" s="1038"/>
      <c r="B195" s="1038"/>
      <c r="C195" s="1038"/>
      <c r="D195" s="1038"/>
      <c r="E195" s="1038"/>
      <c r="F195" s="1038"/>
      <c r="G195" s="1038"/>
      <c r="H195" s="1038"/>
    </row>
    <row r="196" spans="1:8">
      <c r="A196" s="1038"/>
      <c r="B196" s="1038"/>
      <c r="C196" s="1038"/>
      <c r="D196" s="1038"/>
      <c r="E196" s="1038"/>
      <c r="F196" s="1038"/>
      <c r="G196" s="1038"/>
      <c r="H196" s="1038"/>
    </row>
    <row r="197" spans="1:8">
      <c r="A197" s="1038"/>
      <c r="B197" s="1038"/>
      <c r="C197" s="1038"/>
      <c r="D197" s="1038"/>
      <c r="E197" s="1038"/>
      <c r="F197" s="1038"/>
      <c r="G197" s="1038"/>
      <c r="H197" s="1038"/>
    </row>
    <row r="198" spans="1:8">
      <c r="A198" s="1038"/>
      <c r="B198" s="1038"/>
      <c r="C198" s="1038"/>
      <c r="D198" s="1038"/>
      <c r="E198" s="1038"/>
      <c r="F198" s="1038"/>
      <c r="G198" s="1038"/>
      <c r="H198" s="1038"/>
    </row>
    <row r="199" spans="1:8">
      <c r="A199" s="1038"/>
      <c r="B199" s="1038"/>
      <c r="C199" s="1038"/>
      <c r="D199" s="1038"/>
      <c r="E199" s="1038"/>
      <c r="F199" s="1038"/>
      <c r="G199" s="1038"/>
      <c r="H199" s="1038"/>
    </row>
    <row r="200" spans="1:8" ht="15.75">
      <c r="A200" s="1040" t="s">
        <v>537</v>
      </c>
      <c r="B200" s="1038"/>
      <c r="C200" s="1038"/>
      <c r="D200" s="1038"/>
      <c r="E200" s="1038"/>
      <c r="F200" s="1038"/>
      <c r="G200" s="1038"/>
      <c r="H200" s="1038"/>
    </row>
    <row r="201" spans="1:8">
      <c r="A201" s="1038"/>
      <c r="B201" s="1038"/>
      <c r="C201" s="1038"/>
      <c r="D201" s="1038"/>
      <c r="E201" s="1038"/>
      <c r="F201" s="1038"/>
      <c r="G201" s="1038"/>
      <c r="H201" s="1038"/>
    </row>
    <row r="202" spans="1:8">
      <c r="A202" s="1039" t="s">
        <v>698</v>
      </c>
      <c r="B202" s="1038"/>
      <c r="C202" s="1038"/>
      <c r="D202" s="1038"/>
      <c r="E202" s="1038"/>
      <c r="F202" s="1038"/>
      <c r="G202" s="1038"/>
      <c r="H202" s="1038"/>
    </row>
    <row r="203" spans="1:8">
      <c r="A203" s="1039" t="s">
        <v>699</v>
      </c>
      <c r="B203" s="1038"/>
      <c r="C203" s="1038"/>
      <c r="D203" s="1038"/>
      <c r="E203" s="1038"/>
      <c r="F203" s="1038"/>
      <c r="G203" s="1038"/>
      <c r="H203" s="1038"/>
    </row>
    <row r="204" spans="1:8">
      <c r="A204" s="1039" t="s">
        <v>700</v>
      </c>
      <c r="B204" s="1038"/>
      <c r="C204" s="1038"/>
      <c r="D204" s="1038"/>
      <c r="E204" s="1038"/>
      <c r="F204" s="1038"/>
      <c r="G204" s="1038"/>
      <c r="H204" s="1038"/>
    </row>
    <row r="205" spans="1:8">
      <c r="A205" s="1039" t="s">
        <v>701</v>
      </c>
      <c r="B205" s="1038"/>
      <c r="C205" s="1038"/>
      <c r="D205" s="1038"/>
      <c r="E205" s="1038"/>
      <c r="F205" s="1038"/>
      <c r="G205" s="1038"/>
      <c r="H205" s="1038"/>
    </row>
    <row r="206" spans="1:8">
      <c r="A206" s="1039" t="s">
        <v>702</v>
      </c>
      <c r="B206" s="1038"/>
      <c r="C206" s="1038"/>
      <c r="D206" s="1038"/>
      <c r="E206" s="1038"/>
      <c r="F206" s="1038"/>
      <c r="G206" s="1038"/>
      <c r="H206" s="1038"/>
    </row>
    <row r="207" spans="1:8">
      <c r="A207" s="1038"/>
      <c r="B207" s="1038"/>
      <c r="C207" s="1038"/>
      <c r="D207" s="1038"/>
      <c r="E207" s="1038"/>
      <c r="F207" s="1038"/>
      <c r="G207" s="1038"/>
      <c r="H207" s="1038"/>
    </row>
    <row r="208" spans="1:8">
      <c r="A208" s="1039" t="s">
        <v>695</v>
      </c>
      <c r="B208" s="1038"/>
      <c r="C208" s="1038"/>
      <c r="D208" s="1038"/>
      <c r="E208" s="1038"/>
      <c r="F208" s="1038"/>
      <c r="G208" s="1038"/>
      <c r="H208" s="1038"/>
    </row>
    <row r="209" spans="1:8">
      <c r="A209" s="1039" t="s">
        <v>696</v>
      </c>
      <c r="B209" s="1038"/>
      <c r="C209" s="1038"/>
      <c r="D209" s="1038"/>
      <c r="E209" s="1038"/>
      <c r="F209" s="1038"/>
      <c r="G209" s="1038"/>
      <c r="H209" s="1038"/>
    </row>
    <row r="210" spans="1:8">
      <c r="A210" s="1039" t="s">
        <v>697</v>
      </c>
      <c r="B210" s="1038"/>
      <c r="C210" s="1038"/>
      <c r="D210" s="1038"/>
      <c r="E210" s="1038"/>
      <c r="F210" s="1038"/>
      <c r="G210" s="1038"/>
      <c r="H210" s="1038"/>
    </row>
    <row r="211" spans="1:8" ht="15.75">
      <c r="A211" s="1040" t="s">
        <v>538</v>
      </c>
      <c r="B211" s="1038"/>
      <c r="C211" s="1038"/>
      <c r="D211" s="1038"/>
      <c r="E211" s="1038"/>
      <c r="F211" s="1038"/>
      <c r="G211" s="1038"/>
      <c r="H211" s="1038"/>
    </row>
    <row r="212" spans="1:8">
      <c r="A212" s="1038"/>
      <c r="B212" s="1038"/>
      <c r="C212" s="1038"/>
      <c r="D212" s="1038"/>
      <c r="E212" s="1038"/>
      <c r="F212" s="1038"/>
      <c r="G212" s="1038"/>
      <c r="H212" s="1038"/>
    </row>
    <row r="213" spans="1:8">
      <c r="A213" s="1039" t="s">
        <v>693</v>
      </c>
      <c r="B213" s="1038"/>
      <c r="C213" s="1038"/>
      <c r="D213" s="1038"/>
      <c r="E213" s="1038"/>
      <c r="F213" s="1038"/>
      <c r="G213" s="1038"/>
      <c r="H213" s="1038"/>
    </row>
    <row r="214" spans="1:8">
      <c r="A214" s="1039" t="s">
        <v>694</v>
      </c>
      <c r="B214" s="1038"/>
      <c r="C214" s="1038"/>
      <c r="D214" s="1038"/>
      <c r="E214" s="1038"/>
      <c r="F214" s="1038"/>
      <c r="G214" s="1038"/>
      <c r="H214" s="1038"/>
    </row>
    <row r="215" spans="1:8">
      <c r="A215" s="1038"/>
      <c r="B215" s="1038"/>
      <c r="C215" s="1038"/>
      <c r="D215" s="1038"/>
      <c r="E215" s="1038"/>
      <c r="F215" s="1038"/>
      <c r="G215" s="1038"/>
      <c r="H215" s="1038"/>
    </row>
    <row r="216" spans="1:8">
      <c r="A216" s="1039" t="s">
        <v>686</v>
      </c>
      <c r="B216" s="1038"/>
      <c r="C216" s="1038"/>
      <c r="D216" s="1038"/>
      <c r="E216" s="1038"/>
      <c r="F216" s="1038"/>
      <c r="G216" s="1038"/>
      <c r="H216" s="1038"/>
    </row>
    <row r="217" spans="1:8">
      <c r="A217" s="1039" t="s">
        <v>687</v>
      </c>
      <c r="B217" s="1038"/>
      <c r="C217" s="1038"/>
      <c r="D217" s="1038"/>
      <c r="E217" s="1038"/>
      <c r="F217" s="1038"/>
      <c r="G217" s="1038"/>
      <c r="H217" s="1038"/>
    </row>
    <row r="218" spans="1:8">
      <c r="A218" s="1039" t="s">
        <v>688</v>
      </c>
      <c r="B218" s="1038"/>
      <c r="C218" s="1038"/>
      <c r="D218" s="1038"/>
      <c r="E218" s="1038"/>
      <c r="F218" s="1038"/>
      <c r="G218" s="1038"/>
      <c r="H218" s="1038"/>
    </row>
    <row r="219" spans="1:8">
      <c r="A219" s="1039" t="s">
        <v>689</v>
      </c>
      <c r="B219" s="1038"/>
      <c r="C219" s="1038"/>
      <c r="D219" s="1038"/>
      <c r="E219" s="1038"/>
      <c r="F219" s="1038"/>
      <c r="G219" s="1038"/>
      <c r="H219" s="1038"/>
    </row>
    <row r="220" spans="1:8">
      <c r="A220" s="1039" t="s">
        <v>690</v>
      </c>
      <c r="B220" s="1038"/>
      <c r="C220" s="1038"/>
      <c r="D220" s="1038"/>
      <c r="E220" s="1038"/>
      <c r="F220" s="1038"/>
      <c r="G220" s="1038"/>
      <c r="H220" s="1038"/>
    </row>
    <row r="221" spans="1:8">
      <c r="A221" s="1039" t="s">
        <v>691</v>
      </c>
      <c r="B221" s="1038"/>
      <c r="C221" s="1038"/>
      <c r="D221" s="1038"/>
      <c r="E221" s="1038"/>
      <c r="F221" s="1038"/>
      <c r="G221" s="1038"/>
      <c r="H221" s="1038"/>
    </row>
    <row r="222" spans="1:8">
      <c r="A222" s="1039" t="s">
        <v>692</v>
      </c>
      <c r="B222" s="1038"/>
      <c r="C222" s="1038"/>
      <c r="D222" s="1038"/>
      <c r="E222" s="1038"/>
      <c r="F222" s="1038"/>
      <c r="G222" s="1038"/>
      <c r="H222" s="1038"/>
    </row>
    <row r="223" spans="1:8">
      <c r="A223" s="1038"/>
      <c r="B223" s="1038"/>
      <c r="C223" s="1038"/>
      <c r="D223" s="1038"/>
      <c r="E223" s="1038"/>
      <c r="F223" s="1038"/>
      <c r="G223" s="1038"/>
      <c r="H223" s="1038"/>
    </row>
    <row r="224" spans="1:8">
      <c r="A224" s="1039" t="s">
        <v>683</v>
      </c>
      <c r="B224" s="1038"/>
      <c r="C224" s="1038"/>
      <c r="D224" s="1038"/>
      <c r="E224" s="1038"/>
      <c r="F224" s="1038"/>
      <c r="G224" s="1038"/>
      <c r="H224" s="1038"/>
    </row>
    <row r="225" spans="1:8">
      <c r="A225" s="1039" t="s">
        <v>684</v>
      </c>
      <c r="B225" s="1038"/>
      <c r="C225" s="1038"/>
      <c r="D225" s="1038"/>
      <c r="E225" s="1038"/>
      <c r="F225" s="1038"/>
      <c r="G225" s="1038"/>
      <c r="H225" s="1038"/>
    </row>
    <row r="226" spans="1:8">
      <c r="A226" s="1039" t="s">
        <v>685</v>
      </c>
      <c r="B226" s="1038"/>
      <c r="C226" s="1038"/>
      <c r="D226" s="1038"/>
      <c r="E226" s="1038"/>
      <c r="F226" s="1038"/>
      <c r="G226" s="1038"/>
      <c r="H226" s="1038"/>
    </row>
    <row r="227" spans="1:8">
      <c r="A227" s="1038"/>
      <c r="B227" s="1038"/>
      <c r="C227" s="1038"/>
      <c r="D227" s="1038"/>
      <c r="E227" s="1038"/>
      <c r="F227" s="1038"/>
      <c r="G227" s="1038"/>
      <c r="H227" s="1038"/>
    </row>
    <row r="228" spans="1:8">
      <c r="A228" s="1039" t="s">
        <v>678</v>
      </c>
      <c r="B228" s="1038"/>
      <c r="C228" s="1038"/>
      <c r="D228" s="1038"/>
      <c r="E228" s="1038"/>
      <c r="F228" s="1038"/>
      <c r="G228" s="1038"/>
      <c r="H228" s="1038"/>
    </row>
    <row r="229" spans="1:8">
      <c r="A229" s="1039" t="s">
        <v>679</v>
      </c>
      <c r="B229" s="1038"/>
      <c r="C229" s="1038"/>
      <c r="D229" s="1038"/>
      <c r="E229" s="1038"/>
      <c r="F229" s="1038"/>
      <c r="G229" s="1038"/>
      <c r="H229" s="1038"/>
    </row>
    <row r="230" spans="1:8">
      <c r="A230" s="1039" t="s">
        <v>680</v>
      </c>
      <c r="B230" s="1038"/>
      <c r="C230" s="1038"/>
      <c r="D230" s="1038"/>
      <c r="E230" s="1038"/>
      <c r="F230" s="1038"/>
      <c r="G230" s="1038"/>
      <c r="H230" s="1038"/>
    </row>
    <row r="231" spans="1:8">
      <c r="A231" s="1039" t="s">
        <v>681</v>
      </c>
      <c r="B231" s="1038"/>
      <c r="C231" s="1038"/>
      <c r="D231" s="1038"/>
      <c r="E231" s="1038"/>
      <c r="F231" s="1038"/>
      <c r="G231" s="1038"/>
      <c r="H231" s="1038"/>
    </row>
    <row r="232" spans="1:8">
      <c r="A232" s="1039" t="s">
        <v>682</v>
      </c>
      <c r="B232" s="1038"/>
      <c r="C232" s="1038"/>
      <c r="D232" s="1038"/>
      <c r="E232" s="1038"/>
      <c r="F232" s="1038"/>
      <c r="G232" s="1038"/>
      <c r="H232" s="1038"/>
    </row>
    <row r="233" spans="1:8">
      <c r="A233" s="1038"/>
      <c r="B233" s="1038"/>
      <c r="C233" s="1038"/>
      <c r="D233" s="1038"/>
      <c r="E233" s="1038"/>
      <c r="F233" s="1038"/>
      <c r="G233" s="1038"/>
      <c r="H233" s="1038"/>
    </row>
    <row r="234" spans="1:8">
      <c r="A234" s="1039" t="s">
        <v>672</v>
      </c>
      <c r="B234" s="1038"/>
      <c r="C234" s="1038"/>
      <c r="D234" s="1038"/>
      <c r="E234" s="1038"/>
      <c r="F234" s="1038"/>
      <c r="G234" s="1038"/>
      <c r="H234" s="1038"/>
    </row>
    <row r="235" spans="1:8">
      <c r="A235" s="1039" t="s">
        <v>673</v>
      </c>
      <c r="B235" s="1038"/>
      <c r="C235" s="1038"/>
      <c r="D235" s="1038"/>
      <c r="E235" s="1038"/>
      <c r="F235" s="1038"/>
      <c r="G235" s="1038"/>
      <c r="H235" s="1038"/>
    </row>
    <row r="236" spans="1:8">
      <c r="A236" s="1039" t="s">
        <v>674</v>
      </c>
      <c r="B236" s="1038"/>
      <c r="C236" s="1038"/>
      <c r="D236" s="1038"/>
      <c r="E236" s="1038"/>
      <c r="F236" s="1038"/>
      <c r="G236" s="1038"/>
      <c r="H236" s="1038"/>
    </row>
    <row r="237" spans="1:8">
      <c r="A237" s="1039" t="s">
        <v>675</v>
      </c>
      <c r="B237" s="1038"/>
      <c r="C237" s="1038"/>
      <c r="D237" s="1038"/>
      <c r="E237" s="1038"/>
      <c r="F237" s="1038"/>
      <c r="G237" s="1038"/>
      <c r="H237" s="1038"/>
    </row>
    <row r="238" spans="1:8">
      <c r="A238" s="1039" t="s">
        <v>676</v>
      </c>
      <c r="B238" s="1038"/>
      <c r="C238" s="1038"/>
      <c r="D238" s="1038"/>
      <c r="E238" s="1038"/>
      <c r="F238" s="1038"/>
      <c r="G238" s="1038"/>
      <c r="H238" s="1038"/>
    </row>
    <row r="239" spans="1:8">
      <c r="A239" s="1039" t="s">
        <v>677</v>
      </c>
      <c r="B239" s="1038"/>
      <c r="C239" s="1038"/>
      <c r="D239" s="1038"/>
      <c r="E239" s="1038"/>
      <c r="F239" s="1038"/>
      <c r="G239" s="1038"/>
      <c r="H239" s="1038"/>
    </row>
    <row r="240" spans="1:8">
      <c r="A240" s="1038"/>
      <c r="B240" s="1038"/>
      <c r="C240" s="1038"/>
      <c r="D240" s="1038"/>
      <c r="E240" s="1038"/>
      <c r="F240" s="1038"/>
      <c r="G240" s="1038"/>
      <c r="H240" s="1038"/>
    </row>
    <row r="241" spans="1:8">
      <c r="A241" s="1039" t="s">
        <v>662</v>
      </c>
      <c r="B241" s="1038"/>
      <c r="C241" s="1038"/>
      <c r="D241" s="1038"/>
      <c r="E241" s="1038"/>
      <c r="F241" s="1038"/>
      <c r="G241" s="1038"/>
      <c r="H241" s="1038"/>
    </row>
    <row r="242" spans="1:8">
      <c r="A242" s="1039" t="s">
        <v>663</v>
      </c>
      <c r="B242" s="1038"/>
      <c r="C242" s="1038"/>
      <c r="D242" s="1038"/>
      <c r="E242" s="1038"/>
      <c r="F242" s="1038"/>
      <c r="G242" s="1038"/>
      <c r="H242" s="1038"/>
    </row>
    <row r="243" spans="1:8">
      <c r="A243" s="1039" t="s">
        <v>664</v>
      </c>
      <c r="B243" s="1038"/>
      <c r="C243" s="1038"/>
      <c r="D243" s="1038"/>
      <c r="E243" s="1038"/>
      <c r="F243" s="1038"/>
      <c r="G243" s="1038"/>
      <c r="H243" s="1038"/>
    </row>
    <row r="244" spans="1:8">
      <c r="A244" s="1039" t="s">
        <v>665</v>
      </c>
      <c r="B244" s="1038"/>
      <c r="C244" s="1038"/>
      <c r="D244" s="1038"/>
      <c r="E244" s="1038"/>
      <c r="F244" s="1038"/>
      <c r="G244" s="1038"/>
      <c r="H244" s="1038"/>
    </row>
    <row r="245" spans="1:8">
      <c r="A245" s="1039" t="s">
        <v>666</v>
      </c>
      <c r="B245" s="1038"/>
      <c r="C245" s="1038"/>
      <c r="D245" s="1038"/>
      <c r="E245" s="1038"/>
      <c r="F245" s="1038"/>
      <c r="G245" s="1038"/>
      <c r="H245" s="1038"/>
    </row>
    <row r="246" spans="1:8">
      <c r="A246" s="1039" t="s">
        <v>667</v>
      </c>
      <c r="B246" s="1038"/>
      <c r="C246" s="1038"/>
      <c r="D246" s="1038"/>
      <c r="E246" s="1038"/>
      <c r="F246" s="1038"/>
      <c r="G246" s="1038"/>
      <c r="H246" s="1038"/>
    </row>
    <row r="247" spans="1:8">
      <c r="A247" s="1039" t="s">
        <v>668</v>
      </c>
      <c r="B247" s="1038"/>
      <c r="C247" s="1038"/>
      <c r="D247" s="1038"/>
      <c r="E247" s="1038"/>
      <c r="F247" s="1038"/>
      <c r="G247" s="1038"/>
      <c r="H247" s="1038"/>
    </row>
    <row r="248" spans="1:8">
      <c r="A248" s="1039" t="s">
        <v>669</v>
      </c>
      <c r="B248" s="1038"/>
      <c r="C248" s="1038"/>
      <c r="D248" s="1038"/>
      <c r="E248" s="1038"/>
      <c r="F248" s="1038"/>
      <c r="G248" s="1038"/>
      <c r="H248" s="1038"/>
    </row>
    <row r="249" spans="1:8">
      <c r="A249" s="1039" t="s">
        <v>670</v>
      </c>
      <c r="B249" s="1038"/>
      <c r="C249" s="1038"/>
      <c r="D249" s="1038"/>
      <c r="E249" s="1038"/>
      <c r="F249" s="1038"/>
      <c r="G249" s="1038"/>
      <c r="H249" s="1038"/>
    </row>
    <row r="250" spans="1:8">
      <c r="A250" s="1039" t="s">
        <v>671</v>
      </c>
      <c r="B250" s="1038"/>
      <c r="C250" s="1038"/>
      <c r="D250" s="1038"/>
      <c r="E250" s="1038"/>
      <c r="F250" s="1038"/>
      <c r="G250" s="1038"/>
      <c r="H250" s="1038"/>
    </row>
    <row r="251" spans="1:8">
      <c r="A251" s="1038"/>
      <c r="B251" s="1038"/>
      <c r="C251" s="1038"/>
      <c r="D251" s="1038"/>
      <c r="E251" s="1038"/>
      <c r="F251" s="1038"/>
      <c r="G251" s="1038"/>
      <c r="H251" s="1038"/>
    </row>
    <row r="252" spans="1:8">
      <c r="A252" s="1039" t="s">
        <v>660</v>
      </c>
      <c r="B252" s="1038"/>
      <c r="C252" s="1038"/>
      <c r="D252" s="1038"/>
      <c r="E252" s="1038"/>
      <c r="F252" s="1038"/>
      <c r="G252" s="1038"/>
      <c r="H252" s="1038"/>
    </row>
    <row r="253" spans="1:8">
      <c r="A253" s="1039" t="s">
        <v>661</v>
      </c>
      <c r="B253" s="1038"/>
      <c r="C253" s="1038"/>
      <c r="D253" s="1038"/>
      <c r="E253" s="1038"/>
      <c r="F253" s="1038"/>
      <c r="G253" s="1038"/>
      <c r="H253" s="1038"/>
    </row>
    <row r="254" spans="1:8">
      <c r="A254" s="1038"/>
      <c r="B254" s="1038"/>
      <c r="C254" s="1038"/>
      <c r="D254" s="1038"/>
      <c r="E254" s="1038"/>
      <c r="F254" s="1038"/>
      <c r="G254" s="1038"/>
      <c r="H254" s="1038"/>
    </row>
    <row r="255" spans="1:8">
      <c r="A255" s="1039" t="s">
        <v>644</v>
      </c>
      <c r="B255" s="1038"/>
      <c r="C255" s="1038"/>
      <c r="D255" s="1038"/>
      <c r="E255" s="1038"/>
      <c r="F255" s="1038"/>
      <c r="G255" s="1038"/>
      <c r="H255" s="1038"/>
    </row>
    <row r="256" spans="1:8">
      <c r="A256" s="1039" t="s">
        <v>645</v>
      </c>
      <c r="B256" s="1038"/>
      <c r="C256" s="1038"/>
      <c r="D256" s="1038"/>
      <c r="E256" s="1038"/>
      <c r="F256" s="1038"/>
      <c r="G256" s="1038"/>
      <c r="H256" s="1038"/>
    </row>
    <row r="257" spans="1:8">
      <c r="A257" s="1039" t="s">
        <v>646</v>
      </c>
      <c r="B257" s="1038"/>
      <c r="C257" s="1038"/>
      <c r="D257" s="1038"/>
      <c r="E257" s="1038"/>
      <c r="F257" s="1038"/>
      <c r="G257" s="1038"/>
      <c r="H257" s="1038"/>
    </row>
    <row r="258" spans="1:8">
      <c r="A258" s="1039" t="s">
        <v>647</v>
      </c>
      <c r="B258" s="1038"/>
      <c r="C258" s="1038"/>
      <c r="D258" s="1038"/>
      <c r="E258" s="1038"/>
      <c r="F258" s="1038"/>
      <c r="G258" s="1038"/>
      <c r="H258" s="1038"/>
    </row>
    <row r="259" spans="1:8">
      <c r="A259" s="1039" t="s">
        <v>648</v>
      </c>
      <c r="B259" s="1038"/>
      <c r="C259" s="1038"/>
      <c r="D259" s="1038"/>
      <c r="E259" s="1038"/>
      <c r="F259" s="1038"/>
      <c r="G259" s="1038"/>
      <c r="H259" s="1038"/>
    </row>
    <row r="260" spans="1:8">
      <c r="A260" s="1039" t="s">
        <v>649</v>
      </c>
      <c r="B260" s="1038"/>
      <c r="C260" s="1038"/>
      <c r="D260" s="1038"/>
      <c r="E260" s="1038"/>
      <c r="F260" s="1038"/>
      <c r="G260" s="1038"/>
      <c r="H260" s="1038"/>
    </row>
    <row r="261" spans="1:8">
      <c r="A261" s="1039" t="s">
        <v>650</v>
      </c>
      <c r="B261" s="1038"/>
      <c r="C261" s="1038"/>
      <c r="D261" s="1038"/>
      <c r="E261" s="1038"/>
      <c r="F261" s="1038"/>
      <c r="G261" s="1038"/>
      <c r="H261" s="1038"/>
    </row>
    <row r="262" spans="1:8">
      <c r="A262" s="1039" t="s">
        <v>651</v>
      </c>
      <c r="B262" s="1038"/>
      <c r="C262" s="1038"/>
      <c r="D262" s="1038"/>
      <c r="E262" s="1038"/>
      <c r="F262" s="1038"/>
      <c r="G262" s="1038"/>
      <c r="H262" s="1038"/>
    </row>
    <row r="263" spans="1:8">
      <c r="A263" s="1039" t="s">
        <v>652</v>
      </c>
      <c r="B263" s="1038"/>
      <c r="C263" s="1038"/>
      <c r="D263" s="1038"/>
      <c r="E263" s="1038"/>
      <c r="F263" s="1038"/>
      <c r="G263" s="1038"/>
      <c r="H263" s="1038"/>
    </row>
    <row r="264" spans="1:8">
      <c r="A264" s="1039" t="s">
        <v>653</v>
      </c>
      <c r="B264" s="1038"/>
      <c r="C264" s="1038"/>
      <c r="D264" s="1038"/>
      <c r="E264" s="1038"/>
      <c r="F264" s="1038"/>
      <c r="G264" s="1038"/>
      <c r="H264" s="1038"/>
    </row>
    <row r="265" spans="1:8">
      <c r="A265" s="1039" t="s">
        <v>654</v>
      </c>
      <c r="B265" s="1038"/>
      <c r="C265" s="1038"/>
      <c r="D265" s="1038"/>
      <c r="E265" s="1038"/>
      <c r="F265" s="1038"/>
      <c r="G265" s="1038"/>
      <c r="H265" s="1038"/>
    </row>
    <row r="266" spans="1:8">
      <c r="A266" s="1039" t="s">
        <v>655</v>
      </c>
      <c r="B266" s="1038"/>
      <c r="C266" s="1038"/>
      <c r="D266" s="1038"/>
      <c r="E266" s="1038"/>
      <c r="F266" s="1038"/>
      <c r="G266" s="1038"/>
      <c r="H266" s="1038"/>
    </row>
    <row r="267" spans="1:8">
      <c r="A267" s="1039" t="s">
        <v>656</v>
      </c>
      <c r="B267" s="1038"/>
      <c r="C267" s="1038"/>
      <c r="D267" s="1038"/>
      <c r="E267" s="1038"/>
      <c r="F267" s="1038"/>
      <c r="G267" s="1038"/>
      <c r="H267" s="1038"/>
    </row>
    <row r="268" spans="1:8">
      <c r="A268" s="1039" t="s">
        <v>657</v>
      </c>
      <c r="B268" s="1038"/>
      <c r="C268" s="1038"/>
      <c r="D268" s="1038"/>
      <c r="E268" s="1038"/>
      <c r="F268" s="1038"/>
      <c r="G268" s="1038"/>
      <c r="H268" s="1038"/>
    </row>
    <row r="269" spans="1:8">
      <c r="A269" s="1039" t="s">
        <v>658</v>
      </c>
      <c r="B269" s="1038"/>
      <c r="C269" s="1038"/>
      <c r="D269" s="1038"/>
      <c r="E269" s="1038"/>
      <c r="F269" s="1038"/>
      <c r="G269" s="1038"/>
      <c r="H269" s="1038"/>
    </row>
    <row r="270" spans="1:8">
      <c r="A270" s="1039" t="s">
        <v>659</v>
      </c>
      <c r="B270" s="1038"/>
      <c r="C270" s="1038"/>
      <c r="D270" s="1038"/>
      <c r="E270" s="1038"/>
      <c r="F270" s="1038"/>
      <c r="G270" s="1038"/>
      <c r="H270" s="1038"/>
    </row>
    <row r="271" spans="1:8">
      <c r="A271" s="1038"/>
      <c r="B271" s="1038"/>
      <c r="C271" s="1038"/>
      <c r="D271" s="1038"/>
      <c r="E271" s="1038"/>
      <c r="F271" s="1038"/>
      <c r="G271" s="1038"/>
      <c r="H271" s="1038"/>
    </row>
    <row r="272" spans="1:8">
      <c r="A272" s="1039" t="s">
        <v>637</v>
      </c>
      <c r="B272" s="1038"/>
      <c r="C272" s="1038"/>
      <c r="D272" s="1038"/>
      <c r="E272" s="1038"/>
      <c r="F272" s="1038"/>
      <c r="G272" s="1038"/>
      <c r="H272" s="1038"/>
    </row>
    <row r="273" spans="1:8">
      <c r="A273" s="1039" t="s">
        <v>638</v>
      </c>
      <c r="B273" s="1038"/>
      <c r="C273" s="1038"/>
      <c r="D273" s="1038"/>
      <c r="E273" s="1038"/>
      <c r="F273" s="1038"/>
      <c r="G273" s="1038"/>
      <c r="H273" s="1038"/>
    </row>
    <row r="274" spans="1:8">
      <c r="A274" s="1039" t="s">
        <v>639</v>
      </c>
      <c r="B274" s="1038"/>
      <c r="C274" s="1038"/>
      <c r="D274" s="1038"/>
      <c r="E274" s="1038"/>
      <c r="F274" s="1038"/>
      <c r="G274" s="1038"/>
      <c r="H274" s="1038"/>
    </row>
    <row r="275" spans="1:8">
      <c r="A275" s="1039" t="s">
        <v>640</v>
      </c>
      <c r="B275" s="1038"/>
      <c r="C275" s="1038"/>
      <c r="D275" s="1038"/>
      <c r="E275" s="1038"/>
      <c r="F275" s="1038"/>
      <c r="G275" s="1038"/>
      <c r="H275" s="1038"/>
    </row>
    <row r="276" spans="1:8">
      <c r="A276" s="1039" t="s">
        <v>641</v>
      </c>
      <c r="B276" s="1038"/>
      <c r="C276" s="1038"/>
      <c r="D276" s="1038"/>
      <c r="E276" s="1038"/>
      <c r="F276" s="1038"/>
      <c r="G276" s="1038"/>
      <c r="H276" s="1038"/>
    </row>
    <row r="277" spans="1:8">
      <c r="A277" s="1039" t="s">
        <v>642</v>
      </c>
      <c r="B277" s="1038"/>
      <c r="C277" s="1038"/>
      <c r="D277" s="1038"/>
      <c r="E277" s="1038"/>
      <c r="F277" s="1038"/>
      <c r="G277" s="1038"/>
      <c r="H277" s="1038"/>
    </row>
    <row r="278" spans="1:8">
      <c r="A278" s="1039" t="s">
        <v>643</v>
      </c>
      <c r="B278" s="1038"/>
      <c r="C278" s="1038"/>
      <c r="D278" s="1038"/>
      <c r="E278" s="1038"/>
      <c r="F278" s="1038"/>
      <c r="G278" s="1038"/>
      <c r="H278" s="1038"/>
    </row>
    <row r="279" spans="1:8">
      <c r="A279" s="1038"/>
      <c r="B279" s="1038"/>
      <c r="C279" s="1038"/>
      <c r="D279" s="1038"/>
      <c r="E279" s="1038"/>
      <c r="F279" s="1038"/>
      <c r="G279" s="1038"/>
      <c r="H279" s="1038"/>
    </row>
    <row r="280" spans="1:8">
      <c r="A280" s="1039" t="s">
        <v>628</v>
      </c>
      <c r="B280" s="1038"/>
      <c r="C280" s="1038"/>
      <c r="D280" s="1038"/>
      <c r="E280" s="1038"/>
      <c r="F280" s="1038"/>
      <c r="G280" s="1038"/>
      <c r="H280" s="1038"/>
    </row>
    <row r="281" spans="1:8">
      <c r="A281" s="1039" t="s">
        <v>629</v>
      </c>
      <c r="B281" s="1038"/>
      <c r="C281" s="1038"/>
      <c r="D281" s="1038"/>
      <c r="E281" s="1038"/>
      <c r="F281" s="1038"/>
      <c r="G281" s="1038"/>
      <c r="H281" s="1038"/>
    </row>
    <row r="282" spans="1:8">
      <c r="A282" s="1039" t="s">
        <v>630</v>
      </c>
      <c r="B282" s="1038"/>
      <c r="C282" s="1038"/>
      <c r="D282" s="1038"/>
      <c r="E282" s="1038"/>
      <c r="F282" s="1038"/>
      <c r="G282" s="1038"/>
      <c r="H282" s="1038"/>
    </row>
    <row r="283" spans="1:8">
      <c r="A283" s="1039" t="s">
        <v>631</v>
      </c>
      <c r="B283" s="1038"/>
      <c r="C283" s="1038"/>
      <c r="D283" s="1038"/>
      <c r="E283" s="1038"/>
      <c r="F283" s="1038"/>
      <c r="G283" s="1038"/>
      <c r="H283" s="1038"/>
    </row>
    <row r="284" spans="1:8">
      <c r="A284" s="1039" t="s">
        <v>632</v>
      </c>
      <c r="B284" s="1038"/>
      <c r="C284" s="1038"/>
      <c r="D284" s="1038"/>
      <c r="E284" s="1038"/>
      <c r="F284" s="1038"/>
      <c r="G284" s="1038"/>
      <c r="H284" s="1038"/>
    </row>
    <row r="285" spans="1:8">
      <c r="A285" s="1039" t="s">
        <v>633</v>
      </c>
      <c r="B285" s="1038"/>
      <c r="C285" s="1038"/>
      <c r="D285" s="1038"/>
      <c r="E285" s="1038"/>
      <c r="F285" s="1038"/>
      <c r="G285" s="1038"/>
      <c r="H285" s="1038"/>
    </row>
    <row r="286" spans="1:8">
      <c r="A286" s="1039" t="s">
        <v>634</v>
      </c>
      <c r="B286" s="1038"/>
      <c r="C286" s="1038"/>
      <c r="D286" s="1038"/>
      <c r="E286" s="1038"/>
      <c r="F286" s="1038"/>
      <c r="G286" s="1038"/>
      <c r="H286" s="1038"/>
    </row>
    <row r="287" spans="1:8">
      <c r="A287" s="1039" t="s">
        <v>635</v>
      </c>
      <c r="B287" s="1038"/>
      <c r="C287" s="1038"/>
      <c r="D287" s="1038"/>
      <c r="E287" s="1038"/>
      <c r="F287" s="1038"/>
      <c r="G287" s="1038"/>
      <c r="H287" s="1038"/>
    </row>
    <row r="288" spans="1:8">
      <c r="A288" s="1039" t="s">
        <v>636</v>
      </c>
      <c r="B288" s="1038"/>
      <c r="C288" s="1038"/>
      <c r="D288" s="1038"/>
      <c r="E288" s="1038"/>
      <c r="F288" s="1038"/>
      <c r="G288" s="1038"/>
      <c r="H288" s="1038"/>
    </row>
    <row r="289" spans="1:8">
      <c r="A289" s="1038"/>
      <c r="B289" s="1038"/>
      <c r="C289" s="1038"/>
      <c r="D289" s="1038"/>
      <c r="E289" s="1038"/>
      <c r="F289" s="1038"/>
      <c r="G289" s="1038"/>
      <c r="H289" s="1038"/>
    </row>
    <row r="290" spans="1:8">
      <c r="A290" s="1039" t="s">
        <v>621</v>
      </c>
      <c r="B290" s="1038"/>
      <c r="C290" s="1038"/>
      <c r="D290" s="1038"/>
      <c r="E290" s="1038"/>
      <c r="F290" s="1038"/>
      <c r="G290" s="1038"/>
      <c r="H290" s="1038"/>
    </row>
    <row r="291" spans="1:8">
      <c r="A291" s="1039" t="s">
        <v>622</v>
      </c>
      <c r="B291" s="1038"/>
      <c r="C291" s="1038"/>
      <c r="D291" s="1038"/>
      <c r="E291" s="1038"/>
      <c r="F291" s="1038"/>
      <c r="G291" s="1038"/>
      <c r="H291" s="1038"/>
    </row>
    <row r="292" spans="1:8">
      <c r="A292" s="1039" t="s">
        <v>623</v>
      </c>
      <c r="B292" s="1038"/>
      <c r="C292" s="1038"/>
      <c r="D292" s="1038"/>
      <c r="E292" s="1038"/>
      <c r="F292" s="1038"/>
      <c r="G292" s="1038"/>
      <c r="H292" s="1038"/>
    </row>
    <row r="293" spans="1:8">
      <c r="A293" s="1039" t="s">
        <v>624</v>
      </c>
      <c r="B293" s="1038"/>
      <c r="C293" s="1038"/>
      <c r="D293" s="1038"/>
      <c r="E293" s="1038"/>
      <c r="F293" s="1038"/>
      <c r="G293" s="1038"/>
      <c r="H293" s="1038"/>
    </row>
    <row r="294" spans="1:8">
      <c r="A294" s="1039" t="s">
        <v>625</v>
      </c>
      <c r="B294" s="1038"/>
      <c r="C294" s="1038"/>
      <c r="D294" s="1038"/>
      <c r="E294" s="1038"/>
      <c r="F294" s="1038"/>
      <c r="G294" s="1038"/>
      <c r="H294" s="1038"/>
    </row>
    <row r="295" spans="1:8">
      <c r="A295" s="1039" t="s">
        <v>626</v>
      </c>
      <c r="B295" s="1038"/>
      <c r="C295" s="1038"/>
      <c r="D295" s="1038"/>
      <c r="E295" s="1038"/>
      <c r="F295" s="1038"/>
      <c r="G295" s="1038"/>
      <c r="H295" s="1038"/>
    </row>
    <row r="296" spans="1:8">
      <c r="A296" s="1039" t="s">
        <v>627</v>
      </c>
      <c r="B296" s="1038"/>
      <c r="C296" s="1038"/>
      <c r="D296" s="1038"/>
      <c r="E296" s="1038"/>
      <c r="F296" s="1038"/>
      <c r="G296" s="1038"/>
      <c r="H296" s="1038"/>
    </row>
    <row r="297" spans="1:8">
      <c r="A297" s="1038"/>
      <c r="B297" s="1038"/>
      <c r="C297" s="1038"/>
      <c r="D297" s="1038"/>
      <c r="E297" s="1038"/>
      <c r="F297" s="1038"/>
      <c r="G297" s="1038"/>
      <c r="H297" s="1038"/>
    </row>
    <row r="298" spans="1:8">
      <c r="A298" s="1039" t="s">
        <v>618</v>
      </c>
      <c r="B298" s="1038"/>
      <c r="C298" s="1038"/>
      <c r="D298" s="1038"/>
      <c r="E298" s="1038"/>
      <c r="F298" s="1038"/>
      <c r="G298" s="1038"/>
      <c r="H298" s="1038"/>
    </row>
    <row r="299" spans="1:8">
      <c r="A299" s="1039" t="s">
        <v>619</v>
      </c>
      <c r="B299" s="1038"/>
      <c r="C299" s="1038"/>
      <c r="D299" s="1038"/>
      <c r="E299" s="1038"/>
      <c r="F299" s="1038"/>
      <c r="G299" s="1038"/>
      <c r="H299" s="1038"/>
    </row>
    <row r="300" spans="1:8">
      <c r="A300" s="1039" t="s">
        <v>620</v>
      </c>
      <c r="B300" s="1038"/>
      <c r="C300" s="1038"/>
      <c r="D300" s="1038"/>
      <c r="E300" s="1038"/>
      <c r="F300" s="1038"/>
      <c r="G300" s="1038"/>
      <c r="H300" s="1038"/>
    </row>
    <row r="301" spans="1:8">
      <c r="A301" s="1038"/>
      <c r="B301" s="1038"/>
      <c r="C301" s="1038"/>
      <c r="D301" s="1038"/>
      <c r="E301" s="1038"/>
      <c r="F301" s="1038"/>
      <c r="G301" s="1038"/>
      <c r="H301" s="1038"/>
    </row>
    <row r="302" spans="1:8">
      <c r="A302" s="1039" t="s">
        <v>616</v>
      </c>
      <c r="B302" s="1038"/>
      <c r="C302" s="1038"/>
      <c r="D302" s="1038"/>
      <c r="E302" s="1038"/>
      <c r="F302" s="1038"/>
      <c r="G302" s="1038"/>
      <c r="H302" s="1038"/>
    </row>
    <row r="303" spans="1:8">
      <c r="A303" s="1039" t="s">
        <v>617</v>
      </c>
      <c r="B303" s="1038"/>
      <c r="C303" s="1038"/>
      <c r="D303" s="1038"/>
      <c r="E303" s="1038"/>
      <c r="F303" s="1038"/>
      <c r="G303" s="1038"/>
      <c r="H303" s="1038"/>
    </row>
    <row r="304" spans="1:8">
      <c r="A304" s="1038"/>
      <c r="B304" s="1038"/>
      <c r="C304" s="1038"/>
      <c r="D304" s="1038"/>
      <c r="E304" s="1038"/>
      <c r="F304" s="1038"/>
      <c r="G304" s="1038"/>
      <c r="H304" s="1038"/>
    </row>
    <row r="305" spans="1:8">
      <c r="A305" s="1039" t="s">
        <v>603</v>
      </c>
      <c r="B305" s="1038"/>
      <c r="C305" s="1038"/>
      <c r="D305" s="1038"/>
      <c r="E305" s="1038"/>
      <c r="F305" s="1038"/>
      <c r="G305" s="1038"/>
      <c r="H305" s="1038"/>
    </row>
    <row r="306" spans="1:8">
      <c r="A306" s="1039" t="s">
        <v>604</v>
      </c>
      <c r="B306" s="1038"/>
      <c r="C306" s="1038"/>
      <c r="D306" s="1038"/>
      <c r="E306" s="1038"/>
      <c r="F306" s="1038"/>
      <c r="G306" s="1038"/>
      <c r="H306" s="1038"/>
    </row>
    <row r="307" spans="1:8">
      <c r="A307" s="1039" t="s">
        <v>605</v>
      </c>
      <c r="B307" s="1038"/>
      <c r="C307" s="1038"/>
      <c r="D307" s="1038"/>
      <c r="E307" s="1038"/>
      <c r="F307" s="1038"/>
      <c r="G307" s="1038"/>
      <c r="H307" s="1038"/>
    </row>
    <row r="308" spans="1:8">
      <c r="A308" s="1039" t="s">
        <v>606</v>
      </c>
      <c r="B308" s="1038"/>
      <c r="C308" s="1038"/>
      <c r="D308" s="1038"/>
      <c r="E308" s="1038"/>
      <c r="F308" s="1038"/>
      <c r="G308" s="1038"/>
      <c r="H308" s="1038"/>
    </row>
    <row r="309" spans="1:8">
      <c r="A309" s="1039" t="s">
        <v>607</v>
      </c>
      <c r="B309" s="1038"/>
      <c r="C309" s="1038"/>
      <c r="D309" s="1038"/>
      <c r="E309" s="1038"/>
      <c r="F309" s="1038"/>
      <c r="G309" s="1038"/>
      <c r="H309" s="1038"/>
    </row>
    <row r="310" spans="1:8">
      <c r="A310" s="1039" t="s">
        <v>608</v>
      </c>
      <c r="B310" s="1038"/>
      <c r="C310" s="1038"/>
      <c r="D310" s="1038"/>
      <c r="E310" s="1038"/>
      <c r="F310" s="1038"/>
      <c r="G310" s="1038"/>
      <c r="H310" s="1038"/>
    </row>
    <row r="311" spans="1:8">
      <c r="A311" s="1039" t="s">
        <v>609</v>
      </c>
      <c r="B311" s="1038"/>
      <c r="C311" s="1038"/>
      <c r="D311" s="1038"/>
      <c r="E311" s="1038"/>
      <c r="F311" s="1038"/>
      <c r="G311" s="1038"/>
      <c r="H311" s="1038"/>
    </row>
    <row r="312" spans="1:8">
      <c r="A312" s="1039" t="s">
        <v>610</v>
      </c>
      <c r="B312" s="1038"/>
      <c r="C312" s="1038"/>
      <c r="D312" s="1038"/>
      <c r="E312" s="1038"/>
      <c r="F312" s="1038"/>
      <c r="G312" s="1038"/>
      <c r="H312" s="1038"/>
    </row>
    <row r="313" spans="1:8">
      <c r="A313" s="1039" t="s">
        <v>611</v>
      </c>
      <c r="B313" s="1038"/>
      <c r="C313" s="1038"/>
      <c r="D313" s="1038"/>
      <c r="E313" s="1038"/>
      <c r="F313" s="1038"/>
      <c r="G313" s="1038"/>
      <c r="H313" s="1038"/>
    </row>
    <row r="314" spans="1:8">
      <c r="A314" s="1039" t="s">
        <v>612</v>
      </c>
      <c r="B314" s="1038"/>
      <c r="C314" s="1038"/>
      <c r="D314" s="1038"/>
      <c r="E314" s="1038"/>
      <c r="F314" s="1038"/>
      <c r="G314" s="1038"/>
      <c r="H314" s="1038"/>
    </row>
    <row r="315" spans="1:8">
      <c r="A315" s="1039" t="s">
        <v>613</v>
      </c>
      <c r="B315" s="1038"/>
      <c r="C315" s="1038"/>
      <c r="D315" s="1038"/>
      <c r="E315" s="1038"/>
      <c r="F315" s="1038"/>
      <c r="G315" s="1038"/>
      <c r="H315" s="1038"/>
    </row>
    <row r="316" spans="1:8">
      <c r="A316" s="1039" t="s">
        <v>614</v>
      </c>
      <c r="B316" s="1038"/>
      <c r="C316" s="1038"/>
      <c r="D316" s="1038"/>
      <c r="E316" s="1038"/>
      <c r="F316" s="1038"/>
      <c r="G316" s="1038"/>
      <c r="H316" s="1038"/>
    </row>
    <row r="317" spans="1:8">
      <c r="A317" s="1039" t="s">
        <v>615</v>
      </c>
      <c r="B317" s="1038"/>
      <c r="C317" s="1038"/>
      <c r="D317" s="1038"/>
      <c r="E317" s="1038"/>
      <c r="F317" s="1038"/>
      <c r="G317" s="1038"/>
      <c r="H317" s="1038"/>
    </row>
    <row r="318" spans="1:8">
      <c r="A318" s="1038"/>
      <c r="B318" s="1038"/>
      <c r="C318" s="1038"/>
      <c r="D318" s="1038"/>
      <c r="E318" s="1038"/>
      <c r="F318" s="1038"/>
      <c r="G318" s="1038"/>
      <c r="H318" s="1038"/>
    </row>
    <row r="319" spans="1:8">
      <c r="A319" s="1039" t="s">
        <v>595</v>
      </c>
      <c r="B319" s="1038"/>
      <c r="C319" s="1038"/>
      <c r="D319" s="1038"/>
      <c r="E319" s="1038"/>
      <c r="F319" s="1038"/>
      <c r="G319" s="1038"/>
      <c r="H319" s="1038"/>
    </row>
    <row r="320" spans="1:8">
      <c r="A320" s="1039" t="s">
        <v>596</v>
      </c>
      <c r="B320" s="1038"/>
      <c r="C320" s="1038"/>
      <c r="D320" s="1038"/>
      <c r="E320" s="1038"/>
      <c r="F320" s="1038"/>
      <c r="G320" s="1038"/>
      <c r="H320" s="1038"/>
    </row>
    <row r="321" spans="1:8">
      <c r="A321" s="1039" t="s">
        <v>597</v>
      </c>
      <c r="B321" s="1038"/>
      <c r="C321" s="1038"/>
      <c r="D321" s="1038"/>
      <c r="E321" s="1038"/>
      <c r="F321" s="1038"/>
      <c r="G321" s="1038"/>
      <c r="H321" s="1038"/>
    </row>
    <row r="322" spans="1:8">
      <c r="A322" s="1039" t="s">
        <v>598</v>
      </c>
      <c r="B322" s="1038"/>
      <c r="C322" s="1038"/>
      <c r="D322" s="1038"/>
      <c r="E322" s="1038"/>
      <c r="F322" s="1038"/>
      <c r="G322" s="1038"/>
      <c r="H322" s="1038"/>
    </row>
    <row r="323" spans="1:8">
      <c r="A323" s="1039" t="s">
        <v>599</v>
      </c>
      <c r="B323" s="1038"/>
      <c r="C323" s="1038"/>
      <c r="D323" s="1038"/>
      <c r="E323" s="1038"/>
      <c r="F323" s="1038"/>
      <c r="G323" s="1038"/>
      <c r="H323" s="1038"/>
    </row>
    <row r="324" spans="1:8">
      <c r="A324" s="1039" t="s">
        <v>600</v>
      </c>
      <c r="B324" s="1038"/>
      <c r="C324" s="1038"/>
      <c r="D324" s="1038"/>
      <c r="E324" s="1038"/>
      <c r="F324" s="1038"/>
      <c r="G324" s="1038"/>
      <c r="H324" s="1038"/>
    </row>
    <row r="325" spans="1:8">
      <c r="A325" s="1039" t="s">
        <v>601</v>
      </c>
      <c r="B325" s="1038"/>
      <c r="C325" s="1038"/>
      <c r="D325" s="1038"/>
      <c r="E325" s="1038"/>
      <c r="F325" s="1038"/>
      <c r="G325" s="1038"/>
      <c r="H325" s="1038"/>
    </row>
    <row r="326" spans="1:8">
      <c r="A326" s="1039" t="s">
        <v>602</v>
      </c>
      <c r="B326" s="1038"/>
      <c r="C326" s="1038"/>
      <c r="D326" s="1038"/>
      <c r="E326" s="1038"/>
      <c r="F326" s="1038"/>
      <c r="G326" s="1038"/>
      <c r="H326" s="1038"/>
    </row>
    <row r="327" spans="1:8">
      <c r="A327" s="1038"/>
      <c r="B327" s="1038"/>
      <c r="C327" s="1038"/>
      <c r="D327" s="1038"/>
      <c r="E327" s="1038"/>
      <c r="F327" s="1038"/>
      <c r="G327" s="1038"/>
      <c r="H327" s="1038"/>
    </row>
    <row r="328" spans="1:8">
      <c r="A328" s="1039" t="s">
        <v>560</v>
      </c>
      <c r="B328" s="1038"/>
      <c r="C328" s="1038"/>
      <c r="D328" s="1038"/>
      <c r="E328" s="1038"/>
      <c r="F328" s="1038"/>
      <c r="G328" s="1038"/>
      <c r="H328" s="1038"/>
    </row>
    <row r="329" spans="1:8">
      <c r="A329" s="1039" t="s">
        <v>561</v>
      </c>
      <c r="B329" s="1038"/>
      <c r="C329" s="1038"/>
      <c r="D329" s="1038"/>
      <c r="E329" s="1038"/>
      <c r="F329" s="1038"/>
      <c r="G329" s="1038"/>
      <c r="H329" s="1038"/>
    </row>
    <row r="330" spans="1:8">
      <c r="A330" s="1039" t="s">
        <v>562</v>
      </c>
      <c r="B330" s="1038"/>
      <c r="C330" s="1038"/>
      <c r="D330" s="1038"/>
      <c r="E330" s="1038"/>
      <c r="F330" s="1038"/>
      <c r="G330" s="1038"/>
      <c r="H330" s="1038"/>
    </row>
    <row r="331" spans="1:8">
      <c r="A331" s="1039" t="s">
        <v>563</v>
      </c>
      <c r="B331" s="1038"/>
      <c r="C331" s="1038"/>
      <c r="D331" s="1038"/>
      <c r="E331" s="1038"/>
      <c r="F331" s="1038"/>
      <c r="G331" s="1038"/>
      <c r="H331" s="1038"/>
    </row>
    <row r="332" spans="1:8">
      <c r="A332" s="1039" t="s">
        <v>564</v>
      </c>
      <c r="B332" s="1038"/>
      <c r="C332" s="1038"/>
      <c r="D332" s="1038"/>
      <c r="E332" s="1038"/>
      <c r="F332" s="1038"/>
      <c r="G332" s="1038"/>
      <c r="H332" s="1038"/>
    </row>
    <row r="333" spans="1:8">
      <c r="A333" s="1039" t="s">
        <v>565</v>
      </c>
      <c r="B333" s="1038"/>
      <c r="C333" s="1038"/>
      <c r="D333" s="1038"/>
      <c r="E333" s="1038"/>
      <c r="F333" s="1038"/>
      <c r="G333" s="1038"/>
      <c r="H333" s="1038"/>
    </row>
    <row r="334" spans="1:8">
      <c r="A334" s="1039" t="s">
        <v>566</v>
      </c>
      <c r="B334" s="1038"/>
      <c r="C334" s="1038"/>
      <c r="D334" s="1038"/>
      <c r="E334" s="1038"/>
      <c r="F334" s="1038"/>
      <c r="G334" s="1038"/>
      <c r="H334" s="1038"/>
    </row>
    <row r="335" spans="1:8">
      <c r="A335" s="1039" t="s">
        <v>567</v>
      </c>
      <c r="B335" s="1038"/>
      <c r="C335" s="1038"/>
      <c r="D335" s="1038"/>
      <c r="E335" s="1038"/>
      <c r="F335" s="1038"/>
      <c r="G335" s="1038"/>
      <c r="H335" s="1038"/>
    </row>
    <row r="336" spans="1:8">
      <c r="A336" s="1039" t="s">
        <v>568</v>
      </c>
      <c r="B336" s="1038"/>
      <c r="C336" s="1038"/>
      <c r="D336" s="1038"/>
      <c r="E336" s="1038"/>
      <c r="F336" s="1038"/>
      <c r="G336" s="1038"/>
      <c r="H336" s="1038"/>
    </row>
    <row r="337" spans="1:8">
      <c r="A337" s="1039" t="s">
        <v>569</v>
      </c>
      <c r="B337" s="1038"/>
      <c r="C337" s="1038"/>
      <c r="D337" s="1038"/>
      <c r="E337" s="1038"/>
      <c r="F337" s="1038"/>
      <c r="G337" s="1038"/>
      <c r="H337" s="1038"/>
    </row>
    <row r="338" spans="1:8">
      <c r="A338" s="1039" t="s">
        <v>570</v>
      </c>
      <c r="B338" s="1038"/>
      <c r="C338" s="1038"/>
      <c r="D338" s="1038"/>
      <c r="E338" s="1038"/>
      <c r="F338" s="1038"/>
      <c r="G338" s="1038"/>
      <c r="H338" s="1038"/>
    </row>
    <row r="339" spans="1:8">
      <c r="A339" s="1039" t="s">
        <v>571</v>
      </c>
      <c r="B339" s="1038"/>
      <c r="C339" s="1038"/>
      <c r="D339" s="1038"/>
      <c r="E339" s="1038"/>
      <c r="F339" s="1038"/>
      <c r="G339" s="1038"/>
      <c r="H339" s="1038"/>
    </row>
    <row r="340" spans="1:8">
      <c r="A340" s="1039" t="s">
        <v>572</v>
      </c>
      <c r="B340" s="1038"/>
      <c r="C340" s="1038"/>
      <c r="D340" s="1038"/>
      <c r="E340" s="1038"/>
      <c r="F340" s="1038"/>
      <c r="G340" s="1038"/>
      <c r="H340" s="1038"/>
    </row>
    <row r="341" spans="1:8">
      <c r="A341" s="1039" t="s">
        <v>573</v>
      </c>
      <c r="B341" s="1038"/>
      <c r="C341" s="1038"/>
      <c r="D341" s="1038"/>
      <c r="E341" s="1038"/>
      <c r="F341" s="1038"/>
      <c r="G341" s="1038"/>
      <c r="H341" s="1038"/>
    </row>
    <row r="342" spans="1:8">
      <c r="A342" s="1039" t="s">
        <v>574</v>
      </c>
      <c r="B342" s="1038"/>
      <c r="C342" s="1038"/>
      <c r="D342" s="1038"/>
      <c r="E342" s="1038"/>
      <c r="F342" s="1038"/>
      <c r="G342" s="1038"/>
      <c r="H342" s="1038"/>
    </row>
    <row r="343" spans="1:8">
      <c r="A343" s="1039" t="s">
        <v>575</v>
      </c>
      <c r="B343" s="1038"/>
      <c r="C343" s="1038"/>
      <c r="D343" s="1038"/>
      <c r="E343" s="1038"/>
      <c r="F343" s="1038"/>
      <c r="G343" s="1038"/>
      <c r="H343" s="1038"/>
    </row>
    <row r="344" spans="1:8">
      <c r="A344" s="1039" t="s">
        <v>576</v>
      </c>
      <c r="B344" s="1038"/>
      <c r="C344" s="1038"/>
      <c r="D344" s="1038"/>
      <c r="E344" s="1038"/>
      <c r="F344" s="1038"/>
      <c r="G344" s="1038"/>
      <c r="H344" s="1038"/>
    </row>
    <row r="345" spans="1:8">
      <c r="A345" s="1039" t="s">
        <v>577</v>
      </c>
      <c r="B345" s="1038"/>
      <c r="C345" s="1038"/>
      <c r="D345" s="1038"/>
      <c r="E345" s="1038"/>
      <c r="F345" s="1038"/>
      <c r="G345" s="1038"/>
      <c r="H345" s="1038"/>
    </row>
    <row r="346" spans="1:8">
      <c r="A346" s="1039" t="s">
        <v>578</v>
      </c>
      <c r="B346" s="1038"/>
      <c r="C346" s="1038"/>
      <c r="D346" s="1038"/>
      <c r="E346" s="1038"/>
      <c r="F346" s="1038"/>
      <c r="G346" s="1038"/>
      <c r="H346" s="1038"/>
    </row>
    <row r="347" spans="1:8">
      <c r="A347" s="1039" t="s">
        <v>579</v>
      </c>
      <c r="B347" s="1038"/>
      <c r="C347" s="1038"/>
      <c r="D347" s="1038"/>
      <c r="E347" s="1038"/>
      <c r="F347" s="1038"/>
      <c r="G347" s="1038"/>
      <c r="H347" s="1038"/>
    </row>
    <row r="348" spans="1:8">
      <c r="A348" s="1039" t="s">
        <v>580</v>
      </c>
      <c r="B348" s="1038"/>
      <c r="C348" s="1038"/>
      <c r="D348" s="1038"/>
      <c r="E348" s="1038"/>
      <c r="F348" s="1038"/>
      <c r="G348" s="1038"/>
      <c r="H348" s="1038"/>
    </row>
    <row r="349" spans="1:8">
      <c r="A349" s="1039" t="s">
        <v>581</v>
      </c>
      <c r="B349" s="1038"/>
      <c r="C349" s="1038"/>
      <c r="D349" s="1038"/>
      <c r="E349" s="1038"/>
      <c r="F349" s="1038"/>
      <c r="G349" s="1038"/>
      <c r="H349" s="1038"/>
    </row>
    <row r="350" spans="1:8">
      <c r="A350" s="1039" t="s">
        <v>582</v>
      </c>
      <c r="B350" s="1038"/>
      <c r="C350" s="1038"/>
      <c r="D350" s="1038"/>
      <c r="E350" s="1038"/>
      <c r="F350" s="1038"/>
      <c r="G350" s="1038"/>
      <c r="H350" s="1038"/>
    </row>
    <row r="351" spans="1:8">
      <c r="A351" s="1039" t="s">
        <v>583</v>
      </c>
      <c r="B351" s="1038"/>
      <c r="C351" s="1038"/>
      <c r="D351" s="1038"/>
      <c r="E351" s="1038"/>
      <c r="F351" s="1038"/>
      <c r="G351" s="1038"/>
      <c r="H351" s="1038"/>
    </row>
    <row r="352" spans="1:8">
      <c r="A352" s="1039" t="s">
        <v>584</v>
      </c>
      <c r="B352" s="1038"/>
      <c r="C352" s="1038"/>
      <c r="D352" s="1038"/>
      <c r="E352" s="1038"/>
      <c r="F352" s="1038"/>
      <c r="G352" s="1038"/>
      <c r="H352" s="1038"/>
    </row>
    <row r="353" spans="1:8">
      <c r="A353" s="1039" t="s">
        <v>585</v>
      </c>
      <c r="B353" s="1038"/>
      <c r="C353" s="1038"/>
      <c r="D353" s="1038"/>
      <c r="E353" s="1038"/>
      <c r="F353" s="1038"/>
      <c r="G353" s="1038"/>
      <c r="H353" s="1038"/>
    </row>
    <row r="354" spans="1:8">
      <c r="A354" s="1039" t="s">
        <v>586</v>
      </c>
      <c r="B354" s="1038"/>
      <c r="C354" s="1038"/>
      <c r="D354" s="1038"/>
      <c r="E354" s="1038"/>
      <c r="F354" s="1038"/>
      <c r="G354" s="1038"/>
      <c r="H354" s="1038"/>
    </row>
    <row r="355" spans="1:8">
      <c r="A355" s="1039" t="s">
        <v>587</v>
      </c>
      <c r="B355" s="1038"/>
      <c r="C355" s="1038"/>
      <c r="D355" s="1038"/>
      <c r="E355" s="1038"/>
      <c r="F355" s="1038"/>
      <c r="G355" s="1038"/>
      <c r="H355" s="1038"/>
    </row>
    <row r="356" spans="1:8">
      <c r="A356" s="1039" t="s">
        <v>588</v>
      </c>
      <c r="B356" s="1038"/>
      <c r="C356" s="1038"/>
      <c r="D356" s="1038"/>
      <c r="E356" s="1038"/>
      <c r="F356" s="1038"/>
      <c r="G356" s="1038"/>
      <c r="H356" s="1038"/>
    </row>
    <row r="357" spans="1:8">
      <c r="A357" s="1039" t="s">
        <v>589</v>
      </c>
      <c r="B357" s="1038"/>
      <c r="C357" s="1038"/>
      <c r="D357" s="1038"/>
      <c r="E357" s="1038"/>
      <c r="F357" s="1038"/>
      <c r="G357" s="1038"/>
      <c r="H357" s="1038"/>
    </row>
    <row r="358" spans="1:8">
      <c r="A358" s="1039" t="s">
        <v>590</v>
      </c>
      <c r="B358" s="1038"/>
      <c r="C358" s="1038"/>
      <c r="D358" s="1038"/>
      <c r="E358" s="1038"/>
      <c r="F358" s="1038"/>
      <c r="G358" s="1038"/>
      <c r="H358" s="1038"/>
    </row>
    <row r="359" spans="1:8">
      <c r="A359" s="1039" t="s">
        <v>591</v>
      </c>
      <c r="B359" s="1038"/>
      <c r="C359" s="1038"/>
      <c r="D359" s="1038"/>
      <c r="E359" s="1038"/>
      <c r="F359" s="1038"/>
      <c r="G359" s="1038"/>
      <c r="H359" s="1038"/>
    </row>
    <row r="360" spans="1:8">
      <c r="A360" s="1039" t="s">
        <v>592</v>
      </c>
      <c r="B360" s="1038"/>
      <c r="C360" s="1038"/>
      <c r="D360" s="1038"/>
      <c r="E360" s="1038"/>
      <c r="F360" s="1038"/>
      <c r="G360" s="1038"/>
      <c r="H360" s="1038"/>
    </row>
    <row r="361" spans="1:8">
      <c r="A361" s="1039" t="s">
        <v>593</v>
      </c>
      <c r="B361" s="1038"/>
      <c r="C361" s="1038"/>
      <c r="D361" s="1038"/>
      <c r="E361" s="1038"/>
      <c r="F361" s="1038"/>
      <c r="G361" s="1038"/>
      <c r="H361" s="1038"/>
    </row>
    <row r="362" spans="1:8">
      <c r="A362" s="1039" t="s">
        <v>594</v>
      </c>
      <c r="B362" s="1038"/>
      <c r="C362" s="1038"/>
      <c r="D362" s="1038"/>
      <c r="E362" s="1038"/>
      <c r="F362" s="1038"/>
      <c r="G362" s="1038"/>
      <c r="H362" s="1038"/>
    </row>
    <row r="363" spans="1:8">
      <c r="A363" s="1038"/>
      <c r="B363" s="1038"/>
      <c r="C363" s="1038"/>
      <c r="D363" s="1038"/>
      <c r="E363" s="1038"/>
      <c r="F363" s="1038"/>
      <c r="G363" s="1038"/>
      <c r="H363" s="1038"/>
    </row>
    <row r="364" spans="1:8">
      <c r="A364" s="1039" t="s">
        <v>552</v>
      </c>
      <c r="B364" s="1038"/>
      <c r="C364" s="1038"/>
      <c r="D364" s="1038"/>
      <c r="E364" s="1038"/>
      <c r="F364" s="1038"/>
      <c r="G364" s="1038"/>
      <c r="H364" s="1038"/>
    </row>
    <row r="365" spans="1:8">
      <c r="A365" s="1039" t="s">
        <v>556</v>
      </c>
      <c r="B365" s="1038"/>
      <c r="C365" s="1038"/>
      <c r="D365" s="1038"/>
      <c r="E365" s="1038"/>
      <c r="F365" s="1038"/>
      <c r="G365" s="1038"/>
      <c r="H365" s="1038"/>
    </row>
    <row r="366" spans="1:8">
      <c r="A366" s="1039" t="s">
        <v>557</v>
      </c>
      <c r="B366" s="1038"/>
      <c r="C366" s="1038"/>
      <c r="D366" s="1038"/>
      <c r="E366" s="1038"/>
      <c r="F366" s="1038"/>
      <c r="G366" s="1038"/>
      <c r="H366" s="1038"/>
    </row>
    <row r="367" spans="1:8">
      <c r="A367" s="1039" t="s">
        <v>558</v>
      </c>
      <c r="B367" s="1038"/>
      <c r="C367" s="1038"/>
      <c r="D367" s="1038"/>
      <c r="E367" s="1038"/>
      <c r="F367" s="1038"/>
      <c r="G367" s="1038"/>
      <c r="H367" s="1038"/>
    </row>
    <row r="368" spans="1:8">
      <c r="A368" s="1039" t="s">
        <v>559</v>
      </c>
      <c r="B368" s="1038"/>
      <c r="C368" s="1038"/>
      <c r="D368" s="1038"/>
      <c r="E368" s="1038"/>
      <c r="F368" s="1038"/>
      <c r="G368" s="1038"/>
      <c r="H368" s="1038"/>
    </row>
    <row r="369" spans="1:8">
      <c r="A369" s="1038"/>
      <c r="B369" s="1038"/>
      <c r="C369" s="1038"/>
      <c r="D369" s="1038"/>
      <c r="E369" s="1038"/>
      <c r="F369" s="1038"/>
      <c r="G369" s="1038"/>
      <c r="H369" s="1038"/>
    </row>
    <row r="370" spans="1:8">
      <c r="A370" s="1039" t="s">
        <v>552</v>
      </c>
      <c r="B370" s="1038"/>
      <c r="C370" s="1038"/>
      <c r="D370" s="1038"/>
      <c r="E370" s="1038"/>
      <c r="F370" s="1038"/>
      <c r="G370" s="1038"/>
      <c r="H370" s="1038"/>
    </row>
    <row r="371" spans="1:8">
      <c r="A371" s="1039" t="s">
        <v>553</v>
      </c>
      <c r="B371" s="1038"/>
      <c r="C371" s="1038"/>
      <c r="D371" s="1038"/>
      <c r="E371" s="1038"/>
      <c r="F371" s="1038"/>
      <c r="G371" s="1038"/>
      <c r="H371" s="1038"/>
    </row>
    <row r="372" spans="1:8">
      <c r="A372" s="1039" t="s">
        <v>554</v>
      </c>
      <c r="B372" s="1038"/>
      <c r="C372" s="1038"/>
      <c r="D372" s="1038"/>
      <c r="E372" s="1038"/>
      <c r="F372" s="1038"/>
      <c r="G372" s="1038"/>
      <c r="H372" s="1038"/>
    </row>
    <row r="373" spans="1:8">
      <c r="A373" s="1039" t="s">
        <v>555</v>
      </c>
      <c r="B373" s="1038"/>
      <c r="C373" s="1038"/>
      <c r="D373" s="1038"/>
      <c r="E373" s="1038"/>
      <c r="F373" s="1038"/>
      <c r="G373" s="1038"/>
      <c r="H373" s="1038"/>
    </row>
    <row r="374" spans="1:8">
      <c r="A374" s="1038"/>
      <c r="B374" s="1038"/>
      <c r="C374" s="1038"/>
      <c r="D374" s="1038"/>
      <c r="E374" s="1038"/>
      <c r="F374" s="1038"/>
      <c r="G374" s="1038"/>
      <c r="H374" s="1038"/>
    </row>
    <row r="375" spans="1:8">
      <c r="A375" s="1039" t="s">
        <v>546</v>
      </c>
      <c r="B375" s="1038"/>
      <c r="C375" s="1038"/>
      <c r="D375" s="1038"/>
      <c r="E375" s="1038"/>
      <c r="F375" s="1038"/>
      <c r="G375" s="1038"/>
      <c r="H375" s="1038"/>
    </row>
    <row r="376" spans="1:8">
      <c r="A376" s="1039" t="s">
        <v>547</v>
      </c>
      <c r="B376" s="1038"/>
      <c r="C376" s="1038"/>
      <c r="D376" s="1038"/>
      <c r="E376" s="1038"/>
      <c r="F376" s="1038"/>
      <c r="G376" s="1038"/>
      <c r="H376" s="1038"/>
    </row>
    <row r="377" spans="1:8">
      <c r="A377" s="1039" t="s">
        <v>548</v>
      </c>
      <c r="B377" s="1038"/>
      <c r="C377" s="1038"/>
      <c r="D377" s="1038"/>
      <c r="E377" s="1038"/>
      <c r="F377" s="1038"/>
      <c r="G377" s="1038"/>
      <c r="H377" s="1038"/>
    </row>
    <row r="378" spans="1:8">
      <c r="A378" s="1039" t="s">
        <v>549</v>
      </c>
      <c r="B378" s="1038"/>
      <c r="C378" s="1038"/>
      <c r="D378" s="1038"/>
      <c r="E378" s="1038"/>
      <c r="F378" s="1038"/>
      <c r="G378" s="1038"/>
      <c r="H378" s="1038"/>
    </row>
    <row r="379" spans="1:8">
      <c r="A379" s="1039" t="s">
        <v>550</v>
      </c>
      <c r="B379" s="1038"/>
      <c r="C379" s="1038"/>
      <c r="D379" s="1038"/>
      <c r="E379" s="1038"/>
      <c r="F379" s="1038"/>
      <c r="G379" s="1038"/>
      <c r="H379" s="1038"/>
    </row>
    <row r="380" spans="1:8">
      <c r="A380" s="1039" t="s">
        <v>551</v>
      </c>
      <c r="B380" s="1038"/>
      <c r="C380" s="1038"/>
      <c r="D380" s="1038"/>
      <c r="E380" s="1038"/>
      <c r="F380" s="1038"/>
      <c r="G380" s="1038"/>
      <c r="H380" s="1038"/>
    </row>
    <row r="381" spans="1:8">
      <c r="A381" s="1038"/>
      <c r="B381" s="1038"/>
      <c r="C381" s="1038"/>
      <c r="D381" s="1038"/>
      <c r="E381" s="1038"/>
      <c r="F381" s="1038"/>
      <c r="G381" s="1038"/>
      <c r="H381" s="1038"/>
    </row>
    <row r="382" spans="1:8">
      <c r="A382" s="1039" t="s">
        <v>541</v>
      </c>
      <c r="B382" s="1038"/>
      <c r="C382" s="1038"/>
      <c r="D382" s="1038"/>
      <c r="E382" s="1038"/>
      <c r="F382" s="1038"/>
      <c r="G382" s="1038"/>
      <c r="H382" s="1038"/>
    </row>
    <row r="383" spans="1:8">
      <c r="A383" s="1039" t="s">
        <v>542</v>
      </c>
      <c r="B383" s="1038"/>
      <c r="C383" s="1038"/>
      <c r="D383" s="1038"/>
      <c r="E383" s="1038"/>
      <c r="F383" s="1038"/>
      <c r="G383" s="1038"/>
      <c r="H383" s="1038"/>
    </row>
    <row r="384" spans="1:8">
      <c r="A384" s="1039" t="s">
        <v>543</v>
      </c>
      <c r="B384" s="1038"/>
      <c r="C384" s="1038"/>
      <c r="D384" s="1038"/>
      <c r="E384" s="1038"/>
      <c r="F384" s="1038"/>
      <c r="G384" s="1038"/>
      <c r="H384" s="1038"/>
    </row>
    <row r="385" spans="1:8">
      <c r="A385" s="1039" t="s">
        <v>544</v>
      </c>
      <c r="B385" s="1038"/>
      <c r="C385" s="1038"/>
      <c r="D385" s="1038"/>
      <c r="E385" s="1038"/>
      <c r="F385" s="1038"/>
      <c r="G385" s="1038"/>
      <c r="H385" s="1038"/>
    </row>
    <row r="386" spans="1:8">
      <c r="A386" s="1039" t="s">
        <v>545</v>
      </c>
      <c r="B386" s="1038"/>
      <c r="C386" s="1038"/>
      <c r="D386" s="1038"/>
      <c r="E386" s="1038"/>
      <c r="F386" s="1038"/>
      <c r="G386" s="1038"/>
      <c r="H386" s="1038"/>
    </row>
    <row r="387" spans="1:8">
      <c r="A387" s="1038"/>
      <c r="B387" s="1038"/>
      <c r="C387" s="1038"/>
      <c r="D387" s="1038"/>
      <c r="E387" s="1038"/>
      <c r="F387" s="1038"/>
      <c r="G387" s="1038"/>
      <c r="H387" s="1038"/>
    </row>
    <row r="388" spans="1:8">
      <c r="A388" s="1039" t="s">
        <v>539</v>
      </c>
      <c r="B388" s="1038"/>
      <c r="C388" s="1038"/>
      <c r="D388" s="1038"/>
      <c r="E388" s="1038"/>
      <c r="F388" s="1038"/>
      <c r="G388" s="1038"/>
      <c r="H388" s="1038"/>
    </row>
    <row r="389" spans="1:8">
      <c r="A389" s="1039" t="s">
        <v>540</v>
      </c>
      <c r="B389" s="1038"/>
      <c r="C389" s="1038"/>
      <c r="D389" s="1038"/>
      <c r="E389" s="1038"/>
      <c r="F389" s="1038"/>
      <c r="G389" s="1038"/>
      <c r="H389" s="1038"/>
    </row>
    <row r="391" spans="1:8">
      <c r="A391" s="1034" t="s">
        <v>795</v>
      </c>
    </row>
  </sheetData>
  <mergeCells count="12">
    <mergeCell ref="A129:H129"/>
    <mergeCell ref="A130:H130"/>
    <mergeCell ref="B122:C122"/>
    <mergeCell ref="D122:F122"/>
    <mergeCell ref="G122:H122"/>
    <mergeCell ref="A108:H108"/>
    <mergeCell ref="A109:H109"/>
    <mergeCell ref="A110:H110"/>
    <mergeCell ref="A111:H111"/>
    <mergeCell ref="A113:H113"/>
    <mergeCell ref="A114:H114"/>
    <mergeCell ref="A121:H121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A1:DE120"/>
  <sheetViews>
    <sheetView showGridLines="0" zoomScale="85" zoomScaleNormal="85" workbookViewId="0">
      <pane xSplit="3" ySplit="9" topLeftCell="AZ10" activePane="bottomRight" state="frozen"/>
      <selection activeCell="AW75" sqref="AW75"/>
      <selection pane="topRight" activeCell="AW75" sqref="AW75"/>
      <selection pane="bottomLeft" activeCell="AW75" sqref="AW75"/>
      <selection pane="bottomRight" activeCell="B6" sqref="B6"/>
    </sheetView>
  </sheetViews>
  <sheetFormatPr defaultRowHeight="14.25" customHeight="1" outlineLevelRow="1" outlineLevelCol="2"/>
  <cols>
    <col min="1" max="1" width="1.7109375" customWidth="1"/>
    <col min="2" max="2" width="40.140625" customWidth="1"/>
    <col min="3" max="3" width="1.7109375" customWidth="1"/>
    <col min="4" max="31" width="11.42578125" hidden="1" customWidth="1" outlineLevel="1"/>
    <col min="32" max="35" width="9.28515625" hidden="1" customWidth="1" outlineLevel="2"/>
    <col min="36" max="39" width="9.28515625" hidden="1" customWidth="1" outlineLevel="1"/>
    <col min="40" max="40" width="10.42578125" hidden="1" customWidth="1" outlineLevel="1" collapsed="1"/>
    <col min="41" max="43" width="10.42578125" hidden="1" customWidth="1" outlineLevel="1"/>
    <col min="44" max="44" width="10.42578125" hidden="1" customWidth="1" outlineLevel="1" collapsed="1"/>
    <col min="45" max="47" width="10.42578125" hidden="1" customWidth="1" outlineLevel="1"/>
    <col min="48" max="48" width="10.42578125" hidden="1" customWidth="1" outlineLevel="1" collapsed="1"/>
    <col min="49" max="51" width="10.42578125" hidden="1" customWidth="1" outlineLevel="1"/>
    <col min="52" max="52" width="10.42578125" customWidth="1" collapsed="1"/>
    <col min="53" max="59" width="10.42578125" customWidth="1"/>
    <col min="60" max="63" width="10.42578125" customWidth="1" outlineLevel="1"/>
    <col min="64" max="64" width="1.85546875" customWidth="1"/>
    <col min="65" max="71" width="11.42578125" hidden="1" customWidth="1" outlineLevel="1"/>
    <col min="72" max="75" width="10.5703125" hidden="1" customWidth="1" outlineLevel="1"/>
    <col min="76" max="76" width="11.42578125" customWidth="1" collapsed="1"/>
    <col min="77" max="79" width="11.42578125" customWidth="1"/>
    <col min="80" max="80" width="11.42578125" hidden="1" customWidth="1" outlineLevel="1"/>
    <col min="81" max="81" width="4.140625" customWidth="1" collapsed="1"/>
    <col min="82" max="89" width="11.42578125" hidden="1" customWidth="1" outlineLevel="2"/>
    <col min="90" max="90" width="10.5703125" hidden="1" customWidth="1" outlineLevel="1" collapsed="1"/>
    <col min="91" max="92" width="10.5703125" hidden="1" customWidth="1" outlineLevel="1"/>
    <col min="93" max="93" width="10.5703125" customWidth="1" collapsed="1"/>
    <col min="94" max="95" width="10.5703125" customWidth="1"/>
    <col min="96" max="96" width="13.5703125" bestFit="1" customWidth="1"/>
    <col min="97" max="97" width="13.5703125" customWidth="1"/>
  </cols>
  <sheetData>
    <row r="1" spans="1:104" ht="67.5" customHeight="1">
      <c r="A1" s="1"/>
      <c r="B1" s="345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376"/>
      <c r="AP1" s="2" t="str">
        <f>IF(SUM(BS)&lt;&gt;0,"BS BREAK","")</f>
        <v/>
      </c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" t="str">
        <f>IF(SUM(BS)&lt;&gt;0,"BS BREAK","")</f>
        <v/>
      </c>
      <c r="BM1" s="1"/>
      <c r="BN1" s="1"/>
      <c r="BO1" s="1"/>
      <c r="BP1" s="1"/>
      <c r="BQ1" s="2" t="str">
        <f>IF(SUM(BS)&lt;&gt;0,"BS BREAK","")</f>
        <v/>
      </c>
      <c r="BR1" s="2"/>
      <c r="BS1" s="1" t="str">
        <f>IF(SUM(BS)&lt;&gt;0,"BS BREAK","")</f>
        <v/>
      </c>
      <c r="BT1" s="1"/>
      <c r="BU1" s="2"/>
      <c r="BV1" s="2"/>
      <c r="BW1" s="2" t="str">
        <f>IF(SUM(BS)&lt;&gt;0,"BS BREAK","")</f>
        <v/>
      </c>
      <c r="BX1" s="1"/>
      <c r="BY1" s="1" t="str">
        <f>IF(SUM(BS)&lt;&gt;0,"BS BREAK","")</f>
        <v/>
      </c>
      <c r="BZ1" s="1"/>
      <c r="CA1" s="1" t="str">
        <f>IF(SUM(BS)&lt;&gt;0,"BS BREAK","")</f>
        <v/>
      </c>
      <c r="CB1" s="2"/>
      <c r="CC1" s="1"/>
      <c r="CD1" s="1"/>
      <c r="CE1" s="1"/>
      <c r="CF1" s="1"/>
      <c r="CG1" s="1"/>
      <c r="CH1" s="1" t="str">
        <f>IF(SUM(BS)&lt;&gt;0,"BS BREAK","")</f>
        <v/>
      </c>
      <c r="CI1" s="1"/>
      <c r="CJ1" s="1" t="str">
        <f>IF(SUM(BS)&lt;&gt;0,"BS BREAK","")</f>
        <v/>
      </c>
      <c r="CK1" s="1"/>
      <c r="CL1" s="2" t="str">
        <f>IF(SUM(BS)&lt;&gt;0,"BS BREAK","")</f>
        <v/>
      </c>
      <c r="CM1" s="2"/>
      <c r="CN1" s="2"/>
      <c r="CO1" s="2"/>
      <c r="CP1" s="2"/>
      <c r="CQ1" s="2"/>
      <c r="CR1" s="2"/>
      <c r="CS1" s="2"/>
      <c r="CZ1" s="1"/>
    </row>
    <row r="2" spans="1:104" ht="18" customHeight="1">
      <c r="A2" s="1"/>
      <c r="B2" s="4" t="s">
        <v>246</v>
      </c>
      <c r="C2" s="4"/>
      <c r="D2" s="1"/>
      <c r="E2" s="1"/>
      <c r="F2" s="1"/>
      <c r="G2" s="5"/>
      <c r="H2" s="1"/>
      <c r="I2" s="1"/>
      <c r="J2" s="1"/>
      <c r="K2" s="5"/>
      <c r="L2" s="1"/>
      <c r="M2" s="1"/>
      <c r="N2" s="1"/>
      <c r="O2" s="5"/>
      <c r="P2" s="1"/>
      <c r="Q2" s="1"/>
      <c r="R2" s="1"/>
      <c r="S2" s="5"/>
      <c r="T2" s="1"/>
      <c r="U2" s="1"/>
      <c r="V2" s="1"/>
      <c r="W2" s="1"/>
      <c r="X2" s="1"/>
      <c r="Y2" s="1"/>
      <c r="Z2" s="1"/>
      <c r="AA2" s="1"/>
      <c r="AB2" s="1"/>
      <c r="AC2" s="1"/>
      <c r="AD2" s="66"/>
      <c r="AE2" s="66"/>
      <c r="AF2" s="215"/>
      <c r="AG2" s="1"/>
      <c r="AH2" s="1"/>
      <c r="AI2" s="601"/>
      <c r="AJ2" s="601"/>
      <c r="AK2" s="601"/>
      <c r="AL2" s="601"/>
      <c r="AM2" s="601"/>
      <c r="AN2" s="601"/>
      <c r="AO2" s="601"/>
      <c r="AP2" s="601"/>
      <c r="AQ2" s="601"/>
      <c r="AR2" s="601"/>
      <c r="AS2" s="601"/>
      <c r="AT2" s="601"/>
      <c r="AU2" s="601"/>
      <c r="AV2" s="601"/>
      <c r="AW2" s="601"/>
      <c r="AX2" s="601"/>
      <c r="AY2" s="601"/>
      <c r="AZ2" s="601"/>
      <c r="BA2" s="601"/>
      <c r="BB2" s="601"/>
      <c r="BC2" s="601"/>
      <c r="BD2" s="601"/>
      <c r="BE2" s="601"/>
      <c r="BF2" s="601"/>
      <c r="BG2" s="601"/>
      <c r="BH2" s="601"/>
      <c r="BI2" s="601"/>
      <c r="BJ2" s="601"/>
      <c r="BK2" s="601"/>
      <c r="BL2" s="1"/>
      <c r="BM2" s="5"/>
      <c r="BN2" s="5"/>
      <c r="BO2" s="5"/>
      <c r="BP2" s="5"/>
      <c r="BQ2" s="1"/>
      <c r="BR2" s="1"/>
      <c r="BS2" s="5"/>
      <c r="BT2" s="1"/>
      <c r="BU2" s="1"/>
      <c r="BV2" s="1"/>
      <c r="BW2" s="1"/>
      <c r="BX2" s="1"/>
      <c r="BY2" s="1"/>
      <c r="BZ2" s="1"/>
      <c r="CA2" s="1"/>
      <c r="CB2" s="1"/>
      <c r="CC2" s="1"/>
      <c r="CD2" s="5"/>
      <c r="CE2" s="5"/>
      <c r="CF2" s="5"/>
      <c r="CG2" s="5"/>
      <c r="CH2" s="5"/>
      <c r="CI2" s="5"/>
      <c r="CJ2" s="5"/>
      <c r="CK2" s="5"/>
      <c r="CL2" s="1"/>
      <c r="CM2" s="1"/>
      <c r="CN2" s="1"/>
      <c r="CO2" s="1"/>
      <c r="CP2" s="1"/>
      <c r="CQ2" s="1"/>
      <c r="CR2" s="1"/>
      <c r="CS2" s="1"/>
      <c r="CZ2" s="1"/>
    </row>
    <row r="3" spans="1:104" ht="14.25" customHeight="1">
      <c r="A3" s="1"/>
      <c r="B3" s="1"/>
      <c r="C3" s="1"/>
      <c r="D3" s="1"/>
      <c r="E3" s="1"/>
      <c r="F3" s="1"/>
      <c r="G3" s="5"/>
      <c r="H3" s="1"/>
      <c r="I3" s="1"/>
      <c r="J3" s="1"/>
      <c r="K3" s="5"/>
      <c r="L3" s="1"/>
      <c r="M3" s="1"/>
      <c r="N3" s="1"/>
      <c r="O3" s="5"/>
      <c r="P3" s="1"/>
      <c r="Q3" s="1"/>
      <c r="R3" s="1"/>
      <c r="S3" s="5"/>
      <c r="T3" s="1"/>
      <c r="U3" s="1"/>
      <c r="V3" s="1"/>
      <c r="W3" s="1"/>
      <c r="X3" s="5"/>
      <c r="Y3" s="5"/>
      <c r="Z3" s="5"/>
      <c r="AA3" s="5"/>
      <c r="AB3" s="1"/>
      <c r="AC3" s="1"/>
      <c r="AD3" s="491" t="s">
        <v>291</v>
      </c>
      <c r="AE3" s="362"/>
      <c r="AF3" s="215"/>
      <c r="AG3" s="1"/>
      <c r="AH3" s="1"/>
      <c r="AI3" s="601"/>
      <c r="AJ3" s="601"/>
      <c r="AK3" s="601"/>
      <c r="AL3" s="601"/>
      <c r="AM3" s="601"/>
      <c r="AN3" s="601"/>
      <c r="AO3" s="601"/>
      <c r="AP3" s="601"/>
      <c r="AQ3" s="601"/>
      <c r="AR3" s="601"/>
      <c r="AS3" s="601"/>
      <c r="AT3" s="601"/>
      <c r="AU3" s="601"/>
      <c r="AV3" s="601"/>
      <c r="AW3" s="601"/>
      <c r="AX3" s="601"/>
      <c r="AY3" s="601"/>
      <c r="AZ3" s="601"/>
      <c r="BA3" s="601"/>
      <c r="BB3" s="601"/>
      <c r="BC3" s="601"/>
      <c r="BD3" s="601"/>
      <c r="BE3" s="601"/>
      <c r="BF3" s="601"/>
      <c r="BG3" s="601"/>
      <c r="BH3" s="601"/>
      <c r="BI3" s="601"/>
      <c r="BJ3" s="601"/>
      <c r="BK3" s="601"/>
      <c r="BL3" s="1"/>
      <c r="BM3" s="5"/>
      <c r="BN3" s="5"/>
      <c r="BO3" s="5"/>
      <c r="BP3" s="5"/>
      <c r="BQ3" s="1"/>
      <c r="BR3" s="1"/>
      <c r="BS3" s="5"/>
      <c r="BT3" s="1"/>
      <c r="BU3" s="1"/>
      <c r="BV3" s="1"/>
      <c r="BW3" s="838"/>
      <c r="BX3" s="733"/>
      <c r="BY3" s="733"/>
      <c r="BZ3" s="733"/>
      <c r="CA3" s="733"/>
      <c r="CB3" s="1"/>
      <c r="CC3" s="1"/>
      <c r="CD3" s="5"/>
      <c r="CE3" s="5"/>
      <c r="CF3" s="5"/>
      <c r="CG3" s="5"/>
      <c r="CH3" s="5"/>
      <c r="CI3" s="5"/>
      <c r="CJ3" s="5"/>
      <c r="CK3" s="5" t="s">
        <v>291</v>
      </c>
      <c r="CL3" s="1"/>
      <c r="CM3" s="1"/>
      <c r="CN3" s="1"/>
      <c r="CO3" s="1"/>
      <c r="CP3" s="1"/>
      <c r="CQ3" s="1"/>
      <c r="CR3" s="1"/>
      <c r="CS3" s="1"/>
      <c r="CZ3" s="1"/>
    </row>
    <row r="4" spans="1:104" ht="14.25" customHeight="1">
      <c r="A4" s="1"/>
      <c r="B4" s="1"/>
      <c r="C4" s="1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 t="s">
        <v>291</v>
      </c>
      <c r="AP4" s="6"/>
      <c r="AQ4" s="6"/>
      <c r="AR4" s="6"/>
      <c r="AS4" s="816"/>
      <c r="AT4" s="733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838"/>
      <c r="BX4" s="733"/>
      <c r="BY4" s="733"/>
      <c r="BZ4" s="733"/>
      <c r="CA4" s="733"/>
      <c r="CB4" s="6"/>
      <c r="CC4" s="6"/>
      <c r="CD4" s="6"/>
      <c r="CE4" s="6"/>
      <c r="CF4" s="6"/>
      <c r="CG4" s="6"/>
      <c r="CH4" s="6"/>
      <c r="CI4" s="6"/>
      <c r="CJ4" s="6"/>
      <c r="CK4" s="6"/>
      <c r="CL4" s="768"/>
      <c r="CM4" s="768"/>
      <c r="CN4" s="768"/>
      <c r="CO4" s="768"/>
      <c r="CP4" s="768"/>
      <c r="CQ4" s="768"/>
      <c r="CR4" s="1"/>
      <c r="CS4" s="1"/>
      <c r="CZ4" s="1"/>
    </row>
    <row r="5" spans="1:104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5"/>
      <c r="U5" s="1"/>
      <c r="V5" s="1"/>
      <c r="W5" s="1"/>
      <c r="X5" s="5"/>
      <c r="Y5" s="5"/>
      <c r="Z5" s="5"/>
      <c r="AA5" s="5"/>
      <c r="AB5" s="1"/>
      <c r="AC5" s="1"/>
      <c r="AD5" s="1"/>
      <c r="AE5" s="1"/>
      <c r="AF5" s="1"/>
      <c r="AG5" s="1"/>
      <c r="AH5" s="335"/>
      <c r="AI5" s="335"/>
      <c r="AJ5" s="335"/>
      <c r="AK5" s="743"/>
      <c r="AL5" s="335"/>
      <c r="AM5" s="335"/>
      <c r="AN5" s="359"/>
      <c r="AO5" s="359"/>
      <c r="AP5" s="359"/>
      <c r="AQ5" s="359"/>
      <c r="AR5" s="359"/>
      <c r="AS5" s="359"/>
      <c r="AT5" s="359"/>
      <c r="AU5" s="826"/>
      <c r="AV5" s="826"/>
      <c r="AW5" s="826"/>
      <c r="AX5" s="826"/>
      <c r="AY5" s="826"/>
      <c r="AZ5" s="826"/>
      <c r="BA5" s="826"/>
      <c r="BB5" s="854"/>
      <c r="BC5" s="827"/>
      <c r="BD5" s="854"/>
      <c r="BE5" s="854"/>
      <c r="BF5" s="854"/>
      <c r="BG5" s="827"/>
      <c r="BH5" s="854"/>
      <c r="BI5" s="854"/>
      <c r="BJ5" s="854"/>
      <c r="BK5" s="827"/>
      <c r="BL5" s="1"/>
      <c r="BM5" s="5"/>
      <c r="BN5" s="5"/>
      <c r="BO5" s="5"/>
      <c r="BP5" s="5"/>
      <c r="BQ5" s="1"/>
      <c r="BR5" s="1"/>
      <c r="BS5" s="5"/>
      <c r="BT5" s="1"/>
      <c r="BU5" s="6"/>
      <c r="BV5" s="6"/>
      <c r="BW5" s="601"/>
      <c r="BX5" s="733"/>
      <c r="BY5" s="733"/>
      <c r="BZ5" s="733"/>
      <c r="CA5" s="733"/>
      <c r="CC5" s="1"/>
      <c r="CD5" s="5"/>
      <c r="CE5" s="5"/>
      <c r="CF5" s="5"/>
      <c r="CG5" s="5"/>
      <c r="CH5" s="5"/>
      <c r="CI5" s="5"/>
      <c r="CJ5" s="5"/>
      <c r="CK5" s="5"/>
      <c r="CL5" s="769"/>
      <c r="CM5" s="769"/>
      <c r="CN5" s="769"/>
      <c r="CO5" s="903"/>
      <c r="CP5" s="903"/>
      <c r="CQ5" s="769"/>
      <c r="CR5" s="1"/>
      <c r="CS5" s="1"/>
      <c r="CZ5" s="1"/>
    </row>
    <row r="6" spans="1:104" ht="14.25" customHeight="1">
      <c r="A6" s="1"/>
      <c r="B6" s="7"/>
      <c r="C6" s="7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5"/>
      <c r="U6" s="1"/>
      <c r="V6" s="1"/>
      <c r="W6" s="1"/>
      <c r="X6" s="5"/>
      <c r="Y6" s="5"/>
      <c r="Z6" s="5"/>
      <c r="AA6" s="5"/>
      <c r="AB6" s="5"/>
      <c r="AC6" s="5"/>
      <c r="AD6" s="5"/>
      <c r="AE6" s="5"/>
      <c r="AF6" s="5"/>
      <c r="AG6" s="360"/>
      <c r="AH6" s="5"/>
      <c r="AI6" s="602"/>
      <c r="AJ6" s="602"/>
      <c r="AK6" s="602"/>
      <c r="AL6" s="602"/>
      <c r="AM6" s="602"/>
      <c r="AN6" s="602"/>
      <c r="AO6" s="602"/>
      <c r="AP6" s="602"/>
      <c r="AQ6" s="602"/>
      <c r="AR6" s="602"/>
      <c r="AS6" s="602"/>
      <c r="AT6" s="602"/>
      <c r="AU6" s="827"/>
      <c r="AV6" s="827"/>
      <c r="AW6" s="827"/>
      <c r="AX6" s="827"/>
      <c r="AY6" s="827"/>
      <c r="AZ6" s="827"/>
      <c r="BA6" s="827"/>
      <c r="BB6" s="827"/>
      <c r="BC6" s="827"/>
      <c r="BD6" s="827"/>
      <c r="BE6" s="827"/>
      <c r="BF6" s="827"/>
      <c r="BG6" s="827"/>
      <c r="BH6" s="827"/>
      <c r="BI6" s="827"/>
      <c r="BJ6" s="827"/>
      <c r="BK6" s="827"/>
      <c r="BL6" s="1"/>
      <c r="BM6" s="5"/>
      <c r="BN6" s="5"/>
      <c r="BO6" s="5"/>
      <c r="BP6" s="5"/>
      <c r="BQ6" s="1"/>
      <c r="BR6" s="1"/>
      <c r="BS6" s="5"/>
      <c r="BT6" s="601"/>
      <c r="BU6" s="601"/>
      <c r="BV6" s="601"/>
      <c r="BW6" s="820"/>
      <c r="BX6" s="845"/>
      <c r="BY6" s="845"/>
      <c r="BZ6" s="845"/>
      <c r="CA6" s="845"/>
      <c r="CB6" s="845"/>
      <c r="CC6" s="601"/>
      <c r="CD6" s="601"/>
      <c r="CE6" s="601"/>
      <c r="CF6" s="601"/>
      <c r="CG6" s="601"/>
      <c r="CH6" s="601"/>
      <c r="CI6" s="601"/>
      <c r="CJ6" s="601"/>
      <c r="CK6" s="601"/>
      <c r="CL6" s="748"/>
      <c r="CM6" s="748"/>
      <c r="CN6" s="748"/>
      <c r="CO6" s="843"/>
      <c r="CP6" s="843"/>
      <c r="CQ6" s="843"/>
      <c r="CR6" s="749"/>
      <c r="CS6" s="749"/>
      <c r="CZ6" s="1"/>
    </row>
    <row r="7" spans="1:104" ht="14.25" customHeight="1">
      <c r="A7" s="8"/>
      <c r="B7" s="9" t="s">
        <v>251</v>
      </c>
      <c r="C7" s="10"/>
      <c r="D7" s="17" t="s">
        <v>292</v>
      </c>
      <c r="E7" s="18" t="s">
        <v>293</v>
      </c>
      <c r="F7" s="18" t="s">
        <v>294</v>
      </c>
      <c r="G7" s="19" t="s">
        <v>295</v>
      </c>
      <c r="H7" s="17" t="s">
        <v>296</v>
      </c>
      <c r="I7" s="18" t="s">
        <v>297</v>
      </c>
      <c r="J7" s="18" t="s">
        <v>298</v>
      </c>
      <c r="K7" s="19" t="s">
        <v>299</v>
      </c>
      <c r="L7" s="17" t="s">
        <v>300</v>
      </c>
      <c r="M7" s="18" t="s">
        <v>301</v>
      </c>
      <c r="N7" s="18" t="s">
        <v>302</v>
      </c>
      <c r="O7" s="19" t="s">
        <v>303</v>
      </c>
      <c r="P7" s="17" t="s">
        <v>304</v>
      </c>
      <c r="Q7" s="18" t="s">
        <v>305</v>
      </c>
      <c r="R7" s="18" t="s">
        <v>306</v>
      </c>
      <c r="S7" s="19" t="s">
        <v>307</v>
      </c>
      <c r="T7" s="17" t="s">
        <v>308</v>
      </c>
      <c r="U7" s="18" t="s">
        <v>309</v>
      </c>
      <c r="V7" s="18" t="s">
        <v>310</v>
      </c>
      <c r="W7" s="19" t="s">
        <v>311</v>
      </c>
      <c r="X7" s="17" t="s">
        <v>312</v>
      </c>
      <c r="Y7" s="18" t="s">
        <v>313</v>
      </c>
      <c r="Z7" s="18" t="s">
        <v>314</v>
      </c>
      <c r="AA7" s="19" t="s">
        <v>315</v>
      </c>
      <c r="AB7" s="17" t="s">
        <v>316</v>
      </c>
      <c r="AC7" s="18" t="s">
        <v>317</v>
      </c>
      <c r="AD7" s="18" t="s">
        <v>318</v>
      </c>
      <c r="AE7" s="19" t="s">
        <v>319</v>
      </c>
      <c r="AF7" s="17" t="s">
        <v>320</v>
      </c>
      <c r="AG7" s="18" t="s">
        <v>374</v>
      </c>
      <c r="AH7" s="18" t="s">
        <v>377</v>
      </c>
      <c r="AI7" s="18" t="s">
        <v>380</v>
      </c>
      <c r="AJ7" s="17" t="s">
        <v>422</v>
      </c>
      <c r="AK7" s="18" t="s">
        <v>428</v>
      </c>
      <c r="AL7" s="18" t="s">
        <v>429</v>
      </c>
      <c r="AM7" s="18" t="s">
        <v>434</v>
      </c>
      <c r="AN7" s="17" t="s">
        <v>437</v>
      </c>
      <c r="AO7" s="18" t="s">
        <v>439</v>
      </c>
      <c r="AP7" s="18" t="s">
        <v>441</v>
      </c>
      <c r="AQ7" s="18" t="s">
        <v>443</v>
      </c>
      <c r="AR7" s="17" t="s">
        <v>446</v>
      </c>
      <c r="AS7" s="18" t="s">
        <v>448</v>
      </c>
      <c r="AT7" s="18" t="s">
        <v>451</v>
      </c>
      <c r="AU7" s="18" t="s">
        <v>452</v>
      </c>
      <c r="AV7" s="17" t="s">
        <v>456</v>
      </c>
      <c r="AW7" s="18" t="s">
        <v>459</v>
      </c>
      <c r="AX7" s="18" t="s">
        <v>470</v>
      </c>
      <c r="AY7" s="19" t="s">
        <v>473</v>
      </c>
      <c r="AZ7" s="17" t="s">
        <v>460</v>
      </c>
      <c r="BA7" s="18" t="s">
        <v>483</v>
      </c>
      <c r="BB7" s="18" t="s">
        <v>489</v>
      </c>
      <c r="BC7" s="19" t="s">
        <v>492</v>
      </c>
      <c r="BD7" s="856" t="s">
        <v>467</v>
      </c>
      <c r="BE7" s="757" t="s">
        <v>468</v>
      </c>
      <c r="BF7" s="757" t="s">
        <v>466</v>
      </c>
      <c r="BG7" s="756" t="s">
        <v>463</v>
      </c>
      <c r="BH7" s="856" t="s">
        <v>476</v>
      </c>
      <c r="BI7" s="757" t="s">
        <v>477</v>
      </c>
      <c r="BJ7" s="757" t="s">
        <v>478</v>
      </c>
      <c r="BK7" s="756" t="s">
        <v>479</v>
      </c>
      <c r="BL7" s="14"/>
      <c r="BM7" s="11"/>
      <c r="BN7" s="11"/>
      <c r="BO7" s="11"/>
      <c r="BP7" s="11"/>
      <c r="BQ7" s="8"/>
      <c r="BR7" s="8"/>
      <c r="BS7" s="11"/>
      <c r="BT7" s="8"/>
      <c r="BU7" s="8"/>
      <c r="BV7" s="820"/>
      <c r="CA7" s="903"/>
      <c r="CB7" s="903"/>
      <c r="CC7" s="269"/>
      <c r="CD7" s="511" t="s">
        <v>350</v>
      </c>
      <c r="CE7" s="511" t="s">
        <v>351</v>
      </c>
      <c r="CF7" s="511" t="s">
        <v>352</v>
      </c>
      <c r="CG7" s="511" t="s">
        <v>353</v>
      </c>
      <c r="CH7" s="511" t="s">
        <v>354</v>
      </c>
      <c r="CI7" s="511" t="s">
        <v>355</v>
      </c>
      <c r="CJ7" s="511" t="s">
        <v>356</v>
      </c>
      <c r="CK7" s="511" t="s">
        <v>357</v>
      </c>
      <c r="CL7" s="18" t="s">
        <v>358</v>
      </c>
      <c r="CM7" s="18" t="s">
        <v>359</v>
      </c>
      <c r="CN7" s="18" t="s">
        <v>433</v>
      </c>
      <c r="CO7" s="18" t="s">
        <v>450</v>
      </c>
      <c r="CP7" s="18" t="s">
        <v>462</v>
      </c>
      <c r="CQ7" s="19" t="s">
        <v>482</v>
      </c>
      <c r="CR7" s="8"/>
      <c r="CS7" s="8"/>
      <c r="CZ7" s="8"/>
    </row>
    <row r="8" spans="1:104" ht="14.25" customHeight="1">
      <c r="A8" s="8"/>
      <c r="B8" s="12" t="s">
        <v>252</v>
      </c>
      <c r="C8" s="13"/>
      <c r="D8" s="495">
        <v>38533</v>
      </c>
      <c r="E8" s="496">
        <v>38625</v>
      </c>
      <c r="F8" s="496">
        <v>38717</v>
      </c>
      <c r="G8" s="497">
        <v>38807</v>
      </c>
      <c r="H8" s="498">
        <v>38898</v>
      </c>
      <c r="I8" s="496">
        <v>38990</v>
      </c>
      <c r="J8" s="496">
        <v>39082</v>
      </c>
      <c r="K8" s="497">
        <v>39172</v>
      </c>
      <c r="L8" s="498">
        <v>39263</v>
      </c>
      <c r="M8" s="496">
        <v>39355</v>
      </c>
      <c r="N8" s="496">
        <v>39447</v>
      </c>
      <c r="O8" s="497">
        <v>39538</v>
      </c>
      <c r="P8" s="498">
        <v>39629</v>
      </c>
      <c r="Q8" s="496">
        <v>39721</v>
      </c>
      <c r="R8" s="496">
        <v>39813</v>
      </c>
      <c r="S8" s="497">
        <v>39903</v>
      </c>
      <c r="T8" s="498">
        <v>39994</v>
      </c>
      <c r="U8" s="499">
        <v>40086</v>
      </c>
      <c r="V8" s="499">
        <v>40178</v>
      </c>
      <c r="W8" s="500">
        <v>40268</v>
      </c>
      <c r="X8" s="501">
        <v>40359</v>
      </c>
      <c r="Y8" s="499">
        <v>40451</v>
      </c>
      <c r="Z8" s="499">
        <v>40543</v>
      </c>
      <c r="AA8" s="500">
        <v>40633</v>
      </c>
      <c r="AB8" s="501">
        <v>40724</v>
      </c>
      <c r="AC8" s="499">
        <v>40816</v>
      </c>
      <c r="AD8" s="499">
        <v>40908</v>
      </c>
      <c r="AE8" s="500">
        <v>40999</v>
      </c>
      <c r="AF8" s="501">
        <v>41090</v>
      </c>
      <c r="AG8" s="499">
        <v>41182</v>
      </c>
      <c r="AH8" s="499">
        <v>41274</v>
      </c>
      <c r="AI8" s="499">
        <v>41364</v>
      </c>
      <c r="AJ8" s="501">
        <v>41455</v>
      </c>
      <c r="AK8" s="499">
        <v>41547</v>
      </c>
      <c r="AL8" s="499">
        <v>41639</v>
      </c>
      <c r="AM8" s="499">
        <v>41729</v>
      </c>
      <c r="AN8" s="501">
        <v>41820</v>
      </c>
      <c r="AO8" s="499">
        <v>41912</v>
      </c>
      <c r="AP8" s="499">
        <v>42004</v>
      </c>
      <c r="AQ8" s="499">
        <v>42094</v>
      </c>
      <c r="AR8" s="501">
        <v>42185</v>
      </c>
      <c r="AS8" s="499">
        <v>42277</v>
      </c>
      <c r="AT8" s="499">
        <v>42369</v>
      </c>
      <c r="AU8" s="499">
        <v>42460</v>
      </c>
      <c r="AV8" s="501">
        <v>42551</v>
      </c>
      <c r="AW8" s="499">
        <v>42643</v>
      </c>
      <c r="AX8" s="499">
        <v>42735</v>
      </c>
      <c r="AY8" s="500">
        <v>42825</v>
      </c>
      <c r="AZ8" s="501">
        <v>42916</v>
      </c>
      <c r="BA8" s="499">
        <v>43008</v>
      </c>
      <c r="BB8" s="499">
        <v>43100</v>
      </c>
      <c r="BC8" s="500">
        <v>43190</v>
      </c>
      <c r="BD8" s="877">
        <v>43281</v>
      </c>
      <c r="BE8" s="824">
        <v>43373</v>
      </c>
      <c r="BF8" s="824">
        <v>43465</v>
      </c>
      <c r="BG8" s="823">
        <v>43555</v>
      </c>
      <c r="BH8" s="877">
        <v>43646</v>
      </c>
      <c r="BI8" s="824">
        <v>43738</v>
      </c>
      <c r="BJ8" s="824">
        <v>43830</v>
      </c>
      <c r="BK8" s="823">
        <v>43921</v>
      </c>
      <c r="BL8" s="14"/>
      <c r="BM8" s="11"/>
      <c r="BN8" s="11"/>
      <c r="BO8" s="11"/>
      <c r="BP8" s="11"/>
      <c r="BQ8" s="8"/>
      <c r="BR8" s="8"/>
      <c r="BS8" s="11"/>
      <c r="BT8" s="8"/>
      <c r="BU8" s="8"/>
      <c r="BV8" s="8"/>
      <c r="BW8" s="825"/>
      <c r="BX8" s="842"/>
      <c r="BY8" s="842"/>
      <c r="BZ8" s="842"/>
      <c r="CA8" s="842"/>
      <c r="CB8" s="842"/>
      <c r="CC8" s="269"/>
      <c r="CD8" s="504">
        <v>39082</v>
      </c>
      <c r="CE8" s="504">
        <v>39447</v>
      </c>
      <c r="CF8" s="504">
        <v>39813</v>
      </c>
      <c r="CG8" s="504">
        <v>40178</v>
      </c>
      <c r="CH8" s="504">
        <v>40543</v>
      </c>
      <c r="CI8" s="504">
        <v>40908</v>
      </c>
      <c r="CJ8" s="504">
        <v>41274</v>
      </c>
      <c r="CK8" s="504">
        <v>41639</v>
      </c>
      <c r="CL8" s="504">
        <v>42004</v>
      </c>
      <c r="CM8" s="504">
        <v>42369</v>
      </c>
      <c r="CN8" s="504">
        <v>42735</v>
      </c>
      <c r="CO8" s="504">
        <v>43100</v>
      </c>
      <c r="CP8" s="504">
        <v>43465</v>
      </c>
      <c r="CQ8" s="505">
        <v>43830</v>
      </c>
      <c r="CR8" s="11"/>
      <c r="CS8" s="11"/>
      <c r="CZ8" s="8"/>
    </row>
    <row r="9" spans="1:104" ht="14.25" customHeight="1">
      <c r="A9" s="8"/>
      <c r="B9" s="15"/>
      <c r="C9" s="16"/>
      <c r="D9" s="17" t="s">
        <v>321</v>
      </c>
      <c r="E9" s="18" t="s">
        <v>322</v>
      </c>
      <c r="F9" s="18" t="s">
        <v>323</v>
      </c>
      <c r="G9" s="19" t="s">
        <v>324</v>
      </c>
      <c r="H9" s="17" t="s">
        <v>325</v>
      </c>
      <c r="I9" s="18" t="s">
        <v>326</v>
      </c>
      <c r="J9" s="18" t="s">
        <v>327</v>
      </c>
      <c r="K9" s="19" t="s">
        <v>328</v>
      </c>
      <c r="L9" s="17" t="s">
        <v>329</v>
      </c>
      <c r="M9" s="18" t="s">
        <v>330</v>
      </c>
      <c r="N9" s="18" t="s">
        <v>331</v>
      </c>
      <c r="O9" s="19" t="s">
        <v>332</v>
      </c>
      <c r="P9" s="17" t="s">
        <v>333</v>
      </c>
      <c r="Q9" s="18" t="s">
        <v>334</v>
      </c>
      <c r="R9" s="18" t="s">
        <v>335</v>
      </c>
      <c r="S9" s="19" t="s">
        <v>336</v>
      </c>
      <c r="T9" s="17" t="s">
        <v>337</v>
      </c>
      <c r="U9" s="18" t="s">
        <v>338</v>
      </c>
      <c r="V9" s="18" t="s">
        <v>339</v>
      </c>
      <c r="W9" s="19" t="s">
        <v>340</v>
      </c>
      <c r="X9" s="17" t="s">
        <v>341</v>
      </c>
      <c r="Y9" s="18" t="s">
        <v>342</v>
      </c>
      <c r="Z9" s="18" t="s">
        <v>343</v>
      </c>
      <c r="AA9" s="19" t="s">
        <v>344</v>
      </c>
      <c r="AB9" s="17" t="s">
        <v>345</v>
      </c>
      <c r="AC9" s="18" t="s">
        <v>346</v>
      </c>
      <c r="AD9" s="18" t="s">
        <v>347</v>
      </c>
      <c r="AE9" s="19" t="s">
        <v>348</v>
      </c>
      <c r="AF9" s="17" t="s">
        <v>349</v>
      </c>
      <c r="AG9" s="18" t="s">
        <v>375</v>
      </c>
      <c r="AH9" s="18" t="s">
        <v>376</v>
      </c>
      <c r="AI9" s="18" t="s">
        <v>378</v>
      </c>
      <c r="AJ9" s="17" t="s">
        <v>423</v>
      </c>
      <c r="AK9" s="18" t="s">
        <v>426</v>
      </c>
      <c r="AL9" s="18" t="s">
        <v>430</v>
      </c>
      <c r="AM9" s="18" t="s">
        <v>435</v>
      </c>
      <c r="AN9" s="17" t="s">
        <v>438</v>
      </c>
      <c r="AO9" s="18" t="s">
        <v>440</v>
      </c>
      <c r="AP9" s="18" t="s">
        <v>442</v>
      </c>
      <c r="AQ9" s="18" t="s">
        <v>444</v>
      </c>
      <c r="AR9" s="17" t="s">
        <v>447</v>
      </c>
      <c r="AS9" s="18" t="s">
        <v>449</v>
      </c>
      <c r="AT9" s="18" t="s">
        <v>455</v>
      </c>
      <c r="AU9" s="18" t="s">
        <v>453</v>
      </c>
      <c r="AV9" s="17" t="s">
        <v>457</v>
      </c>
      <c r="AW9" s="18" t="s">
        <v>458</v>
      </c>
      <c r="AX9" s="18" t="s">
        <v>469</v>
      </c>
      <c r="AY9" s="19" t="s">
        <v>474</v>
      </c>
      <c r="AZ9" s="17" t="s">
        <v>461</v>
      </c>
      <c r="BA9" s="18" t="s">
        <v>484</v>
      </c>
      <c r="BB9" s="18" t="s">
        <v>490</v>
      </c>
      <c r="BC9" s="19" t="s">
        <v>493</v>
      </c>
      <c r="BD9" s="856" t="s">
        <v>485</v>
      </c>
      <c r="BE9" s="757" t="s">
        <v>486</v>
      </c>
      <c r="BF9" s="757" t="s">
        <v>464</v>
      </c>
      <c r="BG9" s="756" t="s">
        <v>465</v>
      </c>
      <c r="BH9" s="856" t="s">
        <v>487</v>
      </c>
      <c r="BI9" s="757" t="s">
        <v>488</v>
      </c>
      <c r="BJ9" s="757" t="s">
        <v>480</v>
      </c>
      <c r="BK9" s="756" t="s">
        <v>481</v>
      </c>
      <c r="BL9" s="269"/>
      <c r="BM9" s="17" t="s">
        <v>360</v>
      </c>
      <c r="BN9" s="18" t="s">
        <v>361</v>
      </c>
      <c r="BO9" s="18" t="s">
        <v>362</v>
      </c>
      <c r="BP9" s="18" t="s">
        <v>363</v>
      </c>
      <c r="BQ9" s="18" t="s">
        <v>364</v>
      </c>
      <c r="BR9" s="18" t="s">
        <v>365</v>
      </c>
      <c r="BS9" s="18" t="s">
        <v>366</v>
      </c>
      <c r="BT9" s="17" t="s">
        <v>379</v>
      </c>
      <c r="BU9" s="18" t="s">
        <v>436</v>
      </c>
      <c r="BV9" s="18" t="s">
        <v>445</v>
      </c>
      <c r="BW9" s="18" t="s">
        <v>454</v>
      </c>
      <c r="BX9" s="18" t="s">
        <v>475</v>
      </c>
      <c r="BY9" s="18" t="s">
        <v>494</v>
      </c>
      <c r="BZ9" s="757" t="s">
        <v>367</v>
      </c>
      <c r="CA9" s="757" t="s">
        <v>368</v>
      </c>
      <c r="CB9" s="818" t="s">
        <v>495</v>
      </c>
      <c r="CC9" s="20"/>
      <c r="CD9" s="513"/>
      <c r="CE9" s="513"/>
      <c r="CF9" s="513"/>
      <c r="CG9" s="513"/>
      <c r="CH9" s="513"/>
      <c r="CI9" s="513"/>
      <c r="CJ9" s="513"/>
      <c r="CK9" s="513"/>
      <c r="CL9" s="906"/>
      <c r="CM9" s="906"/>
      <c r="CN9" s="906"/>
      <c r="CO9" s="670"/>
      <c r="CP9" s="670"/>
      <c r="CQ9" s="905"/>
      <c r="CR9" s="14"/>
      <c r="CS9" s="14"/>
      <c r="CZ9" s="8"/>
    </row>
    <row r="10" spans="1:104" ht="14.25" customHeight="1">
      <c r="A10" s="8"/>
      <c r="B10" s="23" t="s">
        <v>119</v>
      </c>
      <c r="C10" s="24"/>
      <c r="D10" s="25">
        <v>405.37900000000002</v>
      </c>
      <c r="E10" s="26">
        <v>398.92899999999997</v>
      </c>
      <c r="F10" s="26">
        <v>449.60500000000002</v>
      </c>
      <c r="G10" s="425">
        <v>472.33699999999999</v>
      </c>
      <c r="H10" s="25">
        <v>481.36200000000002</v>
      </c>
      <c r="I10" s="26">
        <v>467.18</v>
      </c>
      <c r="J10" s="26">
        <v>450.72500000000002</v>
      </c>
      <c r="K10" s="425">
        <v>443.47199999999998</v>
      </c>
      <c r="L10" s="25">
        <v>445.91199999999998</v>
      </c>
      <c r="M10" s="26">
        <v>444.89400000000001</v>
      </c>
      <c r="N10" s="26">
        <v>474.80599999999998</v>
      </c>
      <c r="O10" s="425">
        <v>475.76</v>
      </c>
      <c r="P10" s="25">
        <v>488.24599999999998</v>
      </c>
      <c r="Q10" s="26">
        <v>483.53699999999998</v>
      </c>
      <c r="R10" s="26">
        <v>458.387</v>
      </c>
      <c r="S10" s="425">
        <v>395.01400000000001</v>
      </c>
      <c r="T10" s="25">
        <v>376.23500000000001</v>
      </c>
      <c r="U10" s="26">
        <v>414.95</v>
      </c>
      <c r="V10" s="26">
        <v>513.34900000000005</v>
      </c>
      <c r="W10" s="425">
        <v>529.02</v>
      </c>
      <c r="X10" s="25">
        <v>594.73699999999997</v>
      </c>
      <c r="Y10" s="26">
        <v>619.66600000000005</v>
      </c>
      <c r="Z10" s="26">
        <v>567.19000000000005</v>
      </c>
      <c r="AA10" s="425">
        <v>587.85199999999998</v>
      </c>
      <c r="AB10" s="736">
        <v>615.46299999999997</v>
      </c>
      <c r="AC10" s="26">
        <v>555.20899999999995</v>
      </c>
      <c r="AD10" s="26">
        <v>511.09100000000001</v>
      </c>
      <c r="AE10" s="425">
        <v>558.97299999999996</v>
      </c>
      <c r="AF10" s="414">
        <v>582.78399999999999</v>
      </c>
      <c r="AG10" s="414">
        <v>543.93299999999999</v>
      </c>
      <c r="AH10" s="26">
        <v>509.767</v>
      </c>
      <c r="AI10" s="26">
        <v>532.16800000000001</v>
      </c>
      <c r="AJ10" s="736">
        <v>578.95500000000004</v>
      </c>
      <c r="AK10" s="414">
        <v>598.93700000000001</v>
      </c>
      <c r="AL10" s="414">
        <v>586.81600000000003</v>
      </c>
      <c r="AM10" s="26">
        <v>617.82299999999998</v>
      </c>
      <c r="AN10" s="736">
        <v>612.63300000000004</v>
      </c>
      <c r="AO10" s="414">
        <v>604.26199999999994</v>
      </c>
      <c r="AP10" s="414">
        <v>593.54899999999998</v>
      </c>
      <c r="AQ10" s="26">
        <v>566.9</v>
      </c>
      <c r="AR10" s="736">
        <v>549.00800000000004</v>
      </c>
      <c r="AS10" s="414">
        <v>527.572</v>
      </c>
      <c r="AT10" s="414">
        <v>566.23500000000001</v>
      </c>
      <c r="AU10" s="26">
        <v>571.06600000000003</v>
      </c>
      <c r="AV10" s="736">
        <v>574.98099999999999</v>
      </c>
      <c r="AW10" s="414">
        <v>579.20899999999995</v>
      </c>
      <c r="AX10" s="414">
        <v>585.68799999999999</v>
      </c>
      <c r="AY10" s="872">
        <v>609.452</v>
      </c>
      <c r="AZ10" s="736">
        <v>615.44600000000003</v>
      </c>
      <c r="BA10" s="414">
        <v>619.50300000000004</v>
      </c>
      <c r="BB10" s="414">
        <v>631.19299999999998</v>
      </c>
      <c r="BC10" s="872">
        <v>672.86199999999997</v>
      </c>
      <c r="BD10" s="878">
        <f>'BU-Segment'!BD34</f>
        <v>675.48616179999988</v>
      </c>
      <c r="BE10" s="662">
        <f>'BU-Segment'!BE34</f>
        <v>679.31777445900002</v>
      </c>
      <c r="BF10" s="662">
        <f>'BU-Segment'!BF34</f>
        <v>677.95561244033979</v>
      </c>
      <c r="BG10" s="583">
        <f>'BU-Segment'!BG34</f>
        <v>694.67595148030671</v>
      </c>
      <c r="BH10" s="878">
        <f>'BU-Segment'!BH34</f>
        <v>717.88707494190612</v>
      </c>
      <c r="BI10" s="662">
        <f>'BU-Segment'!BI34</f>
        <v>724.11364915427703</v>
      </c>
      <c r="BJ10" s="662">
        <f>'BU-Segment'!BJ34</f>
        <v>718.13838459623059</v>
      </c>
      <c r="BK10" s="583">
        <f>'BU-Segment'!BK34</f>
        <v>730.63013437598181</v>
      </c>
      <c r="BL10" s="269"/>
      <c r="BM10" s="667">
        <f>SUM(D10:G10)</f>
        <v>1726.25</v>
      </c>
      <c r="BN10" s="668">
        <f>SUM(H10:K10)</f>
        <v>1842.739</v>
      </c>
      <c r="BO10" s="668">
        <f>SUM(L10:O10)</f>
        <v>1841.3720000000001</v>
      </c>
      <c r="BP10" s="668">
        <f>SUM(P10:S10)</f>
        <v>1825.1839999999997</v>
      </c>
      <c r="BQ10" s="668">
        <f>SUM(T10:W10)</f>
        <v>1833.5540000000001</v>
      </c>
      <c r="BR10" s="668">
        <f>SUM(X10:AA10)</f>
        <v>2369.4450000000002</v>
      </c>
      <c r="BS10" s="668">
        <f>SUM(AB10:AE10)</f>
        <v>2240.7359999999999</v>
      </c>
      <c r="BT10" s="914">
        <f>SUM(AF10:AI10)</f>
        <v>2168.652</v>
      </c>
      <c r="BU10" s="915">
        <f>SUM(AJ10:AM10)</f>
        <v>2382.5309999999999</v>
      </c>
      <c r="BV10" s="915">
        <f>SUM(AN10:AQ10)</f>
        <v>2377.3440000000001</v>
      </c>
      <c r="BW10" s="915">
        <f>SUM(AR10:AU10)</f>
        <v>2213.8810000000003</v>
      </c>
      <c r="BX10" s="668">
        <f>SUM(AV10:AY10)</f>
        <v>2349.33</v>
      </c>
      <c r="BY10" s="668">
        <f>SUM(AZ10:BC10)</f>
        <v>2539.0039999999999</v>
      </c>
      <c r="BZ10" s="668">
        <f>SUM(BD10:BG10)</f>
        <v>2727.4355001796462</v>
      </c>
      <c r="CA10" s="668">
        <f>SUM(BH10:BK10)</f>
        <v>2890.7692430683956</v>
      </c>
      <c r="CB10" s="949">
        <f>'BU-Segment'!CB34</f>
        <v>3050.7118805066548</v>
      </c>
      <c r="CC10" s="20"/>
      <c r="CD10" s="27">
        <f>SUM(G10:J10)</f>
        <v>1871.6040000000003</v>
      </c>
      <c r="CE10" s="27">
        <f>SUM(K10:N10)</f>
        <v>1809.0840000000001</v>
      </c>
      <c r="CF10" s="27">
        <f>SUM(O10:R10)</f>
        <v>1905.9299999999998</v>
      </c>
      <c r="CG10" s="27">
        <f>SUM(S10:V10)</f>
        <v>1699.5480000000002</v>
      </c>
      <c r="CH10" s="27">
        <f>SUM(W10:Z10)</f>
        <v>2310.6130000000003</v>
      </c>
      <c r="CI10" s="27">
        <f>SUM(AA10:AD10)</f>
        <v>2269.6149999999998</v>
      </c>
      <c r="CJ10" s="27">
        <f>SUM(AE10:AH10)</f>
        <v>2195.4569999999999</v>
      </c>
      <c r="CK10" s="27">
        <f>SUM(AI10:AL10)</f>
        <v>2296.8760000000002</v>
      </c>
      <c r="CL10" s="27">
        <f>SUM(AM10:AP10)</f>
        <v>2428.2669999999998</v>
      </c>
      <c r="CM10" s="27">
        <f>SUM(AQ10:AT10)</f>
        <v>2209.7150000000001</v>
      </c>
      <c r="CN10" s="668">
        <f>SUM(AU10:AX10)</f>
        <v>2310.944</v>
      </c>
      <c r="CO10" s="668">
        <f>SUM(AY10:BB10)</f>
        <v>2475.5940000000001</v>
      </c>
      <c r="CP10" s="668">
        <f>SUM(BC10:BF10)</f>
        <v>2705.6215486993397</v>
      </c>
      <c r="CQ10" s="502">
        <f>SUM(BG10:BJ10)</f>
        <v>2854.8150601727202</v>
      </c>
      <c r="CR10" s="806"/>
      <c r="CS10" s="806"/>
      <c r="CZ10" s="8"/>
    </row>
    <row r="11" spans="1:104" ht="14.25" customHeight="1">
      <c r="A11" s="8"/>
      <c r="B11" s="36" t="s">
        <v>397</v>
      </c>
      <c r="C11" s="37"/>
      <c r="D11" s="40"/>
      <c r="E11" s="38">
        <f>E10/D10-1</f>
        <v>-1.5911036338833617E-2</v>
      </c>
      <c r="F11" s="38">
        <f>F10/E10-1</f>
        <v>0.12703012315474704</v>
      </c>
      <c r="G11" s="39">
        <f>G10/F10-1</f>
        <v>5.0559935943772727E-2</v>
      </c>
      <c r="H11" s="40">
        <f t="shared" ref="H11:X11" si="0">H10/G10-1</f>
        <v>1.9107120551640211E-2</v>
      </c>
      <c r="I11" s="38">
        <f t="shared" si="0"/>
        <v>-2.9462234243667007E-2</v>
      </c>
      <c r="J11" s="38">
        <f t="shared" si="0"/>
        <v>-3.5221970118583856E-2</v>
      </c>
      <c r="K11" s="39">
        <f t="shared" si="0"/>
        <v>-1.6091852016196229E-2</v>
      </c>
      <c r="L11" s="40">
        <f t="shared" si="0"/>
        <v>5.5020384601507377E-3</v>
      </c>
      <c r="M11" s="38">
        <f t="shared" si="0"/>
        <v>-2.2829616605966052E-3</v>
      </c>
      <c r="N11" s="38">
        <f t="shared" si="0"/>
        <v>6.7233992816266186E-2</v>
      </c>
      <c r="O11" s="39">
        <f t="shared" si="0"/>
        <v>2.0092416692292225E-3</v>
      </c>
      <c r="P11" s="40">
        <f t="shared" si="0"/>
        <v>2.6244324869682201E-2</v>
      </c>
      <c r="Q11" s="38">
        <f t="shared" si="0"/>
        <v>-9.6447282722234018E-3</v>
      </c>
      <c r="R11" s="38">
        <f t="shared" si="0"/>
        <v>-5.2012565739540051E-2</v>
      </c>
      <c r="S11" s="39">
        <f t="shared" si="0"/>
        <v>-0.13825217556344305</v>
      </c>
      <c r="T11" s="40">
        <f t="shared" si="0"/>
        <v>-4.7540087186783264E-2</v>
      </c>
      <c r="U11" s="38">
        <f t="shared" si="0"/>
        <v>0.10290111233670429</v>
      </c>
      <c r="V11" s="38">
        <f t="shared" si="0"/>
        <v>0.23713459452946162</v>
      </c>
      <c r="W11" s="39">
        <f t="shared" si="0"/>
        <v>3.0526990410032706E-2</v>
      </c>
      <c r="X11" s="40">
        <f t="shared" si="0"/>
        <v>0.12422403689841599</v>
      </c>
      <c r="Y11" s="38">
        <f t="shared" ref="Y11:BC11" si="1">Y10/X10-1</f>
        <v>4.1916006570971831E-2</v>
      </c>
      <c r="Z11" s="38">
        <f t="shared" si="1"/>
        <v>-8.4684329945486803E-2</v>
      </c>
      <c r="AA11" s="39">
        <f t="shared" si="1"/>
        <v>3.6428709956099148E-2</v>
      </c>
      <c r="AB11" s="40">
        <f t="shared" si="1"/>
        <v>4.6969305199267897E-2</v>
      </c>
      <c r="AC11" s="38">
        <f t="shared" si="1"/>
        <v>-9.790027995184114E-2</v>
      </c>
      <c r="AD11" s="38">
        <f t="shared" si="1"/>
        <v>-7.9461968375872716E-2</v>
      </c>
      <c r="AE11" s="39">
        <f t="shared" si="1"/>
        <v>9.3685860247979313E-2</v>
      </c>
      <c r="AF11" s="38">
        <f t="shared" si="1"/>
        <v>4.2597764113830205E-2</v>
      </c>
      <c r="AG11" s="38">
        <f t="shared" si="1"/>
        <v>-6.666449319130241E-2</v>
      </c>
      <c r="AH11" s="38">
        <f t="shared" si="1"/>
        <v>-6.2812883204365288E-2</v>
      </c>
      <c r="AI11" s="38">
        <f t="shared" si="1"/>
        <v>4.3943605608052216E-2</v>
      </c>
      <c r="AJ11" s="40">
        <f t="shared" si="1"/>
        <v>8.791772522962682E-2</v>
      </c>
      <c r="AK11" s="38">
        <f t="shared" si="1"/>
        <v>3.451390868029458E-2</v>
      </c>
      <c r="AL11" s="38">
        <f t="shared" si="1"/>
        <v>-2.0237520807697584E-2</v>
      </c>
      <c r="AM11" s="38">
        <f t="shared" si="1"/>
        <v>5.2839390882320814E-2</v>
      </c>
      <c r="AN11" s="40">
        <f t="shared" si="1"/>
        <v>-8.4004642106233485E-3</v>
      </c>
      <c r="AO11" s="38">
        <f t="shared" si="1"/>
        <v>-1.3663971741646463E-2</v>
      </c>
      <c r="AP11" s="38">
        <f t="shared" si="1"/>
        <v>-1.7729064544849682E-2</v>
      </c>
      <c r="AQ11" s="38">
        <f t="shared" si="1"/>
        <v>-4.4897725377348818E-2</v>
      </c>
      <c r="AR11" s="40">
        <f t="shared" si="1"/>
        <v>-3.1561121890985921E-2</v>
      </c>
      <c r="AS11" s="38">
        <f t="shared" si="1"/>
        <v>-3.9044968379331468E-2</v>
      </c>
      <c r="AT11" s="38">
        <f t="shared" si="1"/>
        <v>7.328478387784032E-2</v>
      </c>
      <c r="AU11" s="38">
        <f t="shared" si="1"/>
        <v>8.5317933366888532E-3</v>
      </c>
      <c r="AV11" s="40">
        <f t="shared" si="1"/>
        <v>6.8555998781225647E-3</v>
      </c>
      <c r="AW11" s="38">
        <f t="shared" si="1"/>
        <v>7.3532864564218592E-3</v>
      </c>
      <c r="AX11" s="38">
        <f t="shared" si="1"/>
        <v>1.1185944969777761E-2</v>
      </c>
      <c r="AY11" s="39">
        <f t="shared" si="1"/>
        <v>4.0574503831391384E-2</v>
      </c>
      <c r="AZ11" s="40">
        <f t="shared" si="1"/>
        <v>9.8350649435887672E-3</v>
      </c>
      <c r="BA11" s="38">
        <f t="shared" si="1"/>
        <v>6.591967451246683E-3</v>
      </c>
      <c r="BB11" s="38">
        <f t="shared" si="1"/>
        <v>1.8869965117198628E-2</v>
      </c>
      <c r="BC11" s="39">
        <f t="shared" si="1"/>
        <v>6.6016258101721625E-2</v>
      </c>
      <c r="BD11" s="40">
        <f t="shared" ref="BD11:BK11" si="2">BD10/BC10-1</f>
        <v>3.8999999999997925E-3</v>
      </c>
      <c r="BE11" s="38">
        <f t="shared" si="2"/>
        <v>5.6723777268654629E-3</v>
      </c>
      <c r="BF11" s="38">
        <f t="shared" si="2"/>
        <v>-2.0051911930981658E-3</v>
      </c>
      <c r="BG11" s="39">
        <f t="shared" si="2"/>
        <v>2.4662881659436531E-2</v>
      </c>
      <c r="BH11" s="40">
        <f t="shared" si="2"/>
        <v>3.3412878928856138E-2</v>
      </c>
      <c r="BI11" s="38">
        <f t="shared" si="2"/>
        <v>8.673473070781812E-3</v>
      </c>
      <c r="BJ11" s="38">
        <f t="shared" si="2"/>
        <v>-8.2518325196951903E-3</v>
      </c>
      <c r="BK11" s="39">
        <f t="shared" si="2"/>
        <v>1.7394627620099579E-2</v>
      </c>
      <c r="BL11" s="269"/>
      <c r="BM11" s="42"/>
      <c r="BN11" s="41"/>
      <c r="BO11" s="41"/>
      <c r="BP11" s="41"/>
      <c r="BQ11" s="41"/>
      <c r="BR11" s="41"/>
      <c r="BS11" s="41"/>
      <c r="BT11" s="42"/>
      <c r="BU11" s="41"/>
      <c r="BV11" s="41"/>
      <c r="BW11" s="41"/>
      <c r="BX11" s="41"/>
      <c r="BY11" s="41"/>
      <c r="BZ11" s="41"/>
      <c r="CA11" s="41"/>
      <c r="CB11" s="950"/>
      <c r="CC11" s="20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3"/>
      <c r="CR11" s="14"/>
      <c r="CS11" s="14"/>
      <c r="CZ11" s="8"/>
    </row>
    <row r="12" spans="1:104" ht="14.25" customHeight="1">
      <c r="A12" s="8"/>
      <c r="B12" s="36" t="s">
        <v>396</v>
      </c>
      <c r="C12" s="37"/>
      <c r="D12" s="40"/>
      <c r="E12" s="38"/>
      <c r="F12" s="38"/>
      <c r="G12" s="39"/>
      <c r="H12" s="40"/>
      <c r="I12" s="38"/>
      <c r="J12" s="38"/>
      <c r="K12" s="39"/>
      <c r="L12" s="40">
        <f t="shared" ref="L12:AF12" si="3">L10/H10-1</f>
        <v>-7.3645198416160906E-2</v>
      </c>
      <c r="M12" s="38">
        <f t="shared" si="3"/>
        <v>-4.7703240720921247E-2</v>
      </c>
      <c r="N12" s="38">
        <f t="shared" si="3"/>
        <v>5.3427256087414721E-2</v>
      </c>
      <c r="O12" s="39">
        <f t="shared" si="3"/>
        <v>7.2807302377602134E-2</v>
      </c>
      <c r="P12" s="40">
        <f t="shared" si="3"/>
        <v>9.4938014675541416E-2</v>
      </c>
      <c r="Q12" s="38">
        <f t="shared" si="3"/>
        <v>8.6858892230508689E-2</v>
      </c>
      <c r="R12" s="38">
        <f t="shared" si="3"/>
        <v>-3.4580439168839461E-2</v>
      </c>
      <c r="S12" s="39">
        <f t="shared" si="3"/>
        <v>-0.16972002690432142</v>
      </c>
      <c r="T12" s="40">
        <f t="shared" si="3"/>
        <v>-0.22941508993417248</v>
      </c>
      <c r="U12" s="38">
        <f t="shared" si="3"/>
        <v>-0.14184436764921815</v>
      </c>
      <c r="V12" s="38">
        <f t="shared" si="3"/>
        <v>0.11990305135180535</v>
      </c>
      <c r="W12" s="39">
        <f t="shared" si="3"/>
        <v>0.33924367237616893</v>
      </c>
      <c r="X12" s="40">
        <f t="shared" si="3"/>
        <v>0.58075936582189303</v>
      </c>
      <c r="Y12" s="38">
        <f t="shared" si="3"/>
        <v>0.49335100614531879</v>
      </c>
      <c r="Z12" s="38">
        <f t="shared" si="3"/>
        <v>0.10488186399505994</v>
      </c>
      <c r="AA12" s="39">
        <f t="shared" si="3"/>
        <v>0.11120940607160401</v>
      </c>
      <c r="AB12" s="40">
        <f t="shared" si="3"/>
        <v>3.4849017296721074E-2</v>
      </c>
      <c r="AC12" s="38">
        <f t="shared" si="3"/>
        <v>-0.10401893923500738</v>
      </c>
      <c r="AD12" s="38">
        <f t="shared" si="3"/>
        <v>-9.8906891870449098E-2</v>
      </c>
      <c r="AE12" s="39">
        <f t="shared" si="3"/>
        <v>-4.9126310704054821E-2</v>
      </c>
      <c r="AF12" s="38">
        <f t="shared" si="3"/>
        <v>-5.309661181906955E-2</v>
      </c>
      <c r="AG12" s="38">
        <f t="shared" ref="AG12:BC12" si="4">AG10/AC10-1</f>
        <v>-2.0309469046791317E-2</v>
      </c>
      <c r="AH12" s="38">
        <f t="shared" si="4"/>
        <v>-2.5905367145968583E-3</v>
      </c>
      <c r="AI12" s="38">
        <f t="shared" si="4"/>
        <v>-4.7954015668019712E-2</v>
      </c>
      <c r="AJ12" s="40">
        <f t="shared" si="4"/>
        <v>-6.5701872391829008E-3</v>
      </c>
      <c r="AK12" s="38">
        <f t="shared" si="4"/>
        <v>0.10112274857381331</v>
      </c>
      <c r="AL12" s="38">
        <f t="shared" si="4"/>
        <v>0.15114552334694098</v>
      </c>
      <c r="AM12" s="38">
        <f t="shared" si="4"/>
        <v>0.16095481126260869</v>
      </c>
      <c r="AN12" s="40">
        <f t="shared" si="4"/>
        <v>5.8170324118454797E-2</v>
      </c>
      <c r="AO12" s="38">
        <f t="shared" si="4"/>
        <v>8.8907514479819039E-3</v>
      </c>
      <c r="AP12" s="38">
        <f t="shared" si="4"/>
        <v>1.1473783945904481E-2</v>
      </c>
      <c r="AQ12" s="38">
        <f t="shared" si="4"/>
        <v>-8.242328304384916E-2</v>
      </c>
      <c r="AR12" s="40">
        <f t="shared" si="4"/>
        <v>-0.10385499964905576</v>
      </c>
      <c r="AS12" s="38">
        <f t="shared" si="4"/>
        <v>-0.12691514607901866</v>
      </c>
      <c r="AT12" s="38">
        <f t="shared" si="4"/>
        <v>-4.601810465521794E-2</v>
      </c>
      <c r="AU12" s="38">
        <f t="shared" si="4"/>
        <v>7.3487387546304905E-3</v>
      </c>
      <c r="AV12" s="40">
        <f t="shared" si="4"/>
        <v>4.7308964532392972E-2</v>
      </c>
      <c r="AW12" s="38">
        <f t="shared" si="4"/>
        <v>9.7876687921269356E-2</v>
      </c>
      <c r="AX12" s="38">
        <f t="shared" si="4"/>
        <v>3.4354993951274615E-2</v>
      </c>
      <c r="AY12" s="39">
        <f t="shared" si="4"/>
        <v>6.7218149916121739E-2</v>
      </c>
      <c r="AZ12" s="40">
        <f t="shared" si="4"/>
        <v>7.0376238519185952E-2</v>
      </c>
      <c r="BA12" s="38">
        <f t="shared" si="4"/>
        <v>6.9567289182316028E-2</v>
      </c>
      <c r="BB12" s="38">
        <f t="shared" si="4"/>
        <v>7.7694950212399805E-2</v>
      </c>
      <c r="BC12" s="39">
        <f t="shared" si="4"/>
        <v>0.10404428896779394</v>
      </c>
      <c r="BD12" s="40">
        <f t="shared" ref="BD12:BK12" si="5">BD10/AZ10-1</f>
        <v>9.7555531760706637E-2</v>
      </c>
      <c r="BE12" s="38">
        <f t="shared" si="5"/>
        <v>9.6552840678737484E-2</v>
      </c>
      <c r="BF12" s="38">
        <f t="shared" si="5"/>
        <v>7.4086075796689466E-2</v>
      </c>
      <c r="BG12" s="39">
        <f t="shared" si="5"/>
        <v>3.2419651399999916E-2</v>
      </c>
      <c r="BH12" s="40">
        <f t="shared" si="5"/>
        <v>6.2770957481820933E-2</v>
      </c>
      <c r="BI12" s="38">
        <f t="shared" si="5"/>
        <v>6.5942444581185589E-2</v>
      </c>
      <c r="BJ12" s="38">
        <f t="shared" si="5"/>
        <v>5.9270505942491836E-2</v>
      </c>
      <c r="BK12" s="39">
        <f t="shared" si="5"/>
        <v>5.1756769208807674E-2</v>
      </c>
      <c r="BL12" s="269"/>
      <c r="BM12" s="40"/>
      <c r="BN12" s="38"/>
      <c r="BO12" s="38">
        <f t="shared" ref="BO12:CB12" si="6">BO10/BN10-1</f>
        <v>-7.4183050339737822E-4</v>
      </c>
      <c r="BP12" s="38">
        <f t="shared" si="6"/>
        <v>-8.7912708567309261E-3</v>
      </c>
      <c r="BQ12" s="38">
        <f t="shared" si="6"/>
        <v>4.585839016778781E-3</v>
      </c>
      <c r="BR12" s="38">
        <f t="shared" si="6"/>
        <v>0.29226900325815341</v>
      </c>
      <c r="BS12" s="38">
        <f t="shared" si="6"/>
        <v>-5.4320315516924955E-2</v>
      </c>
      <c r="BT12" s="40">
        <f t="shared" si="6"/>
        <v>-3.2169787069962652E-2</v>
      </c>
      <c r="BU12" s="38">
        <f t="shared" si="6"/>
        <v>9.8623015587563145E-2</v>
      </c>
      <c r="BV12" s="38">
        <f t="shared" si="6"/>
        <v>-2.1770965414510401E-3</v>
      </c>
      <c r="BW12" s="38">
        <f t="shared" si="6"/>
        <v>-6.8758665132180985E-2</v>
      </c>
      <c r="BX12" s="38">
        <f t="shared" si="6"/>
        <v>6.1181698564647169E-2</v>
      </c>
      <c r="BY12" s="38">
        <f t="shared" si="6"/>
        <v>8.0735358591598416E-2</v>
      </c>
      <c r="BZ12" s="38">
        <f t="shared" si="6"/>
        <v>7.4214731516628607E-2</v>
      </c>
      <c r="CA12" s="38">
        <f t="shared" si="6"/>
        <v>5.9885464891100471E-2</v>
      </c>
      <c r="CB12" s="951">
        <f t="shared" si="6"/>
        <v>5.5328746084377434E-2</v>
      </c>
      <c r="CC12" s="20"/>
      <c r="CD12" s="38"/>
      <c r="CE12" s="38"/>
      <c r="CF12" s="38">
        <f t="shared" ref="CF12:CQ12" si="7">CF10/CE10-1</f>
        <v>5.3533169272405035E-2</v>
      </c>
      <c r="CG12" s="38">
        <f t="shared" si="7"/>
        <v>-0.108284144748233</v>
      </c>
      <c r="CH12" s="38">
        <f t="shared" si="7"/>
        <v>0.35954559682927467</v>
      </c>
      <c r="CI12" s="38">
        <f t="shared" si="7"/>
        <v>-1.7743343433106462E-2</v>
      </c>
      <c r="CJ12" s="38">
        <f t="shared" si="7"/>
        <v>-3.2674264137309561E-2</v>
      </c>
      <c r="CK12" s="38">
        <f t="shared" si="7"/>
        <v>4.6194938001518748E-2</v>
      </c>
      <c r="CL12" s="38">
        <f t="shared" si="7"/>
        <v>5.7204219992720295E-2</v>
      </c>
      <c r="CM12" s="38">
        <f t="shared" si="7"/>
        <v>-9.0003282176136179E-2</v>
      </c>
      <c r="CN12" s="38">
        <f t="shared" si="7"/>
        <v>4.5810885114143662E-2</v>
      </c>
      <c r="CO12" s="38">
        <f t="shared" si="7"/>
        <v>7.1247940235678708E-2</v>
      </c>
      <c r="CP12" s="38">
        <f t="shared" si="7"/>
        <v>9.2918123367296657E-2</v>
      </c>
      <c r="CQ12" s="39">
        <f t="shared" si="7"/>
        <v>5.5142047321844245E-2</v>
      </c>
      <c r="CR12" s="14"/>
      <c r="CS12" s="14"/>
      <c r="CZ12" s="8"/>
    </row>
    <row r="13" spans="1:104" ht="14.25" customHeight="1">
      <c r="A13" s="8"/>
      <c r="B13" s="23"/>
      <c r="C13" s="24"/>
      <c r="D13" s="46"/>
      <c r="E13" s="44"/>
      <c r="F13" s="44"/>
      <c r="G13" s="45"/>
      <c r="H13" s="46"/>
      <c r="I13" s="44"/>
      <c r="J13" s="44"/>
      <c r="K13" s="45"/>
      <c r="L13" s="46"/>
      <c r="M13" s="44"/>
      <c r="N13" s="44"/>
      <c r="O13" s="45"/>
      <c r="P13" s="46"/>
      <c r="Q13" s="44"/>
      <c r="R13" s="44"/>
      <c r="S13" s="45"/>
      <c r="T13" s="46"/>
      <c r="U13" s="44"/>
      <c r="V13" s="44"/>
      <c r="W13" s="45"/>
      <c r="X13" s="46"/>
      <c r="Y13" s="44"/>
      <c r="Z13" s="44"/>
      <c r="AA13" s="45"/>
      <c r="AB13" s="46"/>
      <c r="AC13" s="44"/>
      <c r="AD13" s="44"/>
      <c r="AE13" s="45"/>
      <c r="AF13" s="44"/>
      <c r="AG13" s="44"/>
      <c r="AH13" s="44"/>
      <c r="AI13" s="44"/>
      <c r="AJ13" s="46"/>
      <c r="AK13" s="44"/>
      <c r="AL13" s="44"/>
      <c r="AM13" s="44"/>
      <c r="AN13" s="46"/>
      <c r="AO13" s="44"/>
      <c r="AP13" s="44"/>
      <c r="AQ13" s="44"/>
      <c r="AR13" s="46"/>
      <c r="AS13" s="44"/>
      <c r="AT13" s="44"/>
      <c r="AU13" s="44"/>
      <c r="AV13" s="46"/>
      <c r="AW13" s="44"/>
      <c r="AX13" s="44"/>
      <c r="AY13" s="45"/>
      <c r="AZ13" s="46"/>
      <c r="BA13" s="44"/>
      <c r="BB13" s="44"/>
      <c r="BC13" s="45"/>
      <c r="BD13" s="46"/>
      <c r="BE13" s="44"/>
      <c r="BF13" s="44"/>
      <c r="BG13" s="45"/>
      <c r="BH13" s="46"/>
      <c r="BI13" s="44"/>
      <c r="BJ13" s="44"/>
      <c r="BK13" s="45"/>
      <c r="BL13" s="269"/>
      <c r="BM13" s="57"/>
      <c r="BN13" s="47"/>
      <c r="BO13" s="47"/>
      <c r="BP13" s="47"/>
      <c r="BQ13" s="47"/>
      <c r="BR13" s="47"/>
      <c r="BS13" s="47"/>
      <c r="BT13" s="57"/>
      <c r="BU13" s="47"/>
      <c r="BV13" s="47"/>
      <c r="BW13" s="47"/>
      <c r="BX13" s="47"/>
      <c r="BY13" s="47"/>
      <c r="BZ13" s="47"/>
      <c r="CA13" s="47"/>
      <c r="CB13" s="942"/>
      <c r="CC13" s="20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8"/>
      <c r="CR13" s="14"/>
      <c r="CS13" s="14"/>
      <c r="CZ13" s="8"/>
    </row>
    <row r="14" spans="1:104" s="617" customFormat="1" ht="14.25" customHeight="1">
      <c r="A14" s="614"/>
      <c r="B14" s="631" t="s">
        <v>185</v>
      </c>
      <c r="C14" s="632"/>
      <c r="D14" s="619">
        <v>158.482</v>
      </c>
      <c r="E14" s="633">
        <v>153.96799999999999</v>
      </c>
      <c r="F14" s="633">
        <v>166.476</v>
      </c>
      <c r="G14" s="634">
        <v>178.19300000000001</v>
      </c>
      <c r="H14" s="619">
        <v>192.059</v>
      </c>
      <c r="I14" s="633">
        <v>180.58</v>
      </c>
      <c r="J14" s="633">
        <v>177.96299999999999</v>
      </c>
      <c r="K14" s="634">
        <v>168.041</v>
      </c>
      <c r="L14" s="619">
        <v>168.47800000000001</v>
      </c>
      <c r="M14" s="633">
        <v>170.12200000000001</v>
      </c>
      <c r="N14" s="633">
        <v>174.41399999999999</v>
      </c>
      <c r="O14" s="634">
        <v>173.97399999999999</v>
      </c>
      <c r="P14" s="619">
        <v>176.506</v>
      </c>
      <c r="Q14" s="633">
        <v>177.40700000000001</v>
      </c>
      <c r="R14" s="633">
        <v>165.33099999999999</v>
      </c>
      <c r="S14" s="634">
        <v>149.90700000000001</v>
      </c>
      <c r="T14" s="619">
        <v>143.822</v>
      </c>
      <c r="U14" s="633">
        <v>158.17699999999999</v>
      </c>
      <c r="V14" s="633">
        <v>184.32</v>
      </c>
      <c r="W14" s="634">
        <v>185.48400000000001</v>
      </c>
      <c r="X14" s="619">
        <v>208.17599999999999</v>
      </c>
      <c r="Y14" s="633">
        <v>213.26</v>
      </c>
      <c r="Z14" s="633">
        <v>194.41900000000001</v>
      </c>
      <c r="AA14" s="634">
        <v>203.703</v>
      </c>
      <c r="AB14" s="619">
        <v>223.13200000000001</v>
      </c>
      <c r="AC14" s="633">
        <v>200.56399999999999</v>
      </c>
      <c r="AD14" s="633">
        <v>174.80500000000001</v>
      </c>
      <c r="AE14" s="634">
        <v>187.577</v>
      </c>
      <c r="AF14" s="633">
        <v>198.411</v>
      </c>
      <c r="AG14" s="633">
        <v>187.71299999999999</v>
      </c>
      <c r="AH14" s="633">
        <v>170.49299999999999</v>
      </c>
      <c r="AI14" s="633">
        <v>180.589</v>
      </c>
      <c r="AJ14" s="619">
        <v>179.7</v>
      </c>
      <c r="AK14" s="633">
        <v>182.816</v>
      </c>
      <c r="AL14" s="633">
        <v>180.792</v>
      </c>
      <c r="AM14" s="633">
        <v>199.94499999999999</v>
      </c>
      <c r="AN14" s="619">
        <v>189.18899999999999</v>
      </c>
      <c r="AO14" s="633">
        <v>169.61699999999999</v>
      </c>
      <c r="AP14" s="633">
        <v>179.63800000000001</v>
      </c>
      <c r="AQ14" s="633">
        <v>170.37899999999999</v>
      </c>
      <c r="AR14" s="619">
        <v>159.95400000000001</v>
      </c>
      <c r="AS14" s="633">
        <v>157.63999999999999</v>
      </c>
      <c r="AT14" s="633">
        <v>178.51400000000001</v>
      </c>
      <c r="AU14" s="633">
        <v>175.79900000000001</v>
      </c>
      <c r="AV14" s="619">
        <v>168.297</v>
      </c>
      <c r="AW14" s="633">
        <v>175.875</v>
      </c>
      <c r="AX14" s="633">
        <v>178.233</v>
      </c>
      <c r="AY14" s="634">
        <v>185.81100000000001</v>
      </c>
      <c r="AZ14" s="619">
        <v>192.095</v>
      </c>
      <c r="BA14" s="633">
        <v>184.786</v>
      </c>
      <c r="BB14" s="633">
        <v>182.15600000000001</v>
      </c>
      <c r="BC14" s="634">
        <v>197.33099999999999</v>
      </c>
      <c r="BD14" s="622">
        <f t="shared" ref="BD14:BK14" si="8">BD10*(1-BD22)</f>
        <v>202.64584854</v>
      </c>
      <c r="BE14" s="620">
        <f t="shared" si="8"/>
        <v>203.79533233770005</v>
      </c>
      <c r="BF14" s="620">
        <f t="shared" si="8"/>
        <v>203.38668373210197</v>
      </c>
      <c r="BG14" s="621">
        <f t="shared" si="8"/>
        <v>208.40278544409205</v>
      </c>
      <c r="BH14" s="622">
        <f t="shared" si="8"/>
        <v>215.36612248257188</v>
      </c>
      <c r="BI14" s="620">
        <f t="shared" si="8"/>
        <v>217.23409474628315</v>
      </c>
      <c r="BJ14" s="620">
        <f t="shared" si="8"/>
        <v>215.44151537886921</v>
      </c>
      <c r="BK14" s="621">
        <f t="shared" si="8"/>
        <v>219.18904031279459</v>
      </c>
      <c r="BL14" s="664"/>
      <c r="BM14" s="622">
        <f>SUM(D14:G14)</f>
        <v>657.11900000000003</v>
      </c>
      <c r="BN14" s="620">
        <f>SUM(H14:K14)</f>
        <v>718.64300000000003</v>
      </c>
      <c r="BO14" s="620">
        <f>SUM(L14:O14)</f>
        <v>686.98800000000006</v>
      </c>
      <c r="BP14" s="620">
        <f>SUM(P14:S14)</f>
        <v>669.15100000000007</v>
      </c>
      <c r="BQ14" s="620">
        <f>SUM(T14:W14)</f>
        <v>671.803</v>
      </c>
      <c r="BR14" s="620">
        <f>SUM(X14:AA14)</f>
        <v>819.55799999999999</v>
      </c>
      <c r="BS14" s="620">
        <f>SUM(AB14:AE14)</f>
        <v>786.07799999999997</v>
      </c>
      <c r="BT14" s="622">
        <f>SUM(AF14:AI14)</f>
        <v>737.2059999999999</v>
      </c>
      <c r="BU14" s="620">
        <f>SUM(AJ14:AM14)</f>
        <v>743.25299999999993</v>
      </c>
      <c r="BV14" s="620">
        <f>SUM(AN14:AQ14)</f>
        <v>708.82299999999998</v>
      </c>
      <c r="BW14" s="620">
        <f>SUM(AR14:AU14)</f>
        <v>671.90700000000004</v>
      </c>
      <c r="BX14" s="620">
        <f>SUM(AV14:AY14)</f>
        <v>708.21600000000001</v>
      </c>
      <c r="BY14" s="620">
        <f>SUM(AZ14:BC14)</f>
        <v>756.36800000000005</v>
      </c>
      <c r="BZ14" s="620">
        <f>SUM(BD14:BG14)</f>
        <v>818.23065005389401</v>
      </c>
      <c r="CA14" s="620">
        <f>SUM(BH14:BK14)</f>
        <v>867.2307729205188</v>
      </c>
      <c r="CB14" s="952">
        <f>CB10*(1-CB22)</f>
        <v>915.21356415199659</v>
      </c>
      <c r="CC14" s="616"/>
      <c r="CD14" s="620">
        <f>SUM(G14:J14)</f>
        <v>728.79499999999996</v>
      </c>
      <c r="CE14" s="620">
        <f>SUM(K14:N14)</f>
        <v>681.05500000000006</v>
      </c>
      <c r="CF14" s="620">
        <f>SUM(O14:R14)</f>
        <v>693.21800000000007</v>
      </c>
      <c r="CG14" s="620">
        <f>SUM(S14:V14)</f>
        <v>636.22600000000011</v>
      </c>
      <c r="CH14" s="620">
        <f>SUM(W14:Z14)</f>
        <v>801.33899999999994</v>
      </c>
      <c r="CI14" s="620">
        <f>SUM(AA14:AD14)</f>
        <v>802.20399999999995</v>
      </c>
      <c r="CJ14" s="620">
        <f>SUM(AE14:AH14)</f>
        <v>744.19399999999996</v>
      </c>
      <c r="CK14" s="620">
        <f>SUM(AI14:AL14)</f>
        <v>723.89700000000005</v>
      </c>
      <c r="CL14" s="620">
        <f>SUM(AM14:AP14)</f>
        <v>738.38900000000001</v>
      </c>
      <c r="CM14" s="620">
        <f>SUM(AQ14:AT14)</f>
        <v>666.48699999999997</v>
      </c>
      <c r="CN14" s="620">
        <f>SUM(AU14:AX14)</f>
        <v>698.20399999999995</v>
      </c>
      <c r="CO14" s="620">
        <f>SUM(AY14:BB14)</f>
        <v>744.84799999999996</v>
      </c>
      <c r="CP14" s="620">
        <f>SUM(BC14:BF14)</f>
        <v>807.15886460980209</v>
      </c>
      <c r="CQ14" s="621">
        <f>SUM(BG14:BJ14)</f>
        <v>856.44451805181632</v>
      </c>
      <c r="CR14" s="806"/>
      <c r="CS14" s="806"/>
      <c r="CT14"/>
      <c r="CU14"/>
      <c r="CV14"/>
      <c r="CW14"/>
      <c r="CX14"/>
      <c r="CY14"/>
      <c r="CZ14" s="614"/>
    </row>
    <row r="15" spans="1:104" ht="14.25" hidden="1" customHeight="1" outlineLevel="1">
      <c r="A15" s="8"/>
      <c r="B15" s="36" t="s">
        <v>386</v>
      </c>
      <c r="C15" s="37"/>
      <c r="D15" s="40">
        <f t="shared" ref="D15:AM15" si="9">D14/D10</f>
        <v>0.3909477303955064</v>
      </c>
      <c r="E15" s="38">
        <f t="shared" si="9"/>
        <v>0.38595339020226654</v>
      </c>
      <c r="F15" s="38">
        <f t="shared" si="9"/>
        <v>0.37027168292167567</v>
      </c>
      <c r="G15" s="39">
        <f t="shared" si="9"/>
        <v>0.37725818642198267</v>
      </c>
      <c r="H15" s="40">
        <f t="shared" si="9"/>
        <v>0.39899078032748742</v>
      </c>
      <c r="I15" s="38">
        <f t="shared" si="9"/>
        <v>0.38653195770366883</v>
      </c>
      <c r="J15" s="38">
        <f t="shared" si="9"/>
        <v>0.39483720672250261</v>
      </c>
      <c r="K15" s="39">
        <f t="shared" si="9"/>
        <v>0.37892132986975502</v>
      </c>
      <c r="L15" s="40">
        <f t="shared" si="9"/>
        <v>0.37782791223380402</v>
      </c>
      <c r="M15" s="38">
        <f t="shared" si="9"/>
        <v>0.38238771482645306</v>
      </c>
      <c r="N15" s="38">
        <f t="shared" si="9"/>
        <v>0.36733739674730309</v>
      </c>
      <c r="O15" s="39">
        <f t="shared" si="9"/>
        <v>0.36567597107785438</v>
      </c>
      <c r="P15" s="40">
        <f t="shared" si="9"/>
        <v>0.36151038615779751</v>
      </c>
      <c r="Q15" s="38">
        <f t="shared" si="9"/>
        <v>0.3668943638232442</v>
      </c>
      <c r="R15" s="38">
        <f t="shared" si="9"/>
        <v>0.36067994947500692</v>
      </c>
      <c r="S15" s="39">
        <f t="shared" si="9"/>
        <v>0.37949794184509916</v>
      </c>
      <c r="T15" s="40">
        <f t="shared" si="9"/>
        <v>0.38226640264728162</v>
      </c>
      <c r="U15" s="38">
        <f t="shared" si="9"/>
        <v>0.38119532473792023</v>
      </c>
      <c r="V15" s="38">
        <f t="shared" si="9"/>
        <v>0.35905397692408086</v>
      </c>
      <c r="W15" s="39">
        <f t="shared" si="9"/>
        <v>0.35061812407848475</v>
      </c>
      <c r="X15" s="40">
        <f t="shared" si="9"/>
        <v>0.35003034954946471</v>
      </c>
      <c r="Y15" s="38">
        <f t="shared" si="9"/>
        <v>0.34415314056281926</v>
      </c>
      <c r="Z15" s="38">
        <f t="shared" si="9"/>
        <v>0.34277578941800807</v>
      </c>
      <c r="AA15" s="39">
        <f t="shared" si="9"/>
        <v>0.34652089301388789</v>
      </c>
      <c r="AB15" s="40">
        <f t="shared" si="9"/>
        <v>0.362543321044482</v>
      </c>
      <c r="AC15" s="38">
        <f t="shared" si="9"/>
        <v>0.36124054185000604</v>
      </c>
      <c r="AD15" s="38">
        <f t="shared" si="9"/>
        <v>0.34202324047967975</v>
      </c>
      <c r="AE15" s="39">
        <f t="shared" si="9"/>
        <v>0.33557434795598357</v>
      </c>
      <c r="AF15" s="38">
        <f t="shared" si="9"/>
        <v>0.34045375301998682</v>
      </c>
      <c r="AG15" s="38">
        <f t="shared" si="9"/>
        <v>0.34510316527954726</v>
      </c>
      <c r="AH15" s="38">
        <f t="shared" si="9"/>
        <v>0.33445279902386776</v>
      </c>
      <c r="AI15" s="38">
        <f t="shared" si="9"/>
        <v>0.33934584567279508</v>
      </c>
      <c r="AJ15" s="40">
        <f t="shared" si="9"/>
        <v>0.31038681762831305</v>
      </c>
      <c r="AK15" s="38">
        <f t="shared" si="9"/>
        <v>0.3052341064252167</v>
      </c>
      <c r="AL15" s="38">
        <f t="shared" si="9"/>
        <v>0.30808975897044388</v>
      </c>
      <c r="AM15" s="38">
        <f t="shared" si="9"/>
        <v>0.32362828836090596</v>
      </c>
      <c r="AN15" s="40">
        <f t="shared" ref="AN15:AS15" si="10">AN14/AN10</f>
        <v>0.30881294347513111</v>
      </c>
      <c r="AO15" s="38">
        <f t="shared" si="10"/>
        <v>0.28070108661474658</v>
      </c>
      <c r="AP15" s="38">
        <f t="shared" si="10"/>
        <v>0.3026506657411604</v>
      </c>
      <c r="AQ15" s="38">
        <f t="shared" si="10"/>
        <v>0.30054506967719175</v>
      </c>
      <c r="AR15" s="40">
        <f t="shared" si="10"/>
        <v>0.29135094570570919</v>
      </c>
      <c r="AS15" s="38">
        <f t="shared" si="10"/>
        <v>0.29880281743534531</v>
      </c>
      <c r="AT15" s="38">
        <f t="shared" ref="AT15:AY15" si="11">AT14/AT10</f>
        <v>0.31526486352839372</v>
      </c>
      <c r="AU15" s="38">
        <f t="shared" si="11"/>
        <v>0.30784357674944751</v>
      </c>
      <c r="AV15" s="40">
        <f t="shared" si="11"/>
        <v>0.29270010661221851</v>
      </c>
      <c r="AW15" s="38">
        <f t="shared" si="11"/>
        <v>0.30364687012805397</v>
      </c>
      <c r="AX15" s="38">
        <f t="shared" si="11"/>
        <v>0.30431390091652893</v>
      </c>
      <c r="AY15" s="39">
        <f t="shared" si="11"/>
        <v>0.30488209079632195</v>
      </c>
      <c r="AZ15" s="40">
        <f t="shared" ref="AZ15:BK15" si="12">AZ14/AZ10</f>
        <v>0.31212324070673947</v>
      </c>
      <c r="BA15" s="38">
        <f t="shared" si="12"/>
        <v>0.29828104141545719</v>
      </c>
      <c r="BB15" s="38">
        <f t="shared" si="12"/>
        <v>0.28859001921757688</v>
      </c>
      <c r="BC15" s="39">
        <f t="shared" si="12"/>
        <v>0.29327113137612171</v>
      </c>
      <c r="BD15" s="40">
        <f t="shared" si="12"/>
        <v>0.30000000000000004</v>
      </c>
      <c r="BE15" s="38">
        <f t="shared" si="12"/>
        <v>0.30000000000000004</v>
      </c>
      <c r="BF15" s="38">
        <f t="shared" si="12"/>
        <v>0.30000000000000004</v>
      </c>
      <c r="BG15" s="39">
        <f t="shared" si="12"/>
        <v>0.30000000000000004</v>
      </c>
      <c r="BH15" s="40">
        <f t="shared" si="12"/>
        <v>0.30000000000000004</v>
      </c>
      <c r="BI15" s="38">
        <f t="shared" si="12"/>
        <v>0.30000000000000004</v>
      </c>
      <c r="BJ15" s="38">
        <f t="shared" si="12"/>
        <v>0.30000000000000004</v>
      </c>
      <c r="BK15" s="39">
        <f t="shared" si="12"/>
        <v>0.30000000000000004</v>
      </c>
      <c r="BL15" s="269"/>
      <c r="BM15" s="40">
        <f t="shared" ref="BM15:BW15" si="13">BM14/BM10</f>
        <v>0.38066270818247649</v>
      </c>
      <c r="BN15" s="38">
        <f t="shared" si="13"/>
        <v>0.38998631927798783</v>
      </c>
      <c r="BO15" s="38">
        <f t="shared" si="13"/>
        <v>0.3730848519473523</v>
      </c>
      <c r="BP15" s="38">
        <f t="shared" si="13"/>
        <v>0.36662111874747977</v>
      </c>
      <c r="BQ15" s="38">
        <f t="shared" si="13"/>
        <v>0.36639389949791495</v>
      </c>
      <c r="BR15" s="38">
        <f t="shared" si="13"/>
        <v>0.345886061925894</v>
      </c>
      <c r="BS15" s="38">
        <f t="shared" si="13"/>
        <v>0.35081241163617671</v>
      </c>
      <c r="BT15" s="40">
        <f t="shared" si="13"/>
        <v>0.33993743578960567</v>
      </c>
      <c r="BU15" s="38">
        <f t="shared" si="13"/>
        <v>0.3119594246622604</v>
      </c>
      <c r="BV15" s="38">
        <f t="shared" si="13"/>
        <v>0.29815752369030313</v>
      </c>
      <c r="BW15" s="38">
        <f t="shared" si="13"/>
        <v>0.30349734244975224</v>
      </c>
      <c r="BX15" s="38">
        <f>BX14/BX10</f>
        <v>0.30145445722823105</v>
      </c>
      <c r="BY15" s="38">
        <f>BY14/BY10</f>
        <v>0.29789949129658722</v>
      </c>
      <c r="BZ15" s="38">
        <f>BZ14/BZ10</f>
        <v>0.30000000000000004</v>
      </c>
      <c r="CA15" s="38">
        <f>CA14/CA10</f>
        <v>0.30000000000000004</v>
      </c>
      <c r="CB15" s="951">
        <f>CB14/CB10</f>
        <v>0.30000000000000004</v>
      </c>
      <c r="CC15" s="20"/>
      <c r="CD15" s="38">
        <f t="shared" ref="CD15:CM15" si="14">CD14/CD10</f>
        <v>0.38939594059427091</v>
      </c>
      <c r="CE15" s="38">
        <f t="shared" si="14"/>
        <v>0.37646400056603235</v>
      </c>
      <c r="CF15" s="38">
        <f t="shared" si="14"/>
        <v>0.36371640091713764</v>
      </c>
      <c r="CG15" s="38">
        <f t="shared" si="14"/>
        <v>0.37435012132637618</v>
      </c>
      <c r="CH15" s="38">
        <f t="shared" si="14"/>
        <v>0.34680796827508537</v>
      </c>
      <c r="CI15" s="38">
        <f t="shared" si="14"/>
        <v>0.35345377960579216</v>
      </c>
      <c r="CJ15" s="38">
        <f t="shared" si="14"/>
        <v>0.33896997299423309</v>
      </c>
      <c r="CK15" s="38">
        <f t="shared" si="14"/>
        <v>0.31516590360123925</v>
      </c>
      <c r="CL15" s="38">
        <f t="shared" si="14"/>
        <v>0.30408064681519786</v>
      </c>
      <c r="CM15" s="38">
        <f t="shared" si="14"/>
        <v>0.30161672432870301</v>
      </c>
      <c r="CN15" s="38">
        <f>CN14/CN10</f>
        <v>0.30212934627580762</v>
      </c>
      <c r="CO15" s="38">
        <f>CO14/CO10</f>
        <v>0.30087647651432342</v>
      </c>
      <c r="CP15" s="38">
        <f>CP14/CP10</f>
        <v>0.29832659523199895</v>
      </c>
      <c r="CQ15" s="39">
        <f>CQ14/CQ10</f>
        <v>0.3000000000000001</v>
      </c>
      <c r="CR15" s="14"/>
      <c r="CS15" s="14"/>
      <c r="CZ15" s="8"/>
    </row>
    <row r="16" spans="1:104" ht="14.25" hidden="1" customHeight="1" outlineLevel="1">
      <c r="A16" s="8"/>
      <c r="B16" s="317"/>
      <c r="D16" s="751"/>
      <c r="E16" s="783"/>
      <c r="F16" s="783"/>
      <c r="G16" s="754"/>
      <c r="H16" s="751"/>
      <c r="I16" s="783"/>
      <c r="J16" s="783"/>
      <c r="K16" s="754"/>
      <c r="L16" s="751"/>
      <c r="M16" s="783"/>
      <c r="N16" s="783"/>
      <c r="O16" s="754"/>
      <c r="P16" s="751"/>
      <c r="Q16" s="783"/>
      <c r="R16" s="783"/>
      <c r="S16" s="754"/>
      <c r="T16" s="751"/>
      <c r="U16" s="783"/>
      <c r="V16" s="783"/>
      <c r="W16" s="754"/>
      <c r="X16" s="751"/>
      <c r="Y16" s="783"/>
      <c r="Z16" s="783"/>
      <c r="AA16" s="754"/>
      <c r="AB16" s="751"/>
      <c r="AC16" s="783"/>
      <c r="AD16" s="783"/>
      <c r="AE16" s="754"/>
      <c r="AJ16" s="317"/>
      <c r="AL16" s="418"/>
      <c r="AN16" s="317"/>
      <c r="AP16" s="418"/>
      <c r="AR16" s="317"/>
      <c r="AT16" s="418"/>
      <c r="AV16" s="317"/>
      <c r="AW16" s="783"/>
      <c r="AX16" s="783"/>
      <c r="AY16" s="754"/>
      <c r="AZ16" s="887"/>
      <c r="BA16" s="902"/>
      <c r="BB16" s="902"/>
      <c r="BC16" s="926"/>
      <c r="BD16" s="317"/>
      <c r="BE16" s="418"/>
      <c r="BF16" s="418"/>
      <c r="BG16" s="663"/>
      <c r="BH16" s="317"/>
      <c r="BI16" s="418"/>
      <c r="BJ16" s="418"/>
      <c r="BK16" s="663"/>
      <c r="BL16" s="754"/>
      <c r="BM16" s="317"/>
      <c r="BN16" s="418"/>
      <c r="BO16" s="418"/>
      <c r="BP16" s="418"/>
      <c r="BQ16" s="418"/>
      <c r="BR16" s="418"/>
      <c r="BS16" s="418"/>
      <c r="BT16" s="317"/>
      <c r="BU16" s="418"/>
      <c r="BV16" s="418"/>
      <c r="BW16" s="418"/>
      <c r="BX16" s="418"/>
      <c r="BY16" s="418"/>
      <c r="BZ16" s="418"/>
      <c r="CA16" s="418"/>
      <c r="CB16" s="754"/>
      <c r="CC16" s="853"/>
      <c r="CD16" s="783"/>
      <c r="CL16" s="783"/>
      <c r="CM16" s="783"/>
      <c r="CN16" s="783"/>
      <c r="CO16" s="783"/>
      <c r="CP16" s="783"/>
      <c r="CQ16" s="754"/>
      <c r="CR16" s="14"/>
      <c r="CS16" s="14"/>
      <c r="CZ16" s="8"/>
    </row>
    <row r="17" spans="1:104" s="617" customFormat="1" ht="14.25" hidden="1" customHeight="1" outlineLevel="1">
      <c r="A17" s="614"/>
      <c r="B17" s="615" t="s">
        <v>382</v>
      </c>
      <c r="C17" s="618"/>
      <c r="D17" s="619">
        <v>0</v>
      </c>
      <c r="E17" s="620">
        <f>+D17</f>
        <v>0</v>
      </c>
      <c r="F17" s="620">
        <f t="shared" ref="F17:AT17" si="15">+E17</f>
        <v>0</v>
      </c>
      <c r="G17" s="621">
        <f t="shared" si="15"/>
        <v>0</v>
      </c>
      <c r="H17" s="622">
        <f t="shared" si="15"/>
        <v>0</v>
      </c>
      <c r="I17" s="620">
        <f t="shared" si="15"/>
        <v>0</v>
      </c>
      <c r="J17" s="620">
        <f t="shared" si="15"/>
        <v>0</v>
      </c>
      <c r="K17" s="621">
        <f t="shared" si="15"/>
        <v>0</v>
      </c>
      <c r="L17" s="622">
        <f t="shared" si="15"/>
        <v>0</v>
      </c>
      <c r="M17" s="620">
        <f t="shared" si="15"/>
        <v>0</v>
      </c>
      <c r="N17" s="620">
        <f t="shared" si="15"/>
        <v>0</v>
      </c>
      <c r="O17" s="621">
        <f t="shared" si="15"/>
        <v>0</v>
      </c>
      <c r="P17" s="622">
        <f t="shared" si="15"/>
        <v>0</v>
      </c>
      <c r="Q17" s="620">
        <f t="shared" si="15"/>
        <v>0</v>
      </c>
      <c r="R17" s="620">
        <f t="shared" si="15"/>
        <v>0</v>
      </c>
      <c r="S17" s="621">
        <f t="shared" si="15"/>
        <v>0</v>
      </c>
      <c r="T17" s="622">
        <f t="shared" si="15"/>
        <v>0</v>
      </c>
      <c r="U17" s="620">
        <f t="shared" si="15"/>
        <v>0</v>
      </c>
      <c r="V17" s="620">
        <f t="shared" si="15"/>
        <v>0</v>
      </c>
      <c r="W17" s="621">
        <f t="shared" si="15"/>
        <v>0</v>
      </c>
      <c r="X17" s="622">
        <f t="shared" si="15"/>
        <v>0</v>
      </c>
      <c r="Y17" s="620">
        <f t="shared" si="15"/>
        <v>0</v>
      </c>
      <c r="Z17" s="620">
        <f t="shared" si="15"/>
        <v>0</v>
      </c>
      <c r="AA17" s="621">
        <f t="shared" si="15"/>
        <v>0</v>
      </c>
      <c r="AB17" s="622">
        <f t="shared" si="15"/>
        <v>0</v>
      </c>
      <c r="AC17" s="620">
        <f t="shared" si="15"/>
        <v>0</v>
      </c>
      <c r="AD17" s="620">
        <f t="shared" si="15"/>
        <v>0</v>
      </c>
      <c r="AE17" s="621">
        <f t="shared" si="15"/>
        <v>0</v>
      </c>
      <c r="AF17" s="620">
        <f t="shared" si="15"/>
        <v>0</v>
      </c>
      <c r="AG17" s="620">
        <f t="shared" si="15"/>
        <v>0</v>
      </c>
      <c r="AH17" s="620">
        <f t="shared" si="15"/>
        <v>0</v>
      </c>
      <c r="AI17" s="620">
        <f t="shared" si="15"/>
        <v>0</v>
      </c>
      <c r="AJ17" s="622">
        <f>+AI17</f>
        <v>0</v>
      </c>
      <c r="AK17" s="620">
        <f>+AJ17</f>
        <v>0</v>
      </c>
      <c r="AL17" s="620">
        <f t="shared" si="15"/>
        <v>0</v>
      </c>
      <c r="AM17" s="620">
        <v>0</v>
      </c>
      <c r="AN17" s="622">
        <f>+AM17</f>
        <v>0</v>
      </c>
      <c r="AO17" s="620">
        <f>+AN17</f>
        <v>0</v>
      </c>
      <c r="AP17" s="620">
        <f t="shared" si="15"/>
        <v>0</v>
      </c>
      <c r="AQ17" s="620">
        <v>0</v>
      </c>
      <c r="AR17" s="622">
        <f>+AQ17</f>
        <v>0</v>
      </c>
      <c r="AS17" s="620">
        <f>+AR17</f>
        <v>0</v>
      </c>
      <c r="AT17" s="620">
        <f t="shared" si="15"/>
        <v>0</v>
      </c>
      <c r="AU17" s="620">
        <v>0</v>
      </c>
      <c r="AV17" s="622">
        <f t="shared" ref="AV17:BB17" si="16">+AU17</f>
        <v>0</v>
      </c>
      <c r="AW17" s="620">
        <f t="shared" si="16"/>
        <v>0</v>
      </c>
      <c r="AX17" s="620">
        <f t="shared" si="16"/>
        <v>0</v>
      </c>
      <c r="AY17" s="621">
        <v>0</v>
      </c>
      <c r="AZ17" s="622">
        <f t="shared" si="16"/>
        <v>0</v>
      </c>
      <c r="BA17" s="620">
        <f t="shared" si="16"/>
        <v>0</v>
      </c>
      <c r="BB17" s="620">
        <f t="shared" si="16"/>
        <v>0</v>
      </c>
      <c r="BC17" s="621">
        <v>0</v>
      </c>
      <c r="BD17" s="622">
        <f t="shared" ref="BD17:BK17" si="17">+BC17</f>
        <v>0</v>
      </c>
      <c r="BE17" s="620">
        <f t="shared" si="17"/>
        <v>0</v>
      </c>
      <c r="BF17" s="620">
        <f t="shared" si="17"/>
        <v>0</v>
      </c>
      <c r="BG17" s="621">
        <f t="shared" si="17"/>
        <v>0</v>
      </c>
      <c r="BH17" s="622">
        <f t="shared" si="17"/>
        <v>0</v>
      </c>
      <c r="BI17" s="620">
        <f t="shared" si="17"/>
        <v>0</v>
      </c>
      <c r="BJ17" s="620">
        <f t="shared" si="17"/>
        <v>0</v>
      </c>
      <c r="BK17" s="621">
        <f t="shared" si="17"/>
        <v>0</v>
      </c>
      <c r="BL17" s="664"/>
      <c r="BM17" s="622">
        <f>SUM(D17:G17)</f>
        <v>0</v>
      </c>
      <c r="BN17" s="620">
        <f>SUM(H17:K17)</f>
        <v>0</v>
      </c>
      <c r="BO17" s="620">
        <f>SUM(L17:O17)</f>
        <v>0</v>
      </c>
      <c r="BP17" s="620">
        <f>SUM(P17:S17)</f>
        <v>0</v>
      </c>
      <c r="BQ17" s="620">
        <f>SUM(T17:W17)</f>
        <v>0</v>
      </c>
      <c r="BR17" s="620">
        <f>SUM(X17:AA17)</f>
        <v>0</v>
      </c>
      <c r="BS17" s="620">
        <f>SUM(AB17:AE17)</f>
        <v>0</v>
      </c>
      <c r="BT17" s="622">
        <f>SUM(AF17:AI17)</f>
        <v>0</v>
      </c>
      <c r="BU17" s="620">
        <f>SUM(AJ17:AM17)</f>
        <v>0</v>
      </c>
      <c r="BV17" s="620">
        <f>SUM(AN17:AQ17)</f>
        <v>0</v>
      </c>
      <c r="BW17" s="620">
        <f>SUM(AR17:AU17)</f>
        <v>0</v>
      </c>
      <c r="BX17" s="620">
        <f>SUM(AV17:AY17)</f>
        <v>0</v>
      </c>
      <c r="BY17" s="620">
        <f>SUM(AZ17:BC17)</f>
        <v>0</v>
      </c>
      <c r="BZ17" s="620">
        <f>SUM(BD17:BG17)</f>
        <v>0</v>
      </c>
      <c r="CA17" s="620">
        <f>SUM(BH17:BK17)</f>
        <v>0</v>
      </c>
      <c r="CB17" s="952">
        <f>+CA17</f>
        <v>0</v>
      </c>
      <c r="CC17" s="616"/>
      <c r="CD17" s="620">
        <f>SUM(G17:J17)</f>
        <v>0</v>
      </c>
      <c r="CE17" s="620">
        <f>SUM(K17:N17)</f>
        <v>0</v>
      </c>
      <c r="CF17" s="620">
        <f>SUM(O17:R17)</f>
        <v>0</v>
      </c>
      <c r="CG17" s="620">
        <f>SUM(S17:V17)</f>
        <v>0</v>
      </c>
      <c r="CH17" s="620">
        <f>SUM(W17:Z17)</f>
        <v>0</v>
      </c>
      <c r="CI17" s="620">
        <f>SUM(AA17:AD17)</f>
        <v>0</v>
      </c>
      <c r="CJ17" s="620">
        <f>SUM(AE17:AH17)</f>
        <v>0</v>
      </c>
      <c r="CK17" s="620">
        <f>SUM(AI17:AL17)</f>
        <v>0</v>
      </c>
      <c r="CL17" s="620">
        <f>SUM(AM17:AP17)</f>
        <v>0</v>
      </c>
      <c r="CM17" s="620">
        <f>SUM(AQ17:AT17)</f>
        <v>0</v>
      </c>
      <c r="CN17" s="620">
        <f>SUM(AU17:AX17)</f>
        <v>0</v>
      </c>
      <c r="CO17" s="620">
        <f>SUM(AY17:BB17)</f>
        <v>0</v>
      </c>
      <c r="CP17" s="620">
        <f>SUM(BC17:BF17)</f>
        <v>0</v>
      </c>
      <c r="CQ17" s="621">
        <f>SUM(BG17:BJ17)</f>
        <v>0</v>
      </c>
      <c r="CR17" s="806"/>
      <c r="CS17" s="806"/>
      <c r="CT17"/>
      <c r="CU17"/>
      <c r="CV17"/>
      <c r="CW17"/>
      <c r="CX17"/>
      <c r="CY17"/>
      <c r="CZ17" s="614"/>
    </row>
    <row r="18" spans="1:104" ht="14.25" hidden="1" customHeight="1" outlineLevel="1">
      <c r="A18" s="8"/>
      <c r="B18" s="23" t="s">
        <v>0</v>
      </c>
      <c r="C18" s="24"/>
      <c r="D18" s="35">
        <f>+D14-D17</f>
        <v>158.482</v>
      </c>
      <c r="E18" s="33">
        <f t="shared" ref="E18:AM18" si="18">+E14-E17</f>
        <v>153.96799999999999</v>
      </c>
      <c r="F18" s="33">
        <f t="shared" si="18"/>
        <v>166.476</v>
      </c>
      <c r="G18" s="34">
        <f t="shared" si="18"/>
        <v>178.19300000000001</v>
      </c>
      <c r="H18" s="35">
        <f t="shared" si="18"/>
        <v>192.059</v>
      </c>
      <c r="I18" s="33">
        <f t="shared" si="18"/>
        <v>180.58</v>
      </c>
      <c r="J18" s="33">
        <f t="shared" si="18"/>
        <v>177.96299999999999</v>
      </c>
      <c r="K18" s="34">
        <f t="shared" si="18"/>
        <v>168.041</v>
      </c>
      <c r="L18" s="35">
        <f t="shared" si="18"/>
        <v>168.47800000000001</v>
      </c>
      <c r="M18" s="33">
        <f t="shared" si="18"/>
        <v>170.12200000000001</v>
      </c>
      <c r="N18" s="33">
        <f t="shared" si="18"/>
        <v>174.41399999999999</v>
      </c>
      <c r="O18" s="34">
        <f t="shared" si="18"/>
        <v>173.97399999999999</v>
      </c>
      <c r="P18" s="35">
        <f t="shared" si="18"/>
        <v>176.506</v>
      </c>
      <c r="Q18" s="33">
        <f t="shared" si="18"/>
        <v>177.40700000000001</v>
      </c>
      <c r="R18" s="33">
        <f t="shared" si="18"/>
        <v>165.33099999999999</v>
      </c>
      <c r="S18" s="34">
        <f t="shared" si="18"/>
        <v>149.90700000000001</v>
      </c>
      <c r="T18" s="35">
        <f t="shared" si="18"/>
        <v>143.822</v>
      </c>
      <c r="U18" s="33">
        <f t="shared" si="18"/>
        <v>158.17699999999999</v>
      </c>
      <c r="V18" s="33">
        <f t="shared" si="18"/>
        <v>184.32</v>
      </c>
      <c r="W18" s="34">
        <f t="shared" si="18"/>
        <v>185.48400000000001</v>
      </c>
      <c r="X18" s="35">
        <f t="shared" si="18"/>
        <v>208.17599999999999</v>
      </c>
      <c r="Y18" s="33">
        <f t="shared" si="18"/>
        <v>213.26</v>
      </c>
      <c r="Z18" s="33">
        <f t="shared" si="18"/>
        <v>194.41900000000001</v>
      </c>
      <c r="AA18" s="34">
        <f t="shared" si="18"/>
        <v>203.703</v>
      </c>
      <c r="AB18" s="35">
        <f t="shared" si="18"/>
        <v>223.13200000000001</v>
      </c>
      <c r="AC18" s="33">
        <f t="shared" si="18"/>
        <v>200.56399999999999</v>
      </c>
      <c r="AD18" s="33">
        <f t="shared" si="18"/>
        <v>174.80500000000001</v>
      </c>
      <c r="AE18" s="34">
        <f t="shared" si="18"/>
        <v>187.577</v>
      </c>
      <c r="AF18" s="33">
        <f t="shared" si="18"/>
        <v>198.411</v>
      </c>
      <c r="AG18" s="33">
        <f t="shared" si="18"/>
        <v>187.71299999999999</v>
      </c>
      <c r="AH18" s="33">
        <f t="shared" si="18"/>
        <v>170.49299999999999</v>
      </c>
      <c r="AI18" s="33">
        <f t="shared" si="18"/>
        <v>180.589</v>
      </c>
      <c r="AJ18" s="35">
        <f t="shared" si="18"/>
        <v>179.7</v>
      </c>
      <c r="AK18" s="33">
        <f t="shared" si="18"/>
        <v>182.816</v>
      </c>
      <c r="AL18" s="33">
        <f t="shared" si="18"/>
        <v>180.792</v>
      </c>
      <c r="AM18" s="33">
        <f t="shared" si="18"/>
        <v>199.94499999999999</v>
      </c>
      <c r="AN18" s="35">
        <f t="shared" ref="AN18:AS18" si="19">+AN14-AN17</f>
        <v>189.18899999999999</v>
      </c>
      <c r="AO18" s="33">
        <f t="shared" si="19"/>
        <v>169.61699999999999</v>
      </c>
      <c r="AP18" s="33">
        <f t="shared" si="19"/>
        <v>179.63800000000001</v>
      </c>
      <c r="AQ18" s="33">
        <f t="shared" si="19"/>
        <v>170.37899999999999</v>
      </c>
      <c r="AR18" s="35">
        <f t="shared" si="19"/>
        <v>159.95400000000001</v>
      </c>
      <c r="AS18" s="33">
        <f t="shared" si="19"/>
        <v>157.63999999999999</v>
      </c>
      <c r="AT18" s="33">
        <f t="shared" ref="AT18:AY18" si="20">+AT14-AT17</f>
        <v>178.51400000000001</v>
      </c>
      <c r="AU18" s="33">
        <f t="shared" si="20"/>
        <v>175.79900000000001</v>
      </c>
      <c r="AV18" s="35">
        <f t="shared" si="20"/>
        <v>168.297</v>
      </c>
      <c r="AW18" s="33">
        <f t="shared" si="20"/>
        <v>175.875</v>
      </c>
      <c r="AX18" s="33">
        <f t="shared" si="20"/>
        <v>178.233</v>
      </c>
      <c r="AY18" s="34">
        <f t="shared" si="20"/>
        <v>185.81100000000001</v>
      </c>
      <c r="AZ18" s="35">
        <f t="shared" ref="AZ18:BK18" si="21">+AZ14-AZ17</f>
        <v>192.095</v>
      </c>
      <c r="BA18" s="33">
        <f t="shared" si="21"/>
        <v>184.786</v>
      </c>
      <c r="BB18" s="33">
        <f t="shared" si="21"/>
        <v>182.15600000000001</v>
      </c>
      <c r="BC18" s="34">
        <f t="shared" si="21"/>
        <v>197.33099999999999</v>
      </c>
      <c r="BD18" s="35">
        <f t="shared" si="21"/>
        <v>202.64584854</v>
      </c>
      <c r="BE18" s="33">
        <f t="shared" si="21"/>
        <v>203.79533233770005</v>
      </c>
      <c r="BF18" s="33">
        <f t="shared" si="21"/>
        <v>203.38668373210197</v>
      </c>
      <c r="BG18" s="34">
        <f t="shared" si="21"/>
        <v>208.40278544409205</v>
      </c>
      <c r="BH18" s="35">
        <f t="shared" si="21"/>
        <v>215.36612248257188</v>
      </c>
      <c r="BI18" s="33">
        <f t="shared" si="21"/>
        <v>217.23409474628315</v>
      </c>
      <c r="BJ18" s="33">
        <f t="shared" si="21"/>
        <v>215.44151537886921</v>
      </c>
      <c r="BK18" s="34">
        <f t="shared" si="21"/>
        <v>219.18904031279459</v>
      </c>
      <c r="BL18" s="269"/>
      <c r="BM18" s="35">
        <f t="shared" ref="BM18:BW18" si="22">+BM14-BM17</f>
        <v>657.11900000000003</v>
      </c>
      <c r="BN18" s="33">
        <f t="shared" si="22"/>
        <v>718.64300000000003</v>
      </c>
      <c r="BO18" s="33">
        <f t="shared" si="22"/>
        <v>686.98800000000006</v>
      </c>
      <c r="BP18" s="33">
        <f t="shared" si="22"/>
        <v>669.15100000000007</v>
      </c>
      <c r="BQ18" s="33">
        <f t="shared" si="22"/>
        <v>671.803</v>
      </c>
      <c r="BR18" s="33">
        <f t="shared" si="22"/>
        <v>819.55799999999999</v>
      </c>
      <c r="BS18" s="33">
        <f t="shared" si="22"/>
        <v>786.07799999999997</v>
      </c>
      <c r="BT18" s="35">
        <f t="shared" si="22"/>
        <v>737.2059999999999</v>
      </c>
      <c r="BU18" s="33">
        <f t="shared" si="22"/>
        <v>743.25299999999993</v>
      </c>
      <c r="BV18" s="33">
        <f t="shared" si="22"/>
        <v>708.82299999999998</v>
      </c>
      <c r="BW18" s="33">
        <f t="shared" si="22"/>
        <v>671.90700000000004</v>
      </c>
      <c r="BX18" s="33">
        <f>+BX14-BX17</f>
        <v>708.21600000000001</v>
      </c>
      <c r="BY18" s="33">
        <f>+BY14-BY17</f>
        <v>756.36800000000005</v>
      </c>
      <c r="BZ18" s="33">
        <f>+BZ14-BZ17</f>
        <v>818.23065005389401</v>
      </c>
      <c r="CA18" s="33">
        <f>+CA14-CA17</f>
        <v>867.2307729205188</v>
      </c>
      <c r="CB18" s="953">
        <f>+CB14-CB17</f>
        <v>915.21356415199659</v>
      </c>
      <c r="CC18" s="20"/>
      <c r="CD18" s="33">
        <f t="shared" ref="CD18:CM18" si="23">+CD14-CD17</f>
        <v>728.79499999999996</v>
      </c>
      <c r="CE18" s="33">
        <f t="shared" si="23"/>
        <v>681.05500000000006</v>
      </c>
      <c r="CF18" s="33">
        <f t="shared" si="23"/>
        <v>693.21800000000007</v>
      </c>
      <c r="CG18" s="33">
        <f t="shared" si="23"/>
        <v>636.22600000000011</v>
      </c>
      <c r="CH18" s="33">
        <f t="shared" si="23"/>
        <v>801.33899999999994</v>
      </c>
      <c r="CI18" s="33">
        <f t="shared" si="23"/>
        <v>802.20399999999995</v>
      </c>
      <c r="CJ18" s="33">
        <f t="shared" si="23"/>
        <v>744.19399999999996</v>
      </c>
      <c r="CK18" s="33">
        <f t="shared" si="23"/>
        <v>723.89700000000005</v>
      </c>
      <c r="CL18" s="33">
        <f t="shared" si="23"/>
        <v>738.38900000000001</v>
      </c>
      <c r="CM18" s="33">
        <f t="shared" si="23"/>
        <v>666.48699999999997</v>
      </c>
      <c r="CN18" s="33">
        <f>+CN14-CN17</f>
        <v>698.20399999999995</v>
      </c>
      <c r="CO18" s="33">
        <f>+CO14-CO17</f>
        <v>744.84799999999996</v>
      </c>
      <c r="CP18" s="33">
        <f>+CP14-CP17</f>
        <v>807.15886460980209</v>
      </c>
      <c r="CQ18" s="34">
        <f>+CQ14-CQ17</f>
        <v>856.44451805181632</v>
      </c>
      <c r="CR18" s="806"/>
      <c r="CS18" s="806"/>
      <c r="CZ18" s="8"/>
    </row>
    <row r="19" spans="1:104" ht="14.25" hidden="1" customHeight="1" outlineLevel="1">
      <c r="A19" s="8"/>
      <c r="B19" s="36" t="s">
        <v>386</v>
      </c>
      <c r="C19" s="37"/>
      <c r="D19" s="40">
        <f t="shared" ref="D19:AM19" si="24">D18/D10</f>
        <v>0.3909477303955064</v>
      </c>
      <c r="E19" s="38">
        <f t="shared" si="24"/>
        <v>0.38595339020226654</v>
      </c>
      <c r="F19" s="38">
        <f t="shared" si="24"/>
        <v>0.37027168292167567</v>
      </c>
      <c r="G19" s="39">
        <f t="shared" si="24"/>
        <v>0.37725818642198267</v>
      </c>
      <c r="H19" s="40">
        <f t="shared" si="24"/>
        <v>0.39899078032748742</v>
      </c>
      <c r="I19" s="38">
        <f t="shared" si="24"/>
        <v>0.38653195770366883</v>
      </c>
      <c r="J19" s="38">
        <f t="shared" si="24"/>
        <v>0.39483720672250261</v>
      </c>
      <c r="K19" s="39">
        <f t="shared" si="24"/>
        <v>0.37892132986975502</v>
      </c>
      <c r="L19" s="40">
        <f t="shared" si="24"/>
        <v>0.37782791223380402</v>
      </c>
      <c r="M19" s="38">
        <f t="shared" si="24"/>
        <v>0.38238771482645306</v>
      </c>
      <c r="N19" s="38">
        <f t="shared" si="24"/>
        <v>0.36733739674730309</v>
      </c>
      <c r="O19" s="39">
        <f t="shared" si="24"/>
        <v>0.36567597107785438</v>
      </c>
      <c r="P19" s="40">
        <f t="shared" si="24"/>
        <v>0.36151038615779751</v>
      </c>
      <c r="Q19" s="38">
        <f t="shared" si="24"/>
        <v>0.3668943638232442</v>
      </c>
      <c r="R19" s="38">
        <f t="shared" si="24"/>
        <v>0.36067994947500692</v>
      </c>
      <c r="S19" s="39">
        <f t="shared" si="24"/>
        <v>0.37949794184509916</v>
      </c>
      <c r="T19" s="40">
        <f t="shared" si="24"/>
        <v>0.38226640264728162</v>
      </c>
      <c r="U19" s="38">
        <f t="shared" si="24"/>
        <v>0.38119532473792023</v>
      </c>
      <c r="V19" s="38">
        <f t="shared" si="24"/>
        <v>0.35905397692408086</v>
      </c>
      <c r="W19" s="39">
        <f t="shared" si="24"/>
        <v>0.35061812407848475</v>
      </c>
      <c r="X19" s="40">
        <f t="shared" si="24"/>
        <v>0.35003034954946471</v>
      </c>
      <c r="Y19" s="38">
        <f t="shared" si="24"/>
        <v>0.34415314056281926</v>
      </c>
      <c r="Z19" s="38">
        <f t="shared" si="24"/>
        <v>0.34277578941800807</v>
      </c>
      <c r="AA19" s="39">
        <f t="shared" si="24"/>
        <v>0.34652089301388789</v>
      </c>
      <c r="AB19" s="40">
        <f t="shared" si="24"/>
        <v>0.362543321044482</v>
      </c>
      <c r="AC19" s="38">
        <f t="shared" si="24"/>
        <v>0.36124054185000604</v>
      </c>
      <c r="AD19" s="38">
        <f t="shared" si="24"/>
        <v>0.34202324047967975</v>
      </c>
      <c r="AE19" s="39">
        <f t="shared" si="24"/>
        <v>0.33557434795598357</v>
      </c>
      <c r="AF19" s="38">
        <f t="shared" si="24"/>
        <v>0.34045375301998682</v>
      </c>
      <c r="AG19" s="38">
        <f t="shared" si="24"/>
        <v>0.34510316527954726</v>
      </c>
      <c r="AH19" s="38">
        <f t="shared" si="24"/>
        <v>0.33445279902386776</v>
      </c>
      <c r="AI19" s="38">
        <f t="shared" si="24"/>
        <v>0.33934584567279508</v>
      </c>
      <c r="AJ19" s="40">
        <f t="shared" si="24"/>
        <v>0.31038681762831305</v>
      </c>
      <c r="AK19" s="38">
        <f t="shared" si="24"/>
        <v>0.3052341064252167</v>
      </c>
      <c r="AL19" s="38">
        <f t="shared" si="24"/>
        <v>0.30808975897044388</v>
      </c>
      <c r="AM19" s="38">
        <f t="shared" si="24"/>
        <v>0.32362828836090596</v>
      </c>
      <c r="AN19" s="40">
        <f t="shared" ref="AN19:AS19" si="25">AN18/AN10</f>
        <v>0.30881294347513111</v>
      </c>
      <c r="AO19" s="38">
        <f t="shared" si="25"/>
        <v>0.28070108661474658</v>
      </c>
      <c r="AP19" s="38">
        <f t="shared" si="25"/>
        <v>0.3026506657411604</v>
      </c>
      <c r="AQ19" s="38">
        <f t="shared" si="25"/>
        <v>0.30054506967719175</v>
      </c>
      <c r="AR19" s="40">
        <f t="shared" si="25"/>
        <v>0.29135094570570919</v>
      </c>
      <c r="AS19" s="38">
        <f t="shared" si="25"/>
        <v>0.29880281743534531</v>
      </c>
      <c r="AT19" s="38">
        <f t="shared" ref="AT19:AY19" si="26">AT18/AT10</f>
        <v>0.31526486352839372</v>
      </c>
      <c r="AU19" s="38">
        <f t="shared" si="26"/>
        <v>0.30784357674944751</v>
      </c>
      <c r="AV19" s="40">
        <f t="shared" si="26"/>
        <v>0.29270010661221851</v>
      </c>
      <c r="AW19" s="38">
        <f t="shared" si="26"/>
        <v>0.30364687012805397</v>
      </c>
      <c r="AX19" s="38">
        <f t="shared" si="26"/>
        <v>0.30431390091652893</v>
      </c>
      <c r="AY19" s="39">
        <f t="shared" si="26"/>
        <v>0.30488209079632195</v>
      </c>
      <c r="AZ19" s="40">
        <f t="shared" ref="AZ19:BK19" si="27">AZ18/AZ10</f>
        <v>0.31212324070673947</v>
      </c>
      <c r="BA19" s="38">
        <f t="shared" si="27"/>
        <v>0.29828104141545719</v>
      </c>
      <c r="BB19" s="38">
        <f t="shared" si="27"/>
        <v>0.28859001921757688</v>
      </c>
      <c r="BC19" s="39">
        <f t="shared" si="27"/>
        <v>0.29327113137612171</v>
      </c>
      <c r="BD19" s="40">
        <f t="shared" si="27"/>
        <v>0.30000000000000004</v>
      </c>
      <c r="BE19" s="38">
        <f t="shared" si="27"/>
        <v>0.30000000000000004</v>
      </c>
      <c r="BF19" s="38">
        <f t="shared" si="27"/>
        <v>0.30000000000000004</v>
      </c>
      <c r="BG19" s="39">
        <f t="shared" si="27"/>
        <v>0.30000000000000004</v>
      </c>
      <c r="BH19" s="40">
        <f t="shared" si="27"/>
        <v>0.30000000000000004</v>
      </c>
      <c r="BI19" s="38">
        <f t="shared" si="27"/>
        <v>0.30000000000000004</v>
      </c>
      <c r="BJ19" s="38">
        <f t="shared" si="27"/>
        <v>0.30000000000000004</v>
      </c>
      <c r="BK19" s="39">
        <f t="shared" si="27"/>
        <v>0.30000000000000004</v>
      </c>
      <c r="BL19" s="269"/>
      <c r="BM19" s="40">
        <f t="shared" ref="BM19:BW19" si="28">BM18/BM10</f>
        <v>0.38066270818247649</v>
      </c>
      <c r="BN19" s="38">
        <f t="shared" si="28"/>
        <v>0.38998631927798783</v>
      </c>
      <c r="BO19" s="38">
        <f t="shared" si="28"/>
        <v>0.3730848519473523</v>
      </c>
      <c r="BP19" s="38">
        <f t="shared" si="28"/>
        <v>0.36662111874747977</v>
      </c>
      <c r="BQ19" s="38">
        <f t="shared" si="28"/>
        <v>0.36639389949791495</v>
      </c>
      <c r="BR19" s="38">
        <f t="shared" si="28"/>
        <v>0.345886061925894</v>
      </c>
      <c r="BS19" s="38">
        <f t="shared" si="28"/>
        <v>0.35081241163617671</v>
      </c>
      <c r="BT19" s="40">
        <f t="shared" si="28"/>
        <v>0.33993743578960567</v>
      </c>
      <c r="BU19" s="38">
        <f t="shared" si="28"/>
        <v>0.3119594246622604</v>
      </c>
      <c r="BV19" s="38">
        <f t="shared" si="28"/>
        <v>0.29815752369030313</v>
      </c>
      <c r="BW19" s="38">
        <f t="shared" si="28"/>
        <v>0.30349734244975224</v>
      </c>
      <c r="BX19" s="38">
        <f>BX18/BX10</f>
        <v>0.30145445722823105</v>
      </c>
      <c r="BY19" s="38">
        <f>BY18/BY10</f>
        <v>0.29789949129658722</v>
      </c>
      <c r="BZ19" s="38">
        <f>BZ18/BZ10</f>
        <v>0.30000000000000004</v>
      </c>
      <c r="CA19" s="38">
        <f>CA18/CA10</f>
        <v>0.30000000000000004</v>
      </c>
      <c r="CB19" s="951">
        <f>CB18/CB10</f>
        <v>0.30000000000000004</v>
      </c>
      <c r="CC19" s="20"/>
      <c r="CD19" s="38">
        <f t="shared" ref="CD19:CM19" si="29">CD18/CD10</f>
        <v>0.38939594059427091</v>
      </c>
      <c r="CE19" s="38">
        <f t="shared" si="29"/>
        <v>0.37646400056603235</v>
      </c>
      <c r="CF19" s="38">
        <f t="shared" si="29"/>
        <v>0.36371640091713764</v>
      </c>
      <c r="CG19" s="38">
        <f t="shared" si="29"/>
        <v>0.37435012132637618</v>
      </c>
      <c r="CH19" s="38">
        <f t="shared" si="29"/>
        <v>0.34680796827508537</v>
      </c>
      <c r="CI19" s="38">
        <f t="shared" si="29"/>
        <v>0.35345377960579216</v>
      </c>
      <c r="CJ19" s="38">
        <f t="shared" si="29"/>
        <v>0.33896997299423309</v>
      </c>
      <c r="CK19" s="38">
        <f t="shared" si="29"/>
        <v>0.31516590360123925</v>
      </c>
      <c r="CL19" s="38">
        <f t="shared" si="29"/>
        <v>0.30408064681519786</v>
      </c>
      <c r="CM19" s="38">
        <f t="shared" si="29"/>
        <v>0.30161672432870301</v>
      </c>
      <c r="CN19" s="38">
        <f>CN18/CN10</f>
        <v>0.30212934627580762</v>
      </c>
      <c r="CO19" s="38">
        <f>CO18/CO10</f>
        <v>0.30087647651432342</v>
      </c>
      <c r="CP19" s="38">
        <f>CP18/CP10</f>
        <v>0.29832659523199895</v>
      </c>
      <c r="CQ19" s="39">
        <f>CQ18/CQ10</f>
        <v>0.3000000000000001</v>
      </c>
      <c r="CR19" s="14"/>
      <c r="CS19" s="14"/>
      <c r="CZ19" s="8"/>
    </row>
    <row r="20" spans="1:104" ht="14.25" hidden="1" customHeight="1" outlineLevel="1">
      <c r="A20" s="8"/>
      <c r="B20" s="23"/>
      <c r="C20" s="24"/>
      <c r="D20" s="46"/>
      <c r="E20" s="44"/>
      <c r="F20" s="49"/>
      <c r="G20" s="45"/>
      <c r="H20" s="46"/>
      <c r="I20" s="44"/>
      <c r="J20" s="49"/>
      <c r="K20" s="45"/>
      <c r="L20" s="46"/>
      <c r="M20" s="44"/>
      <c r="N20" s="49"/>
      <c r="O20" s="45"/>
      <c r="P20" s="46"/>
      <c r="Q20" s="44"/>
      <c r="R20" s="49"/>
      <c r="S20" s="45"/>
      <c r="T20" s="46"/>
      <c r="U20" s="44"/>
      <c r="V20" s="49"/>
      <c r="W20" s="45"/>
      <c r="X20" s="46"/>
      <c r="Y20" s="44"/>
      <c r="Z20" s="49"/>
      <c r="AA20" s="45"/>
      <c r="AB20" s="46"/>
      <c r="AC20" s="44"/>
      <c r="AD20" s="44"/>
      <c r="AE20" s="45"/>
      <c r="AF20" s="44"/>
      <c r="AG20" s="44"/>
      <c r="AH20" s="44"/>
      <c r="AI20" s="44"/>
      <c r="AJ20" s="46"/>
      <c r="AK20" s="44"/>
      <c r="AL20" s="44"/>
      <c r="AM20" s="44"/>
      <c r="AN20" s="46"/>
      <c r="AO20" s="44"/>
      <c r="AP20" s="44"/>
      <c r="AQ20" s="44"/>
      <c r="AR20" s="46"/>
      <c r="AS20" s="44"/>
      <c r="AT20" s="44"/>
      <c r="AU20" s="44"/>
      <c r="AV20" s="46"/>
      <c r="AW20" s="44"/>
      <c r="AX20" s="44"/>
      <c r="AY20" s="45"/>
      <c r="AZ20" s="46"/>
      <c r="BA20" s="44"/>
      <c r="BB20" s="44"/>
      <c r="BC20" s="45"/>
      <c r="BD20" s="46"/>
      <c r="BE20" s="44"/>
      <c r="BF20" s="44"/>
      <c r="BG20" s="45"/>
      <c r="BH20" s="46"/>
      <c r="BI20" s="44"/>
      <c r="BJ20" s="44"/>
      <c r="BK20" s="45"/>
      <c r="BL20" s="269"/>
      <c r="BM20" s="57"/>
      <c r="BN20" s="47"/>
      <c r="BO20" s="47"/>
      <c r="BP20" s="47"/>
      <c r="BQ20" s="47"/>
      <c r="BR20" s="47"/>
      <c r="BS20" s="47"/>
      <c r="BT20" s="57"/>
      <c r="BU20" s="47"/>
      <c r="BV20" s="47"/>
      <c r="BW20" s="47"/>
      <c r="BX20" s="47"/>
      <c r="BY20" s="47"/>
      <c r="BZ20" s="47"/>
      <c r="CA20" s="47"/>
      <c r="CB20" s="942"/>
      <c r="CC20" s="20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8"/>
      <c r="CR20" s="14"/>
      <c r="CS20" s="14"/>
      <c r="CZ20" s="8"/>
    </row>
    <row r="21" spans="1:104" ht="14.25" customHeight="1" collapsed="1">
      <c r="A21" s="8"/>
      <c r="B21" s="50" t="s">
        <v>186</v>
      </c>
      <c r="C21" s="51"/>
      <c r="D21" s="52">
        <f t="shared" ref="D21:AI21" si="30">D10-D14</f>
        <v>246.89700000000002</v>
      </c>
      <c r="E21" s="53">
        <f t="shared" si="30"/>
        <v>244.96099999999998</v>
      </c>
      <c r="F21" s="53">
        <f t="shared" si="30"/>
        <v>283.12900000000002</v>
      </c>
      <c r="G21" s="54">
        <f t="shared" si="30"/>
        <v>294.14400000000001</v>
      </c>
      <c r="H21" s="52">
        <f t="shared" si="30"/>
        <v>289.303</v>
      </c>
      <c r="I21" s="53">
        <f t="shared" si="30"/>
        <v>286.60000000000002</v>
      </c>
      <c r="J21" s="53">
        <f t="shared" si="30"/>
        <v>272.76200000000006</v>
      </c>
      <c r="K21" s="54">
        <f t="shared" si="30"/>
        <v>275.43099999999998</v>
      </c>
      <c r="L21" s="52">
        <f t="shared" si="30"/>
        <v>277.43399999999997</v>
      </c>
      <c r="M21" s="53">
        <f t="shared" si="30"/>
        <v>274.77199999999999</v>
      </c>
      <c r="N21" s="53">
        <f t="shared" si="30"/>
        <v>300.392</v>
      </c>
      <c r="O21" s="54">
        <f t="shared" si="30"/>
        <v>301.786</v>
      </c>
      <c r="P21" s="52">
        <f t="shared" si="30"/>
        <v>311.74</v>
      </c>
      <c r="Q21" s="53">
        <f t="shared" si="30"/>
        <v>306.13</v>
      </c>
      <c r="R21" s="53">
        <f t="shared" si="30"/>
        <v>293.05600000000004</v>
      </c>
      <c r="S21" s="54">
        <f t="shared" si="30"/>
        <v>245.107</v>
      </c>
      <c r="T21" s="52">
        <f t="shared" si="30"/>
        <v>232.41300000000001</v>
      </c>
      <c r="U21" s="53">
        <f t="shared" si="30"/>
        <v>256.77300000000002</v>
      </c>
      <c r="V21" s="53">
        <f t="shared" si="30"/>
        <v>329.02900000000005</v>
      </c>
      <c r="W21" s="54">
        <f t="shared" si="30"/>
        <v>343.53599999999994</v>
      </c>
      <c r="X21" s="52">
        <f t="shared" si="30"/>
        <v>386.56099999999998</v>
      </c>
      <c r="Y21" s="53">
        <f t="shared" si="30"/>
        <v>406.40600000000006</v>
      </c>
      <c r="Z21" s="53">
        <f t="shared" si="30"/>
        <v>372.77100000000007</v>
      </c>
      <c r="AA21" s="54">
        <f t="shared" si="30"/>
        <v>384.149</v>
      </c>
      <c r="AB21" s="52">
        <f t="shared" si="30"/>
        <v>392.33099999999996</v>
      </c>
      <c r="AC21" s="53">
        <f t="shared" si="30"/>
        <v>354.64499999999998</v>
      </c>
      <c r="AD21" s="53">
        <f t="shared" si="30"/>
        <v>336.286</v>
      </c>
      <c r="AE21" s="54">
        <f t="shared" si="30"/>
        <v>371.39599999999996</v>
      </c>
      <c r="AF21" s="53">
        <f t="shared" si="30"/>
        <v>384.37299999999999</v>
      </c>
      <c r="AG21" s="53">
        <f t="shared" si="30"/>
        <v>356.22</v>
      </c>
      <c r="AH21" s="53">
        <f t="shared" si="30"/>
        <v>339.274</v>
      </c>
      <c r="AI21" s="53">
        <f t="shared" si="30"/>
        <v>351.57900000000001</v>
      </c>
      <c r="AJ21" s="52">
        <f t="shared" ref="AJ21:AO21" si="31">AJ10-AJ14</f>
        <v>399.25500000000005</v>
      </c>
      <c r="AK21" s="53">
        <f t="shared" si="31"/>
        <v>416.12099999999998</v>
      </c>
      <c r="AL21" s="53">
        <f t="shared" si="31"/>
        <v>406.024</v>
      </c>
      <c r="AM21" s="53">
        <f t="shared" si="31"/>
        <v>417.87799999999999</v>
      </c>
      <c r="AN21" s="52">
        <f t="shared" si="31"/>
        <v>423.44400000000007</v>
      </c>
      <c r="AO21" s="53">
        <f t="shared" si="31"/>
        <v>434.64499999999998</v>
      </c>
      <c r="AP21" s="53">
        <f t="shared" ref="AP21:AU21" si="32">AP10-AP14</f>
        <v>413.91099999999994</v>
      </c>
      <c r="AQ21" s="53">
        <f t="shared" si="32"/>
        <v>396.52099999999996</v>
      </c>
      <c r="AR21" s="52">
        <f t="shared" si="32"/>
        <v>389.05400000000003</v>
      </c>
      <c r="AS21" s="53">
        <f t="shared" si="32"/>
        <v>369.93200000000002</v>
      </c>
      <c r="AT21" s="53">
        <f t="shared" si="32"/>
        <v>387.721</v>
      </c>
      <c r="AU21" s="53">
        <f t="shared" si="32"/>
        <v>395.26700000000005</v>
      </c>
      <c r="AV21" s="52">
        <f t="shared" ref="AV21:BA21" si="33">AV10-AV14</f>
        <v>406.68399999999997</v>
      </c>
      <c r="AW21" s="53">
        <f t="shared" si="33"/>
        <v>403.33399999999995</v>
      </c>
      <c r="AX21" s="53">
        <f t="shared" si="33"/>
        <v>407.45499999999998</v>
      </c>
      <c r="AY21" s="54">
        <f t="shared" si="33"/>
        <v>423.64099999999996</v>
      </c>
      <c r="AZ21" s="52">
        <f t="shared" si="33"/>
        <v>423.351</v>
      </c>
      <c r="BA21" s="53">
        <f t="shared" si="33"/>
        <v>434.71700000000004</v>
      </c>
      <c r="BB21" s="53">
        <f>BB10-BB14</f>
        <v>449.03699999999998</v>
      </c>
      <c r="BC21" s="54">
        <f>BC10-BC14</f>
        <v>475.53099999999995</v>
      </c>
      <c r="BD21" s="52">
        <f t="shared" ref="BD21:BK21" si="34">BD10*BD22</f>
        <v>472.8403132599999</v>
      </c>
      <c r="BE21" s="53">
        <f t="shared" si="34"/>
        <v>475.5224421213</v>
      </c>
      <c r="BF21" s="53">
        <f t="shared" si="34"/>
        <v>474.56892870823782</v>
      </c>
      <c r="BG21" s="54">
        <f t="shared" si="34"/>
        <v>486.27316603621466</v>
      </c>
      <c r="BH21" s="52">
        <f t="shared" si="34"/>
        <v>502.52095245933424</v>
      </c>
      <c r="BI21" s="53">
        <f t="shared" si="34"/>
        <v>506.87955440799391</v>
      </c>
      <c r="BJ21" s="53">
        <f t="shared" si="34"/>
        <v>502.69686921736138</v>
      </c>
      <c r="BK21" s="54">
        <f t="shared" si="34"/>
        <v>511.44109406318722</v>
      </c>
      <c r="BL21" s="269"/>
      <c r="BM21" s="52">
        <f t="shared" ref="BM21:BW21" si="35">BM10-BM14</f>
        <v>1069.1309999999999</v>
      </c>
      <c r="BN21" s="53">
        <f t="shared" si="35"/>
        <v>1124.096</v>
      </c>
      <c r="BO21" s="53">
        <f t="shared" si="35"/>
        <v>1154.384</v>
      </c>
      <c r="BP21" s="53">
        <f t="shared" si="35"/>
        <v>1156.0329999999997</v>
      </c>
      <c r="BQ21" s="53">
        <f t="shared" si="35"/>
        <v>1161.7510000000002</v>
      </c>
      <c r="BR21" s="53">
        <f t="shared" si="35"/>
        <v>1549.8870000000002</v>
      </c>
      <c r="BS21" s="53">
        <f t="shared" si="35"/>
        <v>1454.6579999999999</v>
      </c>
      <c r="BT21" s="52">
        <f t="shared" si="35"/>
        <v>1431.4460000000001</v>
      </c>
      <c r="BU21" s="53">
        <f t="shared" si="35"/>
        <v>1639.278</v>
      </c>
      <c r="BV21" s="53">
        <f t="shared" si="35"/>
        <v>1668.5210000000002</v>
      </c>
      <c r="BW21" s="53">
        <f t="shared" si="35"/>
        <v>1541.9740000000002</v>
      </c>
      <c r="BX21" s="53">
        <f>BX10-BX14</f>
        <v>1641.114</v>
      </c>
      <c r="BY21" s="53">
        <f>BY10-BY14</f>
        <v>1782.636</v>
      </c>
      <c r="BZ21" s="53">
        <f>BZ10-BZ14</f>
        <v>1909.2048501257523</v>
      </c>
      <c r="CA21" s="53">
        <f>CA10-CA14</f>
        <v>2023.5384701478768</v>
      </c>
      <c r="CB21" s="954">
        <f>CB10*CB22</f>
        <v>2135.4983163546581</v>
      </c>
      <c r="CC21" s="20"/>
      <c r="CD21" s="53">
        <f t="shared" ref="CD21:CM21" si="36">CD10-CD14</f>
        <v>1142.8090000000002</v>
      </c>
      <c r="CE21" s="53">
        <f t="shared" si="36"/>
        <v>1128.029</v>
      </c>
      <c r="CF21" s="53">
        <f t="shared" si="36"/>
        <v>1212.7119999999998</v>
      </c>
      <c r="CG21" s="53">
        <f t="shared" si="36"/>
        <v>1063.3220000000001</v>
      </c>
      <c r="CH21" s="53">
        <f t="shared" si="36"/>
        <v>1509.2740000000003</v>
      </c>
      <c r="CI21" s="53">
        <f t="shared" si="36"/>
        <v>1467.4109999999998</v>
      </c>
      <c r="CJ21" s="53">
        <f t="shared" si="36"/>
        <v>1451.2629999999999</v>
      </c>
      <c r="CK21" s="53">
        <f t="shared" si="36"/>
        <v>1572.9790000000003</v>
      </c>
      <c r="CL21" s="53">
        <f t="shared" si="36"/>
        <v>1689.8779999999997</v>
      </c>
      <c r="CM21" s="53">
        <f t="shared" si="36"/>
        <v>1543.2280000000001</v>
      </c>
      <c r="CN21" s="53">
        <f>CN10-CN14</f>
        <v>1612.74</v>
      </c>
      <c r="CO21" s="53">
        <f>CO10-CO14</f>
        <v>1730.7460000000001</v>
      </c>
      <c r="CP21" s="53">
        <f>CP10-CP14</f>
        <v>1898.4626840895376</v>
      </c>
      <c r="CQ21" s="54">
        <f>CQ10-CQ14</f>
        <v>1998.3705421209038</v>
      </c>
      <c r="CR21" s="806"/>
      <c r="CS21" s="806"/>
      <c r="CZ21" s="8"/>
    </row>
    <row r="22" spans="1:104" ht="14.25" customHeight="1">
      <c r="A22" s="8"/>
      <c r="B22" s="36" t="s">
        <v>177</v>
      </c>
      <c r="C22" s="37"/>
      <c r="D22" s="40">
        <f t="shared" ref="D22:AM22" si="37">D21/D10</f>
        <v>0.60905226960449355</v>
      </c>
      <c r="E22" s="38">
        <f t="shared" si="37"/>
        <v>0.6140466097977334</v>
      </c>
      <c r="F22" s="38">
        <f t="shared" si="37"/>
        <v>0.62972831707832433</v>
      </c>
      <c r="G22" s="39">
        <f t="shared" si="37"/>
        <v>0.62274181357801739</v>
      </c>
      <c r="H22" s="40">
        <f t="shared" si="37"/>
        <v>0.60100921967251253</v>
      </c>
      <c r="I22" s="38">
        <f t="shared" si="37"/>
        <v>0.61346804229633123</v>
      </c>
      <c r="J22" s="38">
        <f t="shared" si="37"/>
        <v>0.60516279327749745</v>
      </c>
      <c r="K22" s="39">
        <f t="shared" si="37"/>
        <v>0.62107867013024498</v>
      </c>
      <c r="L22" s="40">
        <f t="shared" si="37"/>
        <v>0.62217208776619604</v>
      </c>
      <c r="M22" s="38">
        <f t="shared" si="37"/>
        <v>0.61761228517354694</v>
      </c>
      <c r="N22" s="38">
        <f t="shared" si="37"/>
        <v>0.63266260325269685</v>
      </c>
      <c r="O22" s="39">
        <f t="shared" si="37"/>
        <v>0.63432402892214568</v>
      </c>
      <c r="P22" s="40">
        <f t="shared" si="37"/>
        <v>0.63848961384220249</v>
      </c>
      <c r="Q22" s="38">
        <f t="shared" si="37"/>
        <v>0.63310563617675586</v>
      </c>
      <c r="R22" s="38">
        <f t="shared" si="37"/>
        <v>0.63932005052499319</v>
      </c>
      <c r="S22" s="39">
        <f t="shared" si="37"/>
        <v>0.62050205815490078</v>
      </c>
      <c r="T22" s="40">
        <f t="shared" si="37"/>
        <v>0.61773359735271838</v>
      </c>
      <c r="U22" s="38">
        <f t="shared" si="37"/>
        <v>0.61880467526207983</v>
      </c>
      <c r="V22" s="38">
        <f t="shared" si="37"/>
        <v>0.64094602307591919</v>
      </c>
      <c r="W22" s="39">
        <f t="shared" si="37"/>
        <v>0.64938187592151519</v>
      </c>
      <c r="X22" s="40">
        <f t="shared" si="37"/>
        <v>0.64996965045053523</v>
      </c>
      <c r="Y22" s="38">
        <f t="shared" si="37"/>
        <v>0.65584685943718068</v>
      </c>
      <c r="Z22" s="38">
        <f t="shared" si="37"/>
        <v>0.65722421058199199</v>
      </c>
      <c r="AA22" s="39">
        <f t="shared" si="37"/>
        <v>0.65347910698611222</v>
      </c>
      <c r="AB22" s="40">
        <f t="shared" si="37"/>
        <v>0.63745667895551805</v>
      </c>
      <c r="AC22" s="38">
        <f t="shared" si="37"/>
        <v>0.63875945814999402</v>
      </c>
      <c r="AD22" s="38">
        <f t="shared" si="37"/>
        <v>0.6579767595203202</v>
      </c>
      <c r="AE22" s="39">
        <f t="shared" si="37"/>
        <v>0.66442565204401638</v>
      </c>
      <c r="AF22" s="38">
        <f t="shared" si="37"/>
        <v>0.65954624698001318</v>
      </c>
      <c r="AG22" s="38">
        <f t="shared" si="37"/>
        <v>0.65489683472045279</v>
      </c>
      <c r="AH22" s="38">
        <f t="shared" si="37"/>
        <v>0.66554720097613229</v>
      </c>
      <c r="AI22" s="38">
        <f t="shared" si="37"/>
        <v>0.66065415432720498</v>
      </c>
      <c r="AJ22" s="40">
        <f t="shared" si="37"/>
        <v>0.68961318237168701</v>
      </c>
      <c r="AK22" s="38">
        <f t="shared" si="37"/>
        <v>0.69476589357478324</v>
      </c>
      <c r="AL22" s="38">
        <f t="shared" si="37"/>
        <v>0.69191024102955612</v>
      </c>
      <c r="AM22" s="38">
        <f t="shared" si="37"/>
        <v>0.67637171163909404</v>
      </c>
      <c r="AN22" s="40">
        <f t="shared" ref="AN22:AS22" si="38">AN21/AN10</f>
        <v>0.691187056524869</v>
      </c>
      <c r="AO22" s="38">
        <f t="shared" si="38"/>
        <v>0.71929891338525342</v>
      </c>
      <c r="AP22" s="38">
        <f t="shared" si="38"/>
        <v>0.6973493342588396</v>
      </c>
      <c r="AQ22" s="38">
        <f t="shared" si="38"/>
        <v>0.69945493032280825</v>
      </c>
      <c r="AR22" s="40">
        <f t="shared" si="38"/>
        <v>0.70864905429429081</v>
      </c>
      <c r="AS22" s="38">
        <f t="shared" si="38"/>
        <v>0.70119718256465469</v>
      </c>
      <c r="AT22" s="38">
        <f t="shared" ref="AT22:AY22" si="39">AT21/AT10</f>
        <v>0.68473513647160633</v>
      </c>
      <c r="AU22" s="38">
        <f t="shared" si="39"/>
        <v>0.69215642325055249</v>
      </c>
      <c r="AV22" s="40">
        <f t="shared" si="39"/>
        <v>0.70729989338778143</v>
      </c>
      <c r="AW22" s="38">
        <f t="shared" si="39"/>
        <v>0.69635312987194598</v>
      </c>
      <c r="AX22" s="38">
        <f t="shared" si="39"/>
        <v>0.69568609908347101</v>
      </c>
      <c r="AY22" s="39">
        <f t="shared" si="39"/>
        <v>0.695117909203678</v>
      </c>
      <c r="AZ22" s="40">
        <f>AZ21/AZ10</f>
        <v>0.68787675929326042</v>
      </c>
      <c r="BA22" s="38">
        <f>BA21/BA10</f>
        <v>0.70171895858454281</v>
      </c>
      <c r="BB22" s="38">
        <f>BB21/BB10</f>
        <v>0.71140998078242312</v>
      </c>
      <c r="BC22" s="39">
        <f>BC21/BC10</f>
        <v>0.70672886862387829</v>
      </c>
      <c r="BD22" s="42">
        <v>0.7</v>
      </c>
      <c r="BE22" s="41">
        <f t="shared" ref="BE22:BK22" si="40">BD22</f>
        <v>0.7</v>
      </c>
      <c r="BF22" s="41">
        <f t="shared" si="40"/>
        <v>0.7</v>
      </c>
      <c r="BG22" s="43">
        <f t="shared" si="40"/>
        <v>0.7</v>
      </c>
      <c r="BH22" s="42">
        <f t="shared" si="40"/>
        <v>0.7</v>
      </c>
      <c r="BI22" s="41">
        <f t="shared" si="40"/>
        <v>0.7</v>
      </c>
      <c r="BJ22" s="41">
        <f t="shared" si="40"/>
        <v>0.7</v>
      </c>
      <c r="BK22" s="43">
        <f t="shared" si="40"/>
        <v>0.7</v>
      </c>
      <c r="BL22" s="269"/>
      <c r="BM22" s="40">
        <f t="shared" ref="BM22:BW22" si="41">BM21/BM10</f>
        <v>0.61933729181752351</v>
      </c>
      <c r="BN22" s="38">
        <f t="shared" si="41"/>
        <v>0.61001368072201212</v>
      </c>
      <c r="BO22" s="38">
        <f t="shared" si="41"/>
        <v>0.6269151480526477</v>
      </c>
      <c r="BP22" s="38">
        <f t="shared" si="41"/>
        <v>0.63337888125252018</v>
      </c>
      <c r="BQ22" s="38">
        <f t="shared" si="41"/>
        <v>0.6336061005020851</v>
      </c>
      <c r="BR22" s="38">
        <f t="shared" si="41"/>
        <v>0.654113938074106</v>
      </c>
      <c r="BS22" s="38">
        <f t="shared" si="41"/>
        <v>0.64918758836382329</v>
      </c>
      <c r="BT22" s="40">
        <f t="shared" si="41"/>
        <v>0.66006256421039433</v>
      </c>
      <c r="BU22" s="38">
        <f t="shared" si="41"/>
        <v>0.68804057533773955</v>
      </c>
      <c r="BV22" s="38">
        <f t="shared" si="41"/>
        <v>0.70184247630969698</v>
      </c>
      <c r="BW22" s="38">
        <f t="shared" si="41"/>
        <v>0.69650265755024776</v>
      </c>
      <c r="BX22" s="38">
        <f>BX21/BX10</f>
        <v>0.69854554277176906</v>
      </c>
      <c r="BY22" s="38">
        <f>BY21/BY10</f>
        <v>0.7021005087034129</v>
      </c>
      <c r="BZ22" s="38">
        <f>BZ21/BZ10</f>
        <v>0.7</v>
      </c>
      <c r="CA22" s="38">
        <f>CA21/CA10</f>
        <v>0.7</v>
      </c>
      <c r="CB22" s="955">
        <v>0.7</v>
      </c>
      <c r="CC22" s="20"/>
      <c r="CD22" s="38">
        <f t="shared" ref="CD22:CM22" si="42">CD21/CD10</f>
        <v>0.61060405940572904</v>
      </c>
      <c r="CE22" s="38">
        <f t="shared" si="42"/>
        <v>0.62353599943396765</v>
      </c>
      <c r="CF22" s="38">
        <f t="shared" si="42"/>
        <v>0.63628359908286236</v>
      </c>
      <c r="CG22" s="38">
        <f t="shared" si="42"/>
        <v>0.62564987867362376</v>
      </c>
      <c r="CH22" s="38">
        <f t="shared" si="42"/>
        <v>0.65319203172491458</v>
      </c>
      <c r="CI22" s="38">
        <f t="shared" si="42"/>
        <v>0.64654622039420784</v>
      </c>
      <c r="CJ22" s="38">
        <f t="shared" si="42"/>
        <v>0.66103002700576696</v>
      </c>
      <c r="CK22" s="38">
        <f t="shared" si="42"/>
        <v>0.68483409639876081</v>
      </c>
      <c r="CL22" s="38">
        <f t="shared" si="42"/>
        <v>0.69591935318480214</v>
      </c>
      <c r="CM22" s="38">
        <f t="shared" si="42"/>
        <v>0.69838327567129699</v>
      </c>
      <c r="CN22" s="38">
        <f>CN21/CN10</f>
        <v>0.69787065372419244</v>
      </c>
      <c r="CO22" s="38">
        <f>CO21/CO10</f>
        <v>0.69912352348567663</v>
      </c>
      <c r="CP22" s="38">
        <f>CP21/CP10</f>
        <v>0.701673404768001</v>
      </c>
      <c r="CQ22" s="39">
        <f>CQ21/CQ10</f>
        <v>0.69999999999999984</v>
      </c>
      <c r="CR22" s="14"/>
      <c r="CS22" s="14"/>
      <c r="CZ22" s="8"/>
    </row>
    <row r="23" spans="1:104" ht="14.25" hidden="1" customHeight="1" outlineLevel="1">
      <c r="A23" s="8"/>
      <c r="B23" s="50"/>
      <c r="C23" s="51"/>
      <c r="D23" s="52"/>
      <c r="E23" s="53"/>
      <c r="F23" s="53"/>
      <c r="G23" s="54"/>
      <c r="H23" s="52"/>
      <c r="I23" s="53"/>
      <c r="J23" s="53"/>
      <c r="K23" s="54"/>
      <c r="L23" s="52"/>
      <c r="M23" s="53"/>
      <c r="N23" s="53"/>
      <c r="O23" s="54"/>
      <c r="P23" s="52"/>
      <c r="Q23" s="53"/>
      <c r="R23" s="53"/>
      <c r="S23" s="54"/>
      <c r="T23" s="52"/>
      <c r="U23" s="53"/>
      <c r="V23" s="53"/>
      <c r="W23" s="54"/>
      <c r="X23" s="52"/>
      <c r="Y23" s="53"/>
      <c r="Z23" s="53"/>
      <c r="AA23" s="54"/>
      <c r="AB23" s="52"/>
      <c r="AC23" s="53"/>
      <c r="AD23" s="53"/>
      <c r="AE23" s="54"/>
      <c r="AF23" s="53"/>
      <c r="AG23" s="53"/>
      <c r="AH23" s="53"/>
      <c r="AI23" s="53"/>
      <c r="AJ23" s="52"/>
      <c r="AK23" s="53"/>
      <c r="AL23" s="53"/>
      <c r="AM23" s="53"/>
      <c r="AN23" s="52"/>
      <c r="AO23" s="53"/>
      <c r="AP23" s="53"/>
      <c r="AQ23" s="53"/>
      <c r="AR23" s="52"/>
      <c r="AS23" s="53"/>
      <c r="AT23" s="53"/>
      <c r="AU23" s="53"/>
      <c r="AV23" s="52"/>
      <c r="AW23" s="53"/>
      <c r="AX23" s="53"/>
      <c r="AY23" s="54"/>
      <c r="AZ23" s="52"/>
      <c r="BA23" s="53"/>
      <c r="BB23" s="53"/>
      <c r="BC23" s="54"/>
      <c r="BD23" s="879"/>
      <c r="BE23" s="811"/>
      <c r="BF23" s="811"/>
      <c r="BG23" s="822"/>
      <c r="BH23" s="879"/>
      <c r="BI23" s="811"/>
      <c r="BJ23" s="811"/>
      <c r="BK23" s="822"/>
      <c r="BL23" s="409"/>
      <c r="BM23" s="52"/>
      <c r="BN23" s="53"/>
      <c r="BO23" s="53"/>
      <c r="BP23" s="53"/>
      <c r="BQ23" s="53"/>
      <c r="BR23" s="53"/>
      <c r="BS23" s="53"/>
      <c r="BT23" s="52"/>
      <c r="BU23" s="53"/>
      <c r="BV23" s="53"/>
      <c r="BW23" s="53"/>
      <c r="BX23" s="53"/>
      <c r="BY23" s="53"/>
      <c r="BZ23" s="53"/>
      <c r="CA23" s="53"/>
      <c r="CB23" s="954"/>
      <c r="CC23" s="20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4"/>
      <c r="CR23" s="14"/>
      <c r="CS23" s="14"/>
      <c r="CZ23" s="8"/>
    </row>
    <row r="24" spans="1:104" ht="14.25" hidden="1" customHeight="1" outlineLevel="1">
      <c r="A24" s="8"/>
      <c r="B24" s="50" t="s">
        <v>1</v>
      </c>
      <c r="C24" s="51"/>
      <c r="D24" s="52">
        <f t="shared" ref="D24:AM24" si="43">D10-D18</f>
        <v>246.89700000000002</v>
      </c>
      <c r="E24" s="53">
        <f t="shared" si="43"/>
        <v>244.96099999999998</v>
      </c>
      <c r="F24" s="53">
        <f t="shared" si="43"/>
        <v>283.12900000000002</v>
      </c>
      <c r="G24" s="54">
        <f t="shared" si="43"/>
        <v>294.14400000000001</v>
      </c>
      <c r="H24" s="52">
        <f t="shared" si="43"/>
        <v>289.303</v>
      </c>
      <c r="I24" s="53">
        <f t="shared" si="43"/>
        <v>286.60000000000002</v>
      </c>
      <c r="J24" s="53">
        <f t="shared" si="43"/>
        <v>272.76200000000006</v>
      </c>
      <c r="K24" s="54">
        <f t="shared" si="43"/>
        <v>275.43099999999998</v>
      </c>
      <c r="L24" s="52">
        <f t="shared" si="43"/>
        <v>277.43399999999997</v>
      </c>
      <c r="M24" s="53">
        <f t="shared" si="43"/>
        <v>274.77199999999999</v>
      </c>
      <c r="N24" s="53">
        <f t="shared" si="43"/>
        <v>300.392</v>
      </c>
      <c r="O24" s="54">
        <f t="shared" si="43"/>
        <v>301.786</v>
      </c>
      <c r="P24" s="52">
        <f t="shared" si="43"/>
        <v>311.74</v>
      </c>
      <c r="Q24" s="53">
        <f t="shared" si="43"/>
        <v>306.13</v>
      </c>
      <c r="R24" s="53">
        <f t="shared" si="43"/>
        <v>293.05600000000004</v>
      </c>
      <c r="S24" s="54">
        <f t="shared" si="43"/>
        <v>245.107</v>
      </c>
      <c r="T24" s="52">
        <f t="shared" si="43"/>
        <v>232.41300000000001</v>
      </c>
      <c r="U24" s="53">
        <f t="shared" si="43"/>
        <v>256.77300000000002</v>
      </c>
      <c r="V24" s="53">
        <f t="shared" si="43"/>
        <v>329.02900000000005</v>
      </c>
      <c r="W24" s="54">
        <f t="shared" si="43"/>
        <v>343.53599999999994</v>
      </c>
      <c r="X24" s="52">
        <f t="shared" si="43"/>
        <v>386.56099999999998</v>
      </c>
      <c r="Y24" s="53">
        <f t="shared" si="43"/>
        <v>406.40600000000006</v>
      </c>
      <c r="Z24" s="53">
        <f t="shared" si="43"/>
        <v>372.77100000000007</v>
      </c>
      <c r="AA24" s="54">
        <f t="shared" si="43"/>
        <v>384.149</v>
      </c>
      <c r="AB24" s="52">
        <f t="shared" si="43"/>
        <v>392.33099999999996</v>
      </c>
      <c r="AC24" s="53">
        <f t="shared" si="43"/>
        <v>354.64499999999998</v>
      </c>
      <c r="AD24" s="53">
        <f t="shared" si="43"/>
        <v>336.286</v>
      </c>
      <c r="AE24" s="54">
        <f t="shared" si="43"/>
        <v>371.39599999999996</v>
      </c>
      <c r="AF24" s="53">
        <f t="shared" si="43"/>
        <v>384.37299999999999</v>
      </c>
      <c r="AG24" s="53">
        <f t="shared" si="43"/>
        <v>356.22</v>
      </c>
      <c r="AH24" s="53">
        <f t="shared" si="43"/>
        <v>339.274</v>
      </c>
      <c r="AI24" s="53">
        <f t="shared" si="43"/>
        <v>351.57900000000001</v>
      </c>
      <c r="AJ24" s="52">
        <f>AJ10-AJ18</f>
        <v>399.25500000000005</v>
      </c>
      <c r="AK24" s="53">
        <f>AK10-AK18</f>
        <v>416.12099999999998</v>
      </c>
      <c r="AL24" s="53">
        <f t="shared" si="43"/>
        <v>406.024</v>
      </c>
      <c r="AM24" s="53">
        <f t="shared" si="43"/>
        <v>417.87799999999999</v>
      </c>
      <c r="AN24" s="52">
        <f t="shared" ref="AN24:AS24" si="44">AN10-AN18</f>
        <v>423.44400000000007</v>
      </c>
      <c r="AO24" s="53">
        <f t="shared" si="44"/>
        <v>434.64499999999998</v>
      </c>
      <c r="AP24" s="53">
        <f t="shared" si="44"/>
        <v>413.91099999999994</v>
      </c>
      <c r="AQ24" s="53">
        <f t="shared" si="44"/>
        <v>396.52099999999996</v>
      </c>
      <c r="AR24" s="52">
        <f t="shared" si="44"/>
        <v>389.05400000000003</v>
      </c>
      <c r="AS24" s="53">
        <f t="shared" si="44"/>
        <v>369.93200000000002</v>
      </c>
      <c r="AT24" s="53">
        <f t="shared" ref="AT24:AY24" si="45">AT10-AT18</f>
        <v>387.721</v>
      </c>
      <c r="AU24" s="53">
        <f t="shared" si="45"/>
        <v>395.26700000000005</v>
      </c>
      <c r="AV24" s="52">
        <f t="shared" si="45"/>
        <v>406.68399999999997</v>
      </c>
      <c r="AW24" s="53">
        <f t="shared" si="45"/>
        <v>403.33399999999995</v>
      </c>
      <c r="AX24" s="53">
        <f t="shared" si="45"/>
        <v>407.45499999999998</v>
      </c>
      <c r="AY24" s="54">
        <f t="shared" si="45"/>
        <v>423.64099999999996</v>
      </c>
      <c r="AZ24" s="52">
        <f t="shared" ref="AZ24:BK24" si="46">AZ10-AZ18</f>
        <v>423.351</v>
      </c>
      <c r="BA24" s="53">
        <f t="shared" si="46"/>
        <v>434.71700000000004</v>
      </c>
      <c r="BB24" s="53">
        <f t="shared" si="46"/>
        <v>449.03699999999998</v>
      </c>
      <c r="BC24" s="54">
        <f t="shared" si="46"/>
        <v>475.53099999999995</v>
      </c>
      <c r="BD24" s="52">
        <f t="shared" si="46"/>
        <v>472.8403132599999</v>
      </c>
      <c r="BE24" s="53">
        <f t="shared" si="46"/>
        <v>475.52244212129995</v>
      </c>
      <c r="BF24" s="53">
        <f t="shared" si="46"/>
        <v>474.56892870823782</v>
      </c>
      <c r="BG24" s="54">
        <f t="shared" si="46"/>
        <v>486.27316603621466</v>
      </c>
      <c r="BH24" s="52">
        <f t="shared" si="46"/>
        <v>502.52095245933424</v>
      </c>
      <c r="BI24" s="53">
        <f t="shared" si="46"/>
        <v>506.87955440799385</v>
      </c>
      <c r="BJ24" s="53">
        <f t="shared" si="46"/>
        <v>502.69686921736138</v>
      </c>
      <c r="BK24" s="54">
        <f t="shared" si="46"/>
        <v>511.44109406318722</v>
      </c>
      <c r="BL24" s="269"/>
      <c r="BM24" s="52">
        <f t="shared" ref="BM24:BW24" si="47">BM10-BM18</f>
        <v>1069.1309999999999</v>
      </c>
      <c r="BN24" s="53">
        <f t="shared" si="47"/>
        <v>1124.096</v>
      </c>
      <c r="BO24" s="53">
        <f t="shared" si="47"/>
        <v>1154.384</v>
      </c>
      <c r="BP24" s="53">
        <f t="shared" si="47"/>
        <v>1156.0329999999997</v>
      </c>
      <c r="BQ24" s="53">
        <f t="shared" si="47"/>
        <v>1161.7510000000002</v>
      </c>
      <c r="BR24" s="53">
        <f t="shared" si="47"/>
        <v>1549.8870000000002</v>
      </c>
      <c r="BS24" s="53">
        <f t="shared" si="47"/>
        <v>1454.6579999999999</v>
      </c>
      <c r="BT24" s="52">
        <f t="shared" si="47"/>
        <v>1431.4460000000001</v>
      </c>
      <c r="BU24" s="53">
        <f t="shared" si="47"/>
        <v>1639.278</v>
      </c>
      <c r="BV24" s="53">
        <f t="shared" si="47"/>
        <v>1668.5210000000002</v>
      </c>
      <c r="BW24" s="53">
        <f t="shared" si="47"/>
        <v>1541.9740000000002</v>
      </c>
      <c r="BX24" s="53">
        <f>BX10-BX18</f>
        <v>1641.114</v>
      </c>
      <c r="BY24" s="53">
        <f>BY10-BY18</f>
        <v>1782.636</v>
      </c>
      <c r="BZ24" s="53">
        <f>BZ10-BZ18</f>
        <v>1909.2048501257523</v>
      </c>
      <c r="CA24" s="53">
        <f>CA10-CA18</f>
        <v>2023.5384701478768</v>
      </c>
      <c r="CB24" s="954">
        <f>CB10-CB18</f>
        <v>2135.4983163546581</v>
      </c>
      <c r="CC24" s="20"/>
      <c r="CD24" s="53">
        <f t="shared" ref="CD24:CM24" si="48">CD10-CD18</f>
        <v>1142.8090000000002</v>
      </c>
      <c r="CE24" s="53">
        <f t="shared" si="48"/>
        <v>1128.029</v>
      </c>
      <c r="CF24" s="53">
        <f t="shared" si="48"/>
        <v>1212.7119999999998</v>
      </c>
      <c r="CG24" s="53">
        <f t="shared" si="48"/>
        <v>1063.3220000000001</v>
      </c>
      <c r="CH24" s="53">
        <f t="shared" si="48"/>
        <v>1509.2740000000003</v>
      </c>
      <c r="CI24" s="53">
        <f t="shared" si="48"/>
        <v>1467.4109999999998</v>
      </c>
      <c r="CJ24" s="53">
        <f t="shared" si="48"/>
        <v>1451.2629999999999</v>
      </c>
      <c r="CK24" s="53">
        <f t="shared" si="48"/>
        <v>1572.9790000000003</v>
      </c>
      <c r="CL24" s="53">
        <f t="shared" si="48"/>
        <v>1689.8779999999997</v>
      </c>
      <c r="CM24" s="53">
        <f t="shared" si="48"/>
        <v>1543.2280000000001</v>
      </c>
      <c r="CN24" s="53">
        <f>CN10-CN18</f>
        <v>1612.74</v>
      </c>
      <c r="CO24" s="53">
        <f>CO10-CO18</f>
        <v>1730.7460000000001</v>
      </c>
      <c r="CP24" s="53">
        <f>CP10-CP18</f>
        <v>1898.4626840895376</v>
      </c>
      <c r="CQ24" s="54">
        <f>CQ10-CQ18</f>
        <v>1998.3705421209038</v>
      </c>
      <c r="CR24" s="806"/>
      <c r="CS24" s="806"/>
      <c r="CZ24" s="8"/>
    </row>
    <row r="25" spans="1:104" ht="14.25" hidden="1" customHeight="1" outlineLevel="1">
      <c r="A25" s="8"/>
      <c r="B25" s="36" t="s">
        <v>2</v>
      </c>
      <c r="C25" s="37"/>
      <c r="D25" s="40">
        <f t="shared" ref="D25:AM25" si="49">D24/D10</f>
        <v>0.60905226960449355</v>
      </c>
      <c r="E25" s="38">
        <f t="shared" si="49"/>
        <v>0.6140466097977334</v>
      </c>
      <c r="F25" s="38">
        <f t="shared" si="49"/>
        <v>0.62972831707832433</v>
      </c>
      <c r="G25" s="39">
        <f t="shared" si="49"/>
        <v>0.62274181357801739</v>
      </c>
      <c r="H25" s="40">
        <f t="shared" si="49"/>
        <v>0.60100921967251253</v>
      </c>
      <c r="I25" s="38">
        <f t="shared" si="49"/>
        <v>0.61346804229633123</v>
      </c>
      <c r="J25" s="38">
        <f t="shared" si="49"/>
        <v>0.60516279327749745</v>
      </c>
      <c r="K25" s="39">
        <f t="shared" si="49"/>
        <v>0.62107867013024498</v>
      </c>
      <c r="L25" s="40">
        <f t="shared" si="49"/>
        <v>0.62217208776619604</v>
      </c>
      <c r="M25" s="38">
        <f t="shared" si="49"/>
        <v>0.61761228517354694</v>
      </c>
      <c r="N25" s="38">
        <f t="shared" si="49"/>
        <v>0.63266260325269685</v>
      </c>
      <c r="O25" s="39">
        <f t="shared" si="49"/>
        <v>0.63432402892214568</v>
      </c>
      <c r="P25" s="40">
        <f t="shared" si="49"/>
        <v>0.63848961384220249</v>
      </c>
      <c r="Q25" s="38">
        <f t="shared" si="49"/>
        <v>0.63310563617675586</v>
      </c>
      <c r="R25" s="38">
        <f t="shared" si="49"/>
        <v>0.63932005052499319</v>
      </c>
      <c r="S25" s="39">
        <f t="shared" si="49"/>
        <v>0.62050205815490078</v>
      </c>
      <c r="T25" s="40">
        <f t="shared" si="49"/>
        <v>0.61773359735271838</v>
      </c>
      <c r="U25" s="38">
        <f t="shared" si="49"/>
        <v>0.61880467526207983</v>
      </c>
      <c r="V25" s="38">
        <f t="shared" si="49"/>
        <v>0.64094602307591919</v>
      </c>
      <c r="W25" s="39">
        <f t="shared" si="49"/>
        <v>0.64938187592151519</v>
      </c>
      <c r="X25" s="40">
        <f t="shared" si="49"/>
        <v>0.64996965045053523</v>
      </c>
      <c r="Y25" s="38">
        <f t="shared" si="49"/>
        <v>0.65584685943718068</v>
      </c>
      <c r="Z25" s="38">
        <f t="shared" si="49"/>
        <v>0.65722421058199199</v>
      </c>
      <c r="AA25" s="39">
        <f t="shared" si="49"/>
        <v>0.65347910698611222</v>
      </c>
      <c r="AB25" s="40">
        <f t="shared" si="49"/>
        <v>0.63745667895551805</v>
      </c>
      <c r="AC25" s="38">
        <f t="shared" si="49"/>
        <v>0.63875945814999402</v>
      </c>
      <c r="AD25" s="38">
        <f t="shared" si="49"/>
        <v>0.6579767595203202</v>
      </c>
      <c r="AE25" s="39">
        <f t="shared" si="49"/>
        <v>0.66442565204401638</v>
      </c>
      <c r="AF25" s="38">
        <f t="shared" si="49"/>
        <v>0.65954624698001318</v>
      </c>
      <c r="AG25" s="38">
        <f t="shared" si="49"/>
        <v>0.65489683472045279</v>
      </c>
      <c r="AH25" s="38">
        <f t="shared" si="49"/>
        <v>0.66554720097613229</v>
      </c>
      <c r="AI25" s="38">
        <f t="shared" si="49"/>
        <v>0.66065415432720498</v>
      </c>
      <c r="AJ25" s="40">
        <f t="shared" si="49"/>
        <v>0.68961318237168701</v>
      </c>
      <c r="AK25" s="38">
        <f t="shared" si="49"/>
        <v>0.69476589357478324</v>
      </c>
      <c r="AL25" s="38">
        <f t="shared" si="49"/>
        <v>0.69191024102955612</v>
      </c>
      <c r="AM25" s="38">
        <f t="shared" si="49"/>
        <v>0.67637171163909404</v>
      </c>
      <c r="AN25" s="40">
        <f t="shared" ref="AN25:AS25" si="50">AN24/AN10</f>
        <v>0.691187056524869</v>
      </c>
      <c r="AO25" s="38">
        <f t="shared" si="50"/>
        <v>0.71929891338525342</v>
      </c>
      <c r="AP25" s="38">
        <f t="shared" si="50"/>
        <v>0.6973493342588396</v>
      </c>
      <c r="AQ25" s="38">
        <f t="shared" si="50"/>
        <v>0.69945493032280825</v>
      </c>
      <c r="AR25" s="40">
        <f t="shared" si="50"/>
        <v>0.70864905429429081</v>
      </c>
      <c r="AS25" s="38">
        <f t="shared" si="50"/>
        <v>0.70119718256465469</v>
      </c>
      <c r="AT25" s="38">
        <f t="shared" ref="AT25:AY25" si="51">AT24/AT10</f>
        <v>0.68473513647160633</v>
      </c>
      <c r="AU25" s="38">
        <f t="shared" si="51"/>
        <v>0.69215642325055249</v>
      </c>
      <c r="AV25" s="40">
        <f t="shared" si="51"/>
        <v>0.70729989338778143</v>
      </c>
      <c r="AW25" s="38">
        <f t="shared" si="51"/>
        <v>0.69635312987194598</v>
      </c>
      <c r="AX25" s="38">
        <f t="shared" si="51"/>
        <v>0.69568609908347101</v>
      </c>
      <c r="AY25" s="39">
        <f t="shared" si="51"/>
        <v>0.695117909203678</v>
      </c>
      <c r="AZ25" s="40">
        <f t="shared" ref="AZ25:BK25" si="52">AZ24/AZ10</f>
        <v>0.68787675929326042</v>
      </c>
      <c r="BA25" s="38">
        <f t="shared" si="52"/>
        <v>0.70171895858454281</v>
      </c>
      <c r="BB25" s="38">
        <f t="shared" si="52"/>
        <v>0.71140998078242312</v>
      </c>
      <c r="BC25" s="39">
        <f t="shared" si="52"/>
        <v>0.70672886862387829</v>
      </c>
      <c r="BD25" s="40">
        <f t="shared" si="52"/>
        <v>0.7</v>
      </c>
      <c r="BE25" s="38">
        <f t="shared" si="52"/>
        <v>0.69999999999999984</v>
      </c>
      <c r="BF25" s="38">
        <f t="shared" si="52"/>
        <v>0.7</v>
      </c>
      <c r="BG25" s="39">
        <f t="shared" si="52"/>
        <v>0.7</v>
      </c>
      <c r="BH25" s="40">
        <f t="shared" si="52"/>
        <v>0.7</v>
      </c>
      <c r="BI25" s="38">
        <f t="shared" si="52"/>
        <v>0.7</v>
      </c>
      <c r="BJ25" s="38">
        <f t="shared" si="52"/>
        <v>0.7</v>
      </c>
      <c r="BK25" s="39">
        <f t="shared" si="52"/>
        <v>0.7</v>
      </c>
      <c r="BL25" s="269"/>
      <c r="BM25" s="40">
        <f t="shared" ref="BM25:BW25" si="53">BM24/BM10</f>
        <v>0.61933729181752351</v>
      </c>
      <c r="BN25" s="38">
        <f t="shared" si="53"/>
        <v>0.61001368072201212</v>
      </c>
      <c r="BO25" s="38">
        <f t="shared" si="53"/>
        <v>0.6269151480526477</v>
      </c>
      <c r="BP25" s="38">
        <f t="shared" si="53"/>
        <v>0.63337888125252018</v>
      </c>
      <c r="BQ25" s="38">
        <f t="shared" si="53"/>
        <v>0.6336061005020851</v>
      </c>
      <c r="BR25" s="38">
        <f t="shared" si="53"/>
        <v>0.654113938074106</v>
      </c>
      <c r="BS25" s="38">
        <f t="shared" si="53"/>
        <v>0.64918758836382329</v>
      </c>
      <c r="BT25" s="40">
        <f t="shared" si="53"/>
        <v>0.66006256421039433</v>
      </c>
      <c r="BU25" s="38">
        <f t="shared" si="53"/>
        <v>0.68804057533773955</v>
      </c>
      <c r="BV25" s="38">
        <f t="shared" si="53"/>
        <v>0.70184247630969698</v>
      </c>
      <c r="BW25" s="38">
        <f t="shared" si="53"/>
        <v>0.69650265755024776</v>
      </c>
      <c r="BX25" s="38">
        <f>BX24/BX10</f>
        <v>0.69854554277176906</v>
      </c>
      <c r="BY25" s="38">
        <f>BY24/BY10</f>
        <v>0.7021005087034129</v>
      </c>
      <c r="BZ25" s="38">
        <f>BZ24/BZ10</f>
        <v>0.7</v>
      </c>
      <c r="CA25" s="38">
        <f>CA24/CA10</f>
        <v>0.7</v>
      </c>
      <c r="CB25" s="951">
        <f>CB24/CB10</f>
        <v>0.7</v>
      </c>
      <c r="CC25" s="20"/>
      <c r="CD25" s="38">
        <f t="shared" ref="CD25:CM25" si="54">CD24/CD10</f>
        <v>0.61060405940572904</v>
      </c>
      <c r="CE25" s="38">
        <f t="shared" si="54"/>
        <v>0.62353599943396765</v>
      </c>
      <c r="CF25" s="38">
        <f t="shared" si="54"/>
        <v>0.63628359908286236</v>
      </c>
      <c r="CG25" s="38">
        <f t="shared" si="54"/>
        <v>0.62564987867362376</v>
      </c>
      <c r="CH25" s="38">
        <f t="shared" si="54"/>
        <v>0.65319203172491458</v>
      </c>
      <c r="CI25" s="38">
        <f t="shared" si="54"/>
        <v>0.64654622039420784</v>
      </c>
      <c r="CJ25" s="38">
        <f t="shared" si="54"/>
        <v>0.66103002700576696</v>
      </c>
      <c r="CK25" s="38">
        <f t="shared" si="54"/>
        <v>0.68483409639876081</v>
      </c>
      <c r="CL25" s="38">
        <f t="shared" si="54"/>
        <v>0.69591935318480214</v>
      </c>
      <c r="CM25" s="38">
        <f t="shared" si="54"/>
        <v>0.69838327567129699</v>
      </c>
      <c r="CN25" s="38">
        <f>CN24/CN10</f>
        <v>0.69787065372419244</v>
      </c>
      <c r="CO25" s="38">
        <f>CO24/CO10</f>
        <v>0.69912352348567663</v>
      </c>
      <c r="CP25" s="38">
        <f>CP24/CP10</f>
        <v>0.701673404768001</v>
      </c>
      <c r="CQ25" s="39">
        <f>CQ24/CQ10</f>
        <v>0.69999999999999984</v>
      </c>
      <c r="CR25" s="14"/>
      <c r="CS25" s="14"/>
      <c r="CZ25" s="8"/>
    </row>
    <row r="26" spans="1:104" ht="14.25" customHeight="1" collapsed="1">
      <c r="A26" s="8"/>
      <c r="B26" s="23"/>
      <c r="C26" s="24"/>
      <c r="D26" s="46"/>
      <c r="E26" s="44"/>
      <c r="F26" s="44"/>
      <c r="G26" s="45"/>
      <c r="H26" s="46"/>
      <c r="I26" s="44"/>
      <c r="J26" s="44"/>
      <c r="K26" s="45"/>
      <c r="L26" s="46"/>
      <c r="M26" s="44"/>
      <c r="N26" s="44"/>
      <c r="O26" s="45"/>
      <c r="P26" s="46"/>
      <c r="Q26" s="44"/>
      <c r="R26" s="44"/>
      <c r="S26" s="45"/>
      <c r="T26" s="46"/>
      <c r="U26" s="44"/>
      <c r="V26" s="44"/>
      <c r="W26" s="45"/>
      <c r="X26" s="46"/>
      <c r="Y26" s="44"/>
      <c r="Z26" s="44"/>
      <c r="AA26" s="45"/>
      <c r="AB26" s="46"/>
      <c r="AC26" s="44"/>
      <c r="AD26" s="44"/>
      <c r="AE26" s="45"/>
      <c r="AF26" s="44"/>
      <c r="AG26" s="44"/>
      <c r="AH26" s="44"/>
      <c r="AI26" s="44"/>
      <c r="AJ26" s="46"/>
      <c r="AK26" s="44"/>
      <c r="AL26" s="44"/>
      <c r="AM26" s="44"/>
      <c r="AN26" s="46"/>
      <c r="AO26" s="44"/>
      <c r="AP26" s="44"/>
      <c r="AQ26" s="44"/>
      <c r="AR26" s="46"/>
      <c r="AS26" s="44"/>
      <c r="AT26" s="44"/>
      <c r="AU26" s="44"/>
      <c r="AV26" s="46"/>
      <c r="AW26" s="44"/>
      <c r="AX26" s="44"/>
      <c r="AY26" s="45"/>
      <c r="AZ26" s="46"/>
      <c r="BA26" s="44"/>
      <c r="BB26" s="44"/>
      <c r="BC26" s="45"/>
      <c r="BD26" s="46"/>
      <c r="BE26" s="44"/>
      <c r="BF26" s="44"/>
      <c r="BG26" s="45"/>
      <c r="BH26" s="46"/>
      <c r="BI26" s="44"/>
      <c r="BJ26" s="44"/>
      <c r="BK26" s="45"/>
      <c r="BL26" s="269"/>
      <c r="BM26" s="57"/>
      <c r="BN26" s="47"/>
      <c r="BO26" s="47"/>
      <c r="BP26" s="47"/>
      <c r="BQ26" s="47"/>
      <c r="BR26" s="47"/>
      <c r="BS26" s="47"/>
      <c r="BT26" s="57"/>
      <c r="BU26" s="47"/>
      <c r="BV26" s="47"/>
      <c r="BW26" s="47"/>
      <c r="BX26" s="47"/>
      <c r="BY26" s="47"/>
      <c r="BZ26" s="47"/>
      <c r="CA26" s="47"/>
      <c r="CB26" s="942"/>
      <c r="CC26" s="20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8"/>
      <c r="CR26" s="14"/>
      <c r="CS26" s="14"/>
      <c r="CZ26" s="8"/>
    </row>
    <row r="27" spans="1:104" ht="14.25" customHeight="1">
      <c r="A27" s="8"/>
      <c r="B27" s="23" t="s">
        <v>187</v>
      </c>
      <c r="C27" s="24"/>
      <c r="D27" s="30">
        <v>78.703999999999994</v>
      </c>
      <c r="E27" s="31">
        <v>79.953000000000003</v>
      </c>
      <c r="F27" s="31">
        <v>81.072999999999993</v>
      </c>
      <c r="G27" s="32">
        <v>86.396000000000001</v>
      </c>
      <c r="H27" s="30">
        <v>97.581999999999994</v>
      </c>
      <c r="I27" s="31">
        <v>95.950999999999993</v>
      </c>
      <c r="J27" s="31">
        <v>96.091999999999999</v>
      </c>
      <c r="K27" s="32">
        <v>98.475999999999999</v>
      </c>
      <c r="L27" s="30">
        <v>87.87</v>
      </c>
      <c r="M27" s="31">
        <v>88.293999999999997</v>
      </c>
      <c r="N27" s="31">
        <v>91.010999999999996</v>
      </c>
      <c r="O27" s="32">
        <v>90.888000000000005</v>
      </c>
      <c r="P27" s="30">
        <v>90.733999999999995</v>
      </c>
      <c r="Q27" s="31">
        <v>89.501000000000005</v>
      </c>
      <c r="R27" s="31">
        <v>86.966999999999999</v>
      </c>
      <c r="S27" s="32">
        <v>88.19</v>
      </c>
      <c r="T27" s="30">
        <v>83.233000000000004</v>
      </c>
      <c r="U27" s="31">
        <v>90.144999999999996</v>
      </c>
      <c r="V27" s="31">
        <v>101.867</v>
      </c>
      <c r="W27" s="32">
        <v>94.24</v>
      </c>
      <c r="X27" s="30">
        <v>94.483999999999995</v>
      </c>
      <c r="Y27" s="31">
        <v>96.578000000000003</v>
      </c>
      <c r="Z27" s="31">
        <v>98.453000000000003</v>
      </c>
      <c r="AA27" s="32">
        <v>102.967</v>
      </c>
      <c r="AB27" s="30">
        <v>106.017</v>
      </c>
      <c r="AC27" s="31">
        <v>105.774</v>
      </c>
      <c r="AD27" s="31">
        <v>108.245</v>
      </c>
      <c r="AE27" s="32">
        <v>115.24</v>
      </c>
      <c r="AF27" s="31">
        <v>121.447</v>
      </c>
      <c r="AG27" s="31">
        <v>113.887</v>
      </c>
      <c r="AH27" s="31">
        <v>129.05500000000001</v>
      </c>
      <c r="AI27" s="31">
        <v>111.133</v>
      </c>
      <c r="AJ27" s="30">
        <v>111.541</v>
      </c>
      <c r="AK27" s="31">
        <v>125.002</v>
      </c>
      <c r="AL27" s="31">
        <v>128.09200000000001</v>
      </c>
      <c r="AM27" s="31">
        <v>127.812</v>
      </c>
      <c r="AN27" s="30">
        <v>122.01300000000001</v>
      </c>
      <c r="AO27" s="31">
        <v>138.33500000000001</v>
      </c>
      <c r="AP27" s="31">
        <v>133.45500000000001</v>
      </c>
      <c r="AQ27" s="31">
        <v>131.94200000000001</v>
      </c>
      <c r="AR27" s="30">
        <v>126.648</v>
      </c>
      <c r="AS27" s="31">
        <v>130.22</v>
      </c>
      <c r="AT27" s="31">
        <v>141.37799999999999</v>
      </c>
      <c r="AU27" s="31">
        <v>135.64500000000001</v>
      </c>
      <c r="AV27" s="30">
        <v>136.125</v>
      </c>
      <c r="AW27" s="31">
        <v>141.81399999999999</v>
      </c>
      <c r="AX27" s="31">
        <v>159.24799999999999</v>
      </c>
      <c r="AY27" s="32">
        <v>164.256</v>
      </c>
      <c r="AZ27" s="30">
        <v>153.05099999999999</v>
      </c>
      <c r="BA27" s="31">
        <v>157.98500000000001</v>
      </c>
      <c r="BB27" s="31">
        <v>166.23099999999999</v>
      </c>
      <c r="BC27" s="32">
        <v>162.483</v>
      </c>
      <c r="BD27" s="35">
        <f t="shared" ref="BD27:BK27" si="55">BD$10*BD28</f>
        <v>165.49410964099997</v>
      </c>
      <c r="BE27" s="33">
        <f t="shared" si="55"/>
        <v>167.112172516914</v>
      </c>
      <c r="BF27" s="33">
        <f t="shared" si="55"/>
        <v>168.13299188520426</v>
      </c>
      <c r="BG27" s="34">
        <f t="shared" si="55"/>
        <v>172.27963596711606</v>
      </c>
      <c r="BH27" s="35">
        <f t="shared" si="55"/>
        <v>175.16444628582508</v>
      </c>
      <c r="BI27" s="33">
        <f t="shared" si="55"/>
        <v>175.23550309533505</v>
      </c>
      <c r="BJ27" s="33">
        <f t="shared" si="55"/>
        <v>173.78948907228781</v>
      </c>
      <c r="BK27" s="34">
        <f t="shared" si="55"/>
        <v>176.8124925189876</v>
      </c>
      <c r="BL27" s="269"/>
      <c r="BM27" s="35">
        <f>SUM(D27:G27)</f>
        <v>326.12599999999998</v>
      </c>
      <c r="BN27" s="33">
        <f>SUM(H27:K27)</f>
        <v>388.101</v>
      </c>
      <c r="BO27" s="33">
        <f>SUM(L27:O27)</f>
        <v>358.06299999999999</v>
      </c>
      <c r="BP27" s="33">
        <f>SUM(P27:S27)</f>
        <v>355.392</v>
      </c>
      <c r="BQ27" s="33">
        <f>SUM(T27:W27)</f>
        <v>369.48500000000001</v>
      </c>
      <c r="BR27" s="33">
        <f>SUM(X27:AA27)</f>
        <v>392.48199999999997</v>
      </c>
      <c r="BS27" s="33">
        <f>SUM(AB27:AE27)</f>
        <v>435.27600000000001</v>
      </c>
      <c r="BT27" s="35">
        <f>SUM(AF27:AI27)</f>
        <v>475.52199999999999</v>
      </c>
      <c r="BU27" s="33">
        <f>SUM(AJ27:AM27)</f>
        <v>492.447</v>
      </c>
      <c r="BV27" s="33">
        <f>SUM(AN27:AQ27)</f>
        <v>525.745</v>
      </c>
      <c r="BW27" s="33">
        <f>SUM(AR27:AU27)</f>
        <v>533.89099999999996</v>
      </c>
      <c r="BX27" s="33">
        <f>SUM(AV27:AY27)</f>
        <v>601.44299999999998</v>
      </c>
      <c r="BY27" s="33">
        <f>SUM(AZ27:BC27)</f>
        <v>639.75</v>
      </c>
      <c r="BZ27" s="33">
        <f>SUM(BD27:BG27)</f>
        <v>673.01891001023432</v>
      </c>
      <c r="CA27" s="33">
        <f>SUM(BH27:BK27)</f>
        <v>701.0019309724355</v>
      </c>
      <c r="CB27" s="953">
        <f>CA27*(1+CB12)</f>
        <v>739.78748881586762</v>
      </c>
      <c r="CC27" s="20"/>
      <c r="CD27" s="33">
        <f>SUM(G27:J27)</f>
        <v>376.02099999999996</v>
      </c>
      <c r="CE27" s="33">
        <f>SUM(K27:N27)</f>
        <v>365.65099999999995</v>
      </c>
      <c r="CF27" s="33">
        <f>SUM(O27:R27)</f>
        <v>358.09000000000003</v>
      </c>
      <c r="CG27" s="33">
        <f>SUM(S27:V27)</f>
        <v>363.435</v>
      </c>
      <c r="CH27" s="33">
        <f>SUM(W27:Z27)</f>
        <v>383.755</v>
      </c>
      <c r="CI27" s="33">
        <f>SUM(AA27:AD27)</f>
        <v>423.00299999999999</v>
      </c>
      <c r="CJ27" s="33">
        <f>SUM(AE27:AH27)</f>
        <v>479.62900000000002</v>
      </c>
      <c r="CK27" s="33">
        <f>SUM(AI27:AL27)</f>
        <v>475.76800000000003</v>
      </c>
      <c r="CL27" s="33">
        <f>SUM(AM27:AP27)</f>
        <v>521.61500000000001</v>
      </c>
      <c r="CM27" s="33">
        <f>SUM(AQ27:AT27)</f>
        <v>530.1880000000001</v>
      </c>
      <c r="CN27" s="33">
        <f>SUM(AU27:AX27)</f>
        <v>572.83199999999988</v>
      </c>
      <c r="CO27" s="33">
        <f>SUM(AY27:BB27)</f>
        <v>641.52300000000002</v>
      </c>
      <c r="CP27" s="33">
        <f>SUM(BC27:BF27)</f>
        <v>663.2222740431182</v>
      </c>
      <c r="CQ27" s="34">
        <f>SUM(BG27:BJ27)</f>
        <v>696.46907442056397</v>
      </c>
      <c r="CR27" s="806"/>
      <c r="CS27" s="806"/>
      <c r="CZ27" s="8"/>
    </row>
    <row r="28" spans="1:104" ht="14.25" customHeight="1">
      <c r="A28" s="8"/>
      <c r="B28" s="36" t="s">
        <v>395</v>
      </c>
      <c r="C28" s="37"/>
      <c r="D28" s="40">
        <f t="shared" ref="D28:AM28" si="56">D27/D10</f>
        <v>0.19414917891652006</v>
      </c>
      <c r="E28" s="38">
        <f t="shared" si="56"/>
        <v>0.20041912219968969</v>
      </c>
      <c r="F28" s="38">
        <f t="shared" si="56"/>
        <v>0.18032050355311882</v>
      </c>
      <c r="G28" s="39">
        <f t="shared" si="56"/>
        <v>0.18291177697279698</v>
      </c>
      <c r="H28" s="40">
        <f t="shared" si="56"/>
        <v>0.20272061359226526</v>
      </c>
      <c r="I28" s="38">
        <f t="shared" si="56"/>
        <v>0.20538336401387045</v>
      </c>
      <c r="J28" s="38">
        <f t="shared" si="56"/>
        <v>0.21319429807532309</v>
      </c>
      <c r="K28" s="39">
        <f t="shared" si="56"/>
        <v>0.22205686041057834</v>
      </c>
      <c r="L28" s="40">
        <f t="shared" si="56"/>
        <v>0.19705681838569047</v>
      </c>
      <c r="M28" s="38">
        <f t="shared" si="56"/>
        <v>0.19846075694435078</v>
      </c>
      <c r="N28" s="38">
        <f t="shared" si="56"/>
        <v>0.19168039157045194</v>
      </c>
      <c r="O28" s="39">
        <f t="shared" si="56"/>
        <v>0.1910374978980999</v>
      </c>
      <c r="P28" s="40">
        <f t="shared" si="56"/>
        <v>0.18583664791928658</v>
      </c>
      <c r="Q28" s="38">
        <f t="shared" si="56"/>
        <v>0.18509648692861147</v>
      </c>
      <c r="R28" s="38">
        <f t="shared" si="56"/>
        <v>0.18972396686642509</v>
      </c>
      <c r="S28" s="39">
        <f t="shared" si="56"/>
        <v>0.22325790984623328</v>
      </c>
      <c r="T28" s="40">
        <f t="shared" si="56"/>
        <v>0.22122609539250734</v>
      </c>
      <c r="U28" s="38">
        <f t="shared" si="56"/>
        <v>0.21724304133028075</v>
      </c>
      <c r="V28" s="38">
        <f t="shared" si="56"/>
        <v>0.19843615162394393</v>
      </c>
      <c r="W28" s="39">
        <f t="shared" si="56"/>
        <v>0.17814071301652112</v>
      </c>
      <c r="X28" s="40">
        <f t="shared" si="56"/>
        <v>0.15886686047782464</v>
      </c>
      <c r="Y28" s="38">
        <f t="shared" si="56"/>
        <v>0.15585492830008424</v>
      </c>
      <c r="Z28" s="38">
        <f t="shared" si="56"/>
        <v>0.173580281739805</v>
      </c>
      <c r="AA28" s="39">
        <f t="shared" si="56"/>
        <v>0.17515803297428606</v>
      </c>
      <c r="AB28" s="40">
        <f t="shared" si="56"/>
        <v>0.17225568393225912</v>
      </c>
      <c r="AC28" s="38">
        <f t="shared" si="56"/>
        <v>0.19051204141143246</v>
      </c>
      <c r="AD28" s="38">
        <f t="shared" si="56"/>
        <v>0.2117920292081058</v>
      </c>
      <c r="AE28" s="39">
        <f t="shared" si="56"/>
        <v>0.20616380397622069</v>
      </c>
      <c r="AF28" s="38">
        <f t="shared" si="56"/>
        <v>0.20839110202064573</v>
      </c>
      <c r="AG28" s="38">
        <f t="shared" si="56"/>
        <v>0.20937689016845826</v>
      </c>
      <c r="AH28" s="38">
        <f t="shared" si="56"/>
        <v>0.25316468111902107</v>
      </c>
      <c r="AI28" s="38">
        <f t="shared" si="56"/>
        <v>0.20883067001398053</v>
      </c>
      <c r="AJ28" s="40">
        <f t="shared" si="56"/>
        <v>0.19265918767434428</v>
      </c>
      <c r="AK28" s="38">
        <f t="shared" si="56"/>
        <v>0.2087064248827506</v>
      </c>
      <c r="AL28" s="38">
        <f t="shared" si="56"/>
        <v>0.21828307339949832</v>
      </c>
      <c r="AM28" s="38">
        <f t="shared" si="56"/>
        <v>0.20687478452566513</v>
      </c>
      <c r="AN28" s="40">
        <f t="shared" ref="AN28:AS28" si="57">AN27/AN10</f>
        <v>0.19916165142915906</v>
      </c>
      <c r="AO28" s="38">
        <f t="shared" si="57"/>
        <v>0.22893215194733413</v>
      </c>
      <c r="AP28" s="38">
        <f t="shared" si="57"/>
        <v>0.22484243086922903</v>
      </c>
      <c r="AQ28" s="38">
        <f t="shared" si="57"/>
        <v>0.23274298818133712</v>
      </c>
      <c r="AR28" s="40">
        <f t="shared" si="57"/>
        <v>0.23068516305773321</v>
      </c>
      <c r="AS28" s="38">
        <f t="shared" si="57"/>
        <v>0.24682886885581493</v>
      </c>
      <c r="AT28" s="38">
        <f t="shared" ref="AT28:AY28" si="58">AT27/AT10</f>
        <v>0.24968078624599324</v>
      </c>
      <c r="AU28" s="38">
        <f t="shared" si="58"/>
        <v>0.23752946244392067</v>
      </c>
      <c r="AV28" s="40">
        <f t="shared" si="58"/>
        <v>0.23674695337758986</v>
      </c>
      <c r="AW28" s="38">
        <f t="shared" si="58"/>
        <v>0.2448408087581512</v>
      </c>
      <c r="AX28" s="38">
        <f t="shared" si="58"/>
        <v>0.27189903156629469</v>
      </c>
      <c r="AY28" s="39">
        <f t="shared" si="58"/>
        <v>0.26951425214783115</v>
      </c>
      <c r="AZ28" s="40">
        <f>AZ27/AZ10</f>
        <v>0.24868306886388081</v>
      </c>
      <c r="BA28" s="38">
        <f>BA27/BA10</f>
        <v>0.25501894260399061</v>
      </c>
      <c r="BB28" s="38">
        <f>BB27/BB10</f>
        <v>0.26336001825115296</v>
      </c>
      <c r="BC28" s="39">
        <f>BC27/BC10</f>
        <v>0.24148042243431792</v>
      </c>
      <c r="BD28" s="880">
        <v>0.245</v>
      </c>
      <c r="BE28" s="797">
        <v>0.246</v>
      </c>
      <c r="BF28" s="797">
        <v>0.248</v>
      </c>
      <c r="BG28" s="796">
        <f>BF28</f>
        <v>0.248</v>
      </c>
      <c r="BH28" s="1028">
        <v>0.24399999999999999</v>
      </c>
      <c r="BI28" s="797">
        <f>BH28-0.2%</f>
        <v>0.24199999999999999</v>
      </c>
      <c r="BJ28" s="797">
        <f>BI28</f>
        <v>0.24199999999999999</v>
      </c>
      <c r="BK28" s="796">
        <f>BJ28</f>
        <v>0.24199999999999999</v>
      </c>
      <c r="BL28" s="269"/>
      <c r="BM28" s="40">
        <f t="shared" ref="BM28:BW28" si="59">BM27/BM10</f>
        <v>0.18892165097755248</v>
      </c>
      <c r="BN28" s="38">
        <f t="shared" si="59"/>
        <v>0.2106109438178711</v>
      </c>
      <c r="BO28" s="38">
        <f t="shared" si="59"/>
        <v>0.19445446113007039</v>
      </c>
      <c r="BP28" s="38">
        <f t="shared" si="59"/>
        <v>0.19471571085435771</v>
      </c>
      <c r="BQ28" s="38">
        <f t="shared" si="59"/>
        <v>0.20151301788766515</v>
      </c>
      <c r="BR28" s="38">
        <f t="shared" si="59"/>
        <v>0.16564300922789935</v>
      </c>
      <c r="BS28" s="38">
        <f t="shared" si="59"/>
        <v>0.19425581594618913</v>
      </c>
      <c r="BT28" s="40">
        <f t="shared" si="59"/>
        <v>0.21927077281186652</v>
      </c>
      <c r="BU28" s="38">
        <f t="shared" si="59"/>
        <v>0.20669069993213102</v>
      </c>
      <c r="BV28" s="38">
        <f t="shared" si="59"/>
        <v>0.22114805429925161</v>
      </c>
      <c r="BW28" s="38">
        <f t="shared" si="59"/>
        <v>0.24115614163543564</v>
      </c>
      <c r="BX28" s="38">
        <f>BX27/BX10</f>
        <v>0.25600618048550011</v>
      </c>
      <c r="BY28" s="38">
        <f>BY27/BY10</f>
        <v>0.2519688822861248</v>
      </c>
      <c r="BZ28" s="38">
        <f>BZ27/BZ10</f>
        <v>0.24675887292876589</v>
      </c>
      <c r="CA28" s="38">
        <f>CA27/CA10</f>
        <v>0.24249667546218936</v>
      </c>
      <c r="CB28" s="955">
        <f>CA28-0.2%</f>
        <v>0.24049667546218936</v>
      </c>
      <c r="CC28" s="20"/>
      <c r="CD28" s="38">
        <f t="shared" ref="CD28:CM28" si="60">CD27/CD10</f>
        <v>0.20090841866121248</v>
      </c>
      <c r="CE28" s="38">
        <f t="shared" si="60"/>
        <v>0.20211941512942458</v>
      </c>
      <c r="CF28" s="38">
        <f t="shared" si="60"/>
        <v>0.18788203134427817</v>
      </c>
      <c r="CG28" s="38">
        <f t="shared" si="60"/>
        <v>0.21384215097190545</v>
      </c>
      <c r="CH28" s="38">
        <f t="shared" si="60"/>
        <v>0.16608363235210741</v>
      </c>
      <c r="CI28" s="38">
        <f t="shared" si="60"/>
        <v>0.18637654403940757</v>
      </c>
      <c r="CJ28" s="38">
        <f t="shared" si="60"/>
        <v>0.21846431061961133</v>
      </c>
      <c r="CK28" s="38">
        <f t="shared" si="60"/>
        <v>0.20713699825327966</v>
      </c>
      <c r="CL28" s="38">
        <f t="shared" si="60"/>
        <v>0.21480957407072618</v>
      </c>
      <c r="CM28" s="38">
        <f t="shared" si="60"/>
        <v>0.23993501424391836</v>
      </c>
      <c r="CN28" s="38">
        <f>CN27/CN10</f>
        <v>0.24787792348062085</v>
      </c>
      <c r="CO28" s="38">
        <f>CO27/CO10</f>
        <v>0.25913901875671053</v>
      </c>
      <c r="CP28" s="38">
        <f>CP27/CP10</f>
        <v>0.24512751029867641</v>
      </c>
      <c r="CQ28" s="39">
        <f>CQ27/CQ10</f>
        <v>0.24396293971435987</v>
      </c>
      <c r="CR28" s="14"/>
      <c r="CS28" s="14"/>
      <c r="CZ28" s="8"/>
    </row>
    <row r="29" spans="1:104" ht="14.25" hidden="1" customHeight="1" outlineLevel="1">
      <c r="A29" s="8"/>
      <c r="B29" s="317"/>
      <c r="D29" s="751"/>
      <c r="E29" s="783"/>
      <c r="F29" s="783"/>
      <c r="G29" s="754"/>
      <c r="H29" s="751"/>
      <c r="I29" s="783"/>
      <c r="J29" s="783"/>
      <c r="K29" s="754"/>
      <c r="L29" s="751"/>
      <c r="M29" s="783"/>
      <c r="N29" s="783"/>
      <c r="O29" s="754"/>
      <c r="P29" s="751"/>
      <c r="Q29" s="783"/>
      <c r="R29" s="783"/>
      <c r="S29" s="754"/>
      <c r="T29" s="751"/>
      <c r="U29" s="783"/>
      <c r="V29" s="783"/>
      <c r="W29" s="754"/>
      <c r="X29" s="751"/>
      <c r="Y29" s="783"/>
      <c r="Z29" s="783"/>
      <c r="AA29" s="754"/>
      <c r="AB29" s="751"/>
      <c r="AC29" s="783"/>
      <c r="AD29" s="783"/>
      <c r="AE29" s="754"/>
      <c r="AJ29" s="317"/>
      <c r="AL29" s="418"/>
      <c r="AN29" s="317"/>
      <c r="AP29" s="418"/>
      <c r="AR29" s="317"/>
      <c r="AT29" s="418"/>
      <c r="AV29" s="317"/>
      <c r="AW29" s="783"/>
      <c r="AX29" s="783"/>
      <c r="AY29" s="754"/>
      <c r="AZ29" s="887"/>
      <c r="BA29" s="902"/>
      <c r="BB29" s="902"/>
      <c r="BC29" s="926"/>
      <c r="BD29" s="317"/>
      <c r="BH29" s="317"/>
      <c r="BI29" s="418"/>
      <c r="BJ29" s="418"/>
      <c r="BK29" s="663"/>
      <c r="BL29" s="754"/>
      <c r="BM29" s="317"/>
      <c r="BN29" s="418"/>
      <c r="BO29" s="418"/>
      <c r="BP29" s="418"/>
      <c r="BQ29" s="418"/>
      <c r="BR29" s="418"/>
      <c r="BS29" s="418"/>
      <c r="BT29" s="317"/>
      <c r="BU29" s="418"/>
      <c r="BV29" s="418"/>
      <c r="BW29" s="418"/>
      <c r="BX29" s="418"/>
      <c r="BY29" s="418"/>
      <c r="BZ29" s="418"/>
      <c r="CA29" s="418"/>
      <c r="CB29" s="754"/>
      <c r="CC29" s="853"/>
      <c r="CL29" s="783"/>
      <c r="CM29" s="783"/>
      <c r="CN29" s="783"/>
      <c r="CO29" s="783"/>
      <c r="CP29" s="783"/>
      <c r="CQ29" s="754"/>
      <c r="CR29" s="14"/>
      <c r="CS29" s="14"/>
      <c r="CZ29" s="8"/>
    </row>
    <row r="30" spans="1:104" s="617" customFormat="1" ht="14.25" hidden="1" customHeight="1" outlineLevel="1">
      <c r="A30" s="614"/>
      <c r="B30" s="615" t="s">
        <v>382</v>
      </c>
      <c r="C30" s="618"/>
      <c r="D30" s="619">
        <v>0</v>
      </c>
      <c r="E30" s="620">
        <f>+D30</f>
        <v>0</v>
      </c>
      <c r="F30" s="620">
        <f t="shared" ref="F30:AT30" si="61">+E30</f>
        <v>0</v>
      </c>
      <c r="G30" s="621">
        <f t="shared" si="61"/>
        <v>0</v>
      </c>
      <c r="H30" s="622">
        <f t="shared" si="61"/>
        <v>0</v>
      </c>
      <c r="I30" s="620">
        <f t="shared" si="61"/>
        <v>0</v>
      </c>
      <c r="J30" s="620">
        <f t="shared" si="61"/>
        <v>0</v>
      </c>
      <c r="K30" s="621">
        <f t="shared" si="61"/>
        <v>0</v>
      </c>
      <c r="L30" s="622">
        <f t="shared" si="61"/>
        <v>0</v>
      </c>
      <c r="M30" s="620">
        <f t="shared" si="61"/>
        <v>0</v>
      </c>
      <c r="N30" s="620">
        <f t="shared" si="61"/>
        <v>0</v>
      </c>
      <c r="O30" s="621">
        <f t="shared" si="61"/>
        <v>0</v>
      </c>
      <c r="P30" s="622">
        <f t="shared" si="61"/>
        <v>0</v>
      </c>
      <c r="Q30" s="620">
        <f t="shared" si="61"/>
        <v>0</v>
      </c>
      <c r="R30" s="620">
        <f t="shared" si="61"/>
        <v>0</v>
      </c>
      <c r="S30" s="621">
        <f t="shared" si="61"/>
        <v>0</v>
      </c>
      <c r="T30" s="622">
        <f t="shared" si="61"/>
        <v>0</v>
      </c>
      <c r="U30" s="620">
        <f t="shared" si="61"/>
        <v>0</v>
      </c>
      <c r="V30" s="620">
        <f t="shared" si="61"/>
        <v>0</v>
      </c>
      <c r="W30" s="621">
        <f t="shared" si="61"/>
        <v>0</v>
      </c>
      <c r="X30" s="622">
        <f t="shared" si="61"/>
        <v>0</v>
      </c>
      <c r="Y30" s="620">
        <f t="shared" si="61"/>
        <v>0</v>
      </c>
      <c r="Z30" s="620">
        <f t="shared" si="61"/>
        <v>0</v>
      </c>
      <c r="AA30" s="621">
        <f t="shared" si="61"/>
        <v>0</v>
      </c>
      <c r="AB30" s="622">
        <f t="shared" si="61"/>
        <v>0</v>
      </c>
      <c r="AC30" s="620">
        <f t="shared" si="61"/>
        <v>0</v>
      </c>
      <c r="AD30" s="620">
        <f t="shared" si="61"/>
        <v>0</v>
      </c>
      <c r="AE30" s="621">
        <f t="shared" si="61"/>
        <v>0</v>
      </c>
      <c r="AF30" s="620">
        <f t="shared" si="61"/>
        <v>0</v>
      </c>
      <c r="AG30" s="620">
        <f t="shared" si="61"/>
        <v>0</v>
      </c>
      <c r="AH30" s="620">
        <f t="shared" si="61"/>
        <v>0</v>
      </c>
      <c r="AI30" s="620">
        <f t="shared" si="61"/>
        <v>0</v>
      </c>
      <c r="AJ30" s="622">
        <f>+AI30</f>
        <v>0</v>
      </c>
      <c r="AK30" s="620">
        <f>+AJ30</f>
        <v>0</v>
      </c>
      <c r="AL30" s="620">
        <f t="shared" si="61"/>
        <v>0</v>
      </c>
      <c r="AM30" s="620">
        <v>0</v>
      </c>
      <c r="AN30" s="622">
        <f>+AM30</f>
        <v>0</v>
      </c>
      <c r="AO30" s="620">
        <f>+AN30</f>
        <v>0</v>
      </c>
      <c r="AP30" s="620">
        <f t="shared" si="61"/>
        <v>0</v>
      </c>
      <c r="AQ30" s="620">
        <v>0</v>
      </c>
      <c r="AR30" s="622">
        <f>+AQ30</f>
        <v>0</v>
      </c>
      <c r="AS30" s="620">
        <f>+AR30</f>
        <v>0</v>
      </c>
      <c r="AT30" s="620">
        <f t="shared" si="61"/>
        <v>0</v>
      </c>
      <c r="AU30" s="620">
        <v>0</v>
      </c>
      <c r="AV30" s="622">
        <f t="shared" ref="AV30:BB30" si="62">+AU30</f>
        <v>0</v>
      </c>
      <c r="AW30" s="620">
        <f t="shared" si="62"/>
        <v>0</v>
      </c>
      <c r="AX30" s="620">
        <f t="shared" si="62"/>
        <v>0</v>
      </c>
      <c r="AY30" s="621">
        <v>0</v>
      </c>
      <c r="AZ30" s="622">
        <f t="shared" si="62"/>
        <v>0</v>
      </c>
      <c r="BA30" s="620">
        <f t="shared" si="62"/>
        <v>0</v>
      </c>
      <c r="BB30" s="620">
        <f t="shared" si="62"/>
        <v>0</v>
      </c>
      <c r="BC30" s="621">
        <v>0</v>
      </c>
      <c r="BD30" s="622">
        <f t="shared" ref="BD30:BK30" si="63">+BC30</f>
        <v>0</v>
      </c>
      <c r="BE30" s="620">
        <f t="shared" si="63"/>
        <v>0</v>
      </c>
      <c r="BF30" s="620">
        <f t="shared" si="63"/>
        <v>0</v>
      </c>
      <c r="BG30" s="621">
        <f t="shared" si="63"/>
        <v>0</v>
      </c>
      <c r="BH30" s="622">
        <f t="shared" si="63"/>
        <v>0</v>
      </c>
      <c r="BI30" s="620">
        <f t="shared" si="63"/>
        <v>0</v>
      </c>
      <c r="BJ30" s="620">
        <f t="shared" si="63"/>
        <v>0</v>
      </c>
      <c r="BK30" s="621">
        <f t="shared" si="63"/>
        <v>0</v>
      </c>
      <c r="BL30" s="664"/>
      <c r="BM30" s="622">
        <f>SUM(D30:G30)</f>
        <v>0</v>
      </c>
      <c r="BN30" s="620">
        <f>SUM(H30:K30)</f>
        <v>0</v>
      </c>
      <c r="BO30" s="620">
        <f>SUM(L30:O30)</f>
        <v>0</v>
      </c>
      <c r="BP30" s="620">
        <f>SUM(P30:S30)</f>
        <v>0</v>
      </c>
      <c r="BQ30" s="620">
        <f>SUM(T30:W30)</f>
        <v>0</v>
      </c>
      <c r="BR30" s="620">
        <f>SUM(X30:AA30)</f>
        <v>0</v>
      </c>
      <c r="BS30" s="620">
        <f>SUM(AB30:AE30)</f>
        <v>0</v>
      </c>
      <c r="BT30" s="622">
        <f>SUM(AF30:AI30)</f>
        <v>0</v>
      </c>
      <c r="BU30" s="620">
        <f>SUM(AJ30:AM30)</f>
        <v>0</v>
      </c>
      <c r="BV30" s="620">
        <f>SUM(AN30:AQ30)</f>
        <v>0</v>
      </c>
      <c r="BW30" s="620">
        <f>SUM(AR30:AU30)</f>
        <v>0</v>
      </c>
      <c r="BX30" s="620">
        <f>SUM(AV30:AY30)</f>
        <v>0</v>
      </c>
      <c r="BY30" s="620">
        <f>SUM(AZ30:BC30)</f>
        <v>0</v>
      </c>
      <c r="BZ30" s="620">
        <f>SUM(BD30:BG30)</f>
        <v>0</v>
      </c>
      <c r="CA30" s="620">
        <f>SUM(BH30:BK30)</f>
        <v>0</v>
      </c>
      <c r="CB30" s="952">
        <f>+CA30</f>
        <v>0</v>
      </c>
      <c r="CC30" s="616"/>
      <c r="CD30" s="620">
        <f>SUM(G30:J30)</f>
        <v>0</v>
      </c>
      <c r="CE30" s="620">
        <f>SUM(K30:N30)</f>
        <v>0</v>
      </c>
      <c r="CF30" s="620">
        <f>SUM(O30:R30)</f>
        <v>0</v>
      </c>
      <c r="CG30" s="620">
        <f>SUM(S30:V30)</f>
        <v>0</v>
      </c>
      <c r="CH30" s="620">
        <f>SUM(W30:Z30)</f>
        <v>0</v>
      </c>
      <c r="CI30" s="620">
        <f>SUM(AA30:AD30)</f>
        <v>0</v>
      </c>
      <c r="CJ30" s="620">
        <f>SUM(AE30:AH30)</f>
        <v>0</v>
      </c>
      <c r="CK30" s="620">
        <f>SUM(AI30:AL30)</f>
        <v>0</v>
      </c>
      <c r="CL30" s="620">
        <f>SUM(AM30:AP30)</f>
        <v>0</v>
      </c>
      <c r="CM30" s="620">
        <f>SUM(AQ30:AT30)</f>
        <v>0</v>
      </c>
      <c r="CN30" s="620">
        <f>SUM(AU30:AX30)</f>
        <v>0</v>
      </c>
      <c r="CO30" s="620">
        <f>SUM(AY30:BB30)</f>
        <v>0</v>
      </c>
      <c r="CP30" s="620">
        <f>SUM(BC30:BF30)</f>
        <v>0</v>
      </c>
      <c r="CQ30" s="621">
        <f>SUM(BG30:BJ30)</f>
        <v>0</v>
      </c>
      <c r="CR30" s="665"/>
      <c r="CS30" s="665"/>
      <c r="CT30"/>
      <c r="CU30"/>
      <c r="CV30"/>
      <c r="CW30"/>
      <c r="CX30"/>
      <c r="CY30"/>
      <c r="CZ30" s="614"/>
    </row>
    <row r="31" spans="1:104" ht="14.25" hidden="1" customHeight="1" outlineLevel="1">
      <c r="A31" s="8"/>
      <c r="B31" s="23" t="s">
        <v>3</v>
      </c>
      <c r="C31" s="24"/>
      <c r="D31" s="35">
        <f>+D27-D30</f>
        <v>78.703999999999994</v>
      </c>
      <c r="E31" s="33">
        <f t="shared" ref="E31:AM31" si="64">+E27-E30</f>
        <v>79.953000000000003</v>
      </c>
      <c r="F31" s="33">
        <f t="shared" si="64"/>
        <v>81.072999999999993</v>
      </c>
      <c r="G31" s="34">
        <f t="shared" si="64"/>
        <v>86.396000000000001</v>
      </c>
      <c r="H31" s="35">
        <f t="shared" si="64"/>
        <v>97.581999999999994</v>
      </c>
      <c r="I31" s="33">
        <f t="shared" si="64"/>
        <v>95.950999999999993</v>
      </c>
      <c r="J31" s="33">
        <f t="shared" si="64"/>
        <v>96.091999999999999</v>
      </c>
      <c r="K31" s="34">
        <f t="shared" si="64"/>
        <v>98.475999999999999</v>
      </c>
      <c r="L31" s="35">
        <f t="shared" si="64"/>
        <v>87.87</v>
      </c>
      <c r="M31" s="33">
        <f t="shared" si="64"/>
        <v>88.293999999999997</v>
      </c>
      <c r="N31" s="33">
        <f t="shared" si="64"/>
        <v>91.010999999999996</v>
      </c>
      <c r="O31" s="34">
        <f t="shared" si="64"/>
        <v>90.888000000000005</v>
      </c>
      <c r="P31" s="35">
        <f t="shared" si="64"/>
        <v>90.733999999999995</v>
      </c>
      <c r="Q31" s="33">
        <f t="shared" si="64"/>
        <v>89.501000000000005</v>
      </c>
      <c r="R31" s="33">
        <f t="shared" si="64"/>
        <v>86.966999999999999</v>
      </c>
      <c r="S31" s="34">
        <f t="shared" si="64"/>
        <v>88.19</v>
      </c>
      <c r="T31" s="35">
        <f t="shared" si="64"/>
        <v>83.233000000000004</v>
      </c>
      <c r="U31" s="33">
        <f t="shared" si="64"/>
        <v>90.144999999999996</v>
      </c>
      <c r="V31" s="33">
        <f t="shared" si="64"/>
        <v>101.867</v>
      </c>
      <c r="W31" s="34">
        <f t="shared" si="64"/>
        <v>94.24</v>
      </c>
      <c r="X31" s="35">
        <f t="shared" si="64"/>
        <v>94.483999999999995</v>
      </c>
      <c r="Y31" s="33">
        <f t="shared" si="64"/>
        <v>96.578000000000003</v>
      </c>
      <c r="Z31" s="33">
        <f t="shared" si="64"/>
        <v>98.453000000000003</v>
      </c>
      <c r="AA31" s="34">
        <f t="shared" si="64"/>
        <v>102.967</v>
      </c>
      <c r="AB31" s="35">
        <f t="shared" si="64"/>
        <v>106.017</v>
      </c>
      <c r="AC31" s="33">
        <f t="shared" si="64"/>
        <v>105.774</v>
      </c>
      <c r="AD31" s="33">
        <f t="shared" si="64"/>
        <v>108.245</v>
      </c>
      <c r="AE31" s="34">
        <f t="shared" si="64"/>
        <v>115.24</v>
      </c>
      <c r="AF31" s="33">
        <f t="shared" si="64"/>
        <v>121.447</v>
      </c>
      <c r="AG31" s="33">
        <f t="shared" si="64"/>
        <v>113.887</v>
      </c>
      <c r="AH31" s="33">
        <f t="shared" si="64"/>
        <v>129.05500000000001</v>
      </c>
      <c r="AI31" s="33">
        <f t="shared" si="64"/>
        <v>111.133</v>
      </c>
      <c r="AJ31" s="35">
        <f t="shared" si="64"/>
        <v>111.541</v>
      </c>
      <c r="AK31" s="33">
        <f t="shared" si="64"/>
        <v>125.002</v>
      </c>
      <c r="AL31" s="33">
        <f t="shared" si="64"/>
        <v>128.09200000000001</v>
      </c>
      <c r="AM31" s="33">
        <f t="shared" si="64"/>
        <v>127.812</v>
      </c>
      <c r="AN31" s="35">
        <f t="shared" ref="AN31:AS31" si="65">+AN27-AN30</f>
        <v>122.01300000000001</v>
      </c>
      <c r="AO31" s="33">
        <f t="shared" si="65"/>
        <v>138.33500000000001</v>
      </c>
      <c r="AP31" s="33">
        <f t="shared" si="65"/>
        <v>133.45500000000001</v>
      </c>
      <c r="AQ31" s="33">
        <f t="shared" si="65"/>
        <v>131.94200000000001</v>
      </c>
      <c r="AR31" s="35">
        <f t="shared" si="65"/>
        <v>126.648</v>
      </c>
      <c r="AS31" s="33">
        <f t="shared" si="65"/>
        <v>130.22</v>
      </c>
      <c r="AT31" s="33">
        <f t="shared" ref="AT31:AY31" si="66">+AT27-AT30</f>
        <v>141.37799999999999</v>
      </c>
      <c r="AU31" s="33">
        <f t="shared" si="66"/>
        <v>135.64500000000001</v>
      </c>
      <c r="AV31" s="35">
        <f t="shared" si="66"/>
        <v>136.125</v>
      </c>
      <c r="AW31" s="33">
        <f t="shared" si="66"/>
        <v>141.81399999999999</v>
      </c>
      <c r="AX31" s="33">
        <f t="shared" si="66"/>
        <v>159.24799999999999</v>
      </c>
      <c r="AY31" s="34">
        <f t="shared" si="66"/>
        <v>164.256</v>
      </c>
      <c r="AZ31" s="35">
        <f t="shared" ref="AZ31:BK31" si="67">+AZ27-AZ30</f>
        <v>153.05099999999999</v>
      </c>
      <c r="BA31" s="33">
        <f t="shared" si="67"/>
        <v>157.98500000000001</v>
      </c>
      <c r="BB31" s="33">
        <f t="shared" si="67"/>
        <v>166.23099999999999</v>
      </c>
      <c r="BC31" s="34">
        <f t="shared" si="67"/>
        <v>162.483</v>
      </c>
      <c r="BD31" s="35">
        <f t="shared" si="67"/>
        <v>165.49410964099997</v>
      </c>
      <c r="BE31" s="33">
        <f t="shared" si="67"/>
        <v>167.112172516914</v>
      </c>
      <c r="BF31" s="33">
        <f t="shared" si="67"/>
        <v>168.13299188520426</v>
      </c>
      <c r="BG31" s="34">
        <f t="shared" si="67"/>
        <v>172.27963596711606</v>
      </c>
      <c r="BH31" s="35">
        <f t="shared" si="67"/>
        <v>175.16444628582508</v>
      </c>
      <c r="BI31" s="33">
        <f t="shared" si="67"/>
        <v>175.23550309533505</v>
      </c>
      <c r="BJ31" s="33">
        <f t="shared" si="67"/>
        <v>173.78948907228781</v>
      </c>
      <c r="BK31" s="34">
        <f t="shared" si="67"/>
        <v>176.8124925189876</v>
      </c>
      <c r="BL31" s="269"/>
      <c r="BM31" s="35">
        <f t="shared" ref="BM31:BW31" si="68">+BM27-BM30</f>
        <v>326.12599999999998</v>
      </c>
      <c r="BN31" s="33">
        <f t="shared" si="68"/>
        <v>388.101</v>
      </c>
      <c r="BO31" s="33">
        <f t="shared" si="68"/>
        <v>358.06299999999999</v>
      </c>
      <c r="BP31" s="33">
        <f t="shared" si="68"/>
        <v>355.392</v>
      </c>
      <c r="BQ31" s="33">
        <f t="shared" si="68"/>
        <v>369.48500000000001</v>
      </c>
      <c r="BR31" s="33">
        <f t="shared" si="68"/>
        <v>392.48199999999997</v>
      </c>
      <c r="BS31" s="33">
        <f t="shared" si="68"/>
        <v>435.27600000000001</v>
      </c>
      <c r="BT31" s="35">
        <f t="shared" si="68"/>
        <v>475.52199999999999</v>
      </c>
      <c r="BU31" s="33">
        <f t="shared" si="68"/>
        <v>492.447</v>
      </c>
      <c r="BV31" s="33">
        <f t="shared" si="68"/>
        <v>525.745</v>
      </c>
      <c r="BW31" s="33">
        <f t="shared" si="68"/>
        <v>533.89099999999996</v>
      </c>
      <c r="BX31" s="33">
        <f>+BX27-BX30</f>
        <v>601.44299999999998</v>
      </c>
      <c r="BY31" s="33">
        <f>+BY27-BY30</f>
        <v>639.75</v>
      </c>
      <c r="BZ31" s="33">
        <f>+BZ27-BZ30</f>
        <v>673.01891001023432</v>
      </c>
      <c r="CA31" s="33">
        <f>+CA27-CA30</f>
        <v>701.0019309724355</v>
      </c>
      <c r="CB31" s="953">
        <f>+CB27-CB30</f>
        <v>739.78748881586762</v>
      </c>
      <c r="CC31" s="20"/>
      <c r="CD31" s="33">
        <f t="shared" ref="CD31:CM31" si="69">+CD27-CD30</f>
        <v>376.02099999999996</v>
      </c>
      <c r="CE31" s="33">
        <f t="shared" si="69"/>
        <v>365.65099999999995</v>
      </c>
      <c r="CF31" s="33">
        <f t="shared" si="69"/>
        <v>358.09000000000003</v>
      </c>
      <c r="CG31" s="33">
        <f t="shared" si="69"/>
        <v>363.435</v>
      </c>
      <c r="CH31" s="33">
        <f t="shared" si="69"/>
        <v>383.755</v>
      </c>
      <c r="CI31" s="33">
        <f t="shared" si="69"/>
        <v>423.00299999999999</v>
      </c>
      <c r="CJ31" s="33">
        <f t="shared" si="69"/>
        <v>479.62900000000002</v>
      </c>
      <c r="CK31" s="33">
        <f t="shared" si="69"/>
        <v>475.76800000000003</v>
      </c>
      <c r="CL31" s="33">
        <f t="shared" si="69"/>
        <v>521.61500000000001</v>
      </c>
      <c r="CM31" s="33">
        <f t="shared" si="69"/>
        <v>530.1880000000001</v>
      </c>
      <c r="CN31" s="33">
        <f>+CN27-CN30</f>
        <v>572.83199999999988</v>
      </c>
      <c r="CO31" s="33">
        <f>+CO27-CO30</f>
        <v>641.52300000000002</v>
      </c>
      <c r="CP31" s="33">
        <f>+CP27-CP30</f>
        <v>663.2222740431182</v>
      </c>
      <c r="CQ31" s="34">
        <f>+CQ27-CQ30</f>
        <v>696.46907442056397</v>
      </c>
      <c r="CR31" s="806"/>
      <c r="CS31" s="806"/>
      <c r="CZ31" s="8"/>
    </row>
    <row r="32" spans="1:104" ht="14.25" hidden="1" customHeight="1" outlineLevel="1">
      <c r="A32" s="8"/>
      <c r="B32" s="36" t="s">
        <v>395</v>
      </c>
      <c r="C32" s="37"/>
      <c r="D32" s="40">
        <f t="shared" ref="D32:AM32" si="70">D31/D10</f>
        <v>0.19414917891652006</v>
      </c>
      <c r="E32" s="38">
        <f t="shared" si="70"/>
        <v>0.20041912219968969</v>
      </c>
      <c r="F32" s="38">
        <f t="shared" si="70"/>
        <v>0.18032050355311882</v>
      </c>
      <c r="G32" s="39">
        <f t="shared" si="70"/>
        <v>0.18291177697279698</v>
      </c>
      <c r="H32" s="40">
        <f t="shared" si="70"/>
        <v>0.20272061359226526</v>
      </c>
      <c r="I32" s="38">
        <f t="shared" si="70"/>
        <v>0.20538336401387045</v>
      </c>
      <c r="J32" s="38">
        <f t="shared" si="70"/>
        <v>0.21319429807532309</v>
      </c>
      <c r="K32" s="39">
        <f t="shared" si="70"/>
        <v>0.22205686041057834</v>
      </c>
      <c r="L32" s="40">
        <f t="shared" si="70"/>
        <v>0.19705681838569047</v>
      </c>
      <c r="M32" s="38">
        <f t="shared" si="70"/>
        <v>0.19846075694435078</v>
      </c>
      <c r="N32" s="38">
        <f t="shared" si="70"/>
        <v>0.19168039157045194</v>
      </c>
      <c r="O32" s="39">
        <f t="shared" si="70"/>
        <v>0.1910374978980999</v>
      </c>
      <c r="P32" s="40">
        <f t="shared" si="70"/>
        <v>0.18583664791928658</v>
      </c>
      <c r="Q32" s="38">
        <f t="shared" si="70"/>
        <v>0.18509648692861147</v>
      </c>
      <c r="R32" s="38">
        <f t="shared" si="70"/>
        <v>0.18972396686642509</v>
      </c>
      <c r="S32" s="39">
        <f t="shared" si="70"/>
        <v>0.22325790984623328</v>
      </c>
      <c r="T32" s="40">
        <f t="shared" si="70"/>
        <v>0.22122609539250734</v>
      </c>
      <c r="U32" s="38">
        <f t="shared" si="70"/>
        <v>0.21724304133028075</v>
      </c>
      <c r="V32" s="38">
        <f t="shared" si="70"/>
        <v>0.19843615162394393</v>
      </c>
      <c r="W32" s="39">
        <f t="shared" si="70"/>
        <v>0.17814071301652112</v>
      </c>
      <c r="X32" s="40">
        <f t="shared" si="70"/>
        <v>0.15886686047782464</v>
      </c>
      <c r="Y32" s="38">
        <f t="shared" si="70"/>
        <v>0.15585492830008424</v>
      </c>
      <c r="Z32" s="38">
        <f t="shared" si="70"/>
        <v>0.173580281739805</v>
      </c>
      <c r="AA32" s="39">
        <f t="shared" si="70"/>
        <v>0.17515803297428606</v>
      </c>
      <c r="AB32" s="40">
        <f t="shared" si="70"/>
        <v>0.17225568393225912</v>
      </c>
      <c r="AC32" s="38">
        <f t="shared" si="70"/>
        <v>0.19051204141143246</v>
      </c>
      <c r="AD32" s="38">
        <f t="shared" si="70"/>
        <v>0.2117920292081058</v>
      </c>
      <c r="AE32" s="39">
        <f t="shared" si="70"/>
        <v>0.20616380397622069</v>
      </c>
      <c r="AF32" s="38">
        <f t="shared" si="70"/>
        <v>0.20839110202064573</v>
      </c>
      <c r="AG32" s="38">
        <f t="shared" si="70"/>
        <v>0.20937689016845826</v>
      </c>
      <c r="AH32" s="38">
        <f t="shared" si="70"/>
        <v>0.25316468111902107</v>
      </c>
      <c r="AI32" s="38">
        <f t="shared" si="70"/>
        <v>0.20883067001398053</v>
      </c>
      <c r="AJ32" s="40">
        <f t="shared" si="70"/>
        <v>0.19265918767434428</v>
      </c>
      <c r="AK32" s="38">
        <f t="shared" si="70"/>
        <v>0.2087064248827506</v>
      </c>
      <c r="AL32" s="38">
        <f t="shared" si="70"/>
        <v>0.21828307339949832</v>
      </c>
      <c r="AM32" s="38">
        <f t="shared" si="70"/>
        <v>0.20687478452566513</v>
      </c>
      <c r="AN32" s="40">
        <f t="shared" ref="AN32:AS32" si="71">AN31/AN10</f>
        <v>0.19916165142915906</v>
      </c>
      <c r="AO32" s="38">
        <f t="shared" si="71"/>
        <v>0.22893215194733413</v>
      </c>
      <c r="AP32" s="38">
        <f t="shared" si="71"/>
        <v>0.22484243086922903</v>
      </c>
      <c r="AQ32" s="38">
        <f t="shared" si="71"/>
        <v>0.23274298818133712</v>
      </c>
      <c r="AR32" s="40">
        <f t="shared" si="71"/>
        <v>0.23068516305773321</v>
      </c>
      <c r="AS32" s="38">
        <f t="shared" si="71"/>
        <v>0.24682886885581493</v>
      </c>
      <c r="AT32" s="38">
        <f t="shared" ref="AT32:AY32" si="72">AT31/AT10</f>
        <v>0.24968078624599324</v>
      </c>
      <c r="AU32" s="38">
        <f t="shared" si="72"/>
        <v>0.23752946244392067</v>
      </c>
      <c r="AV32" s="40">
        <f t="shared" si="72"/>
        <v>0.23674695337758986</v>
      </c>
      <c r="AW32" s="38">
        <f t="shared" si="72"/>
        <v>0.2448408087581512</v>
      </c>
      <c r="AX32" s="38">
        <f t="shared" si="72"/>
        <v>0.27189903156629469</v>
      </c>
      <c r="AY32" s="39">
        <f t="shared" si="72"/>
        <v>0.26951425214783115</v>
      </c>
      <c r="AZ32" s="40">
        <f t="shared" ref="AZ32:BK32" si="73">AZ31/AZ10</f>
        <v>0.24868306886388081</v>
      </c>
      <c r="BA32" s="38">
        <f t="shared" si="73"/>
        <v>0.25501894260399061</v>
      </c>
      <c r="BB32" s="38">
        <f t="shared" si="73"/>
        <v>0.26336001825115296</v>
      </c>
      <c r="BC32" s="39">
        <f t="shared" si="73"/>
        <v>0.24148042243431792</v>
      </c>
      <c r="BD32" s="40">
        <f t="shared" si="73"/>
        <v>0.245</v>
      </c>
      <c r="BE32" s="38">
        <f t="shared" si="73"/>
        <v>0.246</v>
      </c>
      <c r="BF32" s="38">
        <f t="shared" si="73"/>
        <v>0.248</v>
      </c>
      <c r="BG32" s="39">
        <f t="shared" si="73"/>
        <v>0.248</v>
      </c>
      <c r="BH32" s="40">
        <f t="shared" si="73"/>
        <v>0.24399999999999997</v>
      </c>
      <c r="BI32" s="38">
        <f t="shared" si="73"/>
        <v>0.24200000000000002</v>
      </c>
      <c r="BJ32" s="38">
        <f t="shared" si="73"/>
        <v>0.24199999999999999</v>
      </c>
      <c r="BK32" s="39">
        <f t="shared" si="73"/>
        <v>0.24199999999999999</v>
      </c>
      <c r="BL32" s="269"/>
      <c r="BM32" s="40">
        <f t="shared" ref="BM32:BW32" si="74">BM31/BM10</f>
        <v>0.18892165097755248</v>
      </c>
      <c r="BN32" s="38">
        <f t="shared" si="74"/>
        <v>0.2106109438178711</v>
      </c>
      <c r="BO32" s="38">
        <f t="shared" si="74"/>
        <v>0.19445446113007039</v>
      </c>
      <c r="BP32" s="38">
        <f t="shared" si="74"/>
        <v>0.19471571085435771</v>
      </c>
      <c r="BQ32" s="38">
        <f t="shared" si="74"/>
        <v>0.20151301788766515</v>
      </c>
      <c r="BR32" s="38">
        <f t="shared" si="74"/>
        <v>0.16564300922789935</v>
      </c>
      <c r="BS32" s="38">
        <f t="shared" si="74"/>
        <v>0.19425581594618913</v>
      </c>
      <c r="BT32" s="40">
        <f t="shared" si="74"/>
        <v>0.21927077281186652</v>
      </c>
      <c r="BU32" s="38">
        <f t="shared" si="74"/>
        <v>0.20669069993213102</v>
      </c>
      <c r="BV32" s="38">
        <f t="shared" si="74"/>
        <v>0.22114805429925161</v>
      </c>
      <c r="BW32" s="38">
        <f t="shared" si="74"/>
        <v>0.24115614163543564</v>
      </c>
      <c r="BX32" s="38">
        <f>BX31/BX10</f>
        <v>0.25600618048550011</v>
      </c>
      <c r="BY32" s="38">
        <f>BY31/BY10</f>
        <v>0.2519688822861248</v>
      </c>
      <c r="BZ32" s="38">
        <f>BZ31/BZ10</f>
        <v>0.24675887292876589</v>
      </c>
      <c r="CA32" s="38">
        <f>CA31/CA10</f>
        <v>0.24249667546218936</v>
      </c>
      <c r="CB32" s="951">
        <f>CB31/CB10</f>
        <v>0.24249667546218934</v>
      </c>
      <c r="CC32" s="20"/>
      <c r="CD32" s="38">
        <f t="shared" ref="CD32:CM32" si="75">CD31/CD10</f>
        <v>0.20090841866121248</v>
      </c>
      <c r="CE32" s="38">
        <f t="shared" si="75"/>
        <v>0.20211941512942458</v>
      </c>
      <c r="CF32" s="38">
        <f t="shared" si="75"/>
        <v>0.18788203134427817</v>
      </c>
      <c r="CG32" s="38">
        <f t="shared" si="75"/>
        <v>0.21384215097190545</v>
      </c>
      <c r="CH32" s="38">
        <f t="shared" si="75"/>
        <v>0.16608363235210741</v>
      </c>
      <c r="CI32" s="38">
        <f t="shared" si="75"/>
        <v>0.18637654403940757</v>
      </c>
      <c r="CJ32" s="38">
        <f t="shared" si="75"/>
        <v>0.21846431061961133</v>
      </c>
      <c r="CK32" s="38">
        <f t="shared" si="75"/>
        <v>0.20713699825327966</v>
      </c>
      <c r="CL32" s="38">
        <f t="shared" si="75"/>
        <v>0.21480957407072618</v>
      </c>
      <c r="CM32" s="38">
        <f t="shared" si="75"/>
        <v>0.23993501424391836</v>
      </c>
      <c r="CN32" s="38">
        <f>CN31/CN10</f>
        <v>0.24787792348062085</v>
      </c>
      <c r="CO32" s="38">
        <f>CO31/CO10</f>
        <v>0.25913901875671053</v>
      </c>
      <c r="CP32" s="38">
        <f>CP31/CP10</f>
        <v>0.24512751029867641</v>
      </c>
      <c r="CQ32" s="39">
        <f>CQ31/CQ10</f>
        <v>0.24396293971435987</v>
      </c>
      <c r="CR32" s="14"/>
      <c r="CS32" s="14"/>
      <c r="CZ32" s="8"/>
    </row>
    <row r="33" spans="1:104" ht="14.25" customHeight="1" collapsed="1">
      <c r="A33" s="8"/>
      <c r="B33" s="55"/>
      <c r="C33" s="56"/>
      <c r="D33" s="46"/>
      <c r="E33" s="44"/>
      <c r="F33" s="49"/>
      <c r="G33" s="45"/>
      <c r="H33" s="46"/>
      <c r="I33" s="44"/>
      <c r="J33" s="49"/>
      <c r="K33" s="45"/>
      <c r="L33" s="46"/>
      <c r="M33" s="44"/>
      <c r="N33" s="49"/>
      <c r="O33" s="45"/>
      <c r="P33" s="46"/>
      <c r="Q33" s="44"/>
      <c r="R33" s="49"/>
      <c r="S33" s="45"/>
      <c r="T33" s="46"/>
      <c r="U33" s="44"/>
      <c r="V33" s="49"/>
      <c r="W33" s="45"/>
      <c r="X33" s="46"/>
      <c r="Y33" s="44"/>
      <c r="Z33" s="44"/>
      <c r="AA33" s="45"/>
      <c r="AB33" s="46"/>
      <c r="AC33" s="44"/>
      <c r="AD33" s="44"/>
      <c r="AE33" s="45"/>
      <c r="AF33" s="44"/>
      <c r="AG33" s="44"/>
      <c r="AH33" s="44"/>
      <c r="AI33" s="44"/>
      <c r="AJ33" s="46"/>
      <c r="AK33" s="44"/>
      <c r="AL33" s="44"/>
      <c r="AM33" s="44"/>
      <c r="AN33" s="46"/>
      <c r="AO33" s="44"/>
      <c r="AP33" s="44"/>
      <c r="AQ33" s="44"/>
      <c r="AR33" s="46"/>
      <c r="AS33" s="44"/>
      <c r="AT33" s="44"/>
      <c r="AU33" s="44"/>
      <c r="AV33" s="46"/>
      <c r="AW33" s="44"/>
      <c r="AX33" s="44"/>
      <c r="AY33" s="45"/>
      <c r="AZ33" s="46"/>
      <c r="BA33" s="44"/>
      <c r="BB33" s="44"/>
      <c r="BC33" s="45"/>
      <c r="BD33" s="46"/>
      <c r="BE33" s="44"/>
      <c r="BF33" s="44"/>
      <c r="BG33" s="45"/>
      <c r="BH33" s="46"/>
      <c r="BI33" s="44"/>
      <c r="BJ33" s="44"/>
      <c r="BK33" s="45"/>
      <c r="BL33" s="269"/>
      <c r="BM33" s="57"/>
      <c r="BN33" s="47"/>
      <c r="BO33" s="47"/>
      <c r="BP33" s="47"/>
      <c r="BQ33" s="47"/>
      <c r="BR33" s="47"/>
      <c r="BS33" s="47"/>
      <c r="BT33" s="57"/>
      <c r="BU33" s="47"/>
      <c r="BV33" s="47"/>
      <c r="BW33" s="47"/>
      <c r="BX33" s="47"/>
      <c r="BY33" s="47"/>
      <c r="BZ33" s="47"/>
      <c r="CA33" s="47"/>
      <c r="CB33" s="942"/>
      <c r="CC33" s="20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8"/>
      <c r="CR33" s="14"/>
      <c r="CS33" s="14"/>
      <c r="CZ33" s="8"/>
    </row>
    <row r="34" spans="1:104" ht="14.25" customHeight="1">
      <c r="A34" s="8"/>
      <c r="B34" s="23" t="s">
        <v>188</v>
      </c>
      <c r="C34" s="24"/>
      <c r="D34" s="30">
        <v>75.986999999999995</v>
      </c>
      <c r="E34" s="31">
        <v>77.744</v>
      </c>
      <c r="F34" s="31">
        <v>80.683000000000007</v>
      </c>
      <c r="G34" s="32">
        <v>81.888000000000005</v>
      </c>
      <c r="H34" s="30">
        <v>94.418000000000006</v>
      </c>
      <c r="I34" s="31">
        <v>95.462000000000003</v>
      </c>
      <c r="J34" s="31">
        <v>89.972999999999999</v>
      </c>
      <c r="K34" s="32">
        <v>95.656999999999996</v>
      </c>
      <c r="L34" s="30">
        <v>90.198999999999998</v>
      </c>
      <c r="M34" s="31">
        <v>90.203999999999994</v>
      </c>
      <c r="N34" s="31">
        <v>92.453000000000003</v>
      </c>
      <c r="O34" s="32">
        <v>92.468999999999994</v>
      </c>
      <c r="P34" s="30">
        <v>93.004000000000005</v>
      </c>
      <c r="Q34" s="31">
        <v>88.08</v>
      </c>
      <c r="R34" s="31">
        <v>85.031999999999996</v>
      </c>
      <c r="S34" s="32">
        <v>77.652000000000001</v>
      </c>
      <c r="T34" s="30">
        <v>73.555999999999997</v>
      </c>
      <c r="U34" s="31">
        <v>78.620999999999995</v>
      </c>
      <c r="V34" s="31">
        <v>85.037000000000006</v>
      </c>
      <c r="W34" s="32">
        <v>90.346000000000004</v>
      </c>
      <c r="X34" s="30">
        <v>84.058000000000007</v>
      </c>
      <c r="Y34" s="31">
        <v>87.174000000000007</v>
      </c>
      <c r="Z34" s="31">
        <v>86.531000000000006</v>
      </c>
      <c r="AA34" s="32">
        <v>92.863</v>
      </c>
      <c r="AB34" s="30">
        <v>96.396000000000001</v>
      </c>
      <c r="AC34" s="31">
        <v>88.680999999999997</v>
      </c>
      <c r="AD34" s="31">
        <v>88.933999999999997</v>
      </c>
      <c r="AE34" s="32">
        <v>91.260999999999996</v>
      </c>
      <c r="AF34" s="31">
        <v>96.200999999999993</v>
      </c>
      <c r="AG34" s="31">
        <v>91.927999999999997</v>
      </c>
      <c r="AH34" s="31">
        <v>86.822999999999993</v>
      </c>
      <c r="AI34" s="31">
        <v>90.731999999999999</v>
      </c>
      <c r="AJ34" s="30">
        <v>92.387</v>
      </c>
      <c r="AK34" s="31">
        <v>96.338999999999999</v>
      </c>
      <c r="AL34" s="31">
        <v>91.793999999999997</v>
      </c>
      <c r="AM34" s="31">
        <v>98.087000000000003</v>
      </c>
      <c r="AN34" s="30">
        <v>92.513000000000005</v>
      </c>
      <c r="AO34" s="31">
        <v>93.882999999999996</v>
      </c>
      <c r="AP34" s="31">
        <v>88.075999999999993</v>
      </c>
      <c r="AQ34" s="31">
        <v>79.197999999999993</v>
      </c>
      <c r="AR34" s="30">
        <v>82.143000000000001</v>
      </c>
      <c r="AS34" s="31">
        <v>84.760999999999996</v>
      </c>
      <c r="AT34" s="31">
        <v>84.47</v>
      </c>
      <c r="AU34" s="31">
        <v>80.277000000000001</v>
      </c>
      <c r="AV34" s="30">
        <v>83.11</v>
      </c>
      <c r="AW34" s="31">
        <v>83.462999999999994</v>
      </c>
      <c r="AX34" s="31">
        <v>83.78</v>
      </c>
      <c r="AY34" s="32">
        <v>84.796999999999997</v>
      </c>
      <c r="AZ34" s="30">
        <v>89.174999999999997</v>
      </c>
      <c r="BA34" s="31">
        <v>91.052999999999997</v>
      </c>
      <c r="BB34" s="31">
        <v>92.753</v>
      </c>
      <c r="BC34" s="32">
        <v>89.347999999999999</v>
      </c>
      <c r="BD34" s="35">
        <f t="shared" ref="BD34:BK34" si="76">BD$10*BD35</f>
        <v>94.568062651999995</v>
      </c>
      <c r="BE34" s="33">
        <f t="shared" si="76"/>
        <v>95.104488424260012</v>
      </c>
      <c r="BF34" s="33">
        <f t="shared" si="76"/>
        <v>94.913785741647587</v>
      </c>
      <c r="BG34" s="34">
        <f t="shared" si="76"/>
        <v>97.254633207242946</v>
      </c>
      <c r="BH34" s="35">
        <f>BH$10*BH35</f>
        <v>99.786303416924966</v>
      </c>
      <c r="BI34" s="33">
        <f t="shared" si="76"/>
        <v>99.927683583290232</v>
      </c>
      <c r="BJ34" s="33">
        <f t="shared" si="76"/>
        <v>98.3849586896836</v>
      </c>
      <c r="BK34" s="34">
        <f t="shared" si="76"/>
        <v>99.365698275133539</v>
      </c>
      <c r="BL34" s="269"/>
      <c r="BM34" s="35">
        <f>SUM(D34:G34)</f>
        <v>316.30200000000002</v>
      </c>
      <c r="BN34" s="33">
        <f>SUM(H34:K34)</f>
        <v>375.51</v>
      </c>
      <c r="BO34" s="33">
        <f>SUM(L34:O34)</f>
        <v>365.32499999999999</v>
      </c>
      <c r="BP34" s="33">
        <f>SUM(P34:S34)</f>
        <v>343.76799999999997</v>
      </c>
      <c r="BQ34" s="33">
        <f>SUM(T34:W34)</f>
        <v>327.56</v>
      </c>
      <c r="BR34" s="33">
        <f>SUM(X34:AA34)</f>
        <v>350.62600000000003</v>
      </c>
      <c r="BS34" s="33">
        <f>SUM(AB34:AE34)</f>
        <v>365.27199999999993</v>
      </c>
      <c r="BT34" s="35">
        <f>SUM(AF34:AI34)</f>
        <v>365.68399999999997</v>
      </c>
      <c r="BU34" s="33">
        <f>SUM(AJ34:AM34)</f>
        <v>378.60699999999997</v>
      </c>
      <c r="BV34" s="33">
        <f>SUM(AN34:AQ34)</f>
        <v>353.66999999999996</v>
      </c>
      <c r="BW34" s="33">
        <f>SUM(AR34:AU34)</f>
        <v>331.65100000000001</v>
      </c>
      <c r="BX34" s="33">
        <f>SUM(AV34:AY34)</f>
        <v>335.15</v>
      </c>
      <c r="BY34" s="33">
        <f>SUM(AZ34:BC34)</f>
        <v>362.32900000000001</v>
      </c>
      <c r="BZ34" s="33">
        <f>SUM(BD34:BG34)</f>
        <v>381.84097002515051</v>
      </c>
      <c r="CA34" s="33">
        <f>SUM(BH34:BK34)</f>
        <v>397.46464396503228</v>
      </c>
      <c r="CB34" s="953">
        <f>CA34*(1+CB12)</f>
        <v>419.45586432849103</v>
      </c>
      <c r="CC34" s="20"/>
      <c r="CD34" s="33">
        <f>SUM(G34:J34)</f>
        <v>361.74100000000004</v>
      </c>
      <c r="CE34" s="33">
        <f>SUM(K34:N34)</f>
        <v>368.51300000000003</v>
      </c>
      <c r="CF34" s="33">
        <f>SUM(O34:R34)</f>
        <v>358.58499999999998</v>
      </c>
      <c r="CG34" s="33">
        <f>SUM(S34:V34)</f>
        <v>314.86599999999999</v>
      </c>
      <c r="CH34" s="33">
        <f>SUM(W34:Z34)</f>
        <v>348.10899999999998</v>
      </c>
      <c r="CI34" s="33">
        <f>SUM(AA34:AD34)</f>
        <v>366.87400000000002</v>
      </c>
      <c r="CJ34" s="33">
        <f>SUM(AE34:AH34)</f>
        <v>366.21299999999997</v>
      </c>
      <c r="CK34" s="33">
        <f>SUM(AI34:AL34)</f>
        <v>371.25199999999995</v>
      </c>
      <c r="CL34" s="33">
        <f>SUM(AM34:AP34)</f>
        <v>372.55899999999997</v>
      </c>
      <c r="CM34" s="33">
        <f>SUM(AQ34:AT34)</f>
        <v>330.572</v>
      </c>
      <c r="CN34" s="33">
        <f>SUM(AU34:AX34)</f>
        <v>330.63</v>
      </c>
      <c r="CO34" s="33">
        <f>SUM(AY34:BB34)</f>
        <v>357.77799999999996</v>
      </c>
      <c r="CP34" s="33">
        <f>SUM(BC34:BF34)</f>
        <v>373.93433681790759</v>
      </c>
      <c r="CQ34" s="34">
        <f>SUM(BG34:BJ34)</f>
        <v>395.35357889714169</v>
      </c>
      <c r="CR34" s="806"/>
      <c r="CS34" s="806"/>
      <c r="CZ34" s="8"/>
    </row>
    <row r="35" spans="1:104" ht="14.25" customHeight="1">
      <c r="A35" s="8"/>
      <c r="B35" s="36" t="s">
        <v>395</v>
      </c>
      <c r="C35" s="37"/>
      <c r="D35" s="40">
        <f t="shared" ref="D35:AM35" si="77">D34/D10</f>
        <v>0.18744680903549515</v>
      </c>
      <c r="E35" s="38">
        <f t="shared" si="77"/>
        <v>0.19488179600881361</v>
      </c>
      <c r="F35" s="38">
        <f t="shared" si="77"/>
        <v>0.17945307547736347</v>
      </c>
      <c r="G35" s="39">
        <f t="shared" si="77"/>
        <v>0.17336774379309688</v>
      </c>
      <c r="H35" s="40">
        <f t="shared" si="77"/>
        <v>0.19614759785774533</v>
      </c>
      <c r="I35" s="38">
        <f t="shared" si="77"/>
        <v>0.20433665824735647</v>
      </c>
      <c r="J35" s="38">
        <f t="shared" si="77"/>
        <v>0.19961839258971656</v>
      </c>
      <c r="K35" s="39">
        <f t="shared" si="77"/>
        <v>0.21570020204206805</v>
      </c>
      <c r="L35" s="40">
        <f t="shared" si="77"/>
        <v>0.20227982202766465</v>
      </c>
      <c r="M35" s="38">
        <f t="shared" si="77"/>
        <v>0.20275391441556864</v>
      </c>
      <c r="N35" s="38">
        <f t="shared" si="77"/>
        <v>0.19471742143106871</v>
      </c>
      <c r="O35" s="39">
        <f t="shared" si="77"/>
        <v>0.19436060198419369</v>
      </c>
      <c r="P35" s="40">
        <f t="shared" si="77"/>
        <v>0.1904859435612376</v>
      </c>
      <c r="Q35" s="38">
        <f t="shared" si="77"/>
        <v>0.18215772526197582</v>
      </c>
      <c r="R35" s="38">
        <f t="shared" si="77"/>
        <v>0.1855026429632603</v>
      </c>
      <c r="S35" s="39">
        <f t="shared" si="77"/>
        <v>0.19658037436647816</v>
      </c>
      <c r="T35" s="40">
        <f t="shared" si="77"/>
        <v>0.19550546865655771</v>
      </c>
      <c r="U35" s="38">
        <f t="shared" si="77"/>
        <v>0.18947102060489215</v>
      </c>
      <c r="V35" s="38">
        <f t="shared" si="77"/>
        <v>0.16565143791066117</v>
      </c>
      <c r="W35" s="39">
        <f t="shared" si="77"/>
        <v>0.17077993270575784</v>
      </c>
      <c r="X35" s="40">
        <f t="shared" si="77"/>
        <v>0.14133642265404711</v>
      </c>
      <c r="Y35" s="38">
        <f t="shared" si="77"/>
        <v>0.14067901095106072</v>
      </c>
      <c r="Z35" s="38">
        <f t="shared" si="77"/>
        <v>0.15256087025511733</v>
      </c>
      <c r="AA35" s="39">
        <f t="shared" si="77"/>
        <v>0.15797003327368114</v>
      </c>
      <c r="AB35" s="40">
        <f t="shared" si="77"/>
        <v>0.15662355007530918</v>
      </c>
      <c r="AC35" s="38">
        <f t="shared" si="77"/>
        <v>0.15972543672743059</v>
      </c>
      <c r="AD35" s="38">
        <f t="shared" si="77"/>
        <v>0.17400815119029683</v>
      </c>
      <c r="AE35" s="39">
        <f t="shared" si="77"/>
        <v>0.16326548867297705</v>
      </c>
      <c r="AF35" s="38">
        <f t="shared" si="77"/>
        <v>0.165071450142763</v>
      </c>
      <c r="AG35" s="38">
        <f t="shared" si="77"/>
        <v>0.16900610920830322</v>
      </c>
      <c r="AH35" s="38">
        <f t="shared" si="77"/>
        <v>0.17031898887138633</v>
      </c>
      <c r="AI35" s="38">
        <f t="shared" si="77"/>
        <v>0.17049503164414245</v>
      </c>
      <c r="AJ35" s="40">
        <f t="shared" si="77"/>
        <v>0.15957544196008325</v>
      </c>
      <c r="AK35" s="38">
        <f t="shared" si="77"/>
        <v>0.16084997253467392</v>
      </c>
      <c r="AL35" s="38">
        <f t="shared" si="77"/>
        <v>0.15642722761478894</v>
      </c>
      <c r="AM35" s="38">
        <f t="shared" si="77"/>
        <v>0.15876229923457044</v>
      </c>
      <c r="AN35" s="40">
        <f t="shared" ref="AN35:AS35" si="78">AN34/AN10</f>
        <v>0.15100884216162042</v>
      </c>
      <c r="AO35" s="38">
        <f t="shared" si="78"/>
        <v>0.15536803571960509</v>
      </c>
      <c r="AP35" s="38">
        <f t="shared" si="78"/>
        <v>0.14838875981595454</v>
      </c>
      <c r="AQ35" s="38">
        <f t="shared" si="78"/>
        <v>0.13970365143764332</v>
      </c>
      <c r="AR35" s="40">
        <f t="shared" si="78"/>
        <v>0.14962077055343456</v>
      </c>
      <c r="AS35" s="38">
        <f t="shared" si="78"/>
        <v>0.16066243090990423</v>
      </c>
      <c r="AT35" s="38">
        <f t="shared" ref="AT35:AY35" si="79">AT34/AT10</f>
        <v>0.14917834468021227</v>
      </c>
      <c r="AU35" s="38">
        <f t="shared" si="79"/>
        <v>0.14057394416757432</v>
      </c>
      <c r="AV35" s="40">
        <f t="shared" si="79"/>
        <v>0.14454390666822034</v>
      </c>
      <c r="AW35" s="38">
        <f t="shared" si="79"/>
        <v>0.14409824432976698</v>
      </c>
      <c r="AX35" s="38">
        <f t="shared" si="79"/>
        <v>0.14304544399065713</v>
      </c>
      <c r="AY35" s="39">
        <f t="shared" si="79"/>
        <v>0.13913647014038841</v>
      </c>
      <c r="AZ35" s="40">
        <f>AZ34/AZ10</f>
        <v>0.14489492173155727</v>
      </c>
      <c r="BA35" s="38">
        <f>BA34/BA10</f>
        <v>0.14697749647701464</v>
      </c>
      <c r="BB35" s="38">
        <f>BB34/BB10</f>
        <v>0.14694871457699943</v>
      </c>
      <c r="BC35" s="39">
        <f>BC34/BC10</f>
        <v>0.1327880011057245</v>
      </c>
      <c r="BD35" s="880">
        <v>0.14000000000000001</v>
      </c>
      <c r="BE35" s="904">
        <v>0.14000000000000001</v>
      </c>
      <c r="BF35" s="904">
        <f>BE35</f>
        <v>0.14000000000000001</v>
      </c>
      <c r="BG35" s="912">
        <f>BF35</f>
        <v>0.14000000000000001</v>
      </c>
      <c r="BH35" s="919">
        <f>BG35-0.1%</f>
        <v>0.13900000000000001</v>
      </c>
      <c r="BI35" s="904">
        <f>BH35-0.1%</f>
        <v>0.13800000000000001</v>
      </c>
      <c r="BJ35" s="904">
        <f>BI35-0.1%</f>
        <v>0.13700000000000001</v>
      </c>
      <c r="BK35" s="912">
        <f>BJ35-0.1%</f>
        <v>0.13600000000000001</v>
      </c>
      <c r="BL35" s="269"/>
      <c r="BM35" s="40">
        <f t="shared" ref="BM35:BW35" si="80">BM34/BM10</f>
        <v>0.18323070238957279</v>
      </c>
      <c r="BN35" s="38">
        <f t="shared" si="80"/>
        <v>0.20377818019806385</v>
      </c>
      <c r="BO35" s="38">
        <f t="shared" si="80"/>
        <v>0.19839825955863344</v>
      </c>
      <c r="BP35" s="38">
        <f t="shared" si="80"/>
        <v>0.18834703788768695</v>
      </c>
      <c r="BQ35" s="38">
        <f t="shared" si="80"/>
        <v>0.17864758823574325</v>
      </c>
      <c r="BR35" s="38">
        <f t="shared" si="80"/>
        <v>0.14797811301802744</v>
      </c>
      <c r="BS35" s="38">
        <f t="shared" si="80"/>
        <v>0.16301429530297187</v>
      </c>
      <c r="BT35" s="40">
        <f t="shared" si="80"/>
        <v>0.16862272047336316</v>
      </c>
      <c r="BU35" s="38">
        <f t="shared" si="80"/>
        <v>0.15890957977042061</v>
      </c>
      <c r="BV35" s="38">
        <f t="shared" si="80"/>
        <v>0.14876685915037957</v>
      </c>
      <c r="BW35" s="38">
        <f t="shared" si="80"/>
        <v>0.14980525150177446</v>
      </c>
      <c r="BX35" s="38">
        <f>BX34/BX10</f>
        <v>0.14265769389570643</v>
      </c>
      <c r="BY35" s="38">
        <f>BY34/BY10</f>
        <v>0.14270517100406302</v>
      </c>
      <c r="BZ35" s="38">
        <f>BZ34/BZ10</f>
        <v>0.14000000000000001</v>
      </c>
      <c r="CA35" s="38">
        <f>CA34/CA10</f>
        <v>0.13749442122303232</v>
      </c>
      <c r="CB35" s="955">
        <f>CA35-0.2%</f>
        <v>0.13549442122303232</v>
      </c>
      <c r="CC35" s="20"/>
      <c r="CD35" s="38">
        <f t="shared" ref="CD35:CM35" si="81">CD34/CD10</f>
        <v>0.19327859953280715</v>
      </c>
      <c r="CE35" s="38">
        <f t="shared" si="81"/>
        <v>0.20370143122154638</v>
      </c>
      <c r="CF35" s="38">
        <f t="shared" si="81"/>
        <v>0.18814174707360712</v>
      </c>
      <c r="CG35" s="38">
        <f t="shared" si="81"/>
        <v>0.1852645526928336</v>
      </c>
      <c r="CH35" s="38">
        <f t="shared" si="81"/>
        <v>0.15065655737243749</v>
      </c>
      <c r="CI35" s="38">
        <f t="shared" si="81"/>
        <v>0.16164591791999966</v>
      </c>
      <c r="CJ35" s="38">
        <f t="shared" si="81"/>
        <v>0.16680490667774409</v>
      </c>
      <c r="CK35" s="38">
        <f t="shared" si="81"/>
        <v>0.16163345343849642</v>
      </c>
      <c r="CL35" s="38">
        <f t="shared" si="81"/>
        <v>0.15342587944406444</v>
      </c>
      <c r="CM35" s="38">
        <f t="shared" si="81"/>
        <v>0.14959938272582662</v>
      </c>
      <c r="CN35" s="38">
        <f>CN34/CN10</f>
        <v>0.14307140285528339</v>
      </c>
      <c r="CO35" s="38">
        <f>CO34/CO10</f>
        <v>0.14452208237699718</v>
      </c>
      <c r="CP35" s="38">
        <f>CP34/CP10</f>
        <v>0.13820644539058585</v>
      </c>
      <c r="CQ35" s="39">
        <f>CQ34/CQ10</f>
        <v>0.1384865816398006</v>
      </c>
      <c r="CR35" s="14"/>
      <c r="CS35" s="14"/>
      <c r="CZ35" s="8"/>
    </row>
    <row r="36" spans="1:104" ht="14.25" hidden="1" customHeight="1" outlineLevel="1">
      <c r="A36" s="8"/>
      <c r="B36" s="317"/>
      <c r="D36" s="751"/>
      <c r="E36" s="783"/>
      <c r="F36" s="783"/>
      <c r="G36" s="754"/>
      <c r="H36" s="751"/>
      <c r="I36" s="783"/>
      <c r="J36" s="783"/>
      <c r="K36" s="754"/>
      <c r="L36" s="751"/>
      <c r="M36" s="783"/>
      <c r="N36" s="783"/>
      <c r="O36" s="754"/>
      <c r="P36" s="751"/>
      <c r="Q36" s="783"/>
      <c r="R36" s="783"/>
      <c r="S36" s="754"/>
      <c r="T36" s="751"/>
      <c r="U36" s="783"/>
      <c r="V36" s="783"/>
      <c r="W36" s="754"/>
      <c r="X36" s="751"/>
      <c r="Y36" s="783"/>
      <c r="Z36" s="783"/>
      <c r="AA36" s="754"/>
      <c r="AB36" s="751"/>
      <c r="AC36" s="783"/>
      <c r="AD36" s="783"/>
      <c r="AE36" s="754"/>
      <c r="AJ36" s="317"/>
      <c r="AL36" s="418"/>
      <c r="AN36" s="317"/>
      <c r="AP36" s="418"/>
      <c r="AR36" s="317"/>
      <c r="AT36" s="418"/>
      <c r="AV36" s="317"/>
      <c r="AW36" s="783"/>
      <c r="AX36" s="783"/>
      <c r="AY36" s="754"/>
      <c r="AZ36" s="887"/>
      <c r="BA36" s="902"/>
      <c r="BB36" s="902"/>
      <c r="BC36" s="926"/>
      <c r="BD36" s="317"/>
      <c r="BE36" s="418"/>
      <c r="BF36" s="418"/>
      <c r="BG36" s="663"/>
      <c r="BH36" s="317"/>
      <c r="BI36" s="418"/>
      <c r="BJ36" s="418"/>
      <c r="BK36" s="663"/>
      <c r="BL36" s="754"/>
      <c r="BM36" s="317"/>
      <c r="BN36" s="418"/>
      <c r="BO36" s="418"/>
      <c r="BP36" s="418"/>
      <c r="BQ36" s="418"/>
      <c r="BR36" s="418"/>
      <c r="BS36" s="418"/>
      <c r="BT36" s="317"/>
      <c r="BU36" s="418"/>
      <c r="BV36" s="418"/>
      <c r="BW36" s="418"/>
      <c r="BX36" s="418"/>
      <c r="BY36" s="418"/>
      <c r="BZ36" s="418"/>
      <c r="CA36" s="418"/>
      <c r="CB36" s="754"/>
      <c r="CC36" s="853"/>
      <c r="CL36" s="783"/>
      <c r="CM36" s="783"/>
      <c r="CN36" s="783"/>
      <c r="CO36" s="783"/>
      <c r="CP36" s="783"/>
      <c r="CQ36" s="754"/>
      <c r="CR36" s="14"/>
      <c r="CS36" s="14"/>
      <c r="CZ36" s="8"/>
    </row>
    <row r="37" spans="1:104" s="617" customFormat="1" ht="14.25" hidden="1" customHeight="1" outlineLevel="1">
      <c r="A37" s="614"/>
      <c r="B37" s="615" t="s">
        <v>382</v>
      </c>
      <c r="C37" s="618"/>
      <c r="D37" s="619">
        <v>0</v>
      </c>
      <c r="E37" s="620">
        <f>+D37</f>
        <v>0</v>
      </c>
      <c r="F37" s="620">
        <f t="shared" ref="F37:AT37" si="82">+E37</f>
        <v>0</v>
      </c>
      <c r="G37" s="621">
        <f t="shared" si="82"/>
        <v>0</v>
      </c>
      <c r="H37" s="622">
        <f t="shared" si="82"/>
        <v>0</v>
      </c>
      <c r="I37" s="620">
        <f t="shared" si="82"/>
        <v>0</v>
      </c>
      <c r="J37" s="620">
        <f t="shared" si="82"/>
        <v>0</v>
      </c>
      <c r="K37" s="621">
        <f t="shared" si="82"/>
        <v>0</v>
      </c>
      <c r="L37" s="622">
        <f t="shared" si="82"/>
        <v>0</v>
      </c>
      <c r="M37" s="620">
        <f t="shared" si="82"/>
        <v>0</v>
      </c>
      <c r="N37" s="620">
        <f t="shared" si="82"/>
        <v>0</v>
      </c>
      <c r="O37" s="621">
        <f t="shared" si="82"/>
        <v>0</v>
      </c>
      <c r="P37" s="622">
        <f t="shared" si="82"/>
        <v>0</v>
      </c>
      <c r="Q37" s="620">
        <f t="shared" si="82"/>
        <v>0</v>
      </c>
      <c r="R37" s="620">
        <f t="shared" si="82"/>
        <v>0</v>
      </c>
      <c r="S37" s="621">
        <f t="shared" si="82"/>
        <v>0</v>
      </c>
      <c r="T37" s="622">
        <f t="shared" si="82"/>
        <v>0</v>
      </c>
      <c r="U37" s="620">
        <f t="shared" si="82"/>
        <v>0</v>
      </c>
      <c r="V37" s="620">
        <f t="shared" si="82"/>
        <v>0</v>
      </c>
      <c r="W37" s="621">
        <f t="shared" si="82"/>
        <v>0</v>
      </c>
      <c r="X37" s="622">
        <f t="shared" si="82"/>
        <v>0</v>
      </c>
      <c r="Y37" s="620">
        <f t="shared" si="82"/>
        <v>0</v>
      </c>
      <c r="Z37" s="620">
        <f t="shared" si="82"/>
        <v>0</v>
      </c>
      <c r="AA37" s="621">
        <f t="shared" si="82"/>
        <v>0</v>
      </c>
      <c r="AB37" s="622">
        <f t="shared" si="82"/>
        <v>0</v>
      </c>
      <c r="AC37" s="620">
        <f t="shared" si="82"/>
        <v>0</v>
      </c>
      <c r="AD37" s="620">
        <f t="shared" si="82"/>
        <v>0</v>
      </c>
      <c r="AE37" s="621">
        <f t="shared" si="82"/>
        <v>0</v>
      </c>
      <c r="AF37" s="620">
        <f t="shared" si="82"/>
        <v>0</v>
      </c>
      <c r="AG37" s="620">
        <f t="shared" si="82"/>
        <v>0</v>
      </c>
      <c r="AH37" s="620">
        <f t="shared" si="82"/>
        <v>0</v>
      </c>
      <c r="AI37" s="620">
        <f t="shared" si="82"/>
        <v>0</v>
      </c>
      <c r="AJ37" s="622">
        <f>+AI37</f>
        <v>0</v>
      </c>
      <c r="AK37" s="620">
        <f>+AJ37</f>
        <v>0</v>
      </c>
      <c r="AL37" s="620">
        <f t="shared" si="82"/>
        <v>0</v>
      </c>
      <c r="AM37" s="620">
        <v>0</v>
      </c>
      <c r="AN37" s="622">
        <f>+AM37</f>
        <v>0</v>
      </c>
      <c r="AO37" s="620">
        <f>+AN37</f>
        <v>0</v>
      </c>
      <c r="AP37" s="620">
        <f t="shared" si="82"/>
        <v>0</v>
      </c>
      <c r="AQ37" s="620">
        <v>0</v>
      </c>
      <c r="AR37" s="622">
        <f>+AQ37</f>
        <v>0</v>
      </c>
      <c r="AS37" s="620">
        <f>+AR37</f>
        <v>0</v>
      </c>
      <c r="AT37" s="620">
        <f t="shared" si="82"/>
        <v>0</v>
      </c>
      <c r="AU37" s="620">
        <v>0</v>
      </c>
      <c r="AV37" s="622">
        <f t="shared" ref="AV37:BB37" si="83">+AU37</f>
        <v>0</v>
      </c>
      <c r="AW37" s="620">
        <f t="shared" si="83"/>
        <v>0</v>
      </c>
      <c r="AX37" s="620">
        <f t="shared" si="83"/>
        <v>0</v>
      </c>
      <c r="AY37" s="621">
        <v>0</v>
      </c>
      <c r="AZ37" s="622">
        <f t="shared" si="83"/>
        <v>0</v>
      </c>
      <c r="BA37" s="620">
        <f t="shared" si="83"/>
        <v>0</v>
      </c>
      <c r="BB37" s="620">
        <f t="shared" si="83"/>
        <v>0</v>
      </c>
      <c r="BC37" s="621">
        <v>0</v>
      </c>
      <c r="BD37" s="622">
        <f t="shared" ref="BD37:BK37" si="84">+BC37</f>
        <v>0</v>
      </c>
      <c r="BE37" s="620">
        <f t="shared" si="84"/>
        <v>0</v>
      </c>
      <c r="BF37" s="620">
        <f t="shared" si="84"/>
        <v>0</v>
      </c>
      <c r="BG37" s="621">
        <f t="shared" si="84"/>
        <v>0</v>
      </c>
      <c r="BH37" s="622">
        <f t="shared" si="84"/>
        <v>0</v>
      </c>
      <c r="BI37" s="620">
        <f t="shared" si="84"/>
        <v>0</v>
      </c>
      <c r="BJ37" s="620">
        <f t="shared" si="84"/>
        <v>0</v>
      </c>
      <c r="BK37" s="621">
        <f t="shared" si="84"/>
        <v>0</v>
      </c>
      <c r="BL37" s="664"/>
      <c r="BM37" s="622">
        <f>SUM(D37:G37)</f>
        <v>0</v>
      </c>
      <c r="BN37" s="620">
        <f>SUM(H37:K37)</f>
        <v>0</v>
      </c>
      <c r="BO37" s="620">
        <f>SUM(L37:O37)</f>
        <v>0</v>
      </c>
      <c r="BP37" s="620">
        <f>SUM(P37:S37)</f>
        <v>0</v>
      </c>
      <c r="BQ37" s="620">
        <f>SUM(T37:W37)</f>
        <v>0</v>
      </c>
      <c r="BR37" s="620">
        <f>SUM(X37:AA37)</f>
        <v>0</v>
      </c>
      <c r="BS37" s="620">
        <f>SUM(AB37:AE37)</f>
        <v>0</v>
      </c>
      <c r="BT37" s="622">
        <f>SUM(AF37:AI37)</f>
        <v>0</v>
      </c>
      <c r="BU37" s="620">
        <f>SUM(AJ37:AM37)</f>
        <v>0</v>
      </c>
      <c r="BV37" s="620">
        <f>SUM(AN37:AQ37)</f>
        <v>0</v>
      </c>
      <c r="BW37" s="620">
        <f>SUM(AR37:AU37)</f>
        <v>0</v>
      </c>
      <c r="BX37" s="620">
        <f>SUM(AV37:AY37)</f>
        <v>0</v>
      </c>
      <c r="BY37" s="620">
        <f>SUM(AZ37:BC37)</f>
        <v>0</v>
      </c>
      <c r="BZ37" s="620">
        <f>SUM(BD37:BG37)</f>
        <v>0</v>
      </c>
      <c r="CA37" s="620">
        <f>SUM(BH37:BK37)</f>
        <v>0</v>
      </c>
      <c r="CB37" s="952">
        <f>+CA37</f>
        <v>0</v>
      </c>
      <c r="CC37" s="616"/>
      <c r="CD37" s="620">
        <f>SUM(G37:J37)</f>
        <v>0</v>
      </c>
      <c r="CE37" s="620">
        <f>SUM(K37:N37)</f>
        <v>0</v>
      </c>
      <c r="CF37" s="620">
        <f>SUM(O37:R37)</f>
        <v>0</v>
      </c>
      <c r="CG37" s="620">
        <f>SUM(S37:V37)</f>
        <v>0</v>
      </c>
      <c r="CH37" s="620">
        <f>SUM(W37:Z37)</f>
        <v>0</v>
      </c>
      <c r="CI37" s="620">
        <f>SUM(AA37:AD37)</f>
        <v>0</v>
      </c>
      <c r="CJ37" s="620">
        <f>SUM(AE37:AH37)</f>
        <v>0</v>
      </c>
      <c r="CK37" s="620">
        <f>SUM(AI37:AL37)</f>
        <v>0</v>
      </c>
      <c r="CL37" s="620">
        <f>SUM(AM37:AP37)</f>
        <v>0</v>
      </c>
      <c r="CM37" s="620">
        <f>SUM(AQ37:AT37)</f>
        <v>0</v>
      </c>
      <c r="CN37" s="620">
        <f>SUM(AU37:AX37)</f>
        <v>0</v>
      </c>
      <c r="CO37" s="620">
        <f>SUM(AY37:BB37)</f>
        <v>0</v>
      </c>
      <c r="CP37" s="620">
        <f>SUM(BC37:BF37)</f>
        <v>0</v>
      </c>
      <c r="CQ37" s="621">
        <f>SUM(BG37:BJ37)</f>
        <v>0</v>
      </c>
      <c r="CR37" s="665"/>
      <c r="CS37" s="665"/>
      <c r="CT37"/>
      <c r="CU37"/>
      <c r="CV37"/>
      <c r="CW37"/>
      <c r="CX37"/>
      <c r="CY37"/>
      <c r="CZ37" s="614"/>
    </row>
    <row r="38" spans="1:104" ht="14.25" hidden="1" customHeight="1" outlineLevel="1">
      <c r="A38" s="8"/>
      <c r="B38" s="23" t="s">
        <v>394</v>
      </c>
      <c r="C38" s="24"/>
      <c r="D38" s="35">
        <f>+D34-D37</f>
        <v>75.986999999999995</v>
      </c>
      <c r="E38" s="33">
        <f t="shared" ref="E38:AM38" si="85">+E34-E37</f>
        <v>77.744</v>
      </c>
      <c r="F38" s="33">
        <f t="shared" si="85"/>
        <v>80.683000000000007</v>
      </c>
      <c r="G38" s="34">
        <f t="shared" si="85"/>
        <v>81.888000000000005</v>
      </c>
      <c r="H38" s="35">
        <f t="shared" si="85"/>
        <v>94.418000000000006</v>
      </c>
      <c r="I38" s="33">
        <f t="shared" si="85"/>
        <v>95.462000000000003</v>
      </c>
      <c r="J38" s="33">
        <f t="shared" si="85"/>
        <v>89.972999999999999</v>
      </c>
      <c r="K38" s="34">
        <f t="shared" si="85"/>
        <v>95.656999999999996</v>
      </c>
      <c r="L38" s="35">
        <f t="shared" si="85"/>
        <v>90.198999999999998</v>
      </c>
      <c r="M38" s="33">
        <f t="shared" si="85"/>
        <v>90.203999999999994</v>
      </c>
      <c r="N38" s="33">
        <f t="shared" si="85"/>
        <v>92.453000000000003</v>
      </c>
      <c r="O38" s="34">
        <f t="shared" si="85"/>
        <v>92.468999999999994</v>
      </c>
      <c r="P38" s="35">
        <f t="shared" si="85"/>
        <v>93.004000000000005</v>
      </c>
      <c r="Q38" s="33">
        <f t="shared" si="85"/>
        <v>88.08</v>
      </c>
      <c r="R38" s="33">
        <f t="shared" si="85"/>
        <v>85.031999999999996</v>
      </c>
      <c r="S38" s="34">
        <f t="shared" si="85"/>
        <v>77.652000000000001</v>
      </c>
      <c r="T38" s="35">
        <f t="shared" si="85"/>
        <v>73.555999999999997</v>
      </c>
      <c r="U38" s="33">
        <f t="shared" si="85"/>
        <v>78.620999999999995</v>
      </c>
      <c r="V38" s="33">
        <f t="shared" si="85"/>
        <v>85.037000000000006</v>
      </c>
      <c r="W38" s="34">
        <f t="shared" si="85"/>
        <v>90.346000000000004</v>
      </c>
      <c r="X38" s="35">
        <f t="shared" si="85"/>
        <v>84.058000000000007</v>
      </c>
      <c r="Y38" s="33">
        <f t="shared" si="85"/>
        <v>87.174000000000007</v>
      </c>
      <c r="Z38" s="33">
        <f t="shared" si="85"/>
        <v>86.531000000000006</v>
      </c>
      <c r="AA38" s="34">
        <f t="shared" si="85"/>
        <v>92.863</v>
      </c>
      <c r="AB38" s="35">
        <f t="shared" si="85"/>
        <v>96.396000000000001</v>
      </c>
      <c r="AC38" s="33">
        <f t="shared" si="85"/>
        <v>88.680999999999997</v>
      </c>
      <c r="AD38" s="33">
        <f t="shared" si="85"/>
        <v>88.933999999999997</v>
      </c>
      <c r="AE38" s="34">
        <f t="shared" si="85"/>
        <v>91.260999999999996</v>
      </c>
      <c r="AF38" s="33">
        <f t="shared" si="85"/>
        <v>96.200999999999993</v>
      </c>
      <c r="AG38" s="33">
        <f t="shared" si="85"/>
        <v>91.927999999999997</v>
      </c>
      <c r="AH38" s="33">
        <f t="shared" si="85"/>
        <v>86.822999999999993</v>
      </c>
      <c r="AI38" s="33">
        <f t="shared" si="85"/>
        <v>90.731999999999999</v>
      </c>
      <c r="AJ38" s="35">
        <f t="shared" si="85"/>
        <v>92.387</v>
      </c>
      <c r="AK38" s="33">
        <f t="shared" si="85"/>
        <v>96.338999999999999</v>
      </c>
      <c r="AL38" s="33">
        <f t="shared" si="85"/>
        <v>91.793999999999997</v>
      </c>
      <c r="AM38" s="33">
        <f t="shared" si="85"/>
        <v>98.087000000000003</v>
      </c>
      <c r="AN38" s="35">
        <f t="shared" ref="AN38:AS38" si="86">+AN34-AN37</f>
        <v>92.513000000000005</v>
      </c>
      <c r="AO38" s="33">
        <f t="shared" si="86"/>
        <v>93.882999999999996</v>
      </c>
      <c r="AP38" s="33">
        <f t="shared" si="86"/>
        <v>88.075999999999993</v>
      </c>
      <c r="AQ38" s="33">
        <f t="shared" si="86"/>
        <v>79.197999999999993</v>
      </c>
      <c r="AR38" s="35">
        <f t="shared" si="86"/>
        <v>82.143000000000001</v>
      </c>
      <c r="AS38" s="33">
        <f t="shared" si="86"/>
        <v>84.760999999999996</v>
      </c>
      <c r="AT38" s="33">
        <f t="shared" ref="AT38:AY38" si="87">+AT34-AT37</f>
        <v>84.47</v>
      </c>
      <c r="AU38" s="33">
        <f t="shared" si="87"/>
        <v>80.277000000000001</v>
      </c>
      <c r="AV38" s="35">
        <f t="shared" si="87"/>
        <v>83.11</v>
      </c>
      <c r="AW38" s="33">
        <f t="shared" si="87"/>
        <v>83.462999999999994</v>
      </c>
      <c r="AX38" s="33">
        <f t="shared" si="87"/>
        <v>83.78</v>
      </c>
      <c r="AY38" s="34">
        <f t="shared" si="87"/>
        <v>84.796999999999997</v>
      </c>
      <c r="AZ38" s="35">
        <f t="shared" ref="AZ38:BK38" si="88">+AZ34-AZ37</f>
        <v>89.174999999999997</v>
      </c>
      <c r="BA38" s="33">
        <f t="shared" si="88"/>
        <v>91.052999999999997</v>
      </c>
      <c r="BB38" s="33">
        <f t="shared" si="88"/>
        <v>92.753</v>
      </c>
      <c r="BC38" s="34">
        <f t="shared" si="88"/>
        <v>89.347999999999999</v>
      </c>
      <c r="BD38" s="35">
        <f t="shared" si="88"/>
        <v>94.568062651999995</v>
      </c>
      <c r="BE38" s="33">
        <f t="shared" si="88"/>
        <v>95.104488424260012</v>
      </c>
      <c r="BF38" s="33">
        <f t="shared" si="88"/>
        <v>94.913785741647587</v>
      </c>
      <c r="BG38" s="34">
        <f t="shared" si="88"/>
        <v>97.254633207242946</v>
      </c>
      <c r="BH38" s="35">
        <f t="shared" si="88"/>
        <v>99.786303416924966</v>
      </c>
      <c r="BI38" s="33">
        <f t="shared" si="88"/>
        <v>99.927683583290232</v>
      </c>
      <c r="BJ38" s="33">
        <f t="shared" si="88"/>
        <v>98.3849586896836</v>
      </c>
      <c r="BK38" s="34">
        <f t="shared" si="88"/>
        <v>99.365698275133539</v>
      </c>
      <c r="BL38" s="269"/>
      <c r="BM38" s="35">
        <f t="shared" ref="BM38:BW38" si="89">+BM34-BM37</f>
        <v>316.30200000000002</v>
      </c>
      <c r="BN38" s="33">
        <f t="shared" si="89"/>
        <v>375.51</v>
      </c>
      <c r="BO38" s="33">
        <f t="shared" si="89"/>
        <v>365.32499999999999</v>
      </c>
      <c r="BP38" s="33">
        <f t="shared" si="89"/>
        <v>343.76799999999997</v>
      </c>
      <c r="BQ38" s="33">
        <f t="shared" si="89"/>
        <v>327.56</v>
      </c>
      <c r="BR38" s="33">
        <f t="shared" si="89"/>
        <v>350.62600000000003</v>
      </c>
      <c r="BS38" s="33">
        <f t="shared" si="89"/>
        <v>365.27199999999993</v>
      </c>
      <c r="BT38" s="35">
        <f t="shared" si="89"/>
        <v>365.68399999999997</v>
      </c>
      <c r="BU38" s="33">
        <f t="shared" si="89"/>
        <v>378.60699999999997</v>
      </c>
      <c r="BV38" s="33">
        <f t="shared" si="89"/>
        <v>353.66999999999996</v>
      </c>
      <c r="BW38" s="33">
        <f t="shared" si="89"/>
        <v>331.65100000000001</v>
      </c>
      <c r="BX38" s="33">
        <f>+BX34-BX37</f>
        <v>335.15</v>
      </c>
      <c r="BY38" s="33">
        <f>+BY34-BY37</f>
        <v>362.32900000000001</v>
      </c>
      <c r="BZ38" s="33">
        <f>+BZ34-BZ37</f>
        <v>381.84097002515051</v>
      </c>
      <c r="CA38" s="33">
        <f>+CA34-CA37</f>
        <v>397.46464396503228</v>
      </c>
      <c r="CB38" s="953">
        <f>+CB34-CB37</f>
        <v>419.45586432849103</v>
      </c>
      <c r="CC38" s="20"/>
      <c r="CD38" s="33">
        <f t="shared" ref="CD38:CM38" si="90">+CD34-CD37</f>
        <v>361.74100000000004</v>
      </c>
      <c r="CE38" s="33">
        <f t="shared" si="90"/>
        <v>368.51300000000003</v>
      </c>
      <c r="CF38" s="33">
        <f t="shared" si="90"/>
        <v>358.58499999999998</v>
      </c>
      <c r="CG38" s="33">
        <f t="shared" si="90"/>
        <v>314.86599999999999</v>
      </c>
      <c r="CH38" s="33">
        <f t="shared" si="90"/>
        <v>348.10899999999998</v>
      </c>
      <c r="CI38" s="33">
        <f t="shared" si="90"/>
        <v>366.87400000000002</v>
      </c>
      <c r="CJ38" s="33">
        <f t="shared" si="90"/>
        <v>366.21299999999997</v>
      </c>
      <c r="CK38" s="33">
        <f t="shared" si="90"/>
        <v>371.25199999999995</v>
      </c>
      <c r="CL38" s="33">
        <f t="shared" si="90"/>
        <v>372.55899999999997</v>
      </c>
      <c r="CM38" s="33">
        <f t="shared" si="90"/>
        <v>330.572</v>
      </c>
      <c r="CN38" s="33">
        <f>+CN34-CN37</f>
        <v>330.63</v>
      </c>
      <c r="CO38" s="33">
        <f>+CO34-CO37</f>
        <v>357.77799999999996</v>
      </c>
      <c r="CP38" s="33">
        <f>+CP34-CP37</f>
        <v>373.93433681790759</v>
      </c>
      <c r="CQ38" s="34">
        <f>+CQ34-CQ37</f>
        <v>395.35357889714169</v>
      </c>
      <c r="CR38" s="806"/>
      <c r="CS38" s="806"/>
      <c r="CZ38" s="8"/>
    </row>
    <row r="39" spans="1:104" ht="14.25" hidden="1" customHeight="1" outlineLevel="1">
      <c r="A39" s="8"/>
      <c r="B39" s="36" t="s">
        <v>395</v>
      </c>
      <c r="C39" s="37"/>
      <c r="D39" s="40">
        <f t="shared" ref="D39:AM39" si="91">D38/D10</f>
        <v>0.18744680903549515</v>
      </c>
      <c r="E39" s="38">
        <f t="shared" si="91"/>
        <v>0.19488179600881361</v>
      </c>
      <c r="F39" s="38">
        <f t="shared" si="91"/>
        <v>0.17945307547736347</v>
      </c>
      <c r="G39" s="39">
        <f t="shared" si="91"/>
        <v>0.17336774379309688</v>
      </c>
      <c r="H39" s="40">
        <f t="shared" si="91"/>
        <v>0.19614759785774533</v>
      </c>
      <c r="I39" s="38">
        <f t="shared" si="91"/>
        <v>0.20433665824735647</v>
      </c>
      <c r="J39" s="38">
        <f t="shared" si="91"/>
        <v>0.19961839258971656</v>
      </c>
      <c r="K39" s="39">
        <f t="shared" si="91"/>
        <v>0.21570020204206805</v>
      </c>
      <c r="L39" s="40">
        <f t="shared" si="91"/>
        <v>0.20227982202766465</v>
      </c>
      <c r="M39" s="38">
        <f t="shared" si="91"/>
        <v>0.20275391441556864</v>
      </c>
      <c r="N39" s="38">
        <f t="shared" si="91"/>
        <v>0.19471742143106871</v>
      </c>
      <c r="O39" s="39">
        <f t="shared" si="91"/>
        <v>0.19436060198419369</v>
      </c>
      <c r="P39" s="40">
        <f t="shared" si="91"/>
        <v>0.1904859435612376</v>
      </c>
      <c r="Q39" s="38">
        <f t="shared" si="91"/>
        <v>0.18215772526197582</v>
      </c>
      <c r="R39" s="38">
        <f t="shared" si="91"/>
        <v>0.1855026429632603</v>
      </c>
      <c r="S39" s="39">
        <f t="shared" si="91"/>
        <v>0.19658037436647816</v>
      </c>
      <c r="T39" s="40">
        <f t="shared" si="91"/>
        <v>0.19550546865655771</v>
      </c>
      <c r="U39" s="38">
        <f t="shared" si="91"/>
        <v>0.18947102060489215</v>
      </c>
      <c r="V39" s="38">
        <f t="shared" si="91"/>
        <v>0.16565143791066117</v>
      </c>
      <c r="W39" s="39">
        <f t="shared" si="91"/>
        <v>0.17077993270575784</v>
      </c>
      <c r="X39" s="40">
        <f t="shared" si="91"/>
        <v>0.14133642265404711</v>
      </c>
      <c r="Y39" s="38">
        <f t="shared" si="91"/>
        <v>0.14067901095106072</v>
      </c>
      <c r="Z39" s="38">
        <f t="shared" si="91"/>
        <v>0.15256087025511733</v>
      </c>
      <c r="AA39" s="39">
        <f t="shared" si="91"/>
        <v>0.15797003327368114</v>
      </c>
      <c r="AB39" s="40">
        <f t="shared" si="91"/>
        <v>0.15662355007530918</v>
      </c>
      <c r="AC39" s="38">
        <f t="shared" si="91"/>
        <v>0.15972543672743059</v>
      </c>
      <c r="AD39" s="38">
        <f t="shared" si="91"/>
        <v>0.17400815119029683</v>
      </c>
      <c r="AE39" s="39">
        <f t="shared" si="91"/>
        <v>0.16326548867297705</v>
      </c>
      <c r="AF39" s="38">
        <f t="shared" si="91"/>
        <v>0.165071450142763</v>
      </c>
      <c r="AG39" s="38">
        <f t="shared" si="91"/>
        <v>0.16900610920830322</v>
      </c>
      <c r="AH39" s="38">
        <f t="shared" si="91"/>
        <v>0.17031898887138633</v>
      </c>
      <c r="AI39" s="38">
        <f t="shared" si="91"/>
        <v>0.17049503164414245</v>
      </c>
      <c r="AJ39" s="40">
        <f t="shared" si="91"/>
        <v>0.15957544196008325</v>
      </c>
      <c r="AK39" s="38">
        <f t="shared" si="91"/>
        <v>0.16084997253467392</v>
      </c>
      <c r="AL39" s="38">
        <f t="shared" si="91"/>
        <v>0.15642722761478894</v>
      </c>
      <c r="AM39" s="38">
        <f t="shared" si="91"/>
        <v>0.15876229923457044</v>
      </c>
      <c r="AN39" s="40">
        <f t="shared" ref="AN39:AS39" si="92">AN38/AN10</f>
        <v>0.15100884216162042</v>
      </c>
      <c r="AO39" s="38">
        <f t="shared" si="92"/>
        <v>0.15536803571960509</v>
      </c>
      <c r="AP39" s="38">
        <f t="shared" si="92"/>
        <v>0.14838875981595454</v>
      </c>
      <c r="AQ39" s="38">
        <f t="shared" si="92"/>
        <v>0.13970365143764332</v>
      </c>
      <c r="AR39" s="40">
        <f t="shared" si="92"/>
        <v>0.14962077055343456</v>
      </c>
      <c r="AS39" s="38">
        <f t="shared" si="92"/>
        <v>0.16066243090990423</v>
      </c>
      <c r="AT39" s="38">
        <f t="shared" ref="AT39:AY39" si="93">AT38/AT10</f>
        <v>0.14917834468021227</v>
      </c>
      <c r="AU39" s="38">
        <f t="shared" si="93"/>
        <v>0.14057394416757432</v>
      </c>
      <c r="AV39" s="40">
        <f t="shared" si="93"/>
        <v>0.14454390666822034</v>
      </c>
      <c r="AW39" s="38">
        <f t="shared" si="93"/>
        <v>0.14409824432976698</v>
      </c>
      <c r="AX39" s="38">
        <f t="shared" si="93"/>
        <v>0.14304544399065713</v>
      </c>
      <c r="AY39" s="39">
        <f t="shared" si="93"/>
        <v>0.13913647014038841</v>
      </c>
      <c r="AZ39" s="40">
        <f t="shared" ref="AZ39:BK39" si="94">AZ38/AZ10</f>
        <v>0.14489492173155727</v>
      </c>
      <c r="BA39" s="38">
        <f t="shared" si="94"/>
        <v>0.14697749647701464</v>
      </c>
      <c r="BB39" s="38">
        <f t="shared" si="94"/>
        <v>0.14694871457699943</v>
      </c>
      <c r="BC39" s="39">
        <f t="shared" si="94"/>
        <v>0.1327880011057245</v>
      </c>
      <c r="BD39" s="40">
        <f t="shared" si="94"/>
        <v>0.14000000000000001</v>
      </c>
      <c r="BE39" s="38">
        <f t="shared" si="94"/>
        <v>0.14000000000000001</v>
      </c>
      <c r="BF39" s="38">
        <f t="shared" si="94"/>
        <v>0.14000000000000001</v>
      </c>
      <c r="BG39" s="39">
        <f t="shared" si="94"/>
        <v>0.14000000000000001</v>
      </c>
      <c r="BH39" s="40">
        <f t="shared" si="94"/>
        <v>0.13900000000000001</v>
      </c>
      <c r="BI39" s="38">
        <f t="shared" si="94"/>
        <v>0.13800000000000001</v>
      </c>
      <c r="BJ39" s="38">
        <f t="shared" si="94"/>
        <v>0.13700000000000001</v>
      </c>
      <c r="BK39" s="39">
        <f t="shared" si="94"/>
        <v>0.13600000000000001</v>
      </c>
      <c r="BL39" s="269"/>
      <c r="BM39" s="40">
        <f t="shared" ref="BM39:BW39" si="95">BM38/BM10</f>
        <v>0.18323070238957279</v>
      </c>
      <c r="BN39" s="38">
        <f t="shared" si="95"/>
        <v>0.20377818019806385</v>
      </c>
      <c r="BO39" s="38">
        <f t="shared" si="95"/>
        <v>0.19839825955863344</v>
      </c>
      <c r="BP39" s="38">
        <f t="shared" si="95"/>
        <v>0.18834703788768695</v>
      </c>
      <c r="BQ39" s="38">
        <f t="shared" si="95"/>
        <v>0.17864758823574325</v>
      </c>
      <c r="BR39" s="38">
        <f t="shared" si="95"/>
        <v>0.14797811301802744</v>
      </c>
      <c r="BS39" s="38">
        <f t="shared" si="95"/>
        <v>0.16301429530297187</v>
      </c>
      <c r="BT39" s="40">
        <f t="shared" si="95"/>
        <v>0.16862272047336316</v>
      </c>
      <c r="BU39" s="38">
        <f t="shared" si="95"/>
        <v>0.15890957977042061</v>
      </c>
      <c r="BV39" s="38">
        <f t="shared" si="95"/>
        <v>0.14876685915037957</v>
      </c>
      <c r="BW39" s="38">
        <f t="shared" si="95"/>
        <v>0.14980525150177446</v>
      </c>
      <c r="BX39" s="38">
        <f>BX38/BX10</f>
        <v>0.14265769389570643</v>
      </c>
      <c r="BY39" s="38">
        <f>BY38/BY10</f>
        <v>0.14270517100406302</v>
      </c>
      <c r="BZ39" s="38">
        <f>BZ38/BZ10</f>
        <v>0.14000000000000001</v>
      </c>
      <c r="CA39" s="38">
        <f>CA38/CA10</f>
        <v>0.13749442122303232</v>
      </c>
      <c r="CB39" s="951">
        <f>CA39-0.2%</f>
        <v>0.13549442122303232</v>
      </c>
      <c r="CC39" s="20"/>
      <c r="CD39" s="38">
        <f t="shared" ref="CD39:CM39" si="96">CD38/CD10</f>
        <v>0.19327859953280715</v>
      </c>
      <c r="CE39" s="38">
        <f t="shared" si="96"/>
        <v>0.20370143122154638</v>
      </c>
      <c r="CF39" s="38">
        <f t="shared" si="96"/>
        <v>0.18814174707360712</v>
      </c>
      <c r="CG39" s="38">
        <f t="shared" si="96"/>
        <v>0.1852645526928336</v>
      </c>
      <c r="CH39" s="38">
        <f t="shared" si="96"/>
        <v>0.15065655737243749</v>
      </c>
      <c r="CI39" s="38">
        <f t="shared" si="96"/>
        <v>0.16164591791999966</v>
      </c>
      <c r="CJ39" s="38">
        <f t="shared" si="96"/>
        <v>0.16680490667774409</v>
      </c>
      <c r="CK39" s="38">
        <f t="shared" si="96"/>
        <v>0.16163345343849642</v>
      </c>
      <c r="CL39" s="38">
        <f t="shared" si="96"/>
        <v>0.15342587944406444</v>
      </c>
      <c r="CM39" s="38">
        <f t="shared" si="96"/>
        <v>0.14959938272582662</v>
      </c>
      <c r="CN39" s="38">
        <f>CN38/CN10</f>
        <v>0.14307140285528339</v>
      </c>
      <c r="CO39" s="38">
        <f>CO38/CO10</f>
        <v>0.14452208237699718</v>
      </c>
      <c r="CP39" s="38">
        <f>CP38/CP10</f>
        <v>0.13820644539058585</v>
      </c>
      <c r="CQ39" s="39">
        <f>CQ38/CQ10</f>
        <v>0.1384865816398006</v>
      </c>
      <c r="CR39" s="14"/>
      <c r="CS39" s="14"/>
      <c r="CZ39" s="8"/>
    </row>
    <row r="40" spans="1:104" ht="14.25" customHeight="1" collapsed="1">
      <c r="A40" s="8"/>
      <c r="B40" s="55"/>
      <c r="C40" s="56"/>
      <c r="D40" s="46"/>
      <c r="E40" s="44"/>
      <c r="F40" s="49"/>
      <c r="G40" s="45"/>
      <c r="H40" s="46"/>
      <c r="I40" s="44"/>
      <c r="J40" s="49"/>
      <c r="K40" s="45"/>
      <c r="L40" s="46"/>
      <c r="M40" s="44"/>
      <c r="N40" s="49"/>
      <c r="O40" s="45"/>
      <c r="P40" s="46"/>
      <c r="Q40" s="44"/>
      <c r="R40" s="49"/>
      <c r="S40" s="45"/>
      <c r="T40" s="46"/>
      <c r="U40" s="44"/>
      <c r="V40" s="49"/>
      <c r="W40" s="45"/>
      <c r="X40" s="46"/>
      <c r="Y40" s="44"/>
      <c r="Z40" s="49"/>
      <c r="AA40" s="45"/>
      <c r="AB40" s="46"/>
      <c r="AC40" s="44"/>
      <c r="AD40" s="44"/>
      <c r="AE40" s="45"/>
      <c r="AF40" s="44"/>
      <c r="AG40" s="44"/>
      <c r="AH40" s="44"/>
      <c r="AI40" s="44"/>
      <c r="AJ40" s="46"/>
      <c r="AK40" s="44"/>
      <c r="AL40" s="44"/>
      <c r="AM40" s="44"/>
      <c r="AN40" s="46"/>
      <c r="AO40" s="44"/>
      <c r="AP40" s="44"/>
      <c r="AQ40" s="44"/>
      <c r="AR40" s="46"/>
      <c r="AS40" s="44"/>
      <c r="AT40" s="44"/>
      <c r="AU40" s="44"/>
      <c r="AV40" s="46"/>
      <c r="AW40" s="44"/>
      <c r="AX40" s="44"/>
      <c r="AY40" s="45"/>
      <c r="AZ40" s="46"/>
      <c r="BA40" s="44"/>
      <c r="BB40" s="44"/>
      <c r="BC40" s="45"/>
      <c r="BD40" s="46"/>
      <c r="BE40" s="44"/>
      <c r="BF40" s="44"/>
      <c r="BG40" s="45"/>
      <c r="BH40" s="46"/>
      <c r="BI40" s="44"/>
      <c r="BJ40" s="44"/>
      <c r="BK40" s="45"/>
      <c r="BL40" s="269"/>
      <c r="BM40" s="57"/>
      <c r="BN40" s="47"/>
      <c r="BO40" s="47"/>
      <c r="BP40" s="47"/>
      <c r="BQ40" s="47"/>
      <c r="BR40" s="47"/>
      <c r="BS40" s="47"/>
      <c r="BT40" s="57"/>
      <c r="BU40" s="47"/>
      <c r="BV40" s="47"/>
      <c r="BW40" s="47"/>
      <c r="BX40" s="47"/>
      <c r="BY40" s="47"/>
      <c r="BZ40" s="47"/>
      <c r="CA40" s="47"/>
      <c r="CB40" s="942"/>
      <c r="CC40" s="20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8"/>
      <c r="CR40" s="14"/>
      <c r="CS40" s="14"/>
      <c r="CZ40" s="8"/>
    </row>
    <row r="41" spans="1:104" s="617" customFormat="1" ht="14.25" customHeight="1">
      <c r="A41" s="614"/>
      <c r="B41" s="631" t="s">
        <v>389</v>
      </c>
      <c r="C41" s="632"/>
      <c r="D41" s="622">
        <f>SUM(D42:D43)</f>
        <v>1.756</v>
      </c>
      <c r="E41" s="620">
        <f t="shared" ref="E41:AM41" si="97">SUM(E42:E43)</f>
        <v>4.92</v>
      </c>
      <c r="F41" s="620">
        <f t="shared" si="97"/>
        <v>1.536</v>
      </c>
      <c r="G41" s="621">
        <f t="shared" si="97"/>
        <v>6.4290000000000003</v>
      </c>
      <c r="H41" s="622">
        <f t="shared" si="97"/>
        <v>4.24</v>
      </c>
      <c r="I41" s="620">
        <f t="shared" si="97"/>
        <v>2.0310000000000001</v>
      </c>
      <c r="J41" s="620">
        <f t="shared" si="97"/>
        <v>4.5069999999999997</v>
      </c>
      <c r="K41" s="621">
        <f t="shared" si="97"/>
        <v>1.94</v>
      </c>
      <c r="L41" s="622">
        <f t="shared" si="97"/>
        <v>1.897</v>
      </c>
      <c r="M41" s="620">
        <f t="shared" si="97"/>
        <v>1.897</v>
      </c>
      <c r="N41" s="620">
        <f t="shared" si="97"/>
        <v>1.5820000000000001</v>
      </c>
      <c r="O41" s="621">
        <f t="shared" si="97"/>
        <v>1.4259999999999999</v>
      </c>
      <c r="P41" s="622">
        <f t="shared" si="97"/>
        <v>20.961000000000002</v>
      </c>
      <c r="Q41" s="620">
        <f t="shared" si="97"/>
        <v>3.9130000000000003</v>
      </c>
      <c r="R41" s="620">
        <f t="shared" si="97"/>
        <v>1.4750000000000001</v>
      </c>
      <c r="S41" s="621">
        <f t="shared" si="97"/>
        <v>1.006</v>
      </c>
      <c r="T41" s="622">
        <f t="shared" si="97"/>
        <v>18.263999999999999</v>
      </c>
      <c r="U41" s="620">
        <f t="shared" si="97"/>
        <v>5.915</v>
      </c>
      <c r="V41" s="620">
        <f t="shared" si="97"/>
        <v>5.5309999999999997</v>
      </c>
      <c r="W41" s="621">
        <f t="shared" si="97"/>
        <v>2.8470000000000013</v>
      </c>
      <c r="X41" s="622">
        <f t="shared" si="97"/>
        <v>0</v>
      </c>
      <c r="Y41" s="620">
        <f t="shared" si="97"/>
        <v>0</v>
      </c>
      <c r="Z41" s="620">
        <f t="shared" si="97"/>
        <v>4.2759999999999998</v>
      </c>
      <c r="AA41" s="621">
        <f t="shared" si="97"/>
        <v>7.1040000000000001</v>
      </c>
      <c r="AB41" s="622">
        <f t="shared" si="97"/>
        <v>1.623</v>
      </c>
      <c r="AC41" s="620">
        <f t="shared" si="97"/>
        <v>5.351</v>
      </c>
      <c r="AD41" s="620">
        <f t="shared" si="97"/>
        <v>1.982</v>
      </c>
      <c r="AE41" s="621">
        <f t="shared" si="97"/>
        <v>17.381</v>
      </c>
      <c r="AF41" s="620">
        <f t="shared" si="97"/>
        <v>2.1480000000000001</v>
      </c>
      <c r="AG41" s="620">
        <f t="shared" si="97"/>
        <v>2.319</v>
      </c>
      <c r="AH41" s="620">
        <f t="shared" si="97"/>
        <v>2.5539999999999998</v>
      </c>
      <c r="AI41" s="620">
        <f t="shared" si="97"/>
        <v>2.4870000000000001</v>
      </c>
      <c r="AJ41" s="622">
        <f>SUM(AJ42:AJ43)</f>
        <v>2.4180000000000001</v>
      </c>
      <c r="AK41" s="620">
        <f>SUM(AK42:AK43)</f>
        <v>31.018000000000001</v>
      </c>
      <c r="AL41" s="620">
        <f t="shared" si="97"/>
        <v>-16.601000000000003</v>
      </c>
      <c r="AM41" s="620">
        <f t="shared" si="97"/>
        <v>2.4620000000000002</v>
      </c>
      <c r="AN41" s="622">
        <f t="shared" ref="AN41:AS41" si="98">SUM(AN42:AN43)</f>
        <v>2.4180000000000001</v>
      </c>
      <c r="AO41" s="620">
        <f t="shared" si="98"/>
        <v>2.3780000000000001</v>
      </c>
      <c r="AP41" s="620">
        <f t="shared" si="98"/>
        <v>2.371</v>
      </c>
      <c r="AQ41" s="620">
        <f t="shared" si="98"/>
        <v>26.861000000000001</v>
      </c>
      <c r="AR41" s="622">
        <f t="shared" si="98"/>
        <v>1.7689999999999999</v>
      </c>
      <c r="AS41" s="620">
        <f t="shared" si="98"/>
        <v>1.7689999999999999</v>
      </c>
      <c r="AT41" s="620">
        <f t="shared" ref="AT41:AY41" si="99">SUM(AT42:AT43)</f>
        <v>1.7689999999999999</v>
      </c>
      <c r="AU41" s="620">
        <f t="shared" si="99"/>
        <v>1.244</v>
      </c>
      <c r="AV41" s="622">
        <f t="shared" si="99"/>
        <v>1.244</v>
      </c>
      <c r="AW41" s="620">
        <f t="shared" si="99"/>
        <v>1.244</v>
      </c>
      <c r="AX41" s="620">
        <f t="shared" si="99"/>
        <v>1.4550000000000001</v>
      </c>
      <c r="AY41" s="621">
        <f t="shared" si="99"/>
        <v>1.1839999999999999</v>
      </c>
      <c r="AZ41" s="622">
        <f t="shared" ref="AZ41:BJ41" si="100">SUM(AZ42:AZ43)</f>
        <v>0.70499999999999996</v>
      </c>
      <c r="BA41" s="620">
        <f t="shared" si="100"/>
        <v>0.51</v>
      </c>
      <c r="BB41" s="620">
        <f t="shared" si="100"/>
        <v>0.35299999999999998</v>
      </c>
      <c r="BC41" s="621">
        <f t="shared" si="100"/>
        <v>33.935000000000002</v>
      </c>
      <c r="BD41" s="622">
        <f t="shared" si="100"/>
        <v>0</v>
      </c>
      <c r="BE41" s="620">
        <f t="shared" si="100"/>
        <v>0</v>
      </c>
      <c r="BF41" s="620">
        <f t="shared" si="100"/>
        <v>0</v>
      </c>
      <c r="BG41" s="621">
        <f t="shared" si="100"/>
        <v>0</v>
      </c>
      <c r="BH41" s="622">
        <f t="shared" si="100"/>
        <v>0</v>
      </c>
      <c r="BI41" s="620">
        <f t="shared" si="100"/>
        <v>0</v>
      </c>
      <c r="BJ41" s="620">
        <f t="shared" si="100"/>
        <v>0</v>
      </c>
      <c r="BK41" s="621">
        <f>SUM(BK42:BK43)</f>
        <v>0</v>
      </c>
      <c r="BL41" s="664"/>
      <c r="BM41" s="622">
        <f t="shared" ref="BM41:BW41" si="101">SUM(BM42:BM43)</f>
        <v>14.641000000000002</v>
      </c>
      <c r="BN41" s="620">
        <f t="shared" si="101"/>
        <v>12.718</v>
      </c>
      <c r="BO41" s="620">
        <f t="shared" si="101"/>
        <v>6.8020000000000005</v>
      </c>
      <c r="BP41" s="620">
        <f t="shared" si="101"/>
        <v>27.355000000000004</v>
      </c>
      <c r="BQ41" s="620">
        <f t="shared" si="101"/>
        <v>32.557000000000002</v>
      </c>
      <c r="BR41" s="620">
        <f t="shared" si="101"/>
        <v>11.38</v>
      </c>
      <c r="BS41" s="620">
        <f t="shared" si="101"/>
        <v>26.337000000000003</v>
      </c>
      <c r="BT41" s="622">
        <f t="shared" si="101"/>
        <v>9.5080000000000009</v>
      </c>
      <c r="BU41" s="620">
        <f t="shared" si="101"/>
        <v>19.297000000000001</v>
      </c>
      <c r="BV41" s="620">
        <f t="shared" si="101"/>
        <v>34.027999999999999</v>
      </c>
      <c r="BW41" s="620">
        <f t="shared" si="101"/>
        <v>6.5509999999999993</v>
      </c>
      <c r="BX41" s="620">
        <f>SUM(BX42:BX43)</f>
        <v>5.1269999999999998</v>
      </c>
      <c r="BY41" s="620">
        <f>SUM(BY42:BY43)</f>
        <v>35.503</v>
      </c>
      <c r="BZ41" s="620">
        <f>SUM(BZ42:BZ43)</f>
        <v>0</v>
      </c>
      <c r="CA41" s="620">
        <f>SUM(CA42:CA43)</f>
        <v>0</v>
      </c>
      <c r="CB41" s="952">
        <f>SUM(CB42:CB43)</f>
        <v>0</v>
      </c>
      <c r="CC41" s="616"/>
      <c r="CD41" s="620">
        <f t="shared" ref="CD41:CM41" si="102">SUM(CD42:CD43)</f>
        <v>17.207000000000001</v>
      </c>
      <c r="CE41" s="620">
        <f t="shared" si="102"/>
        <v>7.3159999999999998</v>
      </c>
      <c r="CF41" s="620">
        <f t="shared" si="102"/>
        <v>27.775000000000006</v>
      </c>
      <c r="CG41" s="620">
        <f t="shared" si="102"/>
        <v>30.715999999999998</v>
      </c>
      <c r="CH41" s="620">
        <f t="shared" si="102"/>
        <v>7.1230000000000011</v>
      </c>
      <c r="CI41" s="620">
        <f t="shared" si="102"/>
        <v>16.060000000000002</v>
      </c>
      <c r="CJ41" s="620">
        <f t="shared" si="102"/>
        <v>24.402000000000001</v>
      </c>
      <c r="CK41" s="620">
        <f t="shared" si="102"/>
        <v>19.322000000000003</v>
      </c>
      <c r="CL41" s="620">
        <f t="shared" si="102"/>
        <v>9.6290000000000013</v>
      </c>
      <c r="CM41" s="620">
        <f t="shared" si="102"/>
        <v>32.167999999999999</v>
      </c>
      <c r="CN41" s="620">
        <f>SUM(CN42:CN43)</f>
        <v>5.1870000000000003</v>
      </c>
      <c r="CO41" s="620">
        <f>SUM(CO42:CO43)</f>
        <v>2.7519999999999998</v>
      </c>
      <c r="CP41" s="620">
        <f>SUM(CP42:CP43)</f>
        <v>33.935000000000002</v>
      </c>
      <c r="CQ41" s="621">
        <f>SUM(CQ42:CQ43)</f>
        <v>0</v>
      </c>
      <c r="CR41" s="806"/>
      <c r="CS41" s="806"/>
      <c r="CT41"/>
      <c r="CU41"/>
      <c r="CV41"/>
      <c r="CW41"/>
      <c r="CX41"/>
      <c r="CY41"/>
      <c r="CZ41" s="614"/>
    </row>
    <row r="42" spans="1:104" ht="14.25" hidden="1" customHeight="1" outlineLevel="1">
      <c r="A42" s="8"/>
      <c r="B42" s="28" t="s">
        <v>220</v>
      </c>
      <c r="C42" s="29"/>
      <c r="D42" s="30">
        <v>1.756</v>
      </c>
      <c r="E42" s="31">
        <v>1.7549999999999999</v>
      </c>
      <c r="F42" s="31">
        <v>1.536</v>
      </c>
      <c r="G42" s="32">
        <v>1.929</v>
      </c>
      <c r="H42" s="30">
        <v>2.0310000000000001</v>
      </c>
      <c r="I42" s="31">
        <v>2.0310000000000001</v>
      </c>
      <c r="J42" s="31">
        <v>2.0070000000000001</v>
      </c>
      <c r="K42" s="32">
        <v>1.94</v>
      </c>
      <c r="L42" s="30">
        <v>1.897</v>
      </c>
      <c r="M42" s="31">
        <v>1.897</v>
      </c>
      <c r="N42" s="31">
        <v>1.5820000000000001</v>
      </c>
      <c r="O42" s="32">
        <v>1.4259999999999999</v>
      </c>
      <c r="P42" s="30">
        <v>1.425</v>
      </c>
      <c r="Q42" s="31">
        <v>1.4259999999999999</v>
      </c>
      <c r="R42" s="31">
        <v>1.4750000000000001</v>
      </c>
      <c r="S42" s="32">
        <v>1.006</v>
      </c>
      <c r="T42" s="30">
        <v>2.4929999999999999</v>
      </c>
      <c r="U42" s="31">
        <v>0</v>
      </c>
      <c r="V42" s="31">
        <v>0</v>
      </c>
      <c r="W42" s="32">
        <f>2.493-V42-U42-T42</f>
        <v>0</v>
      </c>
      <c r="X42" s="30">
        <v>0</v>
      </c>
      <c r="Y42" s="31">
        <v>0</v>
      </c>
      <c r="Z42" s="31">
        <v>0</v>
      </c>
      <c r="AA42" s="32">
        <v>1.034</v>
      </c>
      <c r="AB42" s="30">
        <v>1.623</v>
      </c>
      <c r="AC42" s="31">
        <f>1.982</f>
        <v>1.982</v>
      </c>
      <c r="AD42" s="31">
        <v>1.982</v>
      </c>
      <c r="AE42" s="32">
        <v>1.9810000000000001</v>
      </c>
      <c r="AF42" s="31">
        <v>2.1480000000000001</v>
      </c>
      <c r="AG42" s="31">
        <v>2.319</v>
      </c>
      <c r="AH42" s="31">
        <v>2.5539999999999998</v>
      </c>
      <c r="AI42" s="31">
        <v>2.4870000000000001</v>
      </c>
      <c r="AJ42" s="30">
        <v>2.4180000000000001</v>
      </c>
      <c r="AK42" s="31">
        <v>2.4180000000000001</v>
      </c>
      <c r="AL42" s="31">
        <v>2.589</v>
      </c>
      <c r="AM42" s="31">
        <v>2.4620000000000002</v>
      </c>
      <c r="AN42" s="30">
        <v>2.4180000000000001</v>
      </c>
      <c r="AO42" s="31">
        <v>2.3780000000000001</v>
      </c>
      <c r="AP42" s="31">
        <v>2.371</v>
      </c>
      <c r="AQ42" s="31">
        <f>2.37</f>
        <v>2.37</v>
      </c>
      <c r="AR42" s="30">
        <v>1.7689999999999999</v>
      </c>
      <c r="AS42" s="31">
        <v>1.7689999999999999</v>
      </c>
      <c r="AT42" s="31">
        <v>1.7689999999999999</v>
      </c>
      <c r="AU42" s="31">
        <v>1.244</v>
      </c>
      <c r="AV42" s="30">
        <v>1.244</v>
      </c>
      <c r="AW42" s="31">
        <v>1.244</v>
      </c>
      <c r="AX42" s="31">
        <v>1.4550000000000001</v>
      </c>
      <c r="AY42" s="32">
        <v>1.1839999999999999</v>
      </c>
      <c r="AZ42" s="30">
        <v>0.70499999999999996</v>
      </c>
      <c r="BA42" s="31">
        <v>0.51</v>
      </c>
      <c r="BB42" s="31">
        <v>0.35299999999999998</v>
      </c>
      <c r="BC42" s="32">
        <f>0.584+33.351</f>
        <v>33.935000000000002</v>
      </c>
      <c r="BD42" s="30">
        <v>0</v>
      </c>
      <c r="BE42" s="31">
        <f>BD42</f>
        <v>0</v>
      </c>
      <c r="BF42" s="31">
        <v>0</v>
      </c>
      <c r="BG42" s="32">
        <f>BF42</f>
        <v>0</v>
      </c>
      <c r="BH42" s="30">
        <v>0</v>
      </c>
      <c r="BI42" s="31">
        <f>BH42</f>
        <v>0</v>
      </c>
      <c r="BJ42" s="31">
        <v>0</v>
      </c>
      <c r="BK42" s="32">
        <f>BJ42</f>
        <v>0</v>
      </c>
      <c r="BL42" s="269"/>
      <c r="BM42" s="35">
        <f>SUM(D42:G42)</f>
        <v>6.9760000000000009</v>
      </c>
      <c r="BN42" s="33">
        <f>SUM(H42:K42)</f>
        <v>8.0090000000000003</v>
      </c>
      <c r="BO42" s="33">
        <f>SUM(L42:O42)</f>
        <v>6.8020000000000005</v>
      </c>
      <c r="BP42" s="33">
        <f>SUM(P42:S42)</f>
        <v>5.3320000000000007</v>
      </c>
      <c r="BQ42" s="33">
        <f>SUM(T42:W42)</f>
        <v>2.4929999999999999</v>
      </c>
      <c r="BR42" s="33">
        <f>SUM(X42:AA42)</f>
        <v>1.034</v>
      </c>
      <c r="BS42" s="33">
        <f>SUM(AB42:AE42)</f>
        <v>7.5679999999999996</v>
      </c>
      <c r="BT42" s="35">
        <f>SUM(AF42:AI42)</f>
        <v>9.5080000000000009</v>
      </c>
      <c r="BU42" s="33">
        <f>SUM(AJ42:AM42)</f>
        <v>9.8870000000000005</v>
      </c>
      <c r="BV42" s="33">
        <f>SUM(AN42:AQ42)</f>
        <v>9.536999999999999</v>
      </c>
      <c r="BW42" s="33">
        <f>SUM(AR42:AU42)</f>
        <v>6.5509999999999993</v>
      </c>
      <c r="BX42" s="33">
        <f>SUM(AV42:AY42)</f>
        <v>5.1269999999999998</v>
      </c>
      <c r="BY42" s="33">
        <f>SUM(AZ42:BC42)</f>
        <v>35.503</v>
      </c>
      <c r="BZ42" s="33">
        <f>SUM(BD42:BG42)</f>
        <v>0</v>
      </c>
      <c r="CA42" s="33">
        <f>SUM(BH42:BK42)</f>
        <v>0</v>
      </c>
      <c r="CB42" s="956">
        <f>CA42</f>
        <v>0</v>
      </c>
      <c r="CC42" s="20"/>
      <c r="CD42" s="33">
        <f>SUM(G42:J42)</f>
        <v>7.9979999999999993</v>
      </c>
      <c r="CE42" s="33">
        <f>SUM(K42:N42)</f>
        <v>7.3159999999999998</v>
      </c>
      <c r="CF42" s="33">
        <f>SUM(O42:R42)</f>
        <v>5.7520000000000007</v>
      </c>
      <c r="CG42" s="33">
        <f>SUM(S42:V42)</f>
        <v>3.4989999999999997</v>
      </c>
      <c r="CH42" s="33">
        <f>SUM(W42:Z42)</f>
        <v>0</v>
      </c>
      <c r="CI42" s="33">
        <f>SUM(AA42:AD42)</f>
        <v>6.6210000000000004</v>
      </c>
      <c r="CJ42" s="33">
        <f>SUM(AE42:AH42)</f>
        <v>9.0020000000000007</v>
      </c>
      <c r="CK42" s="33">
        <f>SUM(AI42:AL42)</f>
        <v>9.9120000000000008</v>
      </c>
      <c r="CL42" s="33">
        <f>SUM(AM42:AP42)</f>
        <v>9.6290000000000013</v>
      </c>
      <c r="CM42" s="33">
        <f>SUM(AQ42:AT42)</f>
        <v>7.6770000000000005</v>
      </c>
      <c r="CN42" s="33">
        <f>SUM(AU42:AX42)</f>
        <v>5.1870000000000003</v>
      </c>
      <c r="CO42" s="33">
        <f>SUM(AY42:BB42)</f>
        <v>2.7519999999999998</v>
      </c>
      <c r="CP42" s="33">
        <f>SUM(BC42:BF42)</f>
        <v>33.935000000000002</v>
      </c>
      <c r="CQ42" s="34">
        <f>SUM(BG42:BJ42)</f>
        <v>0</v>
      </c>
      <c r="CR42" s="806"/>
      <c r="CS42" s="806"/>
      <c r="CZ42" s="8"/>
    </row>
    <row r="43" spans="1:104" ht="14.25" hidden="1" customHeight="1" outlineLevel="1">
      <c r="A43" s="8"/>
      <c r="B43" s="28" t="s">
        <v>382</v>
      </c>
      <c r="C43" s="29"/>
      <c r="D43" s="30">
        <v>0</v>
      </c>
      <c r="E43" s="31">
        <v>3.165</v>
      </c>
      <c r="F43" s="31">
        <v>0</v>
      </c>
      <c r="G43" s="32">
        <v>4.5</v>
      </c>
      <c r="H43" s="30">
        <v>2.2090000000000001</v>
      </c>
      <c r="I43" s="31">
        <v>0</v>
      </c>
      <c r="J43" s="31">
        <v>2.5</v>
      </c>
      <c r="K43" s="32">
        <v>0</v>
      </c>
      <c r="L43" s="30">
        <v>0</v>
      </c>
      <c r="M43" s="31">
        <v>0</v>
      </c>
      <c r="N43" s="31">
        <v>0</v>
      </c>
      <c r="O43" s="32">
        <v>0</v>
      </c>
      <c r="P43" s="660">
        <v>19.536000000000001</v>
      </c>
      <c r="Q43" s="31">
        <v>2.4870000000000001</v>
      </c>
      <c r="R43" s="31">
        <v>0</v>
      </c>
      <c r="S43" s="32">
        <v>0</v>
      </c>
      <c r="T43" s="660">
        <v>15.771000000000001</v>
      </c>
      <c r="U43" s="31">
        <v>5.915</v>
      </c>
      <c r="V43" s="31">
        <v>5.5309999999999997</v>
      </c>
      <c r="W43" s="32">
        <v>2.8470000000000013</v>
      </c>
      <c r="X43" s="30">
        <v>0</v>
      </c>
      <c r="Y43" s="31">
        <v>0</v>
      </c>
      <c r="Z43" s="31">
        <v>4.2759999999999998</v>
      </c>
      <c r="AA43" s="32">
        <v>6.07</v>
      </c>
      <c r="AB43" s="30">
        <v>0</v>
      </c>
      <c r="AC43" s="31">
        <v>3.3690000000000002</v>
      </c>
      <c r="AD43" s="31">
        <v>0</v>
      </c>
      <c r="AE43" s="32">
        <v>15.4</v>
      </c>
      <c r="AF43" s="31">
        <v>0</v>
      </c>
      <c r="AG43" s="31">
        <v>0</v>
      </c>
      <c r="AH43" s="31">
        <v>0</v>
      </c>
      <c r="AI43" s="31">
        <v>0</v>
      </c>
      <c r="AJ43" s="30">
        <v>0</v>
      </c>
      <c r="AK43" s="31">
        <v>28.6</v>
      </c>
      <c r="AL43" s="31">
        <v>-19.190000000000001</v>
      </c>
      <c r="AM43" s="31">
        <v>0</v>
      </c>
      <c r="AN43" s="30">
        <v>0</v>
      </c>
      <c r="AO43" s="31">
        <v>0</v>
      </c>
      <c r="AP43" s="31"/>
      <c r="AQ43" s="31">
        <v>24.491</v>
      </c>
      <c r="AR43" s="30">
        <v>0</v>
      </c>
      <c r="AS43" s="31">
        <v>0</v>
      </c>
      <c r="AT43" s="31"/>
      <c r="AU43" s="31">
        <v>0</v>
      </c>
      <c r="AV43" s="30">
        <v>0</v>
      </c>
      <c r="AW43" s="31">
        <v>0</v>
      </c>
      <c r="AX43" s="31">
        <v>0</v>
      </c>
      <c r="AY43" s="32">
        <v>0</v>
      </c>
      <c r="AZ43" s="30">
        <v>0</v>
      </c>
      <c r="BA43" s="31">
        <v>0</v>
      </c>
      <c r="BB43" s="31">
        <v>0</v>
      </c>
      <c r="BC43" s="32">
        <v>0</v>
      </c>
      <c r="BD43" s="35">
        <v>0</v>
      </c>
      <c r="BE43" s="33">
        <v>0</v>
      </c>
      <c r="BF43" s="33">
        <v>0</v>
      </c>
      <c r="BG43" s="34">
        <v>0</v>
      </c>
      <c r="BH43" s="35">
        <v>0</v>
      </c>
      <c r="BI43" s="33">
        <v>0</v>
      </c>
      <c r="BJ43" s="33">
        <v>0</v>
      </c>
      <c r="BK43" s="34">
        <v>0</v>
      </c>
      <c r="BL43" s="269"/>
      <c r="BM43" s="35">
        <f>SUM(D43:G43)</f>
        <v>7.665</v>
      </c>
      <c r="BN43" s="33">
        <f>SUM(H43:K43)</f>
        <v>4.7089999999999996</v>
      </c>
      <c r="BO43" s="33">
        <f>SUM(L43:O43)</f>
        <v>0</v>
      </c>
      <c r="BP43" s="33">
        <f>SUM(P43:S43)</f>
        <v>22.023000000000003</v>
      </c>
      <c r="BQ43" s="33">
        <f>SUM(T43:W43)</f>
        <v>30.064</v>
      </c>
      <c r="BR43" s="33">
        <f>SUM(X43:AA43)</f>
        <v>10.346</v>
      </c>
      <c r="BS43" s="33">
        <f>SUM(AB43:AE43)</f>
        <v>18.769000000000002</v>
      </c>
      <c r="BT43" s="35">
        <f>SUM(AF43:AI43)</f>
        <v>0</v>
      </c>
      <c r="BU43" s="33">
        <f>SUM(AJ43:AM43)</f>
        <v>9.41</v>
      </c>
      <c r="BV43" s="33">
        <f>SUM(AN43:AQ43)</f>
        <v>24.491</v>
      </c>
      <c r="BW43" s="33">
        <f>SUM(AR43:AU43)</f>
        <v>0</v>
      </c>
      <c r="BX43" s="33">
        <f>SUM(AV43:AY43)</f>
        <v>0</v>
      </c>
      <c r="BY43" s="33">
        <f>SUM(AZ43:BC43)</f>
        <v>0</v>
      </c>
      <c r="BZ43" s="33">
        <f>SUM(BD43:BG43)</f>
        <v>0</v>
      </c>
      <c r="CA43" s="33">
        <f>SUM(BH43:BK43)</f>
        <v>0</v>
      </c>
      <c r="CB43" s="953">
        <f>CA43</f>
        <v>0</v>
      </c>
      <c r="CC43" s="20"/>
      <c r="CD43" s="33">
        <f>SUM(G43:J43)</f>
        <v>9.2089999999999996</v>
      </c>
      <c r="CE43" s="33">
        <f>SUM(K43:N43)</f>
        <v>0</v>
      </c>
      <c r="CF43" s="33">
        <f>SUM(O43:R43)</f>
        <v>22.023000000000003</v>
      </c>
      <c r="CG43" s="33">
        <f>SUM(S43:V43)</f>
        <v>27.216999999999999</v>
      </c>
      <c r="CH43" s="33">
        <f>SUM(W43:Z43)</f>
        <v>7.1230000000000011</v>
      </c>
      <c r="CI43" s="33">
        <f>SUM(AA43:AD43)</f>
        <v>9.4390000000000001</v>
      </c>
      <c r="CJ43" s="33">
        <f>SUM(AE43:AH43)</f>
        <v>15.4</v>
      </c>
      <c r="CK43" s="33">
        <f>SUM(AI43:AL43)</f>
        <v>9.41</v>
      </c>
      <c r="CL43" s="33">
        <f>SUM(AM43:AP43)</f>
        <v>0</v>
      </c>
      <c r="CM43" s="33">
        <f>SUM(AQ43:AT43)</f>
        <v>24.491</v>
      </c>
      <c r="CN43" s="33">
        <f>SUM(AU43:AX43)</f>
        <v>0</v>
      </c>
      <c r="CO43" s="33">
        <f>SUM(AY43:BB43)</f>
        <v>0</v>
      </c>
      <c r="CP43" s="33">
        <f>SUM(BC43:BF43)</f>
        <v>0</v>
      </c>
      <c r="CQ43" s="34">
        <f>SUM(BG43:BJ43)</f>
        <v>0</v>
      </c>
      <c r="CR43" s="14"/>
      <c r="CS43" s="14"/>
      <c r="CZ43" s="8"/>
    </row>
    <row r="44" spans="1:104" ht="14.25" hidden="1" customHeight="1" outlineLevel="1">
      <c r="A44" s="8"/>
      <c r="B44" s="23" t="s">
        <v>4</v>
      </c>
      <c r="C44" s="24"/>
      <c r="D44" s="35">
        <f>+D41-SUM(D42:D43)</f>
        <v>0</v>
      </c>
      <c r="E44" s="33">
        <f t="shared" ref="E44:AM44" si="103">+E41-SUM(E42:E43)</f>
        <v>0</v>
      </c>
      <c r="F44" s="33">
        <f t="shared" si="103"/>
        <v>0</v>
      </c>
      <c r="G44" s="34">
        <f t="shared" si="103"/>
        <v>0</v>
      </c>
      <c r="H44" s="35">
        <f t="shared" si="103"/>
        <v>0</v>
      </c>
      <c r="I44" s="33">
        <f t="shared" si="103"/>
        <v>0</v>
      </c>
      <c r="J44" s="33">
        <f t="shared" si="103"/>
        <v>0</v>
      </c>
      <c r="K44" s="34">
        <f t="shared" si="103"/>
        <v>0</v>
      </c>
      <c r="L44" s="35">
        <f t="shared" si="103"/>
        <v>0</v>
      </c>
      <c r="M44" s="33">
        <f t="shared" si="103"/>
        <v>0</v>
      </c>
      <c r="N44" s="33">
        <f t="shared" si="103"/>
        <v>0</v>
      </c>
      <c r="O44" s="34">
        <f t="shared" si="103"/>
        <v>0</v>
      </c>
      <c r="P44" s="35">
        <f t="shared" si="103"/>
        <v>0</v>
      </c>
      <c r="Q44" s="33">
        <f t="shared" si="103"/>
        <v>0</v>
      </c>
      <c r="R44" s="33">
        <f t="shared" si="103"/>
        <v>0</v>
      </c>
      <c r="S44" s="34">
        <f t="shared" si="103"/>
        <v>0</v>
      </c>
      <c r="T44" s="35">
        <f t="shared" si="103"/>
        <v>0</v>
      </c>
      <c r="U44" s="33">
        <f t="shared" si="103"/>
        <v>0</v>
      </c>
      <c r="V44" s="33">
        <f t="shared" si="103"/>
        <v>0</v>
      </c>
      <c r="W44" s="34">
        <f t="shared" si="103"/>
        <v>0</v>
      </c>
      <c r="X44" s="35">
        <f t="shared" si="103"/>
        <v>0</v>
      </c>
      <c r="Y44" s="33">
        <f t="shared" si="103"/>
        <v>0</v>
      </c>
      <c r="Z44" s="33">
        <f t="shared" si="103"/>
        <v>0</v>
      </c>
      <c r="AA44" s="34">
        <f t="shared" si="103"/>
        <v>0</v>
      </c>
      <c r="AB44" s="35">
        <f t="shared" si="103"/>
        <v>0</v>
      </c>
      <c r="AC44" s="33">
        <f>+AC41-SUM(AC42:AC43)</f>
        <v>0</v>
      </c>
      <c r="AD44" s="33">
        <f t="shared" si="103"/>
        <v>0</v>
      </c>
      <c r="AE44" s="34">
        <f t="shared" si="103"/>
        <v>0</v>
      </c>
      <c r="AF44" s="33">
        <f t="shared" si="103"/>
        <v>0</v>
      </c>
      <c r="AG44" s="33">
        <f t="shared" si="103"/>
        <v>0</v>
      </c>
      <c r="AH44" s="33">
        <f t="shared" si="103"/>
        <v>0</v>
      </c>
      <c r="AI44" s="33">
        <f t="shared" si="103"/>
        <v>0</v>
      </c>
      <c r="AJ44" s="35">
        <f t="shared" si="103"/>
        <v>0</v>
      </c>
      <c r="AK44" s="33">
        <f t="shared" si="103"/>
        <v>0</v>
      </c>
      <c r="AL44" s="33">
        <f t="shared" si="103"/>
        <v>0</v>
      </c>
      <c r="AM44" s="33">
        <f t="shared" si="103"/>
        <v>0</v>
      </c>
      <c r="AN44" s="35">
        <f t="shared" ref="AN44:AS44" si="104">+AN41-SUM(AN42:AN43)</f>
        <v>0</v>
      </c>
      <c r="AO44" s="33">
        <f t="shared" si="104"/>
        <v>0</v>
      </c>
      <c r="AP44" s="33">
        <f t="shared" si="104"/>
        <v>0</v>
      </c>
      <c r="AQ44" s="33">
        <f t="shared" si="104"/>
        <v>0</v>
      </c>
      <c r="AR44" s="35">
        <f t="shared" si="104"/>
        <v>0</v>
      </c>
      <c r="AS44" s="33">
        <f t="shared" si="104"/>
        <v>0</v>
      </c>
      <c r="AT44" s="33">
        <f t="shared" ref="AT44:AY44" si="105">+AT41-SUM(AT42:AT43)</f>
        <v>0</v>
      </c>
      <c r="AU44" s="33">
        <f t="shared" si="105"/>
        <v>0</v>
      </c>
      <c r="AV44" s="35">
        <f t="shared" si="105"/>
        <v>0</v>
      </c>
      <c r="AW44" s="33">
        <f t="shared" si="105"/>
        <v>0</v>
      </c>
      <c r="AX44" s="33">
        <f t="shared" si="105"/>
        <v>0</v>
      </c>
      <c r="AY44" s="34">
        <f t="shared" si="105"/>
        <v>0</v>
      </c>
      <c r="AZ44" s="35">
        <f t="shared" ref="AZ44:BK44" si="106">+AZ41-SUM(AZ42:AZ43)</f>
        <v>0</v>
      </c>
      <c r="BA44" s="33">
        <f t="shared" si="106"/>
        <v>0</v>
      </c>
      <c r="BB44" s="33">
        <f t="shared" si="106"/>
        <v>0</v>
      </c>
      <c r="BC44" s="34">
        <f t="shared" si="106"/>
        <v>0</v>
      </c>
      <c r="BD44" s="35">
        <f t="shared" si="106"/>
        <v>0</v>
      </c>
      <c r="BE44" s="33">
        <f t="shared" si="106"/>
        <v>0</v>
      </c>
      <c r="BF44" s="33">
        <f t="shared" si="106"/>
        <v>0</v>
      </c>
      <c r="BG44" s="34">
        <f t="shared" si="106"/>
        <v>0</v>
      </c>
      <c r="BH44" s="35">
        <f t="shared" si="106"/>
        <v>0</v>
      </c>
      <c r="BI44" s="33">
        <f t="shared" si="106"/>
        <v>0</v>
      </c>
      <c r="BJ44" s="33">
        <f t="shared" si="106"/>
        <v>0</v>
      </c>
      <c r="BK44" s="34">
        <f t="shared" si="106"/>
        <v>0</v>
      </c>
      <c r="BL44" s="269"/>
      <c r="BM44" s="35">
        <f t="shared" ref="BM44:BW44" si="107">+BM41-SUM(BM42:BM43)</f>
        <v>0</v>
      </c>
      <c r="BN44" s="33">
        <f t="shared" si="107"/>
        <v>0</v>
      </c>
      <c r="BO44" s="33">
        <f t="shared" si="107"/>
        <v>0</v>
      </c>
      <c r="BP44" s="33">
        <f t="shared" si="107"/>
        <v>0</v>
      </c>
      <c r="BQ44" s="33">
        <f t="shared" si="107"/>
        <v>0</v>
      </c>
      <c r="BR44" s="33">
        <f t="shared" si="107"/>
        <v>0</v>
      </c>
      <c r="BS44" s="33">
        <f t="shared" si="107"/>
        <v>0</v>
      </c>
      <c r="BT44" s="35">
        <f t="shared" si="107"/>
        <v>0</v>
      </c>
      <c r="BU44" s="33">
        <f t="shared" si="107"/>
        <v>0</v>
      </c>
      <c r="BV44" s="33">
        <f t="shared" si="107"/>
        <v>0</v>
      </c>
      <c r="BW44" s="33">
        <f t="shared" si="107"/>
        <v>0</v>
      </c>
      <c r="BX44" s="33">
        <f>+BX41-SUM(BX42:BX43)</f>
        <v>0</v>
      </c>
      <c r="BY44" s="33">
        <f>+BY41-SUM(BY42:BY43)</f>
        <v>0</v>
      </c>
      <c r="BZ44" s="33">
        <f>+BZ41-SUM(BZ42:BZ43)</f>
        <v>0</v>
      </c>
      <c r="CA44" s="33">
        <f>+CA41-SUM(CA42:CA43)</f>
        <v>0</v>
      </c>
      <c r="CB44" s="953">
        <f>+CB41-SUM(CB42:CB43)</f>
        <v>0</v>
      </c>
      <c r="CC44" s="20"/>
      <c r="CD44" s="33">
        <f t="shared" ref="CD44:CM44" si="108">+CD41-SUM(CD42:CD43)</f>
        <v>0</v>
      </c>
      <c r="CE44" s="33">
        <f t="shared" si="108"/>
        <v>0</v>
      </c>
      <c r="CF44" s="33">
        <f t="shared" si="108"/>
        <v>0</v>
      </c>
      <c r="CG44" s="33">
        <f t="shared" si="108"/>
        <v>0</v>
      </c>
      <c r="CH44" s="33">
        <f t="shared" si="108"/>
        <v>0</v>
      </c>
      <c r="CI44" s="33">
        <f t="shared" si="108"/>
        <v>0</v>
      </c>
      <c r="CJ44" s="33">
        <f t="shared" si="108"/>
        <v>0</v>
      </c>
      <c r="CK44" s="33">
        <f t="shared" si="108"/>
        <v>0</v>
      </c>
      <c r="CL44" s="33">
        <f t="shared" si="108"/>
        <v>0</v>
      </c>
      <c r="CM44" s="33">
        <f t="shared" si="108"/>
        <v>0</v>
      </c>
      <c r="CN44" s="33">
        <f>+CN41-SUM(CN42:CN43)</f>
        <v>0</v>
      </c>
      <c r="CO44" s="33">
        <f>+CO41-SUM(CO42:CO43)</f>
        <v>0</v>
      </c>
      <c r="CP44" s="33">
        <f>+CP41-SUM(CP42:CP43)</f>
        <v>0</v>
      </c>
      <c r="CQ44" s="34">
        <f>+CQ41-SUM(CQ42:CQ43)</f>
        <v>0</v>
      </c>
      <c r="CR44" s="14"/>
      <c r="CS44" s="14"/>
      <c r="CZ44" s="8"/>
    </row>
    <row r="45" spans="1:104" ht="14.25" customHeight="1" collapsed="1">
      <c r="A45" s="8"/>
      <c r="B45" s="23"/>
      <c r="C45" s="24"/>
      <c r="D45" s="46"/>
      <c r="E45" s="44"/>
      <c r="F45" s="44"/>
      <c r="G45" s="45"/>
      <c r="H45" s="46"/>
      <c r="I45" s="44"/>
      <c r="J45" s="44"/>
      <c r="K45" s="45"/>
      <c r="L45" s="46"/>
      <c r="M45" s="44"/>
      <c r="N45" s="44"/>
      <c r="O45" s="45"/>
      <c r="P45" s="46"/>
      <c r="Q45" s="44"/>
      <c r="R45" s="44"/>
      <c r="S45" s="45"/>
      <c r="T45" s="46"/>
      <c r="U45" s="44"/>
      <c r="V45" s="44"/>
      <c r="W45" s="45"/>
      <c r="X45" s="46"/>
      <c r="Y45" s="44"/>
      <c r="Z45" s="44"/>
      <c r="AA45" s="45"/>
      <c r="AB45" s="46"/>
      <c r="AC45" s="44"/>
      <c r="AD45" s="44"/>
      <c r="AE45" s="45"/>
      <c r="AF45" s="44"/>
      <c r="AG45" s="44"/>
      <c r="AH45" s="44"/>
      <c r="AI45" s="44"/>
      <c r="AJ45" s="46"/>
      <c r="AK45" s="44"/>
      <c r="AL45" s="44"/>
      <c r="AM45" s="44"/>
      <c r="AN45" s="46"/>
      <c r="AO45" s="44"/>
      <c r="AP45" s="44"/>
      <c r="AQ45" s="44"/>
      <c r="AR45" s="46"/>
      <c r="AS45" s="44"/>
      <c r="AT45" s="44"/>
      <c r="AU45" s="44"/>
      <c r="AV45" s="46"/>
      <c r="AW45" s="44"/>
      <c r="AX45" s="44"/>
      <c r="AY45" s="45"/>
      <c r="AZ45" s="46"/>
      <c r="BA45" s="44"/>
      <c r="BB45" s="44"/>
      <c r="BC45" s="45"/>
      <c r="BD45" s="46"/>
      <c r="BE45" s="44"/>
      <c r="BF45" s="44"/>
      <c r="BG45" s="45"/>
      <c r="BH45" s="46"/>
      <c r="BI45" s="44"/>
      <c r="BJ45" s="44"/>
      <c r="BK45" s="45"/>
      <c r="BL45" s="269"/>
      <c r="BM45" s="46"/>
      <c r="BN45" s="44"/>
      <c r="BO45" s="44"/>
      <c r="BP45" s="44"/>
      <c r="BQ45" s="44"/>
      <c r="BR45" s="44"/>
      <c r="BS45" s="44"/>
      <c r="BT45" s="46"/>
      <c r="BU45" s="44"/>
      <c r="BV45" s="59"/>
      <c r="BW45" s="59"/>
      <c r="BX45" s="59"/>
      <c r="BY45" s="59"/>
      <c r="BZ45" s="59"/>
      <c r="CA45" s="59"/>
      <c r="CB45" s="957"/>
      <c r="CC45" s="20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5"/>
      <c r="CR45" s="14"/>
      <c r="CS45" s="14"/>
      <c r="CZ45" s="8"/>
    </row>
    <row r="46" spans="1:104" ht="14.25" customHeight="1" collapsed="1">
      <c r="A46" s="8"/>
      <c r="B46" s="23" t="s">
        <v>28</v>
      </c>
      <c r="C46" s="24"/>
      <c r="D46" s="35">
        <f t="shared" ref="D46:AM46" si="109">D27+D34+D41</f>
        <v>156.44699999999997</v>
      </c>
      <c r="E46" s="33">
        <f t="shared" si="109"/>
        <v>162.61699999999999</v>
      </c>
      <c r="F46" s="33">
        <f t="shared" si="109"/>
        <v>163.292</v>
      </c>
      <c r="G46" s="34">
        <f t="shared" si="109"/>
        <v>174.71299999999999</v>
      </c>
      <c r="H46" s="35">
        <f t="shared" si="109"/>
        <v>196.24</v>
      </c>
      <c r="I46" s="33">
        <f t="shared" si="109"/>
        <v>193.44400000000002</v>
      </c>
      <c r="J46" s="33">
        <f t="shared" si="109"/>
        <v>190.572</v>
      </c>
      <c r="K46" s="34">
        <f t="shared" si="109"/>
        <v>196.07299999999998</v>
      </c>
      <c r="L46" s="35">
        <f t="shared" si="109"/>
        <v>179.96600000000001</v>
      </c>
      <c r="M46" s="33">
        <f t="shared" si="109"/>
        <v>180.39499999999998</v>
      </c>
      <c r="N46" s="33">
        <f t="shared" si="109"/>
        <v>185.04599999999999</v>
      </c>
      <c r="O46" s="34">
        <f t="shared" si="109"/>
        <v>184.78299999999999</v>
      </c>
      <c r="P46" s="35">
        <f t="shared" si="109"/>
        <v>204.69900000000001</v>
      </c>
      <c r="Q46" s="33">
        <f t="shared" si="109"/>
        <v>181.49400000000003</v>
      </c>
      <c r="R46" s="33">
        <f t="shared" si="109"/>
        <v>173.47399999999999</v>
      </c>
      <c r="S46" s="34">
        <f t="shared" si="109"/>
        <v>166.84799999999998</v>
      </c>
      <c r="T46" s="35">
        <f t="shared" si="109"/>
        <v>175.053</v>
      </c>
      <c r="U46" s="33">
        <f t="shared" si="109"/>
        <v>174.68099999999998</v>
      </c>
      <c r="V46" s="33">
        <f t="shared" si="109"/>
        <v>192.435</v>
      </c>
      <c r="W46" s="34">
        <f t="shared" si="109"/>
        <v>187.43300000000002</v>
      </c>
      <c r="X46" s="35">
        <f t="shared" si="109"/>
        <v>178.542</v>
      </c>
      <c r="Y46" s="33">
        <f t="shared" si="109"/>
        <v>183.75200000000001</v>
      </c>
      <c r="Z46" s="33">
        <f t="shared" si="109"/>
        <v>189.26000000000002</v>
      </c>
      <c r="AA46" s="34">
        <f t="shared" si="109"/>
        <v>202.934</v>
      </c>
      <c r="AB46" s="35">
        <f t="shared" si="109"/>
        <v>204.036</v>
      </c>
      <c r="AC46" s="33">
        <f t="shared" si="109"/>
        <v>199.80599999999998</v>
      </c>
      <c r="AD46" s="33">
        <f t="shared" si="109"/>
        <v>199.161</v>
      </c>
      <c r="AE46" s="34">
        <f t="shared" si="109"/>
        <v>223.88199999999998</v>
      </c>
      <c r="AF46" s="33">
        <f t="shared" si="109"/>
        <v>219.79599999999999</v>
      </c>
      <c r="AG46" s="33">
        <f t="shared" si="109"/>
        <v>208.13399999999999</v>
      </c>
      <c r="AH46" s="33">
        <f t="shared" si="109"/>
        <v>218.43199999999999</v>
      </c>
      <c r="AI46" s="33">
        <f t="shared" si="109"/>
        <v>204.352</v>
      </c>
      <c r="AJ46" s="35">
        <f>AJ27+AJ34+AJ41</f>
        <v>206.346</v>
      </c>
      <c r="AK46" s="33">
        <f>AK27+AK34+AK41</f>
        <v>252.35900000000001</v>
      </c>
      <c r="AL46" s="33">
        <f t="shared" si="109"/>
        <v>203.28500000000003</v>
      </c>
      <c r="AM46" s="33">
        <f t="shared" si="109"/>
        <v>228.36099999999999</v>
      </c>
      <c r="AN46" s="35">
        <f t="shared" ref="AN46:AS46" si="110">AN27+AN34+AN41</f>
        <v>216.94400000000002</v>
      </c>
      <c r="AO46" s="33">
        <f t="shared" si="110"/>
        <v>234.596</v>
      </c>
      <c r="AP46" s="33">
        <f t="shared" si="110"/>
        <v>223.90200000000002</v>
      </c>
      <c r="AQ46" s="33">
        <f t="shared" si="110"/>
        <v>238.00099999999998</v>
      </c>
      <c r="AR46" s="35">
        <f t="shared" si="110"/>
        <v>210.56</v>
      </c>
      <c r="AS46" s="33">
        <f t="shared" si="110"/>
        <v>216.75</v>
      </c>
      <c r="AT46" s="33">
        <f t="shared" ref="AT46:AY46" si="111">AT27+AT34+AT41</f>
        <v>227.61699999999999</v>
      </c>
      <c r="AU46" s="33">
        <f t="shared" si="111"/>
        <v>217.16600000000003</v>
      </c>
      <c r="AV46" s="35">
        <f t="shared" si="111"/>
        <v>220.47900000000001</v>
      </c>
      <c r="AW46" s="33">
        <f t="shared" si="111"/>
        <v>226.52099999999999</v>
      </c>
      <c r="AX46" s="33">
        <f t="shared" si="111"/>
        <v>244.483</v>
      </c>
      <c r="AY46" s="34">
        <f t="shared" si="111"/>
        <v>250.23699999999999</v>
      </c>
      <c r="AZ46" s="35">
        <f t="shared" ref="AZ46:BK46" si="112">AZ27+AZ34+AZ41</f>
        <v>242.93100000000001</v>
      </c>
      <c r="BA46" s="33">
        <f t="shared" si="112"/>
        <v>249.548</v>
      </c>
      <c r="BB46" s="33">
        <f t="shared" si="112"/>
        <v>259.33699999999999</v>
      </c>
      <c r="BC46" s="34">
        <f t="shared" si="112"/>
        <v>285.76600000000002</v>
      </c>
      <c r="BD46" s="35">
        <f t="shared" si="112"/>
        <v>260.06217229299995</v>
      </c>
      <c r="BE46" s="33">
        <f t="shared" si="112"/>
        <v>262.21666094117404</v>
      </c>
      <c r="BF46" s="33">
        <f t="shared" si="112"/>
        <v>263.04677762685185</v>
      </c>
      <c r="BG46" s="34">
        <f t="shared" si="112"/>
        <v>269.534269174359</v>
      </c>
      <c r="BH46" s="35">
        <f t="shared" si="112"/>
        <v>274.95074970275004</v>
      </c>
      <c r="BI46" s="33">
        <f t="shared" si="112"/>
        <v>275.16318667862527</v>
      </c>
      <c r="BJ46" s="33">
        <f t="shared" si="112"/>
        <v>272.17444776197141</v>
      </c>
      <c r="BK46" s="34">
        <f t="shared" si="112"/>
        <v>276.17819079412112</v>
      </c>
      <c r="BL46" s="269"/>
      <c r="BM46" s="35">
        <f t="shared" ref="BM46:BW46" si="113">BM27+BM34+BM41</f>
        <v>657.06899999999996</v>
      </c>
      <c r="BN46" s="33">
        <f t="shared" si="113"/>
        <v>776.32899999999995</v>
      </c>
      <c r="BO46" s="33">
        <f t="shared" si="113"/>
        <v>730.18999999999994</v>
      </c>
      <c r="BP46" s="33">
        <f t="shared" si="113"/>
        <v>726.51499999999999</v>
      </c>
      <c r="BQ46" s="33">
        <f t="shared" si="113"/>
        <v>729.60200000000009</v>
      </c>
      <c r="BR46" s="33">
        <f t="shared" si="113"/>
        <v>754.48799999999994</v>
      </c>
      <c r="BS46" s="33">
        <f t="shared" si="113"/>
        <v>826.88499999999999</v>
      </c>
      <c r="BT46" s="35">
        <f t="shared" si="113"/>
        <v>850.71399999999994</v>
      </c>
      <c r="BU46" s="33">
        <f t="shared" si="113"/>
        <v>890.351</v>
      </c>
      <c r="BV46" s="33">
        <f t="shared" si="113"/>
        <v>913.44299999999998</v>
      </c>
      <c r="BW46" s="33">
        <f t="shared" si="113"/>
        <v>872.09299999999996</v>
      </c>
      <c r="BX46" s="33">
        <f>BX27+BX34+BX41</f>
        <v>941.71999999999991</v>
      </c>
      <c r="BY46" s="33">
        <f>BY27+BY34+BY41</f>
        <v>1037.5819999999999</v>
      </c>
      <c r="BZ46" s="33">
        <f>BZ27+BZ34+BZ41</f>
        <v>1054.8598800353848</v>
      </c>
      <c r="CA46" s="33">
        <f>CA27+CA34+CA41</f>
        <v>1098.4665749374678</v>
      </c>
      <c r="CB46" s="953">
        <f>CB27+CB34+CB41</f>
        <v>1159.2433531443587</v>
      </c>
      <c r="CC46" s="20"/>
      <c r="CD46" s="33">
        <f t="shared" ref="CD46:CM46" si="114">CD27+CD34+CD41</f>
        <v>754.96899999999994</v>
      </c>
      <c r="CE46" s="33">
        <f t="shared" si="114"/>
        <v>741.48</v>
      </c>
      <c r="CF46" s="33">
        <f t="shared" si="114"/>
        <v>744.44999999999993</v>
      </c>
      <c r="CG46" s="33">
        <f t="shared" si="114"/>
        <v>709.01699999999994</v>
      </c>
      <c r="CH46" s="33">
        <f t="shared" si="114"/>
        <v>738.98700000000008</v>
      </c>
      <c r="CI46" s="33">
        <f t="shared" si="114"/>
        <v>805.9369999999999</v>
      </c>
      <c r="CJ46" s="33">
        <f t="shared" si="114"/>
        <v>870.24400000000003</v>
      </c>
      <c r="CK46" s="33">
        <f t="shared" si="114"/>
        <v>866.34199999999998</v>
      </c>
      <c r="CL46" s="33">
        <f t="shared" si="114"/>
        <v>903.803</v>
      </c>
      <c r="CM46" s="33">
        <f t="shared" si="114"/>
        <v>892.92800000000011</v>
      </c>
      <c r="CN46" s="33">
        <f>CN27+CN34+CN41</f>
        <v>908.64899999999989</v>
      </c>
      <c r="CO46" s="33">
        <f>CO27+CO34+CO41</f>
        <v>1002.0529999999999</v>
      </c>
      <c r="CP46" s="33">
        <f>CP27+CP34+CP41</f>
        <v>1071.0916108610259</v>
      </c>
      <c r="CQ46" s="34">
        <f>CQ27+CQ34+CQ41</f>
        <v>1091.8226533177058</v>
      </c>
      <c r="CR46" s="806"/>
      <c r="CS46" s="806"/>
      <c r="CZ46" s="8"/>
    </row>
    <row r="47" spans="1:104" ht="14.25" customHeight="1">
      <c r="A47" s="8"/>
      <c r="B47" s="23" t="s">
        <v>5</v>
      </c>
      <c r="C47" s="24"/>
      <c r="D47" s="35">
        <f t="shared" ref="D47:AM47" si="115">D31+D38+D44</f>
        <v>154.69099999999997</v>
      </c>
      <c r="E47" s="33">
        <f t="shared" si="115"/>
        <v>157.697</v>
      </c>
      <c r="F47" s="33">
        <f t="shared" si="115"/>
        <v>161.756</v>
      </c>
      <c r="G47" s="34">
        <f t="shared" si="115"/>
        <v>168.28399999999999</v>
      </c>
      <c r="H47" s="35">
        <f t="shared" si="115"/>
        <v>192</v>
      </c>
      <c r="I47" s="33">
        <f t="shared" si="115"/>
        <v>191.41300000000001</v>
      </c>
      <c r="J47" s="33">
        <f t="shared" si="115"/>
        <v>186.065</v>
      </c>
      <c r="K47" s="34">
        <f t="shared" si="115"/>
        <v>194.13299999999998</v>
      </c>
      <c r="L47" s="35">
        <f t="shared" si="115"/>
        <v>178.06900000000002</v>
      </c>
      <c r="M47" s="33">
        <f t="shared" si="115"/>
        <v>178.49799999999999</v>
      </c>
      <c r="N47" s="33">
        <f t="shared" si="115"/>
        <v>183.464</v>
      </c>
      <c r="O47" s="34">
        <f t="shared" si="115"/>
        <v>183.357</v>
      </c>
      <c r="P47" s="35">
        <f t="shared" si="115"/>
        <v>183.738</v>
      </c>
      <c r="Q47" s="33">
        <f t="shared" si="115"/>
        <v>177.58100000000002</v>
      </c>
      <c r="R47" s="33">
        <f t="shared" si="115"/>
        <v>171.999</v>
      </c>
      <c r="S47" s="34">
        <f t="shared" si="115"/>
        <v>165.84199999999998</v>
      </c>
      <c r="T47" s="35">
        <f t="shared" si="115"/>
        <v>156.78899999999999</v>
      </c>
      <c r="U47" s="33">
        <f t="shared" si="115"/>
        <v>168.76599999999999</v>
      </c>
      <c r="V47" s="33">
        <f t="shared" si="115"/>
        <v>186.904</v>
      </c>
      <c r="W47" s="34">
        <f t="shared" si="115"/>
        <v>184.58600000000001</v>
      </c>
      <c r="X47" s="35">
        <f t="shared" si="115"/>
        <v>178.542</v>
      </c>
      <c r="Y47" s="33">
        <f t="shared" si="115"/>
        <v>183.75200000000001</v>
      </c>
      <c r="Z47" s="33">
        <f t="shared" si="115"/>
        <v>184.98400000000001</v>
      </c>
      <c r="AA47" s="34">
        <f t="shared" si="115"/>
        <v>195.82999999999998</v>
      </c>
      <c r="AB47" s="35">
        <f t="shared" si="115"/>
        <v>202.41300000000001</v>
      </c>
      <c r="AC47" s="33">
        <f t="shared" si="115"/>
        <v>194.45499999999998</v>
      </c>
      <c r="AD47" s="33">
        <f t="shared" si="115"/>
        <v>197.179</v>
      </c>
      <c r="AE47" s="34">
        <f t="shared" si="115"/>
        <v>206.50099999999998</v>
      </c>
      <c r="AF47" s="33">
        <f t="shared" si="115"/>
        <v>217.648</v>
      </c>
      <c r="AG47" s="33">
        <f t="shared" si="115"/>
        <v>205.815</v>
      </c>
      <c r="AH47" s="33">
        <f t="shared" si="115"/>
        <v>215.87799999999999</v>
      </c>
      <c r="AI47" s="33">
        <f t="shared" si="115"/>
        <v>201.86500000000001</v>
      </c>
      <c r="AJ47" s="35">
        <f>AJ31+AJ38+AJ44</f>
        <v>203.928</v>
      </c>
      <c r="AK47" s="33">
        <f>AK31+AK38+AK44</f>
        <v>221.34100000000001</v>
      </c>
      <c r="AL47" s="33">
        <f t="shared" si="115"/>
        <v>219.88600000000002</v>
      </c>
      <c r="AM47" s="33">
        <f t="shared" si="115"/>
        <v>225.899</v>
      </c>
      <c r="AN47" s="35">
        <f t="shared" ref="AN47:AS47" si="116">AN31+AN38+AN44</f>
        <v>214.52600000000001</v>
      </c>
      <c r="AO47" s="33">
        <f t="shared" si="116"/>
        <v>232.21800000000002</v>
      </c>
      <c r="AP47" s="33">
        <f t="shared" si="116"/>
        <v>221.53100000000001</v>
      </c>
      <c r="AQ47" s="33">
        <f t="shared" si="116"/>
        <v>211.14</v>
      </c>
      <c r="AR47" s="35">
        <f t="shared" si="116"/>
        <v>208.791</v>
      </c>
      <c r="AS47" s="33">
        <f t="shared" si="116"/>
        <v>214.98099999999999</v>
      </c>
      <c r="AT47" s="33">
        <f t="shared" ref="AT47:AY47" si="117">AT31+AT38+AT44</f>
        <v>225.84799999999998</v>
      </c>
      <c r="AU47" s="33">
        <f t="shared" si="117"/>
        <v>215.92200000000003</v>
      </c>
      <c r="AV47" s="35">
        <f t="shared" si="117"/>
        <v>219.23500000000001</v>
      </c>
      <c r="AW47" s="33">
        <f t="shared" si="117"/>
        <v>225.27699999999999</v>
      </c>
      <c r="AX47" s="33">
        <f t="shared" si="117"/>
        <v>243.02799999999999</v>
      </c>
      <c r="AY47" s="34">
        <f t="shared" si="117"/>
        <v>249.053</v>
      </c>
      <c r="AZ47" s="35">
        <f t="shared" ref="AZ47:BK47" si="118">AZ31+AZ38+AZ44</f>
        <v>242.226</v>
      </c>
      <c r="BA47" s="33">
        <f t="shared" si="118"/>
        <v>249.03800000000001</v>
      </c>
      <c r="BB47" s="33">
        <f t="shared" si="118"/>
        <v>258.98399999999998</v>
      </c>
      <c r="BC47" s="34">
        <f t="shared" si="118"/>
        <v>251.83100000000002</v>
      </c>
      <c r="BD47" s="35">
        <f t="shared" si="118"/>
        <v>260.06217229299995</v>
      </c>
      <c r="BE47" s="33">
        <f t="shared" si="118"/>
        <v>262.21666094117404</v>
      </c>
      <c r="BF47" s="33">
        <f t="shared" si="118"/>
        <v>263.04677762685185</v>
      </c>
      <c r="BG47" s="34">
        <f t="shared" si="118"/>
        <v>269.534269174359</v>
      </c>
      <c r="BH47" s="35">
        <f t="shared" si="118"/>
        <v>274.95074970275004</v>
      </c>
      <c r="BI47" s="33">
        <f t="shared" si="118"/>
        <v>275.16318667862527</v>
      </c>
      <c r="BJ47" s="33">
        <f t="shared" si="118"/>
        <v>272.17444776197141</v>
      </c>
      <c r="BK47" s="34">
        <f t="shared" si="118"/>
        <v>276.17819079412112</v>
      </c>
      <c r="BL47" s="269"/>
      <c r="BM47" s="35">
        <f t="shared" ref="BM47:BW47" si="119">BM31+BM38+BM44</f>
        <v>642.428</v>
      </c>
      <c r="BN47" s="33">
        <f t="shared" si="119"/>
        <v>763.61099999999999</v>
      </c>
      <c r="BO47" s="33">
        <f t="shared" si="119"/>
        <v>723.38799999999992</v>
      </c>
      <c r="BP47" s="33">
        <f t="shared" si="119"/>
        <v>699.16</v>
      </c>
      <c r="BQ47" s="33">
        <f t="shared" si="119"/>
        <v>697.04500000000007</v>
      </c>
      <c r="BR47" s="33">
        <f t="shared" si="119"/>
        <v>743.10799999999995</v>
      </c>
      <c r="BS47" s="33">
        <f t="shared" si="119"/>
        <v>800.548</v>
      </c>
      <c r="BT47" s="35">
        <f t="shared" si="119"/>
        <v>841.2059999999999</v>
      </c>
      <c r="BU47" s="33">
        <f t="shared" si="119"/>
        <v>871.05399999999997</v>
      </c>
      <c r="BV47" s="33">
        <f t="shared" si="119"/>
        <v>879.41499999999996</v>
      </c>
      <c r="BW47" s="33">
        <f t="shared" si="119"/>
        <v>865.54199999999992</v>
      </c>
      <c r="BX47" s="33">
        <f>BX31+BX38+BX44</f>
        <v>936.59299999999996</v>
      </c>
      <c r="BY47" s="33">
        <f>BY31+BY38+BY44</f>
        <v>1002.079</v>
      </c>
      <c r="BZ47" s="33">
        <f>BZ31+BZ38+BZ44</f>
        <v>1054.8598800353848</v>
      </c>
      <c r="CA47" s="33">
        <f>CA31+CA38+CA44</f>
        <v>1098.4665749374678</v>
      </c>
      <c r="CB47" s="953">
        <f>CB31+CB38+CB44</f>
        <v>1159.2433531443587</v>
      </c>
      <c r="CC47" s="20"/>
      <c r="CD47" s="33">
        <f t="shared" ref="CD47:CM47" si="120">CD31+CD38+CD44</f>
        <v>737.76199999999994</v>
      </c>
      <c r="CE47" s="33">
        <f t="shared" si="120"/>
        <v>734.16399999999999</v>
      </c>
      <c r="CF47" s="33">
        <f t="shared" si="120"/>
        <v>716.67499999999995</v>
      </c>
      <c r="CG47" s="33">
        <f t="shared" si="120"/>
        <v>678.30099999999993</v>
      </c>
      <c r="CH47" s="33">
        <f t="shared" si="120"/>
        <v>731.86400000000003</v>
      </c>
      <c r="CI47" s="33">
        <f t="shared" si="120"/>
        <v>789.87699999999995</v>
      </c>
      <c r="CJ47" s="33">
        <f t="shared" si="120"/>
        <v>845.84199999999998</v>
      </c>
      <c r="CK47" s="33">
        <f t="shared" si="120"/>
        <v>847.02</v>
      </c>
      <c r="CL47" s="33">
        <f t="shared" si="120"/>
        <v>894.17399999999998</v>
      </c>
      <c r="CM47" s="33">
        <f t="shared" si="120"/>
        <v>860.7600000000001</v>
      </c>
      <c r="CN47" s="33">
        <f>CN31+CN38+CN44</f>
        <v>903.46199999999988</v>
      </c>
      <c r="CO47" s="33">
        <f>CO31+CO38+CO44</f>
        <v>999.30099999999993</v>
      </c>
      <c r="CP47" s="33">
        <f>CP31+CP38+CP44</f>
        <v>1037.1566108610259</v>
      </c>
      <c r="CQ47" s="34">
        <f>CQ31+CQ38+CQ44</f>
        <v>1091.8226533177058</v>
      </c>
      <c r="CR47" s="806"/>
      <c r="CS47" s="806"/>
      <c r="CZ47" s="8"/>
    </row>
    <row r="48" spans="1:104" ht="14.25" customHeight="1">
      <c r="A48" s="8"/>
      <c r="B48" s="23"/>
      <c r="C48" s="24"/>
      <c r="D48" s="46"/>
      <c r="E48" s="44"/>
      <c r="F48" s="58"/>
      <c r="G48" s="45"/>
      <c r="H48" s="46"/>
      <c r="I48" s="44"/>
      <c r="J48" s="58"/>
      <c r="K48" s="45"/>
      <c r="L48" s="46"/>
      <c r="M48" s="44"/>
      <c r="N48" s="58"/>
      <c r="O48" s="45"/>
      <c r="P48" s="46"/>
      <c r="Q48" s="44"/>
      <c r="R48" s="58"/>
      <c r="S48" s="45"/>
      <c r="T48" s="46"/>
      <c r="U48" s="44"/>
      <c r="V48" s="58"/>
      <c r="W48" s="45"/>
      <c r="X48" s="46"/>
      <c r="Y48" s="44"/>
      <c r="Z48" s="44"/>
      <c r="AA48" s="45"/>
      <c r="AB48" s="46"/>
      <c r="AC48" s="44"/>
      <c r="AD48" s="44"/>
      <c r="AE48" s="45"/>
      <c r="AF48" s="44"/>
      <c r="AG48" s="44"/>
      <c r="AH48" s="44"/>
      <c r="AI48" s="44"/>
      <c r="AJ48" s="46"/>
      <c r="AK48" s="44"/>
      <c r="AL48" s="44"/>
      <c r="AM48" s="44"/>
      <c r="AN48" s="46"/>
      <c r="AO48" s="44"/>
      <c r="AP48" s="44"/>
      <c r="AQ48" s="44"/>
      <c r="AR48" s="46"/>
      <c r="AS48" s="44"/>
      <c r="AT48" s="44"/>
      <c r="AU48" s="44"/>
      <c r="AV48" s="46"/>
      <c r="AW48" s="44"/>
      <c r="AX48" s="44"/>
      <c r="AY48" s="45"/>
      <c r="AZ48" s="46"/>
      <c r="BA48" s="44"/>
      <c r="BB48" s="44"/>
      <c r="BC48" s="45"/>
      <c r="BD48" s="46"/>
      <c r="BE48" s="44"/>
      <c r="BF48" s="44"/>
      <c r="BG48" s="45"/>
      <c r="BH48" s="46"/>
      <c r="BI48" s="44"/>
      <c r="BJ48" s="44"/>
      <c r="BK48" s="45"/>
      <c r="BL48" s="269"/>
      <c r="BM48" s="46"/>
      <c r="BN48" s="44"/>
      <c r="BO48" s="44"/>
      <c r="BP48" s="44"/>
      <c r="BQ48" s="44"/>
      <c r="BR48" s="44"/>
      <c r="BS48" s="44"/>
      <c r="BT48" s="46"/>
      <c r="BU48" s="44"/>
      <c r="BV48" s="59"/>
      <c r="BW48" s="59"/>
      <c r="BX48" s="59"/>
      <c r="BY48" s="59"/>
      <c r="BZ48" s="59"/>
      <c r="CA48" s="59"/>
      <c r="CB48" s="957"/>
      <c r="CC48" s="20"/>
      <c r="CD48" s="44"/>
      <c r="CE48" s="44"/>
      <c r="CF48" s="44"/>
      <c r="CG48" s="44"/>
      <c r="CH48" s="44"/>
      <c r="CI48" s="44"/>
      <c r="CJ48" s="44"/>
      <c r="CK48" s="44"/>
      <c r="CL48" s="59"/>
      <c r="CM48" s="59"/>
      <c r="CN48" s="59"/>
      <c r="CO48" s="59"/>
      <c r="CP48" s="59"/>
      <c r="CQ48" s="60"/>
      <c r="CR48" s="14"/>
      <c r="CS48" s="14"/>
      <c r="CZ48" s="8"/>
    </row>
    <row r="49" spans="1:104" ht="14.25" customHeight="1">
      <c r="A49" s="8"/>
      <c r="B49" s="50" t="s">
        <v>390</v>
      </c>
      <c r="C49" s="51"/>
      <c r="D49" s="52">
        <f t="shared" ref="D49:AM49" si="121">D21-D46</f>
        <v>90.450000000000045</v>
      </c>
      <c r="E49" s="53">
        <f t="shared" si="121"/>
        <v>82.343999999999994</v>
      </c>
      <c r="F49" s="53">
        <f t="shared" si="121"/>
        <v>119.83700000000002</v>
      </c>
      <c r="G49" s="54">
        <f t="shared" si="121"/>
        <v>119.43100000000001</v>
      </c>
      <c r="H49" s="52">
        <f t="shared" si="121"/>
        <v>93.062999999999988</v>
      </c>
      <c r="I49" s="53">
        <f t="shared" si="121"/>
        <v>93.156000000000006</v>
      </c>
      <c r="J49" s="53">
        <f t="shared" si="121"/>
        <v>82.190000000000055</v>
      </c>
      <c r="K49" s="54">
        <f t="shared" si="121"/>
        <v>79.358000000000004</v>
      </c>
      <c r="L49" s="52">
        <f t="shared" si="121"/>
        <v>97.467999999999961</v>
      </c>
      <c r="M49" s="53">
        <f t="shared" si="121"/>
        <v>94.37700000000001</v>
      </c>
      <c r="N49" s="53">
        <f t="shared" si="121"/>
        <v>115.346</v>
      </c>
      <c r="O49" s="54">
        <f t="shared" si="121"/>
        <v>117.00300000000001</v>
      </c>
      <c r="P49" s="52">
        <f t="shared" si="121"/>
        <v>107.041</v>
      </c>
      <c r="Q49" s="53">
        <f t="shared" si="121"/>
        <v>124.63599999999997</v>
      </c>
      <c r="R49" s="53">
        <f t="shared" si="121"/>
        <v>119.58200000000005</v>
      </c>
      <c r="S49" s="54">
        <f t="shared" si="121"/>
        <v>78.259000000000015</v>
      </c>
      <c r="T49" s="52">
        <f t="shared" si="121"/>
        <v>57.360000000000014</v>
      </c>
      <c r="U49" s="53">
        <f t="shared" si="121"/>
        <v>82.092000000000041</v>
      </c>
      <c r="V49" s="53">
        <f t="shared" si="121"/>
        <v>136.59400000000005</v>
      </c>
      <c r="W49" s="54">
        <f t="shared" si="121"/>
        <v>156.10299999999992</v>
      </c>
      <c r="X49" s="52">
        <f t="shared" si="121"/>
        <v>208.01899999999998</v>
      </c>
      <c r="Y49" s="53">
        <f t="shared" si="121"/>
        <v>222.65400000000005</v>
      </c>
      <c r="Z49" s="53">
        <f t="shared" si="121"/>
        <v>183.51100000000005</v>
      </c>
      <c r="AA49" s="54">
        <f t="shared" si="121"/>
        <v>181.215</v>
      </c>
      <c r="AB49" s="52">
        <f t="shared" si="121"/>
        <v>188.29499999999996</v>
      </c>
      <c r="AC49" s="53">
        <f t="shared" si="121"/>
        <v>154.839</v>
      </c>
      <c r="AD49" s="53">
        <f t="shared" si="121"/>
        <v>137.125</v>
      </c>
      <c r="AE49" s="54">
        <f t="shared" si="121"/>
        <v>147.51399999999998</v>
      </c>
      <c r="AF49" s="53">
        <f t="shared" si="121"/>
        <v>164.577</v>
      </c>
      <c r="AG49" s="53">
        <f t="shared" si="121"/>
        <v>148.08600000000004</v>
      </c>
      <c r="AH49" s="53">
        <f t="shared" si="121"/>
        <v>120.84200000000001</v>
      </c>
      <c r="AI49" s="53">
        <f t="shared" si="121"/>
        <v>147.227</v>
      </c>
      <c r="AJ49" s="52">
        <f>AJ21-AJ46</f>
        <v>192.90900000000005</v>
      </c>
      <c r="AK49" s="53">
        <f>AK21-AK46</f>
        <v>163.76199999999997</v>
      </c>
      <c r="AL49" s="53">
        <f t="shared" si="121"/>
        <v>202.73899999999998</v>
      </c>
      <c r="AM49" s="53">
        <f t="shared" si="121"/>
        <v>189.517</v>
      </c>
      <c r="AN49" s="52">
        <f t="shared" ref="AN49:AS49" si="122">AN21-AN46</f>
        <v>206.50000000000006</v>
      </c>
      <c r="AO49" s="53">
        <f t="shared" si="122"/>
        <v>200.04899999999998</v>
      </c>
      <c r="AP49" s="53">
        <f t="shared" si="122"/>
        <v>190.00899999999993</v>
      </c>
      <c r="AQ49" s="53">
        <f t="shared" si="122"/>
        <v>158.51999999999998</v>
      </c>
      <c r="AR49" s="52">
        <f t="shared" si="122"/>
        <v>178.49400000000003</v>
      </c>
      <c r="AS49" s="53">
        <f t="shared" si="122"/>
        <v>153.18200000000002</v>
      </c>
      <c r="AT49" s="53">
        <f t="shared" ref="AT49:AY49" si="123">AT21-AT46</f>
        <v>160.10400000000001</v>
      </c>
      <c r="AU49" s="53">
        <f t="shared" si="123"/>
        <v>178.10100000000003</v>
      </c>
      <c r="AV49" s="52">
        <f t="shared" si="123"/>
        <v>186.20499999999996</v>
      </c>
      <c r="AW49" s="53">
        <f t="shared" si="123"/>
        <v>176.81299999999996</v>
      </c>
      <c r="AX49" s="53">
        <f t="shared" si="123"/>
        <v>162.97199999999998</v>
      </c>
      <c r="AY49" s="54">
        <f t="shared" si="123"/>
        <v>173.40399999999997</v>
      </c>
      <c r="AZ49" s="52">
        <f t="shared" ref="AZ49:BK49" si="124">AZ21-AZ46</f>
        <v>180.42</v>
      </c>
      <c r="BA49" s="53">
        <f t="shared" si="124"/>
        <v>185.16900000000004</v>
      </c>
      <c r="BB49" s="53">
        <f t="shared" si="124"/>
        <v>189.7</v>
      </c>
      <c r="BC49" s="54">
        <f t="shared" si="124"/>
        <v>189.76499999999993</v>
      </c>
      <c r="BD49" s="52">
        <f t="shared" si="124"/>
        <v>212.77814096699996</v>
      </c>
      <c r="BE49" s="53">
        <f t="shared" si="124"/>
        <v>213.30578118012596</v>
      </c>
      <c r="BF49" s="53">
        <f t="shared" si="124"/>
        <v>211.52215108138597</v>
      </c>
      <c r="BG49" s="54">
        <f t="shared" si="124"/>
        <v>216.73889686185566</v>
      </c>
      <c r="BH49" s="52">
        <f t="shared" si="124"/>
        <v>227.57020275658419</v>
      </c>
      <c r="BI49" s="53">
        <f t="shared" si="124"/>
        <v>231.71636772936864</v>
      </c>
      <c r="BJ49" s="53">
        <f t="shared" si="124"/>
        <v>230.52242145538997</v>
      </c>
      <c r="BK49" s="54">
        <f t="shared" si="124"/>
        <v>235.2629032690661</v>
      </c>
      <c r="BL49" s="269"/>
      <c r="BM49" s="52">
        <f t="shared" ref="BM49:BW49" si="125">BM21-BM46</f>
        <v>412.0619999999999</v>
      </c>
      <c r="BN49" s="53">
        <f t="shared" si="125"/>
        <v>347.76700000000005</v>
      </c>
      <c r="BO49" s="53">
        <f t="shared" si="125"/>
        <v>424.19400000000007</v>
      </c>
      <c r="BP49" s="53">
        <f t="shared" si="125"/>
        <v>429.51799999999969</v>
      </c>
      <c r="BQ49" s="53">
        <f t="shared" si="125"/>
        <v>432.14900000000011</v>
      </c>
      <c r="BR49" s="53">
        <f t="shared" si="125"/>
        <v>795.39900000000023</v>
      </c>
      <c r="BS49" s="53">
        <f t="shared" si="125"/>
        <v>627.77299999999991</v>
      </c>
      <c r="BT49" s="52">
        <f t="shared" si="125"/>
        <v>580.7320000000002</v>
      </c>
      <c r="BU49" s="53">
        <f t="shared" si="125"/>
        <v>748.92700000000002</v>
      </c>
      <c r="BV49" s="53">
        <f t="shared" si="125"/>
        <v>755.0780000000002</v>
      </c>
      <c r="BW49" s="53">
        <f t="shared" si="125"/>
        <v>669.8810000000002</v>
      </c>
      <c r="BX49" s="53">
        <f>BX21-BX46</f>
        <v>699.39400000000012</v>
      </c>
      <c r="BY49" s="53">
        <f>BY21-BY46</f>
        <v>745.05400000000009</v>
      </c>
      <c r="BZ49" s="53">
        <f>BZ21-BZ46</f>
        <v>854.3449700903675</v>
      </c>
      <c r="CA49" s="53">
        <f>CA21-CA46</f>
        <v>925.07189521040891</v>
      </c>
      <c r="CB49" s="954">
        <f>CB21-CB46</f>
        <v>976.25496321029937</v>
      </c>
      <c r="CC49" s="20"/>
      <c r="CD49" s="53">
        <f t="shared" ref="CD49:CM49" si="126">CD21-CD46</f>
        <v>387.84000000000026</v>
      </c>
      <c r="CE49" s="53">
        <f t="shared" si="126"/>
        <v>386.54899999999998</v>
      </c>
      <c r="CF49" s="53">
        <f t="shared" si="126"/>
        <v>468.26199999999983</v>
      </c>
      <c r="CG49" s="53">
        <f t="shared" si="126"/>
        <v>354.30500000000018</v>
      </c>
      <c r="CH49" s="53">
        <f t="shared" si="126"/>
        <v>770.28700000000026</v>
      </c>
      <c r="CI49" s="53">
        <f t="shared" si="126"/>
        <v>661.47399999999993</v>
      </c>
      <c r="CJ49" s="53">
        <f t="shared" si="126"/>
        <v>581.01899999999989</v>
      </c>
      <c r="CK49" s="53">
        <f t="shared" si="126"/>
        <v>706.63700000000028</v>
      </c>
      <c r="CL49" s="53">
        <f t="shared" si="126"/>
        <v>786.0749999999997</v>
      </c>
      <c r="CM49" s="53">
        <f t="shared" si="126"/>
        <v>650.29999999999995</v>
      </c>
      <c r="CN49" s="53">
        <f>CN21-CN46</f>
        <v>704.09100000000012</v>
      </c>
      <c r="CO49" s="53">
        <f>CO21-CO46</f>
        <v>728.69300000000021</v>
      </c>
      <c r="CP49" s="53">
        <f>CP21-CP46</f>
        <v>827.3710732285117</v>
      </c>
      <c r="CQ49" s="54">
        <f>CQ21-CQ46</f>
        <v>906.54788880319802</v>
      </c>
      <c r="CR49" s="806"/>
      <c r="CS49" s="806"/>
      <c r="CZ49" s="8"/>
    </row>
    <row r="50" spans="1:104" ht="14.25" customHeight="1">
      <c r="A50" s="8"/>
      <c r="B50" s="36" t="s">
        <v>398</v>
      </c>
      <c r="C50" s="37"/>
      <c r="D50" s="40">
        <f t="shared" ref="D50:AM50" si="127">D49/D10</f>
        <v>0.2231245328445727</v>
      </c>
      <c r="E50" s="38">
        <f t="shared" si="127"/>
        <v>0.20641266992372076</v>
      </c>
      <c r="F50" s="38">
        <f t="shared" si="127"/>
        <v>0.26653840593409772</v>
      </c>
      <c r="G50" s="39">
        <f t="shared" si="127"/>
        <v>0.25285124815544835</v>
      </c>
      <c r="H50" s="40">
        <f t="shared" si="127"/>
        <v>0.1933326685529809</v>
      </c>
      <c r="I50" s="38">
        <f t="shared" si="127"/>
        <v>0.19940065927479772</v>
      </c>
      <c r="J50" s="38">
        <f t="shared" si="127"/>
        <v>0.18235065727439137</v>
      </c>
      <c r="K50" s="39">
        <f t="shared" si="127"/>
        <v>0.17894703611501969</v>
      </c>
      <c r="L50" s="40">
        <f t="shared" si="127"/>
        <v>0.21858124472990179</v>
      </c>
      <c r="M50" s="38">
        <f t="shared" si="127"/>
        <v>0.21213367678593106</v>
      </c>
      <c r="N50" s="38">
        <f t="shared" si="127"/>
        <v>0.24293290312253848</v>
      </c>
      <c r="O50" s="39">
        <f t="shared" si="127"/>
        <v>0.24592861947200273</v>
      </c>
      <c r="P50" s="40">
        <f t="shared" si="127"/>
        <v>0.21923579507051774</v>
      </c>
      <c r="Q50" s="38">
        <f t="shared" si="127"/>
        <v>0.25775897190907826</v>
      </c>
      <c r="R50" s="38">
        <f t="shared" si="127"/>
        <v>0.26087563565284366</v>
      </c>
      <c r="S50" s="39">
        <f t="shared" si="127"/>
        <v>0.19811702876353754</v>
      </c>
      <c r="T50" s="40">
        <f t="shared" si="127"/>
        <v>0.15245790529855013</v>
      </c>
      <c r="U50" s="38">
        <f t="shared" si="127"/>
        <v>0.19783588384142678</v>
      </c>
      <c r="V50" s="38">
        <f t="shared" si="127"/>
        <v>0.26608408704409681</v>
      </c>
      <c r="W50" s="39">
        <f t="shared" si="127"/>
        <v>0.29507958111224514</v>
      </c>
      <c r="X50" s="40">
        <f t="shared" si="127"/>
        <v>0.34976636731866351</v>
      </c>
      <c r="Y50" s="38">
        <f t="shared" si="127"/>
        <v>0.35931292018603578</v>
      </c>
      <c r="Z50" s="38">
        <f t="shared" si="127"/>
        <v>0.32354413864842474</v>
      </c>
      <c r="AA50" s="39">
        <f t="shared" si="127"/>
        <v>0.30826636636432303</v>
      </c>
      <c r="AB50" s="40">
        <f t="shared" si="127"/>
        <v>0.30594040584080595</v>
      </c>
      <c r="AC50" s="38">
        <f t="shared" si="127"/>
        <v>0.27888416794396348</v>
      </c>
      <c r="AD50" s="38">
        <f t="shared" si="127"/>
        <v>0.26829860044493054</v>
      </c>
      <c r="AE50" s="39">
        <f t="shared" si="127"/>
        <v>0.26390183425675301</v>
      </c>
      <c r="AF50" s="38">
        <f t="shared" si="127"/>
        <v>0.28239793817263342</v>
      </c>
      <c r="AG50" s="38">
        <f t="shared" si="127"/>
        <v>0.27225044260965975</v>
      </c>
      <c r="AH50" s="38">
        <f t="shared" si="127"/>
        <v>0.23705339890577462</v>
      </c>
      <c r="AI50" s="38">
        <f t="shared" si="127"/>
        <v>0.27665511642939822</v>
      </c>
      <c r="AJ50" s="40">
        <f t="shared" si="127"/>
        <v>0.33320206233645105</v>
      </c>
      <c r="AK50" s="38">
        <f t="shared" si="127"/>
        <v>0.2734210776759492</v>
      </c>
      <c r="AL50" s="38">
        <f t="shared" si="127"/>
        <v>0.34548989802595698</v>
      </c>
      <c r="AM50" s="38">
        <f t="shared" si="127"/>
        <v>0.30674966778510998</v>
      </c>
      <c r="AN50" s="40">
        <f t="shared" ref="AN50:AS50" si="128">AN49/AN10</f>
        <v>0.33706966487277057</v>
      </c>
      <c r="AO50" s="38">
        <f t="shared" si="128"/>
        <v>0.33106334669398374</v>
      </c>
      <c r="AP50" s="38">
        <f t="shared" si="128"/>
        <v>0.32012352813331324</v>
      </c>
      <c r="AQ50" s="38">
        <f t="shared" si="128"/>
        <v>0.27962603633797845</v>
      </c>
      <c r="AR50" s="40">
        <f t="shared" si="128"/>
        <v>0.3251209454142745</v>
      </c>
      <c r="AS50" s="38">
        <f t="shared" si="128"/>
        <v>0.29035278597044578</v>
      </c>
      <c r="AT50" s="38">
        <f t="shared" ref="AT50:AY50" si="129">AT49/AT10</f>
        <v>0.28275186097644972</v>
      </c>
      <c r="AU50" s="38">
        <f t="shared" si="129"/>
        <v>0.31187463445556207</v>
      </c>
      <c r="AV50" s="40">
        <f t="shared" si="129"/>
        <v>0.32384548358989246</v>
      </c>
      <c r="AW50" s="38">
        <f t="shared" si="129"/>
        <v>0.30526632010207022</v>
      </c>
      <c r="AX50" s="38">
        <f t="shared" si="129"/>
        <v>0.27825736569641174</v>
      </c>
      <c r="AY50" s="39">
        <f t="shared" si="129"/>
        <v>0.28452445803771254</v>
      </c>
      <c r="AZ50" s="40">
        <f t="shared" ref="AZ50:BK50" si="130">AZ49/AZ10</f>
        <v>0.29315325796251823</v>
      </c>
      <c r="BA50" s="38">
        <f t="shared" si="130"/>
        <v>0.29889927893811657</v>
      </c>
      <c r="BB50" s="38">
        <f t="shared" si="130"/>
        <v>0.30054198953410444</v>
      </c>
      <c r="BC50" s="39">
        <f t="shared" si="130"/>
        <v>0.28202662655938354</v>
      </c>
      <c r="BD50" s="40">
        <f t="shared" si="130"/>
        <v>0.315</v>
      </c>
      <c r="BE50" s="38">
        <f t="shared" si="130"/>
        <v>0.31399999999999995</v>
      </c>
      <c r="BF50" s="38">
        <f t="shared" si="130"/>
        <v>0.31199999999999994</v>
      </c>
      <c r="BG50" s="39">
        <f t="shared" si="130"/>
        <v>0.31199999999999994</v>
      </c>
      <c r="BH50" s="40">
        <f t="shared" si="130"/>
        <v>0.31699999999999995</v>
      </c>
      <c r="BI50" s="38">
        <f t="shared" si="130"/>
        <v>0.32</v>
      </c>
      <c r="BJ50" s="38">
        <f t="shared" si="130"/>
        <v>0.32099999999999995</v>
      </c>
      <c r="BK50" s="39">
        <f t="shared" si="130"/>
        <v>0.32199999999999995</v>
      </c>
      <c r="BL50" s="269"/>
      <c r="BM50" s="40">
        <f t="shared" ref="BM50:BW50" si="131">BM49/BM10</f>
        <v>0.23870354815351189</v>
      </c>
      <c r="BN50" s="38">
        <f t="shared" si="131"/>
        <v>0.1887228739392828</v>
      </c>
      <c r="BO50" s="38">
        <f t="shared" si="131"/>
        <v>0.23036844266123307</v>
      </c>
      <c r="BP50" s="38">
        <f t="shared" si="131"/>
        <v>0.23532860248610538</v>
      </c>
      <c r="BQ50" s="38">
        <f t="shared" si="131"/>
        <v>0.23568926794629452</v>
      </c>
      <c r="BR50" s="38">
        <f t="shared" si="131"/>
        <v>0.33569000335521615</v>
      </c>
      <c r="BS50" s="38">
        <f t="shared" si="131"/>
        <v>0.28016374976793335</v>
      </c>
      <c r="BT50" s="40">
        <f t="shared" si="131"/>
        <v>0.26778478059181471</v>
      </c>
      <c r="BU50" s="38">
        <f t="shared" si="131"/>
        <v>0.31434092567945604</v>
      </c>
      <c r="BV50" s="38">
        <f t="shared" si="131"/>
        <v>0.31761411053680083</v>
      </c>
      <c r="BW50" s="38">
        <f t="shared" si="131"/>
        <v>0.30258220744475428</v>
      </c>
      <c r="BX50" s="38">
        <f>BX49/BX10</f>
        <v>0.29769934406830889</v>
      </c>
      <c r="BY50" s="38">
        <f>BY49/BY10</f>
        <v>0.29344341324393347</v>
      </c>
      <c r="BZ50" s="38">
        <f>BZ49/BZ10</f>
        <v>0.31324112707123408</v>
      </c>
      <c r="CA50" s="38">
        <f>CA49/CA10</f>
        <v>0.32000890331477827</v>
      </c>
      <c r="CB50" s="951">
        <f>CB49/CB10</f>
        <v>0.32000890331477821</v>
      </c>
      <c r="CC50" s="20"/>
      <c r="CD50" s="38">
        <f t="shared" ref="CD50:CM50" si="132">CD49/CD10</f>
        <v>0.20722332288240472</v>
      </c>
      <c r="CE50" s="38">
        <f t="shared" si="132"/>
        <v>0.2136711175379363</v>
      </c>
      <c r="CF50" s="38">
        <f t="shared" si="132"/>
        <v>0.24568688251929496</v>
      </c>
      <c r="CG50" s="38">
        <f t="shared" si="132"/>
        <v>0.20847013441220849</v>
      </c>
      <c r="CH50" s="38">
        <f t="shared" si="132"/>
        <v>0.33336911027506561</v>
      </c>
      <c r="CI50" s="38">
        <f t="shared" si="132"/>
        <v>0.29144766843715786</v>
      </c>
      <c r="CJ50" s="38">
        <f t="shared" si="132"/>
        <v>0.26464603952616694</v>
      </c>
      <c r="CK50" s="38">
        <f t="shared" si="132"/>
        <v>0.30765134904975289</v>
      </c>
      <c r="CL50" s="38">
        <f t="shared" si="132"/>
        <v>0.32371852024509651</v>
      </c>
      <c r="CM50" s="38">
        <f t="shared" si="132"/>
        <v>0.29429134526398198</v>
      </c>
      <c r="CN50" s="38">
        <f>CN49/CN10</f>
        <v>0.30467679009097587</v>
      </c>
      <c r="CO50" s="38">
        <f>CO49/CO10</f>
        <v>0.29435076995662462</v>
      </c>
      <c r="CP50" s="38">
        <f>CP49/CP10</f>
        <v>0.30579704453723389</v>
      </c>
      <c r="CQ50" s="39">
        <f>CQ49/CQ10</f>
        <v>0.31755047864583935</v>
      </c>
      <c r="CR50" s="14"/>
      <c r="CS50" s="14"/>
      <c r="CZ50" s="8"/>
    </row>
    <row r="51" spans="1:104" ht="14.25" hidden="1" customHeight="1" outlineLevel="1">
      <c r="A51" s="8"/>
      <c r="B51" s="50"/>
      <c r="C51" s="51"/>
      <c r="D51" s="52"/>
      <c r="E51" s="53"/>
      <c r="F51" s="53"/>
      <c r="G51" s="54"/>
      <c r="H51" s="52"/>
      <c r="I51" s="53"/>
      <c r="J51" s="53"/>
      <c r="K51" s="54"/>
      <c r="L51" s="52"/>
      <c r="M51" s="53"/>
      <c r="N51" s="53"/>
      <c r="O51" s="54"/>
      <c r="P51" s="52"/>
      <c r="Q51" s="53"/>
      <c r="R51" s="53"/>
      <c r="S51" s="54"/>
      <c r="T51" s="52"/>
      <c r="U51" s="53"/>
      <c r="V51" s="53"/>
      <c r="W51" s="54"/>
      <c r="X51" s="52"/>
      <c r="Y51" s="53"/>
      <c r="Z51" s="53"/>
      <c r="AA51" s="54"/>
      <c r="AB51" s="52"/>
      <c r="AC51" s="53"/>
      <c r="AD51" s="53"/>
      <c r="AE51" s="54"/>
      <c r="AF51" s="53"/>
      <c r="AG51" s="53"/>
      <c r="AH51" s="53"/>
      <c r="AI51" s="53"/>
      <c r="AJ51" s="52"/>
      <c r="AK51" s="53"/>
      <c r="AL51" s="53"/>
      <c r="AM51" s="53"/>
      <c r="AN51" s="52"/>
      <c r="AO51" s="53"/>
      <c r="AP51" s="53"/>
      <c r="AQ51" s="53"/>
      <c r="AR51" s="52"/>
      <c r="AS51" s="53"/>
      <c r="AT51" s="53"/>
      <c r="AU51" s="53"/>
      <c r="AV51" s="52"/>
      <c r="AW51" s="53"/>
      <c r="AX51" s="53"/>
      <c r="AY51" s="54"/>
      <c r="AZ51" s="52"/>
      <c r="BA51" s="53"/>
      <c r="BB51" s="53"/>
      <c r="BC51" s="54"/>
      <c r="BD51" s="52"/>
      <c r="BE51" s="53"/>
      <c r="BF51" s="53"/>
      <c r="BG51" s="54"/>
      <c r="BH51" s="52"/>
      <c r="BI51" s="53"/>
      <c r="BJ51" s="53"/>
      <c r="BK51" s="54"/>
      <c r="BL51" s="269"/>
      <c r="BM51" s="52"/>
      <c r="BN51" s="53"/>
      <c r="BO51" s="53"/>
      <c r="BP51" s="53"/>
      <c r="BQ51" s="53"/>
      <c r="BR51" s="53"/>
      <c r="BS51" s="53"/>
      <c r="BT51" s="52"/>
      <c r="BU51" s="53"/>
      <c r="BV51" s="53"/>
      <c r="BW51" s="53"/>
      <c r="BX51" s="53"/>
      <c r="BY51" s="53"/>
      <c r="BZ51" s="53"/>
      <c r="CA51" s="53"/>
      <c r="CB51" s="954"/>
      <c r="CC51" s="20"/>
      <c r="CD51" s="53"/>
      <c r="CE51" s="53"/>
      <c r="CF51" s="53"/>
      <c r="CG51" s="53"/>
      <c r="CH51" s="53"/>
      <c r="CI51" s="53"/>
      <c r="CJ51" s="53"/>
      <c r="CK51" s="53"/>
      <c r="CL51" s="53"/>
      <c r="CM51" s="53"/>
      <c r="CN51" s="53"/>
      <c r="CO51" s="53"/>
      <c r="CP51" s="53"/>
      <c r="CQ51" s="54"/>
      <c r="CR51" s="14"/>
      <c r="CS51" s="14"/>
      <c r="CZ51" s="8"/>
    </row>
    <row r="52" spans="1:104" ht="14.25" hidden="1" customHeight="1" outlineLevel="1">
      <c r="A52" s="8"/>
      <c r="B52" s="50" t="s">
        <v>6</v>
      </c>
      <c r="C52" s="51"/>
      <c r="D52" s="52">
        <f t="shared" ref="D52:AM52" si="133">D24-D47</f>
        <v>92.206000000000046</v>
      </c>
      <c r="E52" s="53">
        <f t="shared" si="133"/>
        <v>87.263999999999982</v>
      </c>
      <c r="F52" s="53">
        <f t="shared" si="133"/>
        <v>121.37300000000002</v>
      </c>
      <c r="G52" s="54">
        <f t="shared" si="133"/>
        <v>125.86000000000001</v>
      </c>
      <c r="H52" s="52">
        <f t="shared" si="133"/>
        <v>97.302999999999997</v>
      </c>
      <c r="I52" s="53">
        <f t="shared" si="133"/>
        <v>95.187000000000012</v>
      </c>
      <c r="J52" s="53">
        <f t="shared" si="133"/>
        <v>86.69700000000006</v>
      </c>
      <c r="K52" s="54">
        <f t="shared" si="133"/>
        <v>81.298000000000002</v>
      </c>
      <c r="L52" s="52">
        <f t="shared" si="133"/>
        <v>99.364999999999952</v>
      </c>
      <c r="M52" s="53">
        <f t="shared" si="133"/>
        <v>96.274000000000001</v>
      </c>
      <c r="N52" s="53">
        <f t="shared" si="133"/>
        <v>116.928</v>
      </c>
      <c r="O52" s="54">
        <f t="shared" si="133"/>
        <v>118.429</v>
      </c>
      <c r="P52" s="52">
        <f t="shared" si="133"/>
        <v>128.00200000000001</v>
      </c>
      <c r="Q52" s="53">
        <f t="shared" si="133"/>
        <v>128.54899999999998</v>
      </c>
      <c r="R52" s="53">
        <f t="shared" si="133"/>
        <v>121.05700000000004</v>
      </c>
      <c r="S52" s="54">
        <f t="shared" si="133"/>
        <v>79.265000000000015</v>
      </c>
      <c r="T52" s="52">
        <f t="shared" si="133"/>
        <v>75.624000000000024</v>
      </c>
      <c r="U52" s="53">
        <f t="shared" si="133"/>
        <v>88.007000000000033</v>
      </c>
      <c r="V52" s="53">
        <f t="shared" si="133"/>
        <v>142.12500000000006</v>
      </c>
      <c r="W52" s="54">
        <f t="shared" si="133"/>
        <v>158.94999999999993</v>
      </c>
      <c r="X52" s="52">
        <f t="shared" si="133"/>
        <v>208.01899999999998</v>
      </c>
      <c r="Y52" s="53">
        <f t="shared" si="133"/>
        <v>222.65400000000005</v>
      </c>
      <c r="Z52" s="53">
        <f t="shared" si="133"/>
        <v>187.78700000000006</v>
      </c>
      <c r="AA52" s="54">
        <f t="shared" si="133"/>
        <v>188.31900000000002</v>
      </c>
      <c r="AB52" s="52">
        <f t="shared" si="133"/>
        <v>189.91799999999995</v>
      </c>
      <c r="AC52" s="53">
        <f t="shared" si="133"/>
        <v>160.19</v>
      </c>
      <c r="AD52" s="53">
        <f t="shared" si="133"/>
        <v>139.107</v>
      </c>
      <c r="AE52" s="54">
        <f t="shared" si="133"/>
        <v>164.89499999999998</v>
      </c>
      <c r="AF52" s="53">
        <f t="shared" si="133"/>
        <v>166.72499999999999</v>
      </c>
      <c r="AG52" s="53">
        <f t="shared" si="133"/>
        <v>150.40500000000003</v>
      </c>
      <c r="AH52" s="53">
        <f t="shared" si="133"/>
        <v>123.39600000000002</v>
      </c>
      <c r="AI52" s="53">
        <f t="shared" si="133"/>
        <v>149.714</v>
      </c>
      <c r="AJ52" s="52">
        <f>AJ24-AJ47</f>
        <v>195.32700000000006</v>
      </c>
      <c r="AK52" s="53">
        <f>AK24-AK47</f>
        <v>194.77999999999997</v>
      </c>
      <c r="AL52" s="53">
        <f t="shared" si="133"/>
        <v>186.13799999999998</v>
      </c>
      <c r="AM52" s="53">
        <f t="shared" si="133"/>
        <v>191.97899999999998</v>
      </c>
      <c r="AN52" s="52">
        <f t="shared" ref="AN52:AS52" si="134">AN24-AN47</f>
        <v>208.91800000000006</v>
      </c>
      <c r="AO52" s="53">
        <f t="shared" si="134"/>
        <v>202.42699999999996</v>
      </c>
      <c r="AP52" s="53">
        <f t="shared" si="134"/>
        <v>192.37999999999994</v>
      </c>
      <c r="AQ52" s="53">
        <f t="shared" si="134"/>
        <v>185.38099999999997</v>
      </c>
      <c r="AR52" s="52">
        <f t="shared" si="134"/>
        <v>180.26300000000003</v>
      </c>
      <c r="AS52" s="53">
        <f t="shared" si="134"/>
        <v>154.95100000000002</v>
      </c>
      <c r="AT52" s="53">
        <f t="shared" ref="AT52:AY52" si="135">AT24-AT47</f>
        <v>161.87300000000002</v>
      </c>
      <c r="AU52" s="53">
        <f t="shared" si="135"/>
        <v>179.34500000000003</v>
      </c>
      <c r="AV52" s="52">
        <f t="shared" si="135"/>
        <v>187.44899999999996</v>
      </c>
      <c r="AW52" s="53">
        <f t="shared" si="135"/>
        <v>178.05699999999996</v>
      </c>
      <c r="AX52" s="53">
        <f t="shared" si="135"/>
        <v>164.42699999999999</v>
      </c>
      <c r="AY52" s="54">
        <f t="shared" si="135"/>
        <v>174.58799999999997</v>
      </c>
      <c r="AZ52" s="52">
        <f t="shared" ref="AZ52:BK52" si="136">AZ24-AZ47</f>
        <v>181.125</v>
      </c>
      <c r="BA52" s="53">
        <f t="shared" si="136"/>
        <v>185.67900000000003</v>
      </c>
      <c r="BB52" s="53">
        <f t="shared" si="136"/>
        <v>190.053</v>
      </c>
      <c r="BC52" s="54">
        <f t="shared" si="136"/>
        <v>223.69999999999993</v>
      </c>
      <c r="BD52" s="52">
        <f t="shared" si="136"/>
        <v>212.77814096699996</v>
      </c>
      <c r="BE52" s="53">
        <f t="shared" si="136"/>
        <v>213.3057811801259</v>
      </c>
      <c r="BF52" s="53">
        <f t="shared" si="136"/>
        <v>211.52215108138597</v>
      </c>
      <c r="BG52" s="54">
        <f t="shared" si="136"/>
        <v>216.73889686185566</v>
      </c>
      <c r="BH52" s="52">
        <f t="shared" si="136"/>
        <v>227.57020275658419</v>
      </c>
      <c r="BI52" s="53">
        <f t="shared" si="136"/>
        <v>231.71636772936859</v>
      </c>
      <c r="BJ52" s="53">
        <f t="shared" si="136"/>
        <v>230.52242145538997</v>
      </c>
      <c r="BK52" s="54">
        <f t="shared" si="136"/>
        <v>235.2629032690661</v>
      </c>
      <c r="BL52" s="269"/>
      <c r="BM52" s="52">
        <f t="shared" ref="BM52:BW52" si="137">BM24-BM47</f>
        <v>426.70299999999986</v>
      </c>
      <c r="BN52" s="53">
        <f t="shared" si="137"/>
        <v>360.48500000000001</v>
      </c>
      <c r="BO52" s="53">
        <f t="shared" si="137"/>
        <v>430.99600000000009</v>
      </c>
      <c r="BP52" s="53">
        <f t="shared" si="137"/>
        <v>456.87299999999971</v>
      </c>
      <c r="BQ52" s="53">
        <f t="shared" si="137"/>
        <v>464.70600000000013</v>
      </c>
      <c r="BR52" s="53">
        <f t="shared" si="137"/>
        <v>806.77900000000022</v>
      </c>
      <c r="BS52" s="53">
        <f t="shared" si="137"/>
        <v>654.1099999999999</v>
      </c>
      <c r="BT52" s="52">
        <f t="shared" si="137"/>
        <v>590.24000000000024</v>
      </c>
      <c r="BU52" s="53">
        <f t="shared" si="137"/>
        <v>768.22400000000005</v>
      </c>
      <c r="BV52" s="53">
        <f t="shared" si="137"/>
        <v>789.10600000000022</v>
      </c>
      <c r="BW52" s="53">
        <f t="shared" si="137"/>
        <v>676.43200000000024</v>
      </c>
      <c r="BX52" s="53">
        <f>BX24-BX47</f>
        <v>704.52100000000007</v>
      </c>
      <c r="BY52" s="53">
        <f>BY24-BY47</f>
        <v>780.55700000000002</v>
      </c>
      <c r="BZ52" s="53">
        <f>BZ24-BZ47</f>
        <v>854.3449700903675</v>
      </c>
      <c r="CA52" s="53">
        <f>CA24-CA47</f>
        <v>925.07189521040891</v>
      </c>
      <c r="CB52" s="954">
        <f>CB24-CB47</f>
        <v>976.25496321029937</v>
      </c>
      <c r="CC52" s="20"/>
      <c r="CD52" s="53">
        <f t="shared" ref="CD52:CM52" si="138">CD24-CD47</f>
        <v>405.04700000000025</v>
      </c>
      <c r="CE52" s="53">
        <f t="shared" si="138"/>
        <v>393.86500000000001</v>
      </c>
      <c r="CF52" s="53">
        <f t="shared" si="138"/>
        <v>496.03699999999981</v>
      </c>
      <c r="CG52" s="53">
        <f t="shared" si="138"/>
        <v>385.02100000000019</v>
      </c>
      <c r="CH52" s="53">
        <f t="shared" si="138"/>
        <v>777.41000000000031</v>
      </c>
      <c r="CI52" s="53">
        <f t="shared" si="138"/>
        <v>677.53399999999988</v>
      </c>
      <c r="CJ52" s="53">
        <f t="shared" si="138"/>
        <v>605.42099999999994</v>
      </c>
      <c r="CK52" s="53">
        <f t="shared" si="138"/>
        <v>725.95900000000029</v>
      </c>
      <c r="CL52" s="53">
        <f t="shared" si="138"/>
        <v>795.70399999999972</v>
      </c>
      <c r="CM52" s="53">
        <f t="shared" si="138"/>
        <v>682.46799999999996</v>
      </c>
      <c r="CN52" s="53">
        <f>CN24-CN47</f>
        <v>709.27800000000013</v>
      </c>
      <c r="CO52" s="53">
        <f>CO24-CO47</f>
        <v>731.44500000000016</v>
      </c>
      <c r="CP52" s="53">
        <f>CP24-CP47</f>
        <v>861.30607322851165</v>
      </c>
      <c r="CQ52" s="54">
        <f>CQ24-CQ47</f>
        <v>906.54788880319802</v>
      </c>
      <c r="CR52" s="806"/>
      <c r="CS52" s="806"/>
      <c r="CZ52" s="8"/>
    </row>
    <row r="53" spans="1:104" ht="14.25" hidden="1" customHeight="1" outlineLevel="1">
      <c r="A53" s="8"/>
      <c r="B53" s="36" t="s">
        <v>7</v>
      </c>
      <c r="C53" s="37"/>
      <c r="D53" s="40">
        <f t="shared" ref="D53:AM53" si="139">D52/D10</f>
        <v>0.22745628165247839</v>
      </c>
      <c r="E53" s="38">
        <f t="shared" si="139"/>
        <v>0.21874569158923013</v>
      </c>
      <c r="F53" s="38">
        <f t="shared" si="139"/>
        <v>0.26995473804784204</v>
      </c>
      <c r="G53" s="39">
        <f t="shared" si="139"/>
        <v>0.26646229281212358</v>
      </c>
      <c r="H53" s="40">
        <f t="shared" si="139"/>
        <v>0.20214100822250197</v>
      </c>
      <c r="I53" s="38">
        <f t="shared" si="139"/>
        <v>0.20374802003510425</v>
      </c>
      <c r="J53" s="38">
        <f t="shared" si="139"/>
        <v>0.19235010261245783</v>
      </c>
      <c r="K53" s="39">
        <f t="shared" si="139"/>
        <v>0.18332160767759859</v>
      </c>
      <c r="L53" s="40">
        <f t="shared" si="139"/>
        <v>0.22283544735284083</v>
      </c>
      <c r="M53" s="38">
        <f t="shared" si="139"/>
        <v>0.21639761381362752</v>
      </c>
      <c r="N53" s="38">
        <f t="shared" si="139"/>
        <v>0.24626479025117629</v>
      </c>
      <c r="O53" s="39">
        <f t="shared" si="139"/>
        <v>0.24892592903985203</v>
      </c>
      <c r="P53" s="40">
        <f t="shared" si="139"/>
        <v>0.26216702236167838</v>
      </c>
      <c r="Q53" s="38">
        <f t="shared" si="139"/>
        <v>0.26585142398616857</v>
      </c>
      <c r="R53" s="38">
        <f t="shared" si="139"/>
        <v>0.26409344069530777</v>
      </c>
      <c r="S53" s="39">
        <f t="shared" si="139"/>
        <v>0.20066377394218943</v>
      </c>
      <c r="T53" s="40">
        <f t="shared" si="139"/>
        <v>0.20100203330365335</v>
      </c>
      <c r="U53" s="38">
        <f t="shared" si="139"/>
        <v>0.21209061332690693</v>
      </c>
      <c r="V53" s="38">
        <f t="shared" si="139"/>
        <v>0.27685843354131406</v>
      </c>
      <c r="W53" s="39">
        <f t="shared" si="139"/>
        <v>0.30046123019923621</v>
      </c>
      <c r="X53" s="40">
        <f t="shared" si="139"/>
        <v>0.34976636731866351</v>
      </c>
      <c r="Y53" s="38">
        <f t="shared" si="139"/>
        <v>0.35931292018603578</v>
      </c>
      <c r="Z53" s="38">
        <f t="shared" si="139"/>
        <v>0.33108305858706966</v>
      </c>
      <c r="AA53" s="39">
        <f t="shared" si="139"/>
        <v>0.32035104073814502</v>
      </c>
      <c r="AB53" s="40">
        <f t="shared" si="139"/>
        <v>0.3085774449479497</v>
      </c>
      <c r="AC53" s="38">
        <f t="shared" si="139"/>
        <v>0.28852198001113094</v>
      </c>
      <c r="AD53" s="38">
        <f t="shared" si="139"/>
        <v>0.27217657912191762</v>
      </c>
      <c r="AE53" s="39">
        <f t="shared" si="139"/>
        <v>0.29499635939481872</v>
      </c>
      <c r="AF53" s="38">
        <f t="shared" si="139"/>
        <v>0.28608369481660445</v>
      </c>
      <c r="AG53" s="38">
        <f t="shared" si="139"/>
        <v>0.27651383534369128</v>
      </c>
      <c r="AH53" s="38">
        <f t="shared" si="139"/>
        <v>0.24206353098572489</v>
      </c>
      <c r="AI53" s="38">
        <f t="shared" si="139"/>
        <v>0.28132845266908196</v>
      </c>
      <c r="AJ53" s="40">
        <f t="shared" si="139"/>
        <v>0.33737855273725942</v>
      </c>
      <c r="AK53" s="38">
        <f t="shared" si="139"/>
        <v>0.32520949615735872</v>
      </c>
      <c r="AL53" s="38">
        <f t="shared" si="139"/>
        <v>0.3171999400152688</v>
      </c>
      <c r="AM53" s="38">
        <f t="shared" si="139"/>
        <v>0.31073462787885847</v>
      </c>
      <c r="AN53" s="40">
        <f t="shared" ref="AN53:AS53" si="140">AN52/AN10</f>
        <v>0.3410165629340895</v>
      </c>
      <c r="AO53" s="38">
        <f t="shared" si="140"/>
        <v>0.33499872571831424</v>
      </c>
      <c r="AP53" s="38">
        <f t="shared" si="140"/>
        <v>0.32411814357365598</v>
      </c>
      <c r="AQ53" s="38">
        <f t="shared" si="140"/>
        <v>0.32700829070382781</v>
      </c>
      <c r="AR53" s="40">
        <f t="shared" si="140"/>
        <v>0.32834312068312305</v>
      </c>
      <c r="AS53" s="38">
        <f t="shared" si="140"/>
        <v>0.29370588279893556</v>
      </c>
      <c r="AT53" s="38">
        <f t="shared" ref="AT53:AY53" si="141">AT52/AT10</f>
        <v>0.28587600554540077</v>
      </c>
      <c r="AU53" s="38">
        <f t="shared" si="141"/>
        <v>0.31405301663905749</v>
      </c>
      <c r="AV53" s="40">
        <f t="shared" si="141"/>
        <v>0.32600903334197123</v>
      </c>
      <c r="AW53" s="38">
        <f t="shared" si="141"/>
        <v>0.30741407678402782</v>
      </c>
      <c r="AX53" s="38">
        <f t="shared" si="141"/>
        <v>0.28074162352651921</v>
      </c>
      <c r="AY53" s="39">
        <f t="shared" si="141"/>
        <v>0.28646718691545842</v>
      </c>
      <c r="AZ53" s="40">
        <f t="shared" ref="AZ53:BK53" si="142">AZ52/AZ10</f>
        <v>0.2942987686978224</v>
      </c>
      <c r="BA53" s="38">
        <f t="shared" si="142"/>
        <v>0.29972251950353757</v>
      </c>
      <c r="BB53" s="38">
        <f t="shared" si="142"/>
        <v>0.30110124795427073</v>
      </c>
      <c r="BC53" s="39">
        <f t="shared" si="142"/>
        <v>0.33246044508383582</v>
      </c>
      <c r="BD53" s="40">
        <f t="shared" si="142"/>
        <v>0.315</v>
      </c>
      <c r="BE53" s="38">
        <f t="shared" si="142"/>
        <v>0.31399999999999983</v>
      </c>
      <c r="BF53" s="38">
        <f t="shared" si="142"/>
        <v>0.31199999999999994</v>
      </c>
      <c r="BG53" s="39">
        <f t="shared" si="142"/>
        <v>0.31199999999999994</v>
      </c>
      <c r="BH53" s="40">
        <f t="shared" si="142"/>
        <v>0.31699999999999995</v>
      </c>
      <c r="BI53" s="38">
        <f t="shared" si="142"/>
        <v>0.3199999999999999</v>
      </c>
      <c r="BJ53" s="38">
        <f t="shared" si="142"/>
        <v>0.32099999999999995</v>
      </c>
      <c r="BK53" s="39">
        <f t="shared" si="142"/>
        <v>0.32199999999999995</v>
      </c>
      <c r="BL53" s="269"/>
      <c r="BM53" s="40">
        <f t="shared" ref="BM53:BW53" si="143">BM52/BM10</f>
        <v>0.24718493845039818</v>
      </c>
      <c r="BN53" s="38">
        <f t="shared" si="143"/>
        <v>0.1956245567060772</v>
      </c>
      <c r="BO53" s="38">
        <f t="shared" si="143"/>
        <v>0.23406242736394389</v>
      </c>
      <c r="BP53" s="38">
        <f t="shared" si="143"/>
        <v>0.25031613251047552</v>
      </c>
      <c r="BQ53" s="38">
        <f t="shared" si="143"/>
        <v>0.25344549437867664</v>
      </c>
      <c r="BR53" s="38">
        <f t="shared" si="143"/>
        <v>0.34049281582817925</v>
      </c>
      <c r="BS53" s="38">
        <f t="shared" si="143"/>
        <v>0.29191747711466232</v>
      </c>
      <c r="BT53" s="40">
        <f t="shared" si="143"/>
        <v>0.27216907092516468</v>
      </c>
      <c r="BU53" s="38">
        <f t="shared" si="143"/>
        <v>0.322440295635188</v>
      </c>
      <c r="BV53" s="38">
        <f t="shared" si="143"/>
        <v>0.33192756286006575</v>
      </c>
      <c r="BW53" s="38">
        <f t="shared" si="143"/>
        <v>0.30554126441303764</v>
      </c>
      <c r="BX53" s="38">
        <f>BX52/BX10</f>
        <v>0.29988166839056246</v>
      </c>
      <c r="BY53" s="38">
        <f>BY52/BY10</f>
        <v>0.30742645541322505</v>
      </c>
      <c r="BZ53" s="38">
        <f>BZ52/BZ10</f>
        <v>0.31324112707123408</v>
      </c>
      <c r="CA53" s="38">
        <f>CA52/CA10</f>
        <v>0.32000890331477827</v>
      </c>
      <c r="CB53" s="951">
        <f>CB52/CB10</f>
        <v>0.32000890331477821</v>
      </c>
      <c r="CC53" s="20"/>
      <c r="CD53" s="38">
        <f t="shared" ref="CD53:CM53" si="144">CD52/CD10</f>
        <v>0.21641704121170943</v>
      </c>
      <c r="CE53" s="38">
        <f t="shared" si="144"/>
        <v>0.21771515308299669</v>
      </c>
      <c r="CF53" s="38">
        <f t="shared" si="144"/>
        <v>0.2602598206649771</v>
      </c>
      <c r="CG53" s="38">
        <f t="shared" si="144"/>
        <v>0.2265431750088848</v>
      </c>
      <c r="CH53" s="38">
        <f t="shared" si="144"/>
        <v>0.33645184200036971</v>
      </c>
      <c r="CI53" s="38">
        <f t="shared" si="144"/>
        <v>0.29852375843480061</v>
      </c>
      <c r="CJ53" s="38">
        <f t="shared" si="144"/>
        <v>0.27576080970841149</v>
      </c>
      <c r="CK53" s="38">
        <f t="shared" si="144"/>
        <v>0.31606364470698473</v>
      </c>
      <c r="CL53" s="38">
        <f t="shared" si="144"/>
        <v>0.32768389967001149</v>
      </c>
      <c r="CM53" s="38">
        <f t="shared" si="144"/>
        <v>0.30884887870155198</v>
      </c>
      <c r="CN53" s="38">
        <f>CN52/CN10</f>
        <v>0.30692132738828815</v>
      </c>
      <c r="CO53" s="38">
        <f>CO52/CO10</f>
        <v>0.2954624223519689</v>
      </c>
      <c r="CP53" s="38">
        <f>CP52/CP10</f>
        <v>0.31833944907873873</v>
      </c>
      <c r="CQ53" s="39">
        <f>CQ52/CQ10</f>
        <v>0.31755047864583935</v>
      </c>
      <c r="CR53" s="14"/>
      <c r="CS53" s="14"/>
      <c r="CZ53" s="8"/>
    </row>
    <row r="54" spans="1:104" ht="14.25" customHeight="1" collapsed="1">
      <c r="A54" s="8"/>
      <c r="B54" s="23"/>
      <c r="C54" s="24"/>
      <c r="D54" s="46"/>
      <c r="E54" s="44"/>
      <c r="F54" s="49"/>
      <c r="G54" s="45"/>
      <c r="H54" s="46"/>
      <c r="I54" s="44"/>
      <c r="J54" s="49"/>
      <c r="K54" s="45"/>
      <c r="L54" s="46"/>
      <c r="M54" s="44"/>
      <c r="N54" s="49"/>
      <c r="O54" s="45"/>
      <c r="P54" s="46"/>
      <c r="Q54" s="44"/>
      <c r="R54" s="49"/>
      <c r="S54" s="45"/>
      <c r="T54" s="46"/>
      <c r="U54" s="44"/>
      <c r="V54" s="49"/>
      <c r="W54" s="45"/>
      <c r="X54" s="46"/>
      <c r="Y54" s="44"/>
      <c r="Z54" s="44"/>
      <c r="AA54" s="45"/>
      <c r="AB54" s="46"/>
      <c r="AC54" s="44"/>
      <c r="AD54" s="44"/>
      <c r="AE54" s="45"/>
      <c r="AF54" s="44"/>
      <c r="AG54" s="44"/>
      <c r="AH54" s="44"/>
      <c r="AI54" s="44"/>
      <c r="AJ54" s="46"/>
      <c r="AK54" s="44"/>
      <c r="AL54" s="44"/>
      <c r="AM54" s="44"/>
      <c r="AN54" s="46"/>
      <c r="AO54" s="44"/>
      <c r="AP54" s="44"/>
      <c r="AQ54" s="44"/>
      <c r="AR54" s="46"/>
      <c r="AS54" s="44"/>
      <c r="AT54" s="44"/>
      <c r="AU54" s="44"/>
      <c r="AV54" s="46"/>
      <c r="AW54" s="44"/>
      <c r="AX54" s="44"/>
      <c r="AY54" s="45"/>
      <c r="AZ54" s="46"/>
      <c r="BA54" s="44"/>
      <c r="BB54" s="44"/>
      <c r="BC54" s="45"/>
      <c r="BD54" s="46"/>
      <c r="BE54" s="44"/>
      <c r="BF54" s="44"/>
      <c r="BG54" s="45"/>
      <c r="BH54" s="46"/>
      <c r="BI54" s="44"/>
      <c r="BJ54" s="44"/>
      <c r="BK54" s="45"/>
      <c r="BL54" s="269"/>
      <c r="BM54" s="46"/>
      <c r="BN54" s="44"/>
      <c r="BO54" s="44"/>
      <c r="BP54" s="44"/>
      <c r="BQ54" s="44"/>
      <c r="BR54" s="44"/>
      <c r="BS54" s="44"/>
      <c r="BT54" s="46"/>
      <c r="BU54" s="44"/>
      <c r="BV54" s="44"/>
      <c r="BW54" s="44"/>
      <c r="BX54" s="44"/>
      <c r="BY54" s="44"/>
      <c r="BZ54" s="44"/>
      <c r="CA54" s="44"/>
      <c r="CB54" s="957"/>
      <c r="CC54" s="20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5"/>
      <c r="CR54" s="14"/>
      <c r="CS54" s="14"/>
      <c r="CZ54" s="8"/>
    </row>
    <row r="55" spans="1:104" ht="14.25" customHeight="1">
      <c r="A55" s="8"/>
      <c r="B55" s="23" t="s">
        <v>401</v>
      </c>
      <c r="C55" s="24"/>
      <c r="D55" s="35">
        <f t="shared" ref="D55:AM55" si="145">D56+D57+D58</f>
        <v>9.343</v>
      </c>
      <c r="E55" s="33">
        <f t="shared" si="145"/>
        <v>15.91</v>
      </c>
      <c r="F55" s="33">
        <f t="shared" si="145"/>
        <v>10.943</v>
      </c>
      <c r="G55" s="34">
        <f t="shared" si="145"/>
        <v>8.3440000000000012</v>
      </c>
      <c r="H55" s="35">
        <f t="shared" si="145"/>
        <v>14.404</v>
      </c>
      <c r="I55" s="33">
        <f t="shared" si="145"/>
        <v>26.132000000000001</v>
      </c>
      <c r="J55" s="33">
        <f t="shared" si="145"/>
        <v>20.927</v>
      </c>
      <c r="K55" s="34">
        <f t="shared" si="145"/>
        <v>21.916</v>
      </c>
      <c r="L55" s="35">
        <f t="shared" si="145"/>
        <v>13.532999999999999</v>
      </c>
      <c r="M55" s="33">
        <f t="shared" si="145"/>
        <v>19.504000000000001</v>
      </c>
      <c r="N55" s="33">
        <f t="shared" si="145"/>
        <v>14.385</v>
      </c>
      <c r="O55" s="34">
        <f t="shared" si="145"/>
        <v>-2.1269999999999962</v>
      </c>
      <c r="P55" s="35">
        <f t="shared" si="145"/>
        <v>-0.14300000000000068</v>
      </c>
      <c r="Q55" s="33">
        <f t="shared" si="145"/>
        <v>-21.761000000000003</v>
      </c>
      <c r="R55" s="33">
        <f t="shared" si="145"/>
        <v>37.006999999999998</v>
      </c>
      <c r="S55" s="34">
        <f t="shared" si="145"/>
        <v>13.405000000000003</v>
      </c>
      <c r="T55" s="35">
        <f t="shared" si="145"/>
        <v>-10.91</v>
      </c>
      <c r="U55" s="33">
        <f t="shared" si="145"/>
        <v>-1.782</v>
      </c>
      <c r="V55" s="33">
        <f t="shared" si="145"/>
        <v>-3.5830000000000002</v>
      </c>
      <c r="W55" s="34">
        <f t="shared" si="145"/>
        <v>5.891</v>
      </c>
      <c r="X55" s="35">
        <f t="shared" si="145"/>
        <v>-5.13</v>
      </c>
      <c r="Y55" s="33">
        <f t="shared" si="145"/>
        <v>-3.484</v>
      </c>
      <c r="Z55" s="33">
        <f t="shared" si="145"/>
        <v>-3.302</v>
      </c>
      <c r="AA55" s="34">
        <f t="shared" si="145"/>
        <v>-12.402999999999999</v>
      </c>
      <c r="AB55" s="35">
        <f t="shared" si="145"/>
        <v>-7.8109999999999999</v>
      </c>
      <c r="AC55" s="33">
        <f t="shared" si="145"/>
        <v>-8.5980000000000008</v>
      </c>
      <c r="AD55" s="33">
        <f t="shared" si="145"/>
        <v>-7.1870000000000003</v>
      </c>
      <c r="AE55" s="34">
        <f t="shared" si="145"/>
        <v>-7.1260000000000003</v>
      </c>
      <c r="AF55" s="33">
        <f t="shared" si="145"/>
        <v>-9.6720000000000006</v>
      </c>
      <c r="AG55" s="33">
        <f t="shared" si="145"/>
        <v>-10.003</v>
      </c>
      <c r="AH55" s="33">
        <f t="shared" si="145"/>
        <v>-5.149</v>
      </c>
      <c r="AI55" s="33">
        <f t="shared" si="145"/>
        <v>-8.9019999999999992</v>
      </c>
      <c r="AJ55" s="35">
        <f>AJ56+AJ57+AJ58</f>
        <v>-9.93</v>
      </c>
      <c r="AK55" s="33">
        <f>AK56+AK57+AK58</f>
        <v>-10.997</v>
      </c>
      <c r="AL55" s="33">
        <f t="shared" si="145"/>
        <v>-4.8070000000000004</v>
      </c>
      <c r="AM55" s="33">
        <f t="shared" si="145"/>
        <v>-13.667000000000002</v>
      </c>
      <c r="AN55" s="35">
        <f t="shared" ref="AN55:AS55" si="146">AN56+AN57+AN58</f>
        <v>-6.2220000000000004</v>
      </c>
      <c r="AO55" s="33">
        <f t="shared" si="146"/>
        <v>-5.7309999999999999</v>
      </c>
      <c r="AP55" s="33">
        <f t="shared" si="146"/>
        <v>-4.0069999999999997</v>
      </c>
      <c r="AQ55" s="33">
        <f t="shared" si="146"/>
        <v>0.95799999999999996</v>
      </c>
      <c r="AR55" s="35">
        <f t="shared" si="146"/>
        <v>-10.526999999999999</v>
      </c>
      <c r="AS55" s="33">
        <f t="shared" si="146"/>
        <v>-9.2129999999999992</v>
      </c>
      <c r="AT55" s="33">
        <f t="shared" ref="AT55:AY55" si="147">AT56+AT57+AT58</f>
        <v>-5.0529999999999999</v>
      </c>
      <c r="AU55" s="33">
        <f t="shared" si="147"/>
        <v>-8.2629999999999999</v>
      </c>
      <c r="AV55" s="35">
        <f t="shared" si="147"/>
        <v>-4.5869999999999997</v>
      </c>
      <c r="AW55" s="33">
        <f t="shared" si="147"/>
        <v>-1.151</v>
      </c>
      <c r="AX55" s="33">
        <f t="shared" si="147"/>
        <v>-0.39200000000000002</v>
      </c>
      <c r="AY55" s="34">
        <f t="shared" si="147"/>
        <v>-2.1840000000000002</v>
      </c>
      <c r="AZ55" s="35">
        <f t="shared" ref="AZ55:BK55" si="148">AZ56+AZ57+AZ58</f>
        <v>1.839</v>
      </c>
      <c r="BA55" s="33">
        <f t="shared" si="148"/>
        <v>1.831</v>
      </c>
      <c r="BB55" s="33">
        <f t="shared" si="148"/>
        <v>5.4690000000000003</v>
      </c>
      <c r="BC55" s="34">
        <f t="shared" si="148"/>
        <v>-3.7810000000000001</v>
      </c>
      <c r="BD55" s="35">
        <f t="shared" si="148"/>
        <v>3</v>
      </c>
      <c r="BE55" s="33">
        <f t="shared" si="148"/>
        <v>2</v>
      </c>
      <c r="BF55" s="33">
        <f t="shared" si="148"/>
        <v>2</v>
      </c>
      <c r="BG55" s="34">
        <f t="shared" si="148"/>
        <v>2</v>
      </c>
      <c r="BH55" s="35">
        <f t="shared" si="148"/>
        <v>2</v>
      </c>
      <c r="BI55" s="33">
        <f t="shared" si="148"/>
        <v>2</v>
      </c>
      <c r="BJ55" s="33">
        <f t="shared" si="148"/>
        <v>2</v>
      </c>
      <c r="BK55" s="34">
        <f t="shared" si="148"/>
        <v>2</v>
      </c>
      <c r="BL55" s="409"/>
      <c r="BM55" s="35">
        <f t="shared" ref="BM55:BT55" si="149">BM56+BM57+BM58</f>
        <v>44.54</v>
      </c>
      <c r="BN55" s="33">
        <f t="shared" si="149"/>
        <v>83.378999999999991</v>
      </c>
      <c r="BO55" s="33">
        <f t="shared" si="149"/>
        <v>45.295000000000002</v>
      </c>
      <c r="BP55" s="33">
        <f t="shared" si="149"/>
        <v>28.508000000000003</v>
      </c>
      <c r="BQ55" s="33">
        <f t="shared" si="149"/>
        <v>-10.384</v>
      </c>
      <c r="BR55" s="33">
        <f t="shared" si="149"/>
        <v>-24.318999999999999</v>
      </c>
      <c r="BS55" s="33">
        <f t="shared" si="149"/>
        <v>-30.722000000000001</v>
      </c>
      <c r="BT55" s="35">
        <f t="shared" si="149"/>
        <v>-33.725999999999999</v>
      </c>
      <c r="BU55" s="33">
        <f>BU56+BU57+BU58</f>
        <v>-39.401000000000003</v>
      </c>
      <c r="BV55" s="33">
        <f t="shared" ref="BV55:CB55" si="150">+SUM(BV56:BV58)</f>
        <v>-15.001999999999999</v>
      </c>
      <c r="BW55" s="33">
        <f t="shared" si="150"/>
        <v>-33.055999999999997</v>
      </c>
      <c r="BX55" s="33">
        <f t="shared" si="150"/>
        <v>-8.3140000000000001</v>
      </c>
      <c r="BY55" s="33">
        <f t="shared" si="150"/>
        <v>5.3579999999999988</v>
      </c>
      <c r="BZ55" s="33">
        <f t="shared" si="150"/>
        <v>9</v>
      </c>
      <c r="CA55" s="33">
        <f t="shared" si="150"/>
        <v>8</v>
      </c>
      <c r="CB55" s="953">
        <f t="shared" si="150"/>
        <v>8</v>
      </c>
      <c r="CC55" s="20"/>
      <c r="CD55" s="33">
        <f t="shared" ref="CD55:CM55" si="151">CD56+CD57+CD58</f>
        <v>69.807000000000002</v>
      </c>
      <c r="CE55" s="33">
        <f t="shared" si="151"/>
        <v>69.338000000000008</v>
      </c>
      <c r="CF55" s="33">
        <f t="shared" si="151"/>
        <v>12.975999999999999</v>
      </c>
      <c r="CG55" s="33">
        <f t="shared" si="151"/>
        <v>-2.8699999999999974</v>
      </c>
      <c r="CH55" s="33">
        <f t="shared" si="151"/>
        <v>-6.0249999999999995</v>
      </c>
      <c r="CI55" s="33">
        <f t="shared" si="151"/>
        <v>-35.999000000000002</v>
      </c>
      <c r="CJ55" s="33">
        <f t="shared" si="151"/>
        <v>-31.950000000000003</v>
      </c>
      <c r="CK55" s="33">
        <f t="shared" si="151"/>
        <v>-34.636000000000003</v>
      </c>
      <c r="CL55" s="33">
        <f t="shared" si="151"/>
        <v>-29.627000000000002</v>
      </c>
      <c r="CM55" s="33">
        <f t="shared" si="151"/>
        <v>-23.834999999999997</v>
      </c>
      <c r="CN55" s="33">
        <f>CN56+CN57+CN58</f>
        <v>-14.392999999999999</v>
      </c>
      <c r="CO55" s="33">
        <f>CO56+CO57+CO58</f>
        <v>6.9550000000000001</v>
      </c>
      <c r="CP55" s="33">
        <f>CP56+CP57+CP58</f>
        <v>3.2189999999999999</v>
      </c>
      <c r="CQ55" s="34">
        <f>CQ56+CQ57+CQ58</f>
        <v>8</v>
      </c>
      <c r="CR55" s="806"/>
      <c r="CS55" s="806"/>
      <c r="CZ55" s="8"/>
    </row>
    <row r="56" spans="1:104" ht="14.25" hidden="1" customHeight="1" outlineLevel="1">
      <c r="A56" s="8"/>
      <c r="B56" s="28" t="s">
        <v>262</v>
      </c>
      <c r="C56" s="29"/>
      <c r="D56" s="30">
        <v>9.343</v>
      </c>
      <c r="E56" s="31">
        <v>15.91</v>
      </c>
      <c r="F56" s="31">
        <v>10.943</v>
      </c>
      <c r="G56" s="32">
        <v>9.7620000000000005</v>
      </c>
      <c r="H56" s="30">
        <v>14.840999999999999</v>
      </c>
      <c r="I56" s="31">
        <v>26.132000000000001</v>
      </c>
      <c r="J56" s="31">
        <v>22.44</v>
      </c>
      <c r="K56" s="32">
        <v>21.916</v>
      </c>
      <c r="L56" s="30">
        <v>13.532999999999999</v>
      </c>
      <c r="M56" s="31">
        <v>19.504000000000001</v>
      </c>
      <c r="N56" s="31">
        <v>14.385</v>
      </c>
      <c r="O56" s="32">
        <v>0.72300000000000397</v>
      </c>
      <c r="P56" s="30">
        <v>4.4779999999999998</v>
      </c>
      <c r="Q56" s="31">
        <v>7.24</v>
      </c>
      <c r="R56" s="31">
        <v>-1.7430000000000001</v>
      </c>
      <c r="S56" s="32">
        <v>-2.3730000000000002</v>
      </c>
      <c r="T56" s="30">
        <v>-10.91</v>
      </c>
      <c r="U56" s="31">
        <v>-1.782</v>
      </c>
      <c r="V56" s="31">
        <v>-0.54200000000000004</v>
      </c>
      <c r="W56" s="32">
        <v>6.6550000000000002</v>
      </c>
      <c r="X56" s="30">
        <v>-5.13</v>
      </c>
      <c r="Y56" s="31">
        <v>-3.484</v>
      </c>
      <c r="Z56" s="31">
        <v>-3.302</v>
      </c>
      <c r="AA56" s="32">
        <v>-6.4989999999999997</v>
      </c>
      <c r="AB56" s="30">
        <v>-7.8109999999999999</v>
      </c>
      <c r="AC56" s="31">
        <v>-8.5980000000000008</v>
      </c>
      <c r="AD56" s="31">
        <v>-7.1870000000000003</v>
      </c>
      <c r="AE56" s="32">
        <v>-7.1260000000000003</v>
      </c>
      <c r="AF56" s="31">
        <v>-9.6720000000000006</v>
      </c>
      <c r="AG56" s="31">
        <v>-10.003</v>
      </c>
      <c r="AH56" s="31">
        <v>-5.149</v>
      </c>
      <c r="AI56" s="31">
        <v>-8.9019999999999992</v>
      </c>
      <c r="AJ56" s="30">
        <v>-9.93</v>
      </c>
      <c r="AK56" s="31">
        <v>-10.997</v>
      </c>
      <c r="AL56" s="31">
        <v>-4.8070000000000004</v>
      </c>
      <c r="AM56" s="31">
        <v>-3.819</v>
      </c>
      <c r="AN56" s="30">
        <v>-6.2220000000000004</v>
      </c>
      <c r="AO56" s="31">
        <v>-5.7309999999999999</v>
      </c>
      <c r="AP56" s="31">
        <v>-4.0069999999999997</v>
      </c>
      <c r="AQ56" s="31">
        <v>0.95799999999999996</v>
      </c>
      <c r="AR56" s="30">
        <v>-10.526999999999999</v>
      </c>
      <c r="AS56" s="31">
        <v>-9.2129999999999992</v>
      </c>
      <c r="AT56" s="31">
        <v>-5.0529999999999999</v>
      </c>
      <c r="AU56" s="31">
        <v>-8.2629999999999999</v>
      </c>
      <c r="AV56" s="30">
        <v>-4.5869999999999997</v>
      </c>
      <c r="AW56" s="31">
        <v>-1.151</v>
      </c>
      <c r="AX56" s="31">
        <v>-0.39200000000000002</v>
      </c>
      <c r="AY56" s="32">
        <v>-2.1840000000000002</v>
      </c>
      <c r="AZ56" s="30">
        <v>1.839</v>
      </c>
      <c r="BA56" s="31">
        <v>1.831</v>
      </c>
      <c r="BB56" s="31">
        <v>5.4690000000000003</v>
      </c>
      <c r="BC56" s="32">
        <v>-3.7810000000000001</v>
      </c>
      <c r="BD56" s="881">
        <v>3</v>
      </c>
      <c r="BE56" s="798">
        <v>2</v>
      </c>
      <c r="BF56" s="798">
        <f t="shared" ref="BF56:BK56" si="152">BE56</f>
        <v>2</v>
      </c>
      <c r="BG56" s="799">
        <f t="shared" si="152"/>
        <v>2</v>
      </c>
      <c r="BH56" s="881">
        <f t="shared" si="152"/>
        <v>2</v>
      </c>
      <c r="BI56" s="798">
        <f t="shared" si="152"/>
        <v>2</v>
      </c>
      <c r="BJ56" s="798">
        <f t="shared" si="152"/>
        <v>2</v>
      </c>
      <c r="BK56" s="799">
        <f t="shared" si="152"/>
        <v>2</v>
      </c>
      <c r="BL56" s="269"/>
      <c r="BM56" s="35">
        <f>SUM(D56:G56)</f>
        <v>45.957999999999998</v>
      </c>
      <c r="BN56" s="33">
        <f>SUM(H56:K56)</f>
        <v>85.328999999999994</v>
      </c>
      <c r="BO56" s="33">
        <f>SUM(L56:O56)</f>
        <v>48.145000000000003</v>
      </c>
      <c r="BP56" s="33">
        <f>SUM(P56:S56)</f>
        <v>7.6019999999999994</v>
      </c>
      <c r="BQ56" s="33">
        <f>SUM(T56:W56)</f>
        <v>-6.5789999999999997</v>
      </c>
      <c r="BR56" s="33">
        <f>SUM(X56:AA56)</f>
        <v>-18.414999999999999</v>
      </c>
      <c r="BS56" s="33">
        <f>SUM(AB56:AE56)</f>
        <v>-30.722000000000001</v>
      </c>
      <c r="BT56" s="35">
        <f>SUM(AF56:AI56)</f>
        <v>-33.725999999999999</v>
      </c>
      <c r="BU56" s="33">
        <f>SUM(AJ56:AM56)</f>
        <v>-29.553000000000001</v>
      </c>
      <c r="BV56" s="33">
        <f>SUM(AN56:AQ56)</f>
        <v>-15.001999999999999</v>
      </c>
      <c r="BW56" s="33">
        <f>SUM(AR56:AU56)</f>
        <v>-33.055999999999997</v>
      </c>
      <c r="BX56" s="33">
        <f>SUM(AV56:AY56)</f>
        <v>-8.3140000000000001</v>
      </c>
      <c r="BY56" s="33">
        <f>SUM(AZ56:BC56)</f>
        <v>5.3579999999999988</v>
      </c>
      <c r="BZ56" s="33">
        <f>SUM(BD56:BG56)</f>
        <v>9</v>
      </c>
      <c r="CA56" s="33">
        <f>SUM(BH56:BK56)</f>
        <v>8</v>
      </c>
      <c r="CB56" s="953">
        <f>CA56</f>
        <v>8</v>
      </c>
      <c r="CC56" s="20"/>
      <c r="CD56" s="33">
        <f>SUM(G56:J56)</f>
        <v>73.174999999999997</v>
      </c>
      <c r="CE56" s="33">
        <f>SUM(K56:N56)</f>
        <v>69.338000000000008</v>
      </c>
      <c r="CF56" s="33">
        <f>SUM(O56:R56)</f>
        <v>10.698000000000004</v>
      </c>
      <c r="CG56" s="33">
        <f>SUM(S56:V56)</f>
        <v>-15.607000000000001</v>
      </c>
      <c r="CH56" s="33">
        <f>SUM(W56:Z56)</f>
        <v>-5.2609999999999992</v>
      </c>
      <c r="CI56" s="33">
        <f>SUM(AA56:AD56)</f>
        <v>-30.095000000000002</v>
      </c>
      <c r="CJ56" s="33">
        <f>SUM(AE56:AH56)</f>
        <v>-31.950000000000003</v>
      </c>
      <c r="CK56" s="33">
        <f>SUM(AI56:AL56)</f>
        <v>-34.636000000000003</v>
      </c>
      <c r="CL56" s="33">
        <f>SUM(AM56:AP56)</f>
        <v>-19.779</v>
      </c>
      <c r="CM56" s="33">
        <f>SUM(AQ56:AT56)</f>
        <v>-23.834999999999997</v>
      </c>
      <c r="CN56" s="33">
        <f>SUM(AU56:AX56)</f>
        <v>-14.392999999999999</v>
      </c>
      <c r="CO56" s="33">
        <f>SUM(AY56:BB56)</f>
        <v>6.9550000000000001</v>
      </c>
      <c r="CP56" s="33">
        <f>SUM(BC56:BF56)</f>
        <v>3.2189999999999999</v>
      </c>
      <c r="CQ56" s="34">
        <f>SUM(BG56:BJ56)</f>
        <v>8</v>
      </c>
      <c r="CR56" s="806"/>
      <c r="CS56" s="806"/>
      <c r="CZ56" s="8"/>
    </row>
    <row r="57" spans="1:104" ht="14.25" hidden="1" customHeight="1" outlineLevel="1">
      <c r="A57" s="8"/>
      <c r="B57" s="28" t="s">
        <v>8</v>
      </c>
      <c r="C57" s="29"/>
      <c r="D57" s="30">
        <v>0</v>
      </c>
      <c r="E57" s="31">
        <v>0</v>
      </c>
      <c r="F57" s="31">
        <v>0</v>
      </c>
      <c r="G57" s="32">
        <v>0</v>
      </c>
      <c r="H57" s="30">
        <v>0</v>
      </c>
      <c r="I57" s="31">
        <v>0</v>
      </c>
      <c r="J57" s="31">
        <v>0</v>
      </c>
      <c r="K57" s="32">
        <v>0</v>
      </c>
      <c r="L57" s="30">
        <v>0</v>
      </c>
      <c r="M57" s="31">
        <v>0</v>
      </c>
      <c r="N57" s="31">
        <v>0</v>
      </c>
      <c r="O57" s="32">
        <v>0</v>
      </c>
      <c r="P57" s="30">
        <v>0</v>
      </c>
      <c r="Q57" s="31">
        <v>0</v>
      </c>
      <c r="R57" s="661">
        <v>58.29</v>
      </c>
      <c r="S57" s="32">
        <v>16.745000000000001</v>
      </c>
      <c r="T57" s="30">
        <v>0</v>
      </c>
      <c r="U57" s="31">
        <v>0</v>
      </c>
      <c r="V57" s="31">
        <v>0</v>
      </c>
      <c r="W57" s="32">
        <v>0</v>
      </c>
      <c r="X57" s="30">
        <v>0</v>
      </c>
      <c r="Y57" s="31">
        <v>0</v>
      </c>
      <c r="Z57" s="31">
        <v>0</v>
      </c>
      <c r="AA57" s="32">
        <v>0</v>
      </c>
      <c r="AB57" s="30">
        <v>0</v>
      </c>
      <c r="AC57" s="31">
        <v>0</v>
      </c>
      <c r="AD57" s="31">
        <v>0</v>
      </c>
      <c r="AE57" s="32">
        <v>0</v>
      </c>
      <c r="AF57" s="31">
        <v>0</v>
      </c>
      <c r="AG57" s="506">
        <v>0</v>
      </c>
      <c r="AH57" s="506">
        <v>0</v>
      </c>
      <c r="AI57" s="31">
        <v>0</v>
      </c>
      <c r="AJ57" s="30">
        <v>0</v>
      </c>
      <c r="AK57" s="506">
        <v>0</v>
      </c>
      <c r="AL57" s="31">
        <v>0</v>
      </c>
      <c r="AM57" s="31">
        <v>-9.8480000000000008</v>
      </c>
      <c r="AN57" s="30">
        <v>0</v>
      </c>
      <c r="AO57" s="506">
        <v>0</v>
      </c>
      <c r="AP57" s="31">
        <v>0</v>
      </c>
      <c r="AQ57" s="31"/>
      <c r="AR57" s="30">
        <v>0</v>
      </c>
      <c r="AS57" s="506">
        <v>0</v>
      </c>
      <c r="AT57" s="31">
        <v>0</v>
      </c>
      <c r="AU57" s="31"/>
      <c r="AV57" s="30">
        <v>0</v>
      </c>
      <c r="AW57" s="506">
        <v>0</v>
      </c>
      <c r="AX57" s="506">
        <v>0</v>
      </c>
      <c r="AY57" s="32"/>
      <c r="AZ57" s="30">
        <v>0</v>
      </c>
      <c r="BA57" s="506">
        <v>0</v>
      </c>
      <c r="BB57" s="506">
        <v>0</v>
      </c>
      <c r="BC57" s="32"/>
      <c r="BD57" s="30">
        <v>0</v>
      </c>
      <c r="BE57" s="31">
        <v>0</v>
      </c>
      <c r="BF57" s="31">
        <v>0</v>
      </c>
      <c r="BG57" s="32">
        <v>0</v>
      </c>
      <c r="BH57" s="30">
        <v>0</v>
      </c>
      <c r="BI57" s="31">
        <v>0</v>
      </c>
      <c r="BJ57" s="31">
        <v>0</v>
      </c>
      <c r="BK57" s="32">
        <v>0</v>
      </c>
      <c r="BL57" s="269"/>
      <c r="BM57" s="35">
        <f>SUM(D57:G57)</f>
        <v>0</v>
      </c>
      <c r="BN57" s="33">
        <f>SUM(H57:K57)</f>
        <v>0</v>
      </c>
      <c r="BO57" s="33">
        <f>SUM(L57:O57)</f>
        <v>0</v>
      </c>
      <c r="BP57" s="33">
        <f>SUM(P57:S57)</f>
        <v>75.034999999999997</v>
      </c>
      <c r="BQ57" s="33">
        <f>SUM(T57:W57)</f>
        <v>0</v>
      </c>
      <c r="BR57" s="33">
        <f>SUM(X57:AA57)</f>
        <v>0</v>
      </c>
      <c r="BS57" s="33">
        <f>SUM(AB57:AE57)</f>
        <v>0</v>
      </c>
      <c r="BT57" s="35">
        <f>SUM(AF57:AI57)</f>
        <v>0</v>
      </c>
      <c r="BU57" s="33">
        <f>SUM(AJ57:AM57)</f>
        <v>-9.8480000000000008</v>
      </c>
      <c r="BV57" s="33">
        <f>SUM(AN57:AQ57)</f>
        <v>0</v>
      </c>
      <c r="BW57" s="33">
        <f>SUM(AR57:AU57)</f>
        <v>0</v>
      </c>
      <c r="BX57" s="33">
        <f>SUM(AV57:AY57)</f>
        <v>0</v>
      </c>
      <c r="BY57" s="33">
        <f>SUM(AZ57:BC57)</f>
        <v>0</v>
      </c>
      <c r="BZ57" s="33">
        <f>SUM(BD57:BG57)</f>
        <v>0</v>
      </c>
      <c r="CA57" s="33">
        <f>SUM(BH57:BK57)</f>
        <v>0</v>
      </c>
      <c r="CB57" s="956">
        <v>0</v>
      </c>
      <c r="CC57" s="20"/>
      <c r="CD57" s="33">
        <f>SUM(G57:J57)</f>
        <v>0</v>
      </c>
      <c r="CE57" s="33">
        <f>SUM(K57:N57)</f>
        <v>0</v>
      </c>
      <c r="CF57" s="33">
        <f>SUM(O57:R57)</f>
        <v>58.29</v>
      </c>
      <c r="CG57" s="33">
        <f>SUM(S57:V57)</f>
        <v>16.745000000000001</v>
      </c>
      <c r="CH57" s="33">
        <f>SUM(W57:Z57)</f>
        <v>0</v>
      </c>
      <c r="CI57" s="33">
        <f>SUM(AA57:AD57)</f>
        <v>0</v>
      </c>
      <c r="CJ57" s="33">
        <f>SUM(AE57:AH57)</f>
        <v>0</v>
      </c>
      <c r="CK57" s="33">
        <f>SUM(AI57:AL57)</f>
        <v>0</v>
      </c>
      <c r="CL57" s="33">
        <f>SUM(AM57:AP57)</f>
        <v>-9.8480000000000008</v>
      </c>
      <c r="CM57" s="33">
        <f>SUM(AQ57:AT57)</f>
        <v>0</v>
      </c>
      <c r="CN57" s="33">
        <f>SUM(AU57:AX57)</f>
        <v>0</v>
      </c>
      <c r="CO57" s="33">
        <f>SUM(AY57:BB57)</f>
        <v>0</v>
      </c>
      <c r="CP57" s="33">
        <f>SUM(BC57:BF57)</f>
        <v>0</v>
      </c>
      <c r="CQ57" s="34">
        <f>SUM(BG57:BJ57)</f>
        <v>0</v>
      </c>
      <c r="CR57" s="14"/>
      <c r="CS57" s="14"/>
      <c r="CZ57" s="8"/>
    </row>
    <row r="58" spans="1:104" ht="14.25" hidden="1" customHeight="1" outlineLevel="1">
      <c r="A58" s="8"/>
      <c r="B58" s="28" t="s">
        <v>9</v>
      </c>
      <c r="C58" s="29"/>
      <c r="D58" s="30">
        <v>0</v>
      </c>
      <c r="E58" s="31">
        <v>0</v>
      </c>
      <c r="F58" s="31">
        <v>0</v>
      </c>
      <c r="G58" s="32">
        <v>-1.4179999999999999</v>
      </c>
      <c r="H58" s="30">
        <v>-0.437</v>
      </c>
      <c r="I58" s="31">
        <v>0</v>
      </c>
      <c r="J58" s="31">
        <v>-1.5129999999999999</v>
      </c>
      <c r="K58" s="32">
        <v>0</v>
      </c>
      <c r="L58" s="30">
        <v>0</v>
      </c>
      <c r="M58" s="31">
        <v>0</v>
      </c>
      <c r="N58" s="31">
        <v>0</v>
      </c>
      <c r="O58" s="32">
        <v>-2.85</v>
      </c>
      <c r="P58" s="30">
        <f>-4.621</f>
        <v>-4.6210000000000004</v>
      </c>
      <c r="Q58" s="31">
        <v>-29.001000000000001</v>
      </c>
      <c r="R58" s="31">
        <v>-19.54</v>
      </c>
      <c r="S58" s="32">
        <v>-0.96699999999999697</v>
      </c>
      <c r="T58" s="30">
        <v>0</v>
      </c>
      <c r="U58" s="31">
        <v>0</v>
      </c>
      <c r="V58" s="31">
        <v>-3.0409999999999999</v>
      </c>
      <c r="W58" s="32">
        <v>-0.76400000000000023</v>
      </c>
      <c r="X58" s="30">
        <v>0</v>
      </c>
      <c r="Y58" s="31">
        <v>0</v>
      </c>
      <c r="Z58" s="31">
        <v>0</v>
      </c>
      <c r="AA58" s="32">
        <v>-5.9039999999999999</v>
      </c>
      <c r="AB58" s="30">
        <v>0</v>
      </c>
      <c r="AC58" s="31">
        <v>0</v>
      </c>
      <c r="AD58" s="31">
        <v>0</v>
      </c>
      <c r="AE58" s="32">
        <v>0</v>
      </c>
      <c r="AF58" s="31">
        <v>0</v>
      </c>
      <c r="AG58" s="506">
        <v>0</v>
      </c>
      <c r="AH58" s="506">
        <v>0</v>
      </c>
      <c r="AI58" s="31">
        <v>0</v>
      </c>
      <c r="AJ58" s="30">
        <v>0</v>
      </c>
      <c r="AK58" s="506">
        <v>0</v>
      </c>
      <c r="AL58" s="31">
        <v>0</v>
      </c>
      <c r="AM58" s="31">
        <v>0</v>
      </c>
      <c r="AN58" s="30">
        <v>0</v>
      </c>
      <c r="AO58" s="506">
        <v>0</v>
      </c>
      <c r="AP58" s="31">
        <v>0</v>
      </c>
      <c r="AQ58" s="31">
        <v>0</v>
      </c>
      <c r="AR58" s="30">
        <v>0</v>
      </c>
      <c r="AS58" s="506">
        <v>0</v>
      </c>
      <c r="AT58" s="31">
        <v>0</v>
      </c>
      <c r="AU58" s="31">
        <v>0</v>
      </c>
      <c r="AV58" s="30">
        <v>0</v>
      </c>
      <c r="AW58" s="506">
        <v>0</v>
      </c>
      <c r="AX58" s="506">
        <v>0</v>
      </c>
      <c r="AY58" s="32">
        <v>0</v>
      </c>
      <c r="AZ58" s="30">
        <v>0</v>
      </c>
      <c r="BA58" s="506">
        <v>0</v>
      </c>
      <c r="BB58" s="506">
        <v>0</v>
      </c>
      <c r="BC58" s="32">
        <v>0</v>
      </c>
      <c r="BD58" s="30">
        <v>0</v>
      </c>
      <c r="BE58" s="31">
        <v>0</v>
      </c>
      <c r="BF58" s="31">
        <v>0</v>
      </c>
      <c r="BG58" s="32">
        <v>0</v>
      </c>
      <c r="BH58" s="30">
        <v>0</v>
      </c>
      <c r="BI58" s="31">
        <v>0</v>
      </c>
      <c r="BJ58" s="31">
        <v>0</v>
      </c>
      <c r="BK58" s="32">
        <v>0</v>
      </c>
      <c r="BL58" s="269"/>
      <c r="BM58" s="35">
        <f>SUM(D58:G58)</f>
        <v>-1.4179999999999999</v>
      </c>
      <c r="BN58" s="33">
        <f>SUM(H58:K58)</f>
        <v>-1.95</v>
      </c>
      <c r="BO58" s="33">
        <f>SUM(L58:O58)</f>
        <v>-2.85</v>
      </c>
      <c r="BP58" s="33">
        <f>SUM(P58:S58)</f>
        <v>-54.128999999999998</v>
      </c>
      <c r="BQ58" s="33">
        <f>SUM(T58:W58)</f>
        <v>-3.8050000000000002</v>
      </c>
      <c r="BR58" s="33">
        <f>SUM(X58:AA58)</f>
        <v>-5.9039999999999999</v>
      </c>
      <c r="BS58" s="33">
        <f>SUM(AB58:AE58)</f>
        <v>0</v>
      </c>
      <c r="BT58" s="35">
        <f>SUM(AF58:AI58)</f>
        <v>0</v>
      </c>
      <c r="BU58" s="33">
        <f>SUM(AJ58:AM58)</f>
        <v>0</v>
      </c>
      <c r="BV58" s="33">
        <f>SUM(AN58:AQ58)</f>
        <v>0</v>
      </c>
      <c r="BW58" s="33">
        <f>SUM(AR58:AU58)</f>
        <v>0</v>
      </c>
      <c r="BX58" s="33">
        <f>SUM(AV58:AY58)</f>
        <v>0</v>
      </c>
      <c r="BY58" s="33">
        <f>SUM(AZ58:BC58)</f>
        <v>0</v>
      </c>
      <c r="BZ58" s="33">
        <f>SUM(BD58:BG58)</f>
        <v>0</v>
      </c>
      <c r="CA58" s="33">
        <f>SUM(BH58:BK58)</f>
        <v>0</v>
      </c>
      <c r="CB58" s="956">
        <v>0</v>
      </c>
      <c r="CC58" s="20"/>
      <c r="CD58" s="33">
        <f>SUM(G58:J58)</f>
        <v>-3.3679999999999999</v>
      </c>
      <c r="CE58" s="33">
        <f>SUM(K58:N58)</f>
        <v>0</v>
      </c>
      <c r="CF58" s="33">
        <f>SUM(O58:R58)</f>
        <v>-56.012</v>
      </c>
      <c r="CG58" s="33">
        <f>SUM(S58:V58)</f>
        <v>-4.0079999999999973</v>
      </c>
      <c r="CH58" s="33">
        <f>SUM(W58:Z58)</f>
        <v>-0.76400000000000023</v>
      </c>
      <c r="CI58" s="33">
        <f>SUM(AA58:AD58)</f>
        <v>-5.9039999999999999</v>
      </c>
      <c r="CJ58" s="33">
        <f>SUM(AE58:AH58)</f>
        <v>0</v>
      </c>
      <c r="CK58" s="33">
        <f>SUM(AI58:AL58)</f>
        <v>0</v>
      </c>
      <c r="CL58" s="33">
        <f>SUM(AM58:AP58)</f>
        <v>0</v>
      </c>
      <c r="CM58" s="33">
        <f>SUM(AQ58:AT58)</f>
        <v>0</v>
      </c>
      <c r="CN58" s="33">
        <f>SUM(AU58:AX58)</f>
        <v>0</v>
      </c>
      <c r="CO58" s="33">
        <f>SUM(AY58:BB58)</f>
        <v>0</v>
      </c>
      <c r="CP58" s="33">
        <f>SUM(BC58:BF58)</f>
        <v>0</v>
      </c>
      <c r="CQ58" s="34">
        <f>SUM(BG58:BJ58)</f>
        <v>0</v>
      </c>
      <c r="CR58" s="14"/>
      <c r="CS58" s="14"/>
      <c r="CZ58" s="8"/>
    </row>
    <row r="59" spans="1:104" ht="14.25" hidden="1" customHeight="1" outlineLevel="1">
      <c r="A59" s="8"/>
      <c r="B59" s="23" t="s">
        <v>10</v>
      </c>
      <c r="C59" s="24"/>
      <c r="D59" s="35">
        <f>+D56</f>
        <v>9.343</v>
      </c>
      <c r="E59" s="33">
        <f t="shared" ref="E59:CG59" si="153">+E56</f>
        <v>15.91</v>
      </c>
      <c r="F59" s="33">
        <f t="shared" si="153"/>
        <v>10.943</v>
      </c>
      <c r="G59" s="34">
        <f t="shared" si="153"/>
        <v>9.7620000000000005</v>
      </c>
      <c r="H59" s="35">
        <f t="shared" si="153"/>
        <v>14.840999999999999</v>
      </c>
      <c r="I59" s="33">
        <f t="shared" si="153"/>
        <v>26.132000000000001</v>
      </c>
      <c r="J59" s="33">
        <f t="shared" si="153"/>
        <v>22.44</v>
      </c>
      <c r="K59" s="34">
        <f t="shared" si="153"/>
        <v>21.916</v>
      </c>
      <c r="L59" s="35">
        <f t="shared" si="153"/>
        <v>13.532999999999999</v>
      </c>
      <c r="M59" s="33">
        <f t="shared" si="153"/>
        <v>19.504000000000001</v>
      </c>
      <c r="N59" s="33">
        <f t="shared" si="153"/>
        <v>14.385</v>
      </c>
      <c r="O59" s="34">
        <f t="shared" si="153"/>
        <v>0.72300000000000397</v>
      </c>
      <c r="P59" s="35">
        <f t="shared" si="153"/>
        <v>4.4779999999999998</v>
      </c>
      <c r="Q59" s="33">
        <f t="shared" si="153"/>
        <v>7.24</v>
      </c>
      <c r="R59" s="33">
        <f t="shared" si="153"/>
        <v>-1.7430000000000001</v>
      </c>
      <c r="S59" s="34">
        <f t="shared" si="153"/>
        <v>-2.3730000000000002</v>
      </c>
      <c r="T59" s="35">
        <f t="shared" si="153"/>
        <v>-10.91</v>
      </c>
      <c r="U59" s="33">
        <f t="shared" si="153"/>
        <v>-1.782</v>
      </c>
      <c r="V59" s="33">
        <f t="shared" si="153"/>
        <v>-0.54200000000000004</v>
      </c>
      <c r="W59" s="34">
        <f t="shared" si="153"/>
        <v>6.6550000000000002</v>
      </c>
      <c r="X59" s="35">
        <f t="shared" si="153"/>
        <v>-5.13</v>
      </c>
      <c r="Y59" s="33">
        <f t="shared" si="153"/>
        <v>-3.484</v>
      </c>
      <c r="Z59" s="33">
        <f t="shared" si="153"/>
        <v>-3.302</v>
      </c>
      <c r="AA59" s="34">
        <f t="shared" si="153"/>
        <v>-6.4989999999999997</v>
      </c>
      <c r="AB59" s="35">
        <f t="shared" si="153"/>
        <v>-7.8109999999999999</v>
      </c>
      <c r="AC59" s="33">
        <f t="shared" si="153"/>
        <v>-8.5980000000000008</v>
      </c>
      <c r="AD59" s="33">
        <f t="shared" si="153"/>
        <v>-7.1870000000000003</v>
      </c>
      <c r="AE59" s="34">
        <f t="shared" si="153"/>
        <v>-7.1260000000000003</v>
      </c>
      <c r="AF59" s="33">
        <f t="shared" si="153"/>
        <v>-9.6720000000000006</v>
      </c>
      <c r="AG59" s="33">
        <f t="shared" si="153"/>
        <v>-10.003</v>
      </c>
      <c r="AH59" s="33">
        <f t="shared" si="153"/>
        <v>-5.149</v>
      </c>
      <c r="AI59" s="33">
        <f t="shared" si="153"/>
        <v>-8.9019999999999992</v>
      </c>
      <c r="AJ59" s="35">
        <f>+AJ56</f>
        <v>-9.93</v>
      </c>
      <c r="AK59" s="33">
        <f>+AK56</f>
        <v>-10.997</v>
      </c>
      <c r="AL59" s="33">
        <f t="shared" si="153"/>
        <v>-4.8070000000000004</v>
      </c>
      <c r="AM59" s="33">
        <f t="shared" si="153"/>
        <v>-3.819</v>
      </c>
      <c r="AN59" s="35">
        <f t="shared" ref="AN59:AS59" si="154">+AN56</f>
        <v>-6.2220000000000004</v>
      </c>
      <c r="AO59" s="33">
        <f t="shared" si="154"/>
        <v>-5.7309999999999999</v>
      </c>
      <c r="AP59" s="33">
        <f t="shared" si="154"/>
        <v>-4.0069999999999997</v>
      </c>
      <c r="AQ59" s="33">
        <f t="shared" si="154"/>
        <v>0.95799999999999996</v>
      </c>
      <c r="AR59" s="35">
        <f t="shared" si="154"/>
        <v>-10.526999999999999</v>
      </c>
      <c r="AS59" s="33">
        <f t="shared" si="154"/>
        <v>-9.2129999999999992</v>
      </c>
      <c r="AT59" s="33">
        <f t="shared" ref="AT59:AY59" si="155">+AT56</f>
        <v>-5.0529999999999999</v>
      </c>
      <c r="AU59" s="33">
        <f t="shared" si="155"/>
        <v>-8.2629999999999999</v>
      </c>
      <c r="AV59" s="35">
        <f t="shared" si="155"/>
        <v>-4.5869999999999997</v>
      </c>
      <c r="AW59" s="33">
        <f t="shared" si="155"/>
        <v>-1.151</v>
      </c>
      <c r="AX59" s="33">
        <f t="shared" si="155"/>
        <v>-0.39200000000000002</v>
      </c>
      <c r="AY59" s="34">
        <f t="shared" si="155"/>
        <v>-2.1840000000000002</v>
      </c>
      <c r="AZ59" s="35">
        <f t="shared" ref="AZ59:BK59" si="156">+AZ56</f>
        <v>1.839</v>
      </c>
      <c r="BA59" s="33">
        <f t="shared" si="156"/>
        <v>1.831</v>
      </c>
      <c r="BB59" s="33">
        <f t="shared" si="156"/>
        <v>5.4690000000000003</v>
      </c>
      <c r="BC59" s="34">
        <f t="shared" si="156"/>
        <v>-3.7810000000000001</v>
      </c>
      <c r="BD59" s="35">
        <f t="shared" si="156"/>
        <v>3</v>
      </c>
      <c r="BE59" s="33">
        <f t="shared" si="156"/>
        <v>2</v>
      </c>
      <c r="BF59" s="33">
        <f t="shared" si="156"/>
        <v>2</v>
      </c>
      <c r="BG59" s="34">
        <f t="shared" si="156"/>
        <v>2</v>
      </c>
      <c r="BH59" s="35">
        <f t="shared" si="156"/>
        <v>2</v>
      </c>
      <c r="BI59" s="33">
        <f t="shared" si="156"/>
        <v>2</v>
      </c>
      <c r="BJ59" s="33">
        <f t="shared" si="156"/>
        <v>2</v>
      </c>
      <c r="BK59" s="34">
        <f t="shared" si="156"/>
        <v>2</v>
      </c>
      <c r="BL59" s="269"/>
      <c r="BM59" s="35">
        <f t="shared" si="153"/>
        <v>45.957999999999998</v>
      </c>
      <c r="BN59" s="33">
        <f t="shared" si="153"/>
        <v>85.328999999999994</v>
      </c>
      <c r="BO59" s="33">
        <f t="shared" si="153"/>
        <v>48.145000000000003</v>
      </c>
      <c r="BP59" s="33">
        <f t="shared" si="153"/>
        <v>7.6019999999999994</v>
      </c>
      <c r="BQ59" s="33">
        <f t="shared" si="153"/>
        <v>-6.5789999999999997</v>
      </c>
      <c r="BR59" s="33">
        <f t="shared" si="153"/>
        <v>-18.414999999999999</v>
      </c>
      <c r="BS59" s="33">
        <f t="shared" si="153"/>
        <v>-30.722000000000001</v>
      </c>
      <c r="BT59" s="35">
        <f t="shared" si="153"/>
        <v>-33.725999999999999</v>
      </c>
      <c r="BU59" s="33">
        <f t="shared" si="153"/>
        <v>-29.553000000000001</v>
      </c>
      <c r="BV59" s="33">
        <f t="shared" si="153"/>
        <v>-15.001999999999999</v>
      </c>
      <c r="BW59" s="33">
        <f t="shared" si="153"/>
        <v>-33.055999999999997</v>
      </c>
      <c r="BX59" s="33">
        <f>+BX56</f>
        <v>-8.3140000000000001</v>
      </c>
      <c r="BY59" s="33">
        <f>+BY56</f>
        <v>5.3579999999999988</v>
      </c>
      <c r="BZ59" s="33">
        <f>+BZ56</f>
        <v>9</v>
      </c>
      <c r="CA59" s="33">
        <f>+CA56</f>
        <v>8</v>
      </c>
      <c r="CB59" s="953">
        <f>CA59</f>
        <v>8</v>
      </c>
      <c r="CC59" s="20"/>
      <c r="CD59" s="33">
        <f t="shared" si="153"/>
        <v>73.174999999999997</v>
      </c>
      <c r="CE59" s="33">
        <f t="shared" si="153"/>
        <v>69.338000000000008</v>
      </c>
      <c r="CF59" s="33">
        <f t="shared" si="153"/>
        <v>10.698000000000004</v>
      </c>
      <c r="CG59" s="33">
        <f t="shared" si="153"/>
        <v>-15.607000000000001</v>
      </c>
      <c r="CH59" s="33">
        <f t="shared" ref="CH59:CM59" si="157">+CH56</f>
        <v>-5.2609999999999992</v>
      </c>
      <c r="CI59" s="33">
        <f t="shared" si="157"/>
        <v>-30.095000000000002</v>
      </c>
      <c r="CJ59" s="33">
        <f t="shared" si="157"/>
        <v>-31.950000000000003</v>
      </c>
      <c r="CK59" s="33">
        <f t="shared" si="157"/>
        <v>-34.636000000000003</v>
      </c>
      <c r="CL59" s="33">
        <f t="shared" si="157"/>
        <v>-19.779</v>
      </c>
      <c r="CM59" s="33">
        <f t="shared" si="157"/>
        <v>-23.834999999999997</v>
      </c>
      <c r="CN59" s="33">
        <f>+CN56</f>
        <v>-14.392999999999999</v>
      </c>
      <c r="CO59" s="33">
        <f>+CO56</f>
        <v>6.9550000000000001</v>
      </c>
      <c r="CP59" s="33">
        <f>+CP56</f>
        <v>3.2189999999999999</v>
      </c>
      <c r="CQ59" s="34">
        <f>+CQ56</f>
        <v>8</v>
      </c>
      <c r="CR59" s="806"/>
      <c r="CS59" s="806"/>
      <c r="CZ59" s="8"/>
    </row>
    <row r="60" spans="1:104" ht="14.25" customHeight="1" collapsed="1">
      <c r="A60" s="8"/>
      <c r="B60" s="28"/>
      <c r="C60" s="29"/>
      <c r="D60" s="46"/>
      <c r="E60" s="44"/>
      <c r="F60" s="49"/>
      <c r="G60" s="45"/>
      <c r="H60" s="46"/>
      <c r="I60" s="44"/>
      <c r="J60" s="49"/>
      <c r="K60" s="45"/>
      <c r="L60" s="46"/>
      <c r="M60" s="44"/>
      <c r="N60" s="49"/>
      <c r="O60" s="45"/>
      <c r="P60" s="46"/>
      <c r="Q60" s="44"/>
      <c r="R60" s="49"/>
      <c r="S60" s="45"/>
      <c r="T60" s="46"/>
      <c r="U60" s="44"/>
      <c r="V60" s="49"/>
      <c r="W60" s="45"/>
      <c r="X60" s="46"/>
      <c r="Y60" s="44"/>
      <c r="Z60" s="49"/>
      <c r="AA60" s="45"/>
      <c r="AB60" s="46"/>
      <c r="AC60" s="44"/>
      <c r="AD60" s="44"/>
      <c r="AE60" s="45"/>
      <c r="AF60" s="44"/>
      <c r="AG60" s="59"/>
      <c r="AH60" s="59"/>
      <c r="AI60" s="44"/>
      <c r="AJ60" s="46"/>
      <c r="AK60" s="59"/>
      <c r="AL60" s="59"/>
      <c r="AM60" s="44"/>
      <c r="AN60" s="46"/>
      <c r="AO60" s="59"/>
      <c r="AP60" s="59"/>
      <c r="AQ60" s="44"/>
      <c r="AR60" s="46"/>
      <c r="AS60" s="59"/>
      <c r="AT60" s="59"/>
      <c r="AU60" s="44"/>
      <c r="AV60" s="46"/>
      <c r="AW60" s="59"/>
      <c r="AX60" s="59"/>
      <c r="AY60" s="45"/>
      <c r="AZ60" s="46"/>
      <c r="BA60" s="59"/>
      <c r="BB60" s="59"/>
      <c r="BC60" s="45"/>
      <c r="BD60" s="882"/>
      <c r="BE60" s="59"/>
      <c r="BF60" s="59"/>
      <c r="BG60" s="60"/>
      <c r="BH60" s="882"/>
      <c r="BI60" s="59"/>
      <c r="BJ60" s="59"/>
      <c r="BK60" s="60"/>
      <c r="BL60" s="269"/>
      <c r="BM60" s="46"/>
      <c r="BN60" s="44"/>
      <c r="BO60" s="44"/>
      <c r="BP60" s="44"/>
      <c r="BQ60" s="44"/>
      <c r="BR60" s="44"/>
      <c r="BS60" s="44"/>
      <c r="BT60" s="46"/>
      <c r="BU60" s="44"/>
      <c r="BV60" s="44"/>
      <c r="BW60" s="44"/>
      <c r="BX60" s="44"/>
      <c r="BY60" s="44"/>
      <c r="BZ60" s="44"/>
      <c r="CA60" s="44"/>
      <c r="CB60" s="942"/>
      <c r="CC60" s="20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5"/>
      <c r="CR60" s="14"/>
      <c r="CS60" s="14"/>
      <c r="CZ60" s="8"/>
    </row>
    <row r="61" spans="1:104" ht="14.25" customHeight="1">
      <c r="A61" s="8"/>
      <c r="B61" s="50" t="s">
        <v>391</v>
      </c>
      <c r="C61" s="51"/>
      <c r="D61" s="52">
        <f t="shared" ref="D61:AM61" si="158">D49+D55</f>
        <v>99.793000000000049</v>
      </c>
      <c r="E61" s="53">
        <f t="shared" si="158"/>
        <v>98.253999999999991</v>
      </c>
      <c r="F61" s="53">
        <f t="shared" si="158"/>
        <v>130.78000000000003</v>
      </c>
      <c r="G61" s="54">
        <f t="shared" si="158"/>
        <v>127.77500000000001</v>
      </c>
      <c r="H61" s="52">
        <f t="shared" si="158"/>
        <v>107.46699999999998</v>
      </c>
      <c r="I61" s="53">
        <f t="shared" si="158"/>
        <v>119.28800000000001</v>
      </c>
      <c r="J61" s="53">
        <f t="shared" si="158"/>
        <v>103.11700000000005</v>
      </c>
      <c r="K61" s="54">
        <f t="shared" si="158"/>
        <v>101.274</v>
      </c>
      <c r="L61" s="52">
        <f t="shared" si="158"/>
        <v>111.00099999999996</v>
      </c>
      <c r="M61" s="53">
        <f t="shared" si="158"/>
        <v>113.88100000000001</v>
      </c>
      <c r="N61" s="53">
        <f t="shared" si="158"/>
        <v>129.73099999999999</v>
      </c>
      <c r="O61" s="54">
        <f t="shared" si="158"/>
        <v>114.87600000000002</v>
      </c>
      <c r="P61" s="52">
        <f t="shared" si="158"/>
        <v>106.898</v>
      </c>
      <c r="Q61" s="53">
        <f t="shared" si="158"/>
        <v>102.87499999999997</v>
      </c>
      <c r="R61" s="53">
        <f t="shared" si="158"/>
        <v>156.58900000000006</v>
      </c>
      <c r="S61" s="54">
        <f t="shared" si="158"/>
        <v>91.664000000000016</v>
      </c>
      <c r="T61" s="52">
        <f t="shared" si="158"/>
        <v>46.450000000000017</v>
      </c>
      <c r="U61" s="53">
        <f t="shared" si="158"/>
        <v>80.310000000000045</v>
      </c>
      <c r="V61" s="53">
        <f t="shared" si="158"/>
        <v>133.01100000000005</v>
      </c>
      <c r="W61" s="54">
        <f t="shared" si="158"/>
        <v>161.99399999999991</v>
      </c>
      <c r="X61" s="52">
        <f t="shared" si="158"/>
        <v>202.88899999999998</v>
      </c>
      <c r="Y61" s="53">
        <f t="shared" si="158"/>
        <v>219.17000000000004</v>
      </c>
      <c r="Z61" s="53">
        <f t="shared" si="158"/>
        <v>180.20900000000006</v>
      </c>
      <c r="AA61" s="54">
        <f t="shared" si="158"/>
        <v>168.81200000000001</v>
      </c>
      <c r="AB61" s="52">
        <f t="shared" si="158"/>
        <v>180.48399999999995</v>
      </c>
      <c r="AC61" s="53">
        <f t="shared" si="158"/>
        <v>146.24099999999999</v>
      </c>
      <c r="AD61" s="53">
        <f t="shared" si="158"/>
        <v>129.93799999999999</v>
      </c>
      <c r="AE61" s="54">
        <f t="shared" si="158"/>
        <v>140.38799999999998</v>
      </c>
      <c r="AF61" s="53">
        <f t="shared" si="158"/>
        <v>154.905</v>
      </c>
      <c r="AG61" s="53">
        <f t="shared" si="158"/>
        <v>138.08300000000003</v>
      </c>
      <c r="AH61" s="53">
        <f t="shared" si="158"/>
        <v>115.69300000000001</v>
      </c>
      <c r="AI61" s="53">
        <f t="shared" si="158"/>
        <v>138.32500000000002</v>
      </c>
      <c r="AJ61" s="52">
        <f>AJ49+AJ55</f>
        <v>182.97900000000004</v>
      </c>
      <c r="AK61" s="53">
        <f>AK49+AK55</f>
        <v>152.76499999999999</v>
      </c>
      <c r="AL61" s="53">
        <f t="shared" si="158"/>
        <v>197.93199999999999</v>
      </c>
      <c r="AM61" s="53">
        <f t="shared" si="158"/>
        <v>175.85</v>
      </c>
      <c r="AN61" s="52">
        <f t="shared" ref="AN61:AS61" si="159">AN49+AN55</f>
        <v>200.27800000000005</v>
      </c>
      <c r="AO61" s="53">
        <f t="shared" si="159"/>
        <v>194.31799999999998</v>
      </c>
      <c r="AP61" s="53">
        <f t="shared" si="159"/>
        <v>186.00199999999992</v>
      </c>
      <c r="AQ61" s="53">
        <f t="shared" si="159"/>
        <v>159.47799999999998</v>
      </c>
      <c r="AR61" s="52">
        <f t="shared" si="159"/>
        <v>167.96700000000004</v>
      </c>
      <c r="AS61" s="53">
        <f t="shared" si="159"/>
        <v>143.96900000000002</v>
      </c>
      <c r="AT61" s="53">
        <f t="shared" ref="AT61:AY61" si="160">AT49+AT55</f>
        <v>155.05100000000002</v>
      </c>
      <c r="AU61" s="53">
        <f t="shared" si="160"/>
        <v>169.83800000000002</v>
      </c>
      <c r="AV61" s="52">
        <f t="shared" si="160"/>
        <v>181.61799999999997</v>
      </c>
      <c r="AW61" s="53">
        <f t="shared" si="160"/>
        <v>175.66199999999995</v>
      </c>
      <c r="AX61" s="53">
        <f t="shared" si="160"/>
        <v>162.57999999999998</v>
      </c>
      <c r="AY61" s="54">
        <f t="shared" si="160"/>
        <v>171.21999999999997</v>
      </c>
      <c r="AZ61" s="52">
        <f t="shared" ref="AZ61:BK61" si="161">AZ49+AZ55</f>
        <v>182.25899999999999</v>
      </c>
      <c r="BA61" s="53">
        <f t="shared" si="161"/>
        <v>187.00000000000003</v>
      </c>
      <c r="BB61" s="53">
        <f t="shared" si="161"/>
        <v>195.16899999999998</v>
      </c>
      <c r="BC61" s="54">
        <f t="shared" si="161"/>
        <v>185.98399999999992</v>
      </c>
      <c r="BD61" s="52">
        <f t="shared" si="161"/>
        <v>215.77814096699996</v>
      </c>
      <c r="BE61" s="53">
        <f t="shared" si="161"/>
        <v>215.30578118012596</v>
      </c>
      <c r="BF61" s="53">
        <f t="shared" si="161"/>
        <v>213.52215108138597</v>
      </c>
      <c r="BG61" s="54">
        <f t="shared" si="161"/>
        <v>218.73889686185566</v>
      </c>
      <c r="BH61" s="52">
        <f t="shared" si="161"/>
        <v>229.57020275658419</v>
      </c>
      <c r="BI61" s="53">
        <f t="shared" si="161"/>
        <v>233.71636772936864</v>
      </c>
      <c r="BJ61" s="53">
        <f t="shared" si="161"/>
        <v>232.52242145538997</v>
      </c>
      <c r="BK61" s="54">
        <f t="shared" si="161"/>
        <v>237.2629032690661</v>
      </c>
      <c r="BL61" s="269"/>
      <c r="BM61" s="52">
        <f t="shared" ref="BM61:BW61" si="162">BM49+BM55</f>
        <v>456.60199999999992</v>
      </c>
      <c r="BN61" s="53">
        <f t="shared" si="162"/>
        <v>431.14600000000007</v>
      </c>
      <c r="BO61" s="53">
        <f t="shared" si="162"/>
        <v>469.48900000000009</v>
      </c>
      <c r="BP61" s="53">
        <f t="shared" si="162"/>
        <v>458.02599999999967</v>
      </c>
      <c r="BQ61" s="53">
        <f t="shared" si="162"/>
        <v>421.7650000000001</v>
      </c>
      <c r="BR61" s="53">
        <f t="shared" si="162"/>
        <v>771.08000000000027</v>
      </c>
      <c r="BS61" s="53">
        <f t="shared" si="162"/>
        <v>597.05099999999993</v>
      </c>
      <c r="BT61" s="52">
        <f t="shared" si="162"/>
        <v>547.0060000000002</v>
      </c>
      <c r="BU61" s="53">
        <f t="shared" si="162"/>
        <v>709.52600000000007</v>
      </c>
      <c r="BV61" s="53">
        <f>BV49+BV55</f>
        <v>740.07600000000025</v>
      </c>
      <c r="BW61" s="53">
        <f t="shared" si="162"/>
        <v>636.82500000000016</v>
      </c>
      <c r="BX61" s="53">
        <f>BX49+BX55</f>
        <v>691.08000000000015</v>
      </c>
      <c r="BY61" s="53">
        <f>BY49+BY55</f>
        <v>750.41200000000003</v>
      </c>
      <c r="BZ61" s="53">
        <f>BZ49+BZ55</f>
        <v>863.3449700903675</v>
      </c>
      <c r="CA61" s="53">
        <f>CA49+CA55</f>
        <v>933.07189521040891</v>
      </c>
      <c r="CB61" s="954">
        <f>CB49+CB55</f>
        <v>984.25496321029937</v>
      </c>
      <c r="CC61" s="20"/>
      <c r="CD61" s="53">
        <f t="shared" ref="CD61:CM61" si="163">CD49+CD55</f>
        <v>457.64700000000028</v>
      </c>
      <c r="CE61" s="53">
        <f t="shared" si="163"/>
        <v>455.887</v>
      </c>
      <c r="CF61" s="53">
        <f t="shared" si="163"/>
        <v>481.23799999999983</v>
      </c>
      <c r="CG61" s="53">
        <f t="shared" si="163"/>
        <v>351.43500000000017</v>
      </c>
      <c r="CH61" s="53">
        <f t="shared" si="163"/>
        <v>764.26200000000028</v>
      </c>
      <c r="CI61" s="53">
        <f t="shared" si="163"/>
        <v>625.47499999999991</v>
      </c>
      <c r="CJ61" s="53">
        <f t="shared" si="163"/>
        <v>549.06899999999985</v>
      </c>
      <c r="CK61" s="53">
        <f t="shared" si="163"/>
        <v>672.00100000000032</v>
      </c>
      <c r="CL61" s="53">
        <f t="shared" si="163"/>
        <v>756.44799999999975</v>
      </c>
      <c r="CM61" s="53">
        <f t="shared" si="163"/>
        <v>626.46499999999992</v>
      </c>
      <c r="CN61" s="53">
        <f>CN49+CN55</f>
        <v>689.69800000000009</v>
      </c>
      <c r="CO61" s="53">
        <f>CO49+CO55</f>
        <v>735.64800000000025</v>
      </c>
      <c r="CP61" s="53">
        <f>CP49+CP55</f>
        <v>830.59007322851176</v>
      </c>
      <c r="CQ61" s="54">
        <f>CQ49+CQ55</f>
        <v>914.54788880319802</v>
      </c>
      <c r="CR61" s="806"/>
      <c r="CS61" s="806"/>
      <c r="CZ61" s="8"/>
    </row>
    <row r="62" spans="1:104" ht="14.25" customHeight="1">
      <c r="A62" s="8"/>
      <c r="B62" s="36" t="s">
        <v>399</v>
      </c>
      <c r="C62" s="37"/>
      <c r="D62" s="40">
        <f t="shared" ref="D62:AM62" si="164">D61/D10</f>
        <v>0.2461721006761575</v>
      </c>
      <c r="E62" s="38">
        <f t="shared" si="164"/>
        <v>0.24629445339897574</v>
      </c>
      <c r="F62" s="38">
        <f t="shared" si="164"/>
        <v>0.29087754806997257</v>
      </c>
      <c r="G62" s="39">
        <f t="shared" si="164"/>
        <v>0.27051660149427209</v>
      </c>
      <c r="H62" s="40">
        <f t="shared" si="164"/>
        <v>0.22325609416613687</v>
      </c>
      <c r="I62" s="38">
        <f t="shared" si="164"/>
        <v>0.25533627295689032</v>
      </c>
      <c r="J62" s="38">
        <f t="shared" si="164"/>
        <v>0.22878029840812034</v>
      </c>
      <c r="K62" s="39">
        <f t="shared" si="164"/>
        <v>0.22836616516939065</v>
      </c>
      <c r="L62" s="40">
        <f t="shared" si="164"/>
        <v>0.24893028220814861</v>
      </c>
      <c r="M62" s="38">
        <f t="shared" si="164"/>
        <v>0.25597333297369712</v>
      </c>
      <c r="N62" s="38">
        <f t="shared" si="164"/>
        <v>0.27322948741170078</v>
      </c>
      <c r="O62" s="39">
        <f t="shared" si="164"/>
        <v>0.2414578779216412</v>
      </c>
      <c r="P62" s="40">
        <f t="shared" si="164"/>
        <v>0.21894290992655341</v>
      </c>
      <c r="Q62" s="38">
        <f t="shared" si="164"/>
        <v>0.21275517695646864</v>
      </c>
      <c r="R62" s="38">
        <f t="shared" si="164"/>
        <v>0.34160872799621295</v>
      </c>
      <c r="S62" s="39">
        <f t="shared" si="164"/>
        <v>0.23205253484686622</v>
      </c>
      <c r="T62" s="40">
        <f t="shared" si="164"/>
        <v>0.12346007149786707</v>
      </c>
      <c r="U62" s="38">
        <f t="shared" si="164"/>
        <v>0.19354139052897951</v>
      </c>
      <c r="V62" s="38">
        <f t="shared" si="164"/>
        <v>0.25910442992973598</v>
      </c>
      <c r="W62" s="39">
        <f t="shared" si="164"/>
        <v>0.30621526596347948</v>
      </c>
      <c r="X62" s="40">
        <f t="shared" si="164"/>
        <v>0.34114070589184797</v>
      </c>
      <c r="Y62" s="38">
        <f t="shared" si="164"/>
        <v>0.35369053651483223</v>
      </c>
      <c r="Z62" s="38">
        <f t="shared" si="164"/>
        <v>0.31772245631975182</v>
      </c>
      <c r="AA62" s="39">
        <f t="shared" si="164"/>
        <v>0.28716751835496013</v>
      </c>
      <c r="AB62" s="40">
        <f t="shared" si="164"/>
        <v>0.29324914738985114</v>
      </c>
      <c r="AC62" s="38">
        <f t="shared" si="164"/>
        <v>0.26339810773960798</v>
      </c>
      <c r="AD62" s="38">
        <f t="shared" si="164"/>
        <v>0.25423652539371655</v>
      </c>
      <c r="AE62" s="39">
        <f t="shared" si="164"/>
        <v>0.2511534546391328</v>
      </c>
      <c r="AF62" s="38">
        <f t="shared" si="164"/>
        <v>0.26580173786514388</v>
      </c>
      <c r="AG62" s="38">
        <f t="shared" si="164"/>
        <v>0.25386031000141568</v>
      </c>
      <c r="AH62" s="38">
        <f t="shared" si="164"/>
        <v>0.22695270584404251</v>
      </c>
      <c r="AI62" s="38">
        <f t="shared" si="164"/>
        <v>0.25992731618586612</v>
      </c>
      <c r="AJ62" s="40">
        <f t="shared" si="164"/>
        <v>0.3160504702438014</v>
      </c>
      <c r="AK62" s="38">
        <f t="shared" si="164"/>
        <v>0.2550602150142669</v>
      </c>
      <c r="AL62" s="38">
        <f t="shared" si="164"/>
        <v>0.33729823317700947</v>
      </c>
      <c r="AM62" s="38">
        <f t="shared" si="164"/>
        <v>0.28462844536380161</v>
      </c>
      <c r="AN62" s="40">
        <f t="shared" ref="AN62:AS62" si="165">AN61/AN10</f>
        <v>0.326913502863868</v>
      </c>
      <c r="AO62" s="38">
        <f t="shared" si="165"/>
        <v>0.32157905014712163</v>
      </c>
      <c r="AP62" s="38">
        <f t="shared" si="165"/>
        <v>0.31337261119132526</v>
      </c>
      <c r="AQ62" s="38">
        <f t="shared" si="165"/>
        <v>0.28131592873522665</v>
      </c>
      <c r="AR62" s="40">
        <f t="shared" si="165"/>
        <v>0.30594636143735615</v>
      </c>
      <c r="AS62" s="38">
        <f t="shared" si="165"/>
        <v>0.27288976670482895</v>
      </c>
      <c r="AT62" s="38">
        <f t="shared" ref="AT62:AY62" si="166">AT61/AT10</f>
        <v>0.27382800427384391</v>
      </c>
      <c r="AU62" s="38">
        <f t="shared" si="166"/>
        <v>0.29740520360168532</v>
      </c>
      <c r="AV62" s="40">
        <f t="shared" si="166"/>
        <v>0.31586782867607793</v>
      </c>
      <c r="AW62" s="38">
        <f t="shared" si="166"/>
        <v>0.30327912722350647</v>
      </c>
      <c r="AX62" s="38">
        <f t="shared" si="166"/>
        <v>0.27758806736692571</v>
      </c>
      <c r="AY62" s="39">
        <f t="shared" si="166"/>
        <v>0.2809409108510596</v>
      </c>
      <c r="AZ62" s="40">
        <f t="shared" ref="AZ62:BK62" si="167">AZ61/AZ10</f>
        <v>0.29614133490184352</v>
      </c>
      <c r="BA62" s="38">
        <f t="shared" si="167"/>
        <v>0.30185487398769661</v>
      </c>
      <c r="BB62" s="38">
        <f t="shared" si="167"/>
        <v>0.30920653429299755</v>
      </c>
      <c r="BC62" s="39">
        <f t="shared" si="167"/>
        <v>0.27640734652870863</v>
      </c>
      <c r="BD62" s="40">
        <f t="shared" si="167"/>
        <v>0.31944124568296967</v>
      </c>
      <c r="BE62" s="38">
        <f t="shared" si="167"/>
        <v>0.31694413023653434</v>
      </c>
      <c r="BF62" s="38">
        <f t="shared" si="167"/>
        <v>0.31495004564207507</v>
      </c>
      <c r="BG62" s="39">
        <f t="shared" si="167"/>
        <v>0.31487904021398483</v>
      </c>
      <c r="BH62" s="40">
        <f t="shared" si="167"/>
        <v>0.31978595348740857</v>
      </c>
      <c r="BI62" s="38">
        <f t="shared" si="167"/>
        <v>0.32276199737753303</v>
      </c>
      <c r="BJ62" s="38">
        <f t="shared" si="167"/>
        <v>0.32378497855413263</v>
      </c>
      <c r="BK62" s="39">
        <f t="shared" si="167"/>
        <v>0.3247373631416231</v>
      </c>
      <c r="BL62" s="269"/>
      <c r="BM62" s="40">
        <f t="shared" ref="BM62:BW62" si="168">BM61/BM10</f>
        <v>0.26450514120202745</v>
      </c>
      <c r="BN62" s="38">
        <f t="shared" si="168"/>
        <v>0.23397019328293375</v>
      </c>
      <c r="BO62" s="38">
        <f t="shared" si="168"/>
        <v>0.25496694855792318</v>
      </c>
      <c r="BP62" s="38">
        <f t="shared" si="168"/>
        <v>0.25094784964146066</v>
      </c>
      <c r="BQ62" s="38">
        <f t="shared" si="168"/>
        <v>0.23002594960388409</v>
      </c>
      <c r="BR62" s="38">
        <f t="shared" si="168"/>
        <v>0.32542641842287973</v>
      </c>
      <c r="BS62" s="38">
        <f t="shared" si="168"/>
        <v>0.26645307613212799</v>
      </c>
      <c r="BT62" s="40">
        <f t="shared" si="168"/>
        <v>0.25223318448510879</v>
      </c>
      <c r="BU62" s="38">
        <f t="shared" si="168"/>
        <v>0.29780347034309318</v>
      </c>
      <c r="BV62" s="38">
        <f>BV61/BV10</f>
        <v>0.31130370699402365</v>
      </c>
      <c r="BW62" s="38">
        <f t="shared" si="168"/>
        <v>0.28765096226942644</v>
      </c>
      <c r="BX62" s="38">
        <f>BX61/BX10</f>
        <v>0.29416046277023672</v>
      </c>
      <c r="BY62" s="38">
        <f>BY61/BY10</f>
        <v>0.29555368955700739</v>
      </c>
      <c r="BZ62" s="38">
        <f>BZ61/BZ10</f>
        <v>0.31654093012777101</v>
      </c>
      <c r="CA62" s="38">
        <f>CA61/CA10</f>
        <v>0.32277633278677181</v>
      </c>
      <c r="CB62" s="951">
        <f>CB61/CB10</f>
        <v>0.32263124207155108</v>
      </c>
      <c r="CC62" s="20"/>
      <c r="CD62" s="38">
        <f t="shared" ref="CD62:CM62" si="169">CD61/CD10</f>
        <v>0.24452127693678802</v>
      </c>
      <c r="CE62" s="38">
        <f t="shared" si="169"/>
        <v>0.25199880160346338</v>
      </c>
      <c r="CF62" s="38">
        <f t="shared" si="169"/>
        <v>0.25249510737540198</v>
      </c>
      <c r="CG62" s="38">
        <f t="shared" si="169"/>
        <v>0.20678145012673965</v>
      </c>
      <c r="CH62" s="38">
        <f t="shared" si="169"/>
        <v>0.33076157712260779</v>
      </c>
      <c r="CI62" s="38">
        <f t="shared" si="169"/>
        <v>0.27558638799972679</v>
      </c>
      <c r="CJ62" s="38">
        <f t="shared" si="169"/>
        <v>0.25009326076529848</v>
      </c>
      <c r="CK62" s="38">
        <f t="shared" si="169"/>
        <v>0.29257173656740731</v>
      </c>
      <c r="CL62" s="38">
        <f t="shared" si="169"/>
        <v>0.31151763788743159</v>
      </c>
      <c r="CM62" s="38">
        <f t="shared" si="169"/>
        <v>0.28350488637674987</v>
      </c>
      <c r="CN62" s="38">
        <f>CN61/CN10</f>
        <v>0.29844859936026147</v>
      </c>
      <c r="CO62" s="38">
        <f>CO61/CO10</f>
        <v>0.29716019670430621</v>
      </c>
      <c r="CP62" s="38">
        <f>CP61/CP10</f>
        <v>0.30698678964461873</v>
      </c>
      <c r="CQ62" s="39">
        <f>CQ61/CQ10</f>
        <v>0.32035276174697869</v>
      </c>
      <c r="CR62" s="14"/>
      <c r="CS62" s="14"/>
      <c r="CZ62" s="8"/>
    </row>
    <row r="63" spans="1:104" ht="14.25" hidden="1" customHeight="1" outlineLevel="1">
      <c r="A63" s="8"/>
      <c r="B63" s="50"/>
      <c r="C63" s="51"/>
      <c r="D63" s="52"/>
      <c r="E63" s="53"/>
      <c r="F63" s="53"/>
      <c r="G63" s="54"/>
      <c r="H63" s="52"/>
      <c r="I63" s="53"/>
      <c r="J63" s="53"/>
      <c r="K63" s="54"/>
      <c r="L63" s="52"/>
      <c r="M63" s="53"/>
      <c r="N63" s="53"/>
      <c r="O63" s="54"/>
      <c r="P63" s="52"/>
      <c r="Q63" s="53"/>
      <c r="R63" s="53"/>
      <c r="S63" s="54"/>
      <c r="T63" s="52"/>
      <c r="U63" s="53"/>
      <c r="V63" s="53"/>
      <c r="W63" s="54"/>
      <c r="X63" s="52"/>
      <c r="Y63" s="53"/>
      <c r="Z63" s="53"/>
      <c r="AA63" s="54"/>
      <c r="AB63" s="52"/>
      <c r="AC63" s="53"/>
      <c r="AD63" s="53"/>
      <c r="AE63" s="54"/>
      <c r="AF63" s="53"/>
      <c r="AG63" s="53"/>
      <c r="AH63" s="53"/>
      <c r="AI63" s="53"/>
      <c r="AJ63" s="52"/>
      <c r="AK63" s="53"/>
      <c r="AL63" s="53"/>
      <c r="AM63" s="53"/>
      <c r="AN63" s="52"/>
      <c r="AO63" s="53"/>
      <c r="AP63" s="53"/>
      <c r="AQ63" s="53"/>
      <c r="AR63" s="52"/>
      <c r="AS63" s="53"/>
      <c r="AT63" s="53"/>
      <c r="AU63" s="53"/>
      <c r="AV63" s="52"/>
      <c r="AW63" s="53"/>
      <c r="AX63" s="53"/>
      <c r="AY63" s="54"/>
      <c r="AZ63" s="52"/>
      <c r="BA63" s="53"/>
      <c r="BB63" s="53"/>
      <c r="BC63" s="54"/>
      <c r="BD63" s="52"/>
      <c r="BE63" s="53"/>
      <c r="BF63" s="53"/>
      <c r="BG63" s="54"/>
      <c r="BH63" s="52"/>
      <c r="BI63" s="53"/>
      <c r="BJ63" s="53"/>
      <c r="BK63" s="54"/>
      <c r="BL63" s="269"/>
      <c r="BM63" s="52"/>
      <c r="BN63" s="53"/>
      <c r="BO63" s="53"/>
      <c r="BP63" s="53"/>
      <c r="BQ63" s="53"/>
      <c r="BR63" s="53"/>
      <c r="BS63" s="53"/>
      <c r="BT63" s="52"/>
      <c r="BU63" s="53"/>
      <c r="BV63" s="53"/>
      <c r="BW63" s="53"/>
      <c r="BX63" s="53"/>
      <c r="BY63" s="53"/>
      <c r="BZ63" s="53"/>
      <c r="CA63" s="53"/>
      <c r="CB63" s="954"/>
      <c r="CC63" s="20"/>
      <c r="CD63" s="53"/>
      <c r="CE63" s="53"/>
      <c r="CF63" s="53"/>
      <c r="CG63" s="53"/>
      <c r="CH63" s="53"/>
      <c r="CI63" s="53"/>
      <c r="CJ63" s="53"/>
      <c r="CK63" s="53"/>
      <c r="CL63" s="53"/>
      <c r="CM63" s="53"/>
      <c r="CN63" s="53"/>
      <c r="CO63" s="53"/>
      <c r="CP63" s="53"/>
      <c r="CQ63" s="54"/>
      <c r="CR63" s="14"/>
      <c r="CS63" s="14"/>
      <c r="CZ63" s="8"/>
    </row>
    <row r="64" spans="1:104" ht="14.25" hidden="1" customHeight="1" outlineLevel="1">
      <c r="A64" s="8"/>
      <c r="B64" s="50" t="s">
        <v>11</v>
      </c>
      <c r="C64" s="51"/>
      <c r="D64" s="52">
        <f t="shared" ref="D64:AM64" si="170">D52+D59</f>
        <v>101.54900000000005</v>
      </c>
      <c r="E64" s="53">
        <f t="shared" si="170"/>
        <v>103.17399999999998</v>
      </c>
      <c r="F64" s="53">
        <f t="shared" si="170"/>
        <v>132.31600000000003</v>
      </c>
      <c r="G64" s="54">
        <f t="shared" si="170"/>
        <v>135.62200000000001</v>
      </c>
      <c r="H64" s="52">
        <f t="shared" si="170"/>
        <v>112.14399999999999</v>
      </c>
      <c r="I64" s="53">
        <f t="shared" si="170"/>
        <v>121.31900000000002</v>
      </c>
      <c r="J64" s="53">
        <f t="shared" si="170"/>
        <v>109.13700000000006</v>
      </c>
      <c r="K64" s="54">
        <f t="shared" si="170"/>
        <v>103.214</v>
      </c>
      <c r="L64" s="52">
        <f t="shared" si="170"/>
        <v>112.89799999999995</v>
      </c>
      <c r="M64" s="53">
        <f t="shared" si="170"/>
        <v>115.77800000000001</v>
      </c>
      <c r="N64" s="53">
        <f t="shared" si="170"/>
        <v>131.31299999999999</v>
      </c>
      <c r="O64" s="54">
        <f t="shared" si="170"/>
        <v>119.152</v>
      </c>
      <c r="P64" s="52">
        <f t="shared" si="170"/>
        <v>132.48000000000002</v>
      </c>
      <c r="Q64" s="53">
        <f t="shared" si="170"/>
        <v>135.78899999999999</v>
      </c>
      <c r="R64" s="53">
        <f t="shared" si="170"/>
        <v>119.31400000000005</v>
      </c>
      <c r="S64" s="54">
        <f t="shared" si="170"/>
        <v>76.89200000000001</v>
      </c>
      <c r="T64" s="52">
        <f t="shared" si="170"/>
        <v>64.714000000000027</v>
      </c>
      <c r="U64" s="53">
        <f t="shared" si="170"/>
        <v>86.225000000000037</v>
      </c>
      <c r="V64" s="53">
        <f t="shared" si="170"/>
        <v>141.58300000000006</v>
      </c>
      <c r="W64" s="54">
        <f t="shared" si="170"/>
        <v>165.60499999999993</v>
      </c>
      <c r="X64" s="52">
        <f t="shared" si="170"/>
        <v>202.88899999999998</v>
      </c>
      <c r="Y64" s="53">
        <f t="shared" si="170"/>
        <v>219.17000000000004</v>
      </c>
      <c r="Z64" s="53">
        <f t="shared" si="170"/>
        <v>184.48500000000007</v>
      </c>
      <c r="AA64" s="54">
        <f t="shared" si="170"/>
        <v>181.82000000000002</v>
      </c>
      <c r="AB64" s="52">
        <f t="shared" si="170"/>
        <v>182.10699999999994</v>
      </c>
      <c r="AC64" s="53">
        <f t="shared" si="170"/>
        <v>151.59199999999998</v>
      </c>
      <c r="AD64" s="53">
        <f t="shared" si="170"/>
        <v>131.91999999999999</v>
      </c>
      <c r="AE64" s="54">
        <f t="shared" si="170"/>
        <v>157.76899999999998</v>
      </c>
      <c r="AF64" s="53">
        <f t="shared" si="170"/>
        <v>157.053</v>
      </c>
      <c r="AG64" s="53">
        <f t="shared" si="170"/>
        <v>140.40200000000004</v>
      </c>
      <c r="AH64" s="53">
        <f t="shared" si="170"/>
        <v>118.24700000000001</v>
      </c>
      <c r="AI64" s="53">
        <f t="shared" si="170"/>
        <v>140.81200000000001</v>
      </c>
      <c r="AJ64" s="52">
        <f>AJ52+AJ59</f>
        <v>185.39700000000005</v>
      </c>
      <c r="AK64" s="53">
        <f>AK52+AK59</f>
        <v>183.78299999999996</v>
      </c>
      <c r="AL64" s="53">
        <f t="shared" si="170"/>
        <v>181.33099999999999</v>
      </c>
      <c r="AM64" s="53">
        <f t="shared" si="170"/>
        <v>188.16</v>
      </c>
      <c r="AN64" s="52">
        <f t="shared" ref="AN64:AS64" si="171">AN52+AN59</f>
        <v>202.69600000000005</v>
      </c>
      <c r="AO64" s="53">
        <f t="shared" si="171"/>
        <v>196.69599999999997</v>
      </c>
      <c r="AP64" s="53">
        <f t="shared" si="171"/>
        <v>188.37299999999993</v>
      </c>
      <c r="AQ64" s="53">
        <f t="shared" si="171"/>
        <v>186.33899999999997</v>
      </c>
      <c r="AR64" s="52">
        <f t="shared" si="171"/>
        <v>169.73600000000005</v>
      </c>
      <c r="AS64" s="53">
        <f t="shared" si="171"/>
        <v>145.73800000000003</v>
      </c>
      <c r="AT64" s="53">
        <f t="shared" ref="AT64:AY64" si="172">AT52+AT59</f>
        <v>156.82000000000002</v>
      </c>
      <c r="AU64" s="53">
        <f t="shared" si="172"/>
        <v>171.08200000000002</v>
      </c>
      <c r="AV64" s="52">
        <f t="shared" si="172"/>
        <v>182.86199999999997</v>
      </c>
      <c r="AW64" s="53">
        <f t="shared" si="172"/>
        <v>176.90599999999995</v>
      </c>
      <c r="AX64" s="53">
        <f t="shared" si="172"/>
        <v>164.035</v>
      </c>
      <c r="AY64" s="54">
        <f t="shared" si="172"/>
        <v>172.40399999999997</v>
      </c>
      <c r="AZ64" s="52">
        <f t="shared" ref="AZ64:BK64" si="173">AZ52+AZ59</f>
        <v>182.964</v>
      </c>
      <c r="BA64" s="53">
        <f t="shared" si="173"/>
        <v>187.51000000000002</v>
      </c>
      <c r="BB64" s="53">
        <f t="shared" si="173"/>
        <v>195.52199999999999</v>
      </c>
      <c r="BC64" s="54">
        <f t="shared" si="173"/>
        <v>219.91899999999993</v>
      </c>
      <c r="BD64" s="52">
        <f t="shared" si="173"/>
        <v>215.77814096699996</v>
      </c>
      <c r="BE64" s="53">
        <f t="shared" si="173"/>
        <v>215.3057811801259</v>
      </c>
      <c r="BF64" s="53">
        <f t="shared" si="173"/>
        <v>213.52215108138597</v>
      </c>
      <c r="BG64" s="54">
        <f t="shared" si="173"/>
        <v>218.73889686185566</v>
      </c>
      <c r="BH64" s="52">
        <f t="shared" si="173"/>
        <v>229.57020275658419</v>
      </c>
      <c r="BI64" s="53">
        <f t="shared" si="173"/>
        <v>233.71636772936859</v>
      </c>
      <c r="BJ64" s="53">
        <f t="shared" si="173"/>
        <v>232.52242145538997</v>
      </c>
      <c r="BK64" s="54">
        <f t="shared" si="173"/>
        <v>237.2629032690661</v>
      </c>
      <c r="BL64" s="269"/>
      <c r="BM64" s="52">
        <f t="shared" ref="BM64:BW64" si="174">BM52+BM59</f>
        <v>472.66099999999983</v>
      </c>
      <c r="BN64" s="53">
        <f t="shared" si="174"/>
        <v>445.81400000000002</v>
      </c>
      <c r="BO64" s="53">
        <f t="shared" si="174"/>
        <v>479.14100000000008</v>
      </c>
      <c r="BP64" s="53">
        <f t="shared" si="174"/>
        <v>464.47499999999968</v>
      </c>
      <c r="BQ64" s="53">
        <f t="shared" si="174"/>
        <v>458.12700000000012</v>
      </c>
      <c r="BR64" s="53">
        <f t="shared" si="174"/>
        <v>788.36400000000026</v>
      </c>
      <c r="BS64" s="53">
        <f t="shared" si="174"/>
        <v>623.38799999999992</v>
      </c>
      <c r="BT64" s="52">
        <f t="shared" si="174"/>
        <v>556.51400000000024</v>
      </c>
      <c r="BU64" s="53">
        <f t="shared" si="174"/>
        <v>738.67100000000005</v>
      </c>
      <c r="BV64" s="53">
        <f t="shared" si="174"/>
        <v>774.10400000000027</v>
      </c>
      <c r="BW64" s="53">
        <f t="shared" si="174"/>
        <v>643.3760000000002</v>
      </c>
      <c r="BX64" s="53">
        <f>BX52+BX59</f>
        <v>696.20700000000011</v>
      </c>
      <c r="BY64" s="53">
        <f>BY52+BY59</f>
        <v>785.91499999999996</v>
      </c>
      <c r="BZ64" s="53">
        <f>BZ52+BZ59</f>
        <v>863.3449700903675</v>
      </c>
      <c r="CA64" s="53">
        <f>CA52+CA59</f>
        <v>933.07189521040891</v>
      </c>
      <c r="CB64" s="954">
        <f>CB52+CB59</f>
        <v>984.25496321029937</v>
      </c>
      <c r="CC64" s="20"/>
      <c r="CD64" s="53">
        <f t="shared" ref="CD64:CM64" si="175">CD52+CD59</f>
        <v>478.22200000000026</v>
      </c>
      <c r="CE64" s="53">
        <f t="shared" si="175"/>
        <v>463.20300000000003</v>
      </c>
      <c r="CF64" s="53">
        <f t="shared" si="175"/>
        <v>506.73499999999979</v>
      </c>
      <c r="CG64" s="53">
        <f t="shared" si="175"/>
        <v>369.41400000000016</v>
      </c>
      <c r="CH64" s="53">
        <f t="shared" si="175"/>
        <v>772.14900000000034</v>
      </c>
      <c r="CI64" s="53">
        <f t="shared" si="175"/>
        <v>647.43899999999985</v>
      </c>
      <c r="CJ64" s="53">
        <f t="shared" si="175"/>
        <v>573.47099999999989</v>
      </c>
      <c r="CK64" s="53">
        <f t="shared" si="175"/>
        <v>691.32300000000032</v>
      </c>
      <c r="CL64" s="53">
        <f t="shared" si="175"/>
        <v>775.92499999999973</v>
      </c>
      <c r="CM64" s="53">
        <f t="shared" si="175"/>
        <v>658.63299999999992</v>
      </c>
      <c r="CN64" s="53">
        <f>CN52+CN59</f>
        <v>694.8850000000001</v>
      </c>
      <c r="CO64" s="53">
        <f>CO52+CO59</f>
        <v>738.4000000000002</v>
      </c>
      <c r="CP64" s="53">
        <f>CP52+CP59</f>
        <v>864.5250732285117</v>
      </c>
      <c r="CQ64" s="54">
        <f>CQ52+CQ59</f>
        <v>914.54788880319802</v>
      </c>
      <c r="CR64" s="806"/>
      <c r="CS64" s="806"/>
      <c r="CZ64" s="8"/>
    </row>
    <row r="65" spans="1:104" ht="14.25" hidden="1" customHeight="1" outlineLevel="1">
      <c r="A65" s="8"/>
      <c r="B65" s="36" t="s">
        <v>400</v>
      </c>
      <c r="C65" s="37"/>
      <c r="D65" s="40">
        <f t="shared" ref="D65:AM65" si="176">D64/D10</f>
        <v>0.25050384948406318</v>
      </c>
      <c r="E65" s="38">
        <f t="shared" si="176"/>
        <v>0.25862747506448514</v>
      </c>
      <c r="F65" s="38">
        <f t="shared" si="176"/>
        <v>0.29429388018371688</v>
      </c>
      <c r="G65" s="39">
        <f t="shared" si="176"/>
        <v>0.28712973999496127</v>
      </c>
      <c r="H65" s="40">
        <f t="shared" si="176"/>
        <v>0.23297227450442698</v>
      </c>
      <c r="I65" s="38">
        <f t="shared" si="176"/>
        <v>0.25968363371719683</v>
      </c>
      <c r="J65" s="38">
        <f t="shared" si="176"/>
        <v>0.24213655776804049</v>
      </c>
      <c r="K65" s="39">
        <f t="shared" si="176"/>
        <v>0.23274073673196954</v>
      </c>
      <c r="L65" s="40">
        <f t="shared" si="176"/>
        <v>0.25318448483108763</v>
      </c>
      <c r="M65" s="38">
        <f t="shared" si="176"/>
        <v>0.26023727000139363</v>
      </c>
      <c r="N65" s="38">
        <f t="shared" si="176"/>
        <v>0.27656137454033858</v>
      </c>
      <c r="O65" s="39">
        <f t="shared" si="176"/>
        <v>0.25044560282495376</v>
      </c>
      <c r="P65" s="40">
        <f t="shared" si="176"/>
        <v>0.27133862847826717</v>
      </c>
      <c r="Q65" s="38">
        <f t="shared" si="176"/>
        <v>0.28082442501814753</v>
      </c>
      <c r="R65" s="38">
        <f t="shared" si="176"/>
        <v>0.26029097683834851</v>
      </c>
      <c r="S65" s="39">
        <f t="shared" si="176"/>
        <v>0.1946563919253495</v>
      </c>
      <c r="T65" s="40">
        <f t="shared" si="176"/>
        <v>0.17200419950297027</v>
      </c>
      <c r="U65" s="38">
        <f t="shared" si="176"/>
        <v>0.20779612001445966</v>
      </c>
      <c r="V65" s="38">
        <f t="shared" si="176"/>
        <v>0.27580262160830166</v>
      </c>
      <c r="W65" s="39">
        <f t="shared" si="176"/>
        <v>0.31304109485463677</v>
      </c>
      <c r="X65" s="40">
        <f t="shared" si="176"/>
        <v>0.34114070589184797</v>
      </c>
      <c r="Y65" s="38">
        <f t="shared" si="176"/>
        <v>0.35369053651483223</v>
      </c>
      <c r="Z65" s="38">
        <f t="shared" si="176"/>
        <v>0.32526137625839674</v>
      </c>
      <c r="AA65" s="39">
        <f t="shared" si="176"/>
        <v>0.30929553697189094</v>
      </c>
      <c r="AB65" s="40">
        <f t="shared" si="176"/>
        <v>0.29588618649699489</v>
      </c>
      <c r="AC65" s="38">
        <f t="shared" si="176"/>
        <v>0.27303591980677544</v>
      </c>
      <c r="AD65" s="38">
        <f t="shared" si="176"/>
        <v>0.25811450407070363</v>
      </c>
      <c r="AE65" s="39">
        <f t="shared" si="176"/>
        <v>0.28224797977719851</v>
      </c>
      <c r="AF65" s="38">
        <f t="shared" si="176"/>
        <v>0.26948749450911486</v>
      </c>
      <c r="AG65" s="38">
        <f t="shared" si="176"/>
        <v>0.25812370273544727</v>
      </c>
      <c r="AH65" s="38">
        <f t="shared" si="176"/>
        <v>0.23196283792399275</v>
      </c>
      <c r="AI65" s="38">
        <f t="shared" si="176"/>
        <v>0.26460065242554986</v>
      </c>
      <c r="AJ65" s="40">
        <f t="shared" si="176"/>
        <v>0.32022696064460976</v>
      </c>
      <c r="AK65" s="38">
        <f t="shared" si="176"/>
        <v>0.30684863349567643</v>
      </c>
      <c r="AL65" s="38">
        <f t="shared" si="176"/>
        <v>0.30900827516632129</v>
      </c>
      <c r="AM65" s="38">
        <f t="shared" si="176"/>
        <v>0.30455324583254428</v>
      </c>
      <c r="AN65" s="40">
        <f t="shared" ref="AN65:AS65" si="177">AN64/AN10</f>
        <v>0.33086040092518693</v>
      </c>
      <c r="AO65" s="38">
        <f t="shared" si="177"/>
        <v>0.32551442917145212</v>
      </c>
      <c r="AP65" s="38">
        <f t="shared" si="177"/>
        <v>0.31736722663166805</v>
      </c>
      <c r="AQ65" s="38">
        <f t="shared" si="177"/>
        <v>0.32869818310107601</v>
      </c>
      <c r="AR65" s="40">
        <f t="shared" si="177"/>
        <v>0.3091685367062047</v>
      </c>
      <c r="AS65" s="38">
        <f t="shared" si="177"/>
        <v>0.27624286353331873</v>
      </c>
      <c r="AT65" s="38">
        <f t="shared" ref="AT65:AY65" si="178">AT64/AT10</f>
        <v>0.27695214884279501</v>
      </c>
      <c r="AU65" s="38">
        <f t="shared" si="178"/>
        <v>0.29958358578518074</v>
      </c>
      <c r="AV65" s="40">
        <f t="shared" si="178"/>
        <v>0.31803137842815671</v>
      </c>
      <c r="AW65" s="38">
        <f t="shared" si="178"/>
        <v>0.30542688390546413</v>
      </c>
      <c r="AX65" s="38">
        <f t="shared" si="178"/>
        <v>0.28007232519703323</v>
      </c>
      <c r="AY65" s="39">
        <f t="shared" si="178"/>
        <v>0.28288363972880548</v>
      </c>
      <c r="AZ65" s="40">
        <f t="shared" ref="AZ65:BK65" si="179">AZ64/AZ10</f>
        <v>0.29728684563714769</v>
      </c>
      <c r="BA65" s="38">
        <f t="shared" si="179"/>
        <v>0.30267811455311761</v>
      </c>
      <c r="BB65" s="38">
        <f t="shared" si="179"/>
        <v>0.30976579271316379</v>
      </c>
      <c r="BC65" s="39">
        <f t="shared" si="179"/>
        <v>0.32684116505316085</v>
      </c>
      <c r="BD65" s="40">
        <f t="shared" si="179"/>
        <v>0.31944124568296967</v>
      </c>
      <c r="BE65" s="38">
        <f t="shared" si="179"/>
        <v>0.31694413023653423</v>
      </c>
      <c r="BF65" s="38">
        <f t="shared" si="179"/>
        <v>0.31495004564207507</v>
      </c>
      <c r="BG65" s="39">
        <f t="shared" si="179"/>
        <v>0.31487904021398483</v>
      </c>
      <c r="BH65" s="40">
        <f t="shared" si="179"/>
        <v>0.31978595348740857</v>
      </c>
      <c r="BI65" s="38">
        <f t="shared" si="179"/>
        <v>0.32276199737753297</v>
      </c>
      <c r="BJ65" s="38">
        <f t="shared" si="179"/>
        <v>0.32378497855413263</v>
      </c>
      <c r="BK65" s="39">
        <f t="shared" si="179"/>
        <v>0.3247373631416231</v>
      </c>
      <c r="BL65" s="269"/>
      <c r="BM65" s="40">
        <f t="shared" ref="BM65:BW65" si="180">BM64/BM10</f>
        <v>0.27380796524257772</v>
      </c>
      <c r="BN65" s="38">
        <f t="shared" si="180"/>
        <v>0.24193008342472808</v>
      </c>
      <c r="BO65" s="38">
        <f t="shared" si="180"/>
        <v>0.26020869221428372</v>
      </c>
      <c r="BP65" s="38">
        <f t="shared" si="180"/>
        <v>0.25448119203324143</v>
      </c>
      <c r="BQ65" s="38">
        <f t="shared" si="180"/>
        <v>0.24985738080252892</v>
      </c>
      <c r="BR65" s="38">
        <f t="shared" si="180"/>
        <v>0.33272095364104259</v>
      </c>
      <c r="BS65" s="38">
        <f t="shared" si="180"/>
        <v>0.2782068034788569</v>
      </c>
      <c r="BT65" s="40">
        <f t="shared" si="180"/>
        <v>0.25661747481845876</v>
      </c>
      <c r="BU65" s="38">
        <f t="shared" si="180"/>
        <v>0.31003625975905458</v>
      </c>
      <c r="BV65" s="38">
        <f t="shared" si="180"/>
        <v>0.32561715931728863</v>
      </c>
      <c r="BW65" s="38">
        <f t="shared" si="180"/>
        <v>0.29061001923770974</v>
      </c>
      <c r="BX65" s="38">
        <f>BX64/BX10</f>
        <v>0.29634278709249023</v>
      </c>
      <c r="BY65" s="38">
        <f>BY64/BY10</f>
        <v>0.30953673172629897</v>
      </c>
      <c r="BZ65" s="38">
        <f>BZ64/BZ10</f>
        <v>0.31654093012777101</v>
      </c>
      <c r="CA65" s="38">
        <f>CA64/CA10</f>
        <v>0.32277633278677181</v>
      </c>
      <c r="CB65" s="951">
        <f>CB64/CB10</f>
        <v>0.32263124207155108</v>
      </c>
      <c r="CC65" s="20"/>
      <c r="CD65" s="38">
        <f t="shared" ref="CD65:CM65" si="181">CD64/CD10</f>
        <v>0.25551452123419283</v>
      </c>
      <c r="CE65" s="38">
        <f t="shared" si="181"/>
        <v>0.25604283714852377</v>
      </c>
      <c r="CF65" s="38">
        <f t="shared" si="181"/>
        <v>0.2658728284879297</v>
      </c>
      <c r="CG65" s="38">
        <f t="shared" si="181"/>
        <v>0.21736014516800944</v>
      </c>
      <c r="CH65" s="38">
        <f t="shared" si="181"/>
        <v>0.33417495703521111</v>
      </c>
      <c r="CI65" s="38">
        <f t="shared" si="181"/>
        <v>0.28526380024805964</v>
      </c>
      <c r="CJ65" s="38">
        <f t="shared" si="181"/>
        <v>0.26120803094754302</v>
      </c>
      <c r="CK65" s="38">
        <f t="shared" si="181"/>
        <v>0.30098403222463915</v>
      </c>
      <c r="CL65" s="38">
        <f t="shared" si="181"/>
        <v>0.3195385845131527</v>
      </c>
      <c r="CM65" s="38">
        <f t="shared" si="181"/>
        <v>0.29806241981431991</v>
      </c>
      <c r="CN65" s="38">
        <f>CN64/CN10</f>
        <v>0.30069313665757375</v>
      </c>
      <c r="CO65" s="38">
        <f>CO64/CO10</f>
        <v>0.29827184909965049</v>
      </c>
      <c r="CP65" s="38">
        <f>CP64/CP10</f>
        <v>0.31952919418612358</v>
      </c>
      <c r="CQ65" s="39">
        <f>CQ64/CQ10</f>
        <v>0.32035276174697869</v>
      </c>
      <c r="CR65" s="14"/>
      <c r="CS65" s="14"/>
      <c r="CZ65" s="8"/>
    </row>
    <row r="66" spans="1:104" ht="14.25" customHeight="1" collapsed="1">
      <c r="A66" s="8"/>
      <c r="B66" s="23"/>
      <c r="C66" s="24"/>
      <c r="D66" s="46"/>
      <c r="E66" s="44"/>
      <c r="F66" s="49"/>
      <c r="G66" s="45"/>
      <c r="H66" s="46"/>
      <c r="I66" s="44"/>
      <c r="J66" s="49"/>
      <c r="K66" s="45"/>
      <c r="L66" s="46"/>
      <c r="M66" s="44"/>
      <c r="N66" s="49"/>
      <c r="O66" s="45"/>
      <c r="P66" s="46"/>
      <c r="Q66" s="44"/>
      <c r="R66" s="49"/>
      <c r="S66" s="45"/>
      <c r="T66" s="46"/>
      <c r="U66" s="44"/>
      <c r="V66" s="49"/>
      <c r="W66" s="45"/>
      <c r="X66" s="46"/>
      <c r="Y66" s="44"/>
      <c r="Z66" s="44"/>
      <c r="AA66" s="45"/>
      <c r="AB66" s="46"/>
      <c r="AC66" s="44"/>
      <c r="AD66" s="44"/>
      <c r="AE66" s="45"/>
      <c r="AF66" s="44"/>
      <c r="AG66" s="44"/>
      <c r="AH66" s="44"/>
      <c r="AI66" s="44"/>
      <c r="AJ66" s="46"/>
      <c r="AK66" s="44"/>
      <c r="AL66" s="44"/>
      <c r="AM66" s="44"/>
      <c r="AN66" s="46"/>
      <c r="AO66" s="44"/>
      <c r="AP66" s="44"/>
      <c r="AQ66" s="44"/>
      <c r="AR66" s="46"/>
      <c r="AS66" s="44"/>
      <c r="AT66" s="44"/>
      <c r="AU66" s="44"/>
      <c r="AV66" s="46"/>
      <c r="AW66" s="44"/>
      <c r="AX66" s="44"/>
      <c r="AY66" s="45"/>
      <c r="AZ66" s="46"/>
      <c r="BA66" s="44"/>
      <c r="BB66" s="44"/>
      <c r="BC66" s="45"/>
      <c r="BD66" s="46"/>
      <c r="BE66" s="44"/>
      <c r="BF66" s="44"/>
      <c r="BG66" s="45"/>
      <c r="BH66" s="46"/>
      <c r="BI66" s="44"/>
      <c r="BJ66" s="44"/>
      <c r="BK66" s="45"/>
      <c r="BL66" s="269"/>
      <c r="BM66" s="57"/>
      <c r="BN66" s="47"/>
      <c r="BO66" s="47"/>
      <c r="BP66" s="47"/>
      <c r="BQ66" s="47"/>
      <c r="BR66" s="47"/>
      <c r="BS66" s="47"/>
      <c r="BT66" s="57"/>
      <c r="BU66" s="47"/>
      <c r="BV66" s="47"/>
      <c r="BW66" s="47"/>
      <c r="BX66" s="47"/>
      <c r="BY66" s="47"/>
      <c r="BZ66" s="47"/>
      <c r="CA66" s="47"/>
      <c r="CB66" s="942"/>
      <c r="CC66" s="20"/>
      <c r="CD66" s="47"/>
      <c r="CE66" s="47"/>
      <c r="CF66" s="47"/>
      <c r="CG66" s="47"/>
      <c r="CH66" s="47"/>
      <c r="CI66" s="47"/>
      <c r="CJ66" s="47"/>
      <c r="CK66" s="47"/>
      <c r="CL66" s="47"/>
      <c r="CM66" s="47"/>
      <c r="CN66" s="47"/>
      <c r="CO66" s="47"/>
      <c r="CP66" s="47"/>
      <c r="CQ66" s="48"/>
      <c r="CR66" s="14"/>
      <c r="CS66" s="14"/>
      <c r="CZ66" s="8"/>
    </row>
    <row r="67" spans="1:104" ht="14.25" customHeight="1">
      <c r="A67" s="8"/>
      <c r="B67" s="23" t="s">
        <v>392</v>
      </c>
      <c r="C67" s="24"/>
      <c r="D67" s="30">
        <v>22.952000000000002</v>
      </c>
      <c r="E67" s="31">
        <v>12.656000000000001</v>
      </c>
      <c r="F67" s="31">
        <v>49.811</v>
      </c>
      <c r="G67" s="32">
        <v>17.033999999999999</v>
      </c>
      <c r="H67" s="30">
        <v>24.975999999999999</v>
      </c>
      <c r="I67" s="31">
        <v>26.242000000000001</v>
      </c>
      <c r="J67" s="31">
        <v>15.608000000000001</v>
      </c>
      <c r="K67" s="32">
        <v>13.648</v>
      </c>
      <c r="L67" s="30">
        <v>26.722999999999999</v>
      </c>
      <c r="M67" s="31">
        <v>24.183</v>
      </c>
      <c r="N67" s="31">
        <v>26.138999999999999</v>
      </c>
      <c r="O67" s="32">
        <v>23.129000000000001</v>
      </c>
      <c r="P67" s="30">
        <v>23.72</v>
      </c>
      <c r="Q67" s="31">
        <v>21.815000000000001</v>
      </c>
      <c r="R67" s="31">
        <v>37.145000000000003</v>
      </c>
      <c r="S67" s="32">
        <v>13.627000000000001</v>
      </c>
      <c r="T67" s="30">
        <v>8.4440000000000008</v>
      </c>
      <c r="U67" s="31">
        <v>16.271999999999998</v>
      </c>
      <c r="V67" s="31">
        <v>26.103000000000002</v>
      </c>
      <c r="W67" s="32">
        <v>13.462</v>
      </c>
      <c r="X67" s="30">
        <v>44.302</v>
      </c>
      <c r="Y67" s="31">
        <v>48.274999999999999</v>
      </c>
      <c r="Z67" s="31">
        <v>27.867999999999999</v>
      </c>
      <c r="AA67" s="32">
        <v>8.7600000000000193</v>
      </c>
      <c r="AB67" s="30">
        <v>26.11</v>
      </c>
      <c r="AC67" s="31">
        <v>19.954999999999998</v>
      </c>
      <c r="AD67" s="31">
        <v>2.9239999999999999</v>
      </c>
      <c r="AE67" s="32">
        <f>66.972-SUM(AB67:AD67)</f>
        <v>17.982999999999997</v>
      </c>
      <c r="AF67" s="31">
        <v>25.074000000000002</v>
      </c>
      <c r="AG67" s="31">
        <v>14.646000000000001</v>
      </c>
      <c r="AH67" s="31">
        <v>12.045</v>
      </c>
      <c r="AI67" s="31">
        <v>7.7050000000000001</v>
      </c>
      <c r="AJ67" s="30">
        <v>25.956</v>
      </c>
      <c r="AK67" s="31">
        <v>11.304</v>
      </c>
      <c r="AL67" s="31">
        <v>22.055</v>
      </c>
      <c r="AM67" s="31">
        <v>19.823</v>
      </c>
      <c r="AN67" s="30">
        <v>26.667000000000002</v>
      </c>
      <c r="AO67" s="31">
        <v>22.802</v>
      </c>
      <c r="AP67" s="31">
        <v>17.536000000000001</v>
      </c>
      <c r="AQ67" s="31">
        <v>24.855</v>
      </c>
      <c r="AR67" s="30">
        <v>20.251999999999999</v>
      </c>
      <c r="AS67" s="31">
        <v>16.670999999999999</v>
      </c>
      <c r="AT67" s="31">
        <v>24.231999999999999</v>
      </c>
      <c r="AU67" s="31">
        <v>24.803000000000001</v>
      </c>
      <c r="AV67" s="30">
        <v>18.568999999999999</v>
      </c>
      <c r="AW67" s="31">
        <v>11.47</v>
      </c>
      <c r="AX67" s="31">
        <v>20.734000000000002</v>
      </c>
      <c r="AY67" s="32">
        <v>17.795000000000002</v>
      </c>
      <c r="AZ67" s="30">
        <v>15.013999999999999</v>
      </c>
      <c r="BA67" s="31">
        <v>19.468</v>
      </c>
      <c r="BB67" s="31">
        <v>183.22399999999999</v>
      </c>
      <c r="BC67" s="32">
        <v>20.324999999999999</v>
      </c>
      <c r="BD67" s="35">
        <f t="shared" ref="BD67:BK67" si="182">BD61*BD68</f>
        <v>25.893376916039994</v>
      </c>
      <c r="BE67" s="33">
        <f t="shared" si="182"/>
        <v>26.913222647515745</v>
      </c>
      <c r="BF67" s="33">
        <f t="shared" si="182"/>
        <v>26.690268885173246</v>
      </c>
      <c r="BG67" s="34">
        <f t="shared" si="182"/>
        <v>27.342362107731958</v>
      </c>
      <c r="BH67" s="35">
        <f t="shared" si="182"/>
        <v>28.696275344573024</v>
      </c>
      <c r="BI67" s="33">
        <f t="shared" si="182"/>
        <v>29.21454596617108</v>
      </c>
      <c r="BJ67" s="33">
        <f t="shared" si="182"/>
        <v>29.065302681923747</v>
      </c>
      <c r="BK67" s="34">
        <f t="shared" si="182"/>
        <v>29.657862908633263</v>
      </c>
      <c r="BL67" s="269"/>
      <c r="BM67" s="35">
        <f>SUM(D67:G67)</f>
        <v>102.453</v>
      </c>
      <c r="BN67" s="33">
        <f>SUM(H67:K67)</f>
        <v>80.474000000000004</v>
      </c>
      <c r="BO67" s="33">
        <f>SUM(L67:O67)</f>
        <v>100.17400000000001</v>
      </c>
      <c r="BP67" s="33">
        <f>SUM(P67:S67)</f>
        <v>96.307000000000002</v>
      </c>
      <c r="BQ67" s="33">
        <f>SUM(T67:W67)</f>
        <v>64.281000000000006</v>
      </c>
      <c r="BR67" s="33">
        <f>SUM(X67:AA67)</f>
        <v>129.20500000000001</v>
      </c>
      <c r="BS67" s="33">
        <f>SUM(AB67:AE67)</f>
        <v>66.971999999999994</v>
      </c>
      <c r="BT67" s="35">
        <f>SUM(AF67:AI67)</f>
        <v>59.47</v>
      </c>
      <c r="BU67" s="33">
        <f>SUM(AJ67:AM67)</f>
        <v>79.138000000000005</v>
      </c>
      <c r="BV67" s="33">
        <f>SUM(AN67:AQ67)</f>
        <v>91.86</v>
      </c>
      <c r="BW67" s="33">
        <f>SUM(AR67:AU67)</f>
        <v>85.957999999999998</v>
      </c>
      <c r="BX67" s="33">
        <f>SUM(AV67:AY67)</f>
        <v>68.568000000000012</v>
      </c>
      <c r="BY67" s="33">
        <f>SUM(AZ67:BC67)</f>
        <v>238.03099999999998</v>
      </c>
      <c r="BZ67" s="33">
        <f>SUM(BD67:BG67)</f>
        <v>106.83923055646093</v>
      </c>
      <c r="CA67" s="33">
        <f>SUM(BH67:BK67)</f>
        <v>116.63398690130111</v>
      </c>
      <c r="CB67" s="953">
        <f>CB61*CB68</f>
        <v>123.03187040128742</v>
      </c>
      <c r="CC67" s="20"/>
      <c r="CD67" s="33">
        <f>SUM(G67:J67)</f>
        <v>83.86</v>
      </c>
      <c r="CE67" s="33">
        <f>SUM(K67:N67)</f>
        <v>90.692999999999998</v>
      </c>
      <c r="CF67" s="33">
        <f>SUM(O67:R67)</f>
        <v>105.809</v>
      </c>
      <c r="CG67" s="33">
        <f>SUM(S67:V67)</f>
        <v>64.445999999999998</v>
      </c>
      <c r="CH67" s="33">
        <f>SUM(W67:Z67)</f>
        <v>133.90699999999998</v>
      </c>
      <c r="CI67" s="33">
        <f>SUM(AA67:AD67)</f>
        <v>57.749000000000017</v>
      </c>
      <c r="CJ67" s="33">
        <f>SUM(AE67:AH67)</f>
        <v>69.748000000000005</v>
      </c>
      <c r="CK67" s="33">
        <f>SUM(AI67:AL67)</f>
        <v>67.02000000000001</v>
      </c>
      <c r="CL67" s="33">
        <f>SUM(AM67:AP67)</f>
        <v>86.828000000000003</v>
      </c>
      <c r="CM67" s="33">
        <f>SUM(AQ67:AT67)</f>
        <v>86.009999999999991</v>
      </c>
      <c r="CN67" s="33">
        <f>SUM(AU67:AX67)</f>
        <v>75.575999999999993</v>
      </c>
      <c r="CO67" s="33">
        <f>SUM(AY67:BB67)</f>
        <v>235.50099999999998</v>
      </c>
      <c r="CP67" s="33">
        <f>SUM(BC67:BF67)</f>
        <v>99.821868448728992</v>
      </c>
      <c r="CQ67" s="34">
        <f>SUM(BG67:BJ67)</f>
        <v>114.31848610039981</v>
      </c>
      <c r="CR67" s="806"/>
      <c r="CS67" s="806"/>
      <c r="CZ67" s="8"/>
    </row>
    <row r="68" spans="1:104" ht="14.25" customHeight="1">
      <c r="A68" s="8"/>
      <c r="B68" s="36" t="s">
        <v>12</v>
      </c>
      <c r="C68" s="37"/>
      <c r="D68" s="40">
        <f t="shared" ref="D68:AF68" si="183">D67/D61</f>
        <v>0.22999609191025414</v>
      </c>
      <c r="E68" s="38">
        <f t="shared" si="183"/>
        <v>0.1288090052313392</v>
      </c>
      <c r="F68" s="38">
        <f t="shared" si="183"/>
        <v>0.38087628077687713</v>
      </c>
      <c r="G68" s="39">
        <f t="shared" si="183"/>
        <v>0.13331246331441987</v>
      </c>
      <c r="H68" s="40">
        <f t="shared" si="183"/>
        <v>0.23240622702783181</v>
      </c>
      <c r="I68" s="38">
        <f t="shared" si="183"/>
        <v>0.21998859902085707</v>
      </c>
      <c r="J68" s="38">
        <f t="shared" si="183"/>
        <v>0.15136204505561637</v>
      </c>
      <c r="K68" s="39">
        <f t="shared" si="183"/>
        <v>0.13476311787823134</v>
      </c>
      <c r="L68" s="40">
        <f t="shared" si="183"/>
        <v>0.24074557886865891</v>
      </c>
      <c r="M68" s="38">
        <f t="shared" si="183"/>
        <v>0.21235324593215724</v>
      </c>
      <c r="N68" s="38">
        <f t="shared" si="183"/>
        <v>0.20148615211476054</v>
      </c>
      <c r="O68" s="39">
        <f t="shared" si="183"/>
        <v>0.20133883491765031</v>
      </c>
      <c r="P68" s="40">
        <f t="shared" si="183"/>
        <v>0.22189376789088663</v>
      </c>
      <c r="Q68" s="38">
        <f t="shared" si="183"/>
        <v>0.21205346294046179</v>
      </c>
      <c r="R68" s="38">
        <f t="shared" si="183"/>
        <v>0.23721334193334137</v>
      </c>
      <c r="S68" s="39">
        <f t="shared" si="183"/>
        <v>0.14866250654564495</v>
      </c>
      <c r="T68" s="40">
        <f t="shared" si="183"/>
        <v>0.18178686759956939</v>
      </c>
      <c r="U68" s="38">
        <f t="shared" si="183"/>
        <v>0.202614867388868</v>
      </c>
      <c r="V68" s="38">
        <f t="shared" si="183"/>
        <v>0.19624692694589163</v>
      </c>
      <c r="W68" s="39">
        <f t="shared" si="183"/>
        <v>8.310184327814614E-2</v>
      </c>
      <c r="X68" s="737">
        <f t="shared" si="183"/>
        <v>0.21835584975035613</v>
      </c>
      <c r="Y68" s="38">
        <f t="shared" si="183"/>
        <v>0.22026280969110731</v>
      </c>
      <c r="Z68" s="38">
        <f t="shared" si="183"/>
        <v>0.15464266490574827</v>
      </c>
      <c r="AA68" s="39">
        <f t="shared" si="183"/>
        <v>5.1892045589176233E-2</v>
      </c>
      <c r="AB68" s="737">
        <f t="shared" si="183"/>
        <v>0.14466656324106295</v>
      </c>
      <c r="AC68" s="61">
        <f t="shared" si="183"/>
        <v>0.13645284154238552</v>
      </c>
      <c r="AD68" s="61">
        <f t="shared" si="183"/>
        <v>2.2503039911342334E-2</v>
      </c>
      <c r="AE68" s="39">
        <f t="shared" si="183"/>
        <v>0.12809499387412029</v>
      </c>
      <c r="AF68" s="61">
        <f t="shared" si="183"/>
        <v>0.16186695071172655</v>
      </c>
      <c r="AG68" s="61">
        <f>+AG67/AG61</f>
        <v>0.10606664107819208</v>
      </c>
      <c r="AH68" s="61">
        <f>+AH67/AH61</f>
        <v>0.10411174401217013</v>
      </c>
      <c r="AI68" s="38">
        <f>+AI67/AI61</f>
        <v>5.5702150731971802E-2</v>
      </c>
      <c r="AJ68" s="737">
        <f>AJ67/AJ61</f>
        <v>0.14185234371157343</v>
      </c>
      <c r="AK68" s="61">
        <f>+AK67/AK61</f>
        <v>7.3996006938762154E-2</v>
      </c>
      <c r="AL68" s="61">
        <f>+AL67/AL61</f>
        <v>0.11142715680132571</v>
      </c>
      <c r="AM68" s="38">
        <f>+AM67/AM61</f>
        <v>0.11272675575774808</v>
      </c>
      <c r="AN68" s="737">
        <f>AN67/AN61</f>
        <v>0.13314992160896352</v>
      </c>
      <c r="AO68" s="61">
        <f>+AO67/AO61</f>
        <v>0.11734373552630226</v>
      </c>
      <c r="AP68" s="61">
        <f>+AP67/AP61</f>
        <v>9.4278556144557629E-2</v>
      </c>
      <c r="AQ68" s="38">
        <f>+AQ67/AQ61</f>
        <v>0.15585221786077078</v>
      </c>
      <c r="AR68" s="737">
        <f>AR67/AR61</f>
        <v>0.12057130269636294</v>
      </c>
      <c r="AS68" s="61">
        <f>+AS67/AS61</f>
        <v>0.11579576158756397</v>
      </c>
      <c r="AT68" s="61">
        <f>+AT67/AT61</f>
        <v>0.15628406137335454</v>
      </c>
      <c r="AU68" s="38">
        <f>+AU67/AU61</f>
        <v>0.14603916673535958</v>
      </c>
      <c r="AV68" s="737">
        <f>AV67/AV61</f>
        <v>0.10224206851743771</v>
      </c>
      <c r="AW68" s="61">
        <f>+AW67/AW61</f>
        <v>6.5295852261729931E-2</v>
      </c>
      <c r="AX68" s="61">
        <f>+AX67/AX61</f>
        <v>0.12753106163119698</v>
      </c>
      <c r="AY68" s="39">
        <f>+AY67/AY61</f>
        <v>0.10393061558229182</v>
      </c>
      <c r="AZ68" s="737">
        <f>AZ67/AZ61</f>
        <v>8.2377276293626109E-2</v>
      </c>
      <c r="BA68" s="61">
        <f>+BA67/BA61</f>
        <v>0.10410695187165774</v>
      </c>
      <c r="BB68" s="61">
        <f>+BB67/BB61</f>
        <v>0.93879663266194946</v>
      </c>
      <c r="BC68" s="39">
        <f>+BC67/BC61</f>
        <v>0.1092835942876807</v>
      </c>
      <c r="BD68" s="883">
        <v>0.12</v>
      </c>
      <c r="BE68" s="812">
        <v>0.125</v>
      </c>
      <c r="BF68" s="812">
        <f>BE68</f>
        <v>0.125</v>
      </c>
      <c r="BG68" s="813">
        <f>+BF68</f>
        <v>0.125</v>
      </c>
      <c r="BH68" s="883">
        <v>0.125</v>
      </c>
      <c r="BI68" s="812">
        <f>+BH68</f>
        <v>0.125</v>
      </c>
      <c r="BJ68" s="812">
        <f>BI68</f>
        <v>0.125</v>
      </c>
      <c r="BK68" s="813">
        <f>+BJ68</f>
        <v>0.125</v>
      </c>
      <c r="BL68" s="269"/>
      <c r="BM68" s="40">
        <f t="shared" ref="BM68:BW68" si="184">BM67/BM61</f>
        <v>0.2243814087542324</v>
      </c>
      <c r="BN68" s="38">
        <f t="shared" si="184"/>
        <v>0.18665138955249497</v>
      </c>
      <c r="BO68" s="38">
        <f t="shared" si="184"/>
        <v>0.21336815133048909</v>
      </c>
      <c r="BP68" s="38">
        <f t="shared" si="184"/>
        <v>0.21026535611515518</v>
      </c>
      <c r="BQ68" s="38">
        <f t="shared" si="184"/>
        <v>0.15240951714817491</v>
      </c>
      <c r="BR68" s="38">
        <f t="shared" si="184"/>
        <v>0.16756367692068264</v>
      </c>
      <c r="BS68" s="38">
        <f t="shared" si="184"/>
        <v>0.11217132204786526</v>
      </c>
      <c r="BT68" s="40">
        <f t="shared" si="184"/>
        <v>0.10871909997330921</v>
      </c>
      <c r="BU68" s="38">
        <f t="shared" si="184"/>
        <v>0.11153643418282064</v>
      </c>
      <c r="BV68" s="38">
        <f t="shared" si="184"/>
        <v>0.12412238743048007</v>
      </c>
      <c r="BW68" s="38">
        <f t="shared" si="184"/>
        <v>0.13497899736976401</v>
      </c>
      <c r="BX68" s="38">
        <f>BX67/BX61</f>
        <v>9.9218614342767839E-2</v>
      </c>
      <c r="BY68" s="38">
        <f>BY67/BY61</f>
        <v>0.3172004179037648</v>
      </c>
      <c r="BZ68" s="38">
        <f>BZ67/BZ61</f>
        <v>0.12375033649096018</v>
      </c>
      <c r="CA68" s="38">
        <f>CA67/CA61</f>
        <v>0.125</v>
      </c>
      <c r="CB68" s="955">
        <f>+CA68</f>
        <v>0.125</v>
      </c>
      <c r="CC68" s="20"/>
      <c r="CD68" s="38">
        <f t="shared" ref="CD68:CM68" si="185">CD67/CD61</f>
        <v>0.18324166879712955</v>
      </c>
      <c r="CE68" s="38">
        <f t="shared" si="185"/>
        <v>0.19893745599238408</v>
      </c>
      <c r="CF68" s="38">
        <f t="shared" si="185"/>
        <v>0.21986833957418167</v>
      </c>
      <c r="CG68" s="38">
        <f t="shared" si="185"/>
        <v>0.18337957232489641</v>
      </c>
      <c r="CH68" s="38">
        <f t="shared" si="185"/>
        <v>0.17521085700976882</v>
      </c>
      <c r="CI68" s="38">
        <f t="shared" si="185"/>
        <v>9.2328230544786005E-2</v>
      </c>
      <c r="CJ68" s="38">
        <f t="shared" si="185"/>
        <v>0.1270295718753017</v>
      </c>
      <c r="CK68" s="38">
        <f t="shared" si="185"/>
        <v>9.9731994446436809E-2</v>
      </c>
      <c r="CL68" s="38">
        <f t="shared" si="185"/>
        <v>0.11478383180337581</v>
      </c>
      <c r="CM68" s="38">
        <f t="shared" si="185"/>
        <v>0.13729418243636915</v>
      </c>
      <c r="CN68" s="38">
        <f>CN67/CN61</f>
        <v>0.1095783951816592</v>
      </c>
      <c r="CO68" s="38">
        <f>CO67/CO61</f>
        <v>0.32012728913828337</v>
      </c>
      <c r="CP68" s="38">
        <f>CP67/CP61</f>
        <v>0.1201818702945972</v>
      </c>
      <c r="CQ68" s="39">
        <f>CQ67/CQ61</f>
        <v>0.12500000000000006</v>
      </c>
      <c r="CR68" s="14"/>
      <c r="CS68" s="14"/>
      <c r="CZ68" s="8"/>
    </row>
    <row r="69" spans="1:104" ht="14.25" hidden="1" customHeight="1" outlineLevel="1">
      <c r="A69" s="8"/>
      <c r="B69" s="28"/>
      <c r="C69" s="29"/>
      <c r="D69" s="30"/>
      <c r="E69" s="31"/>
      <c r="F69" s="31"/>
      <c r="G69" s="32"/>
      <c r="H69" s="30"/>
      <c r="I69" s="31"/>
      <c r="J69" s="31"/>
      <c r="K69" s="32"/>
      <c r="L69" s="30"/>
      <c r="M69" s="31"/>
      <c r="N69" s="31"/>
      <c r="O69" s="32"/>
      <c r="P69" s="30"/>
      <c r="Q69" s="31"/>
      <c r="R69" s="31"/>
      <c r="S69" s="32"/>
      <c r="T69" s="30"/>
      <c r="U69" s="31"/>
      <c r="V69" s="31"/>
      <c r="W69" s="32"/>
      <c r="X69" s="30"/>
      <c r="Y69" s="31"/>
      <c r="Z69" s="31"/>
      <c r="AA69" s="32"/>
      <c r="AB69" s="30"/>
      <c r="AC69" s="31"/>
      <c r="AD69" s="31"/>
      <c r="AE69" s="32"/>
      <c r="AF69" s="31"/>
      <c r="AG69" s="33"/>
      <c r="AH69" s="33"/>
      <c r="AI69" s="31"/>
      <c r="AJ69" s="30"/>
      <c r="AK69" s="33"/>
      <c r="AL69" s="33"/>
      <c r="AM69" s="31"/>
      <c r="AN69" s="30"/>
      <c r="AO69" s="33"/>
      <c r="AP69" s="33"/>
      <c r="AQ69" s="31"/>
      <c r="AR69" s="30"/>
      <c r="AS69" s="33"/>
      <c r="AT69" s="33"/>
      <c r="AU69" s="31"/>
      <c r="AV69" s="30"/>
      <c r="AW69" s="33"/>
      <c r="AX69" s="33"/>
      <c r="AY69" s="32"/>
      <c r="AZ69" s="30"/>
      <c r="BA69" s="33"/>
      <c r="BB69" s="33"/>
      <c r="BC69" s="32"/>
      <c r="BD69" s="35"/>
      <c r="BE69" s="33"/>
      <c r="BF69" s="33"/>
      <c r="BG69" s="34"/>
      <c r="BH69" s="35"/>
      <c r="BI69" s="33"/>
      <c r="BJ69" s="33"/>
      <c r="BK69" s="34"/>
      <c r="BL69" s="269"/>
      <c r="BM69" s="35"/>
      <c r="BN69" s="33"/>
      <c r="BO69" s="33"/>
      <c r="BP69" s="33"/>
      <c r="BQ69" s="33"/>
      <c r="BR69" s="33"/>
      <c r="BS69" s="33"/>
      <c r="BT69" s="35"/>
      <c r="BU69" s="33"/>
      <c r="BV69" s="33"/>
      <c r="BW69" s="33"/>
      <c r="BX69" s="33"/>
      <c r="BY69" s="33"/>
      <c r="BZ69" s="33"/>
      <c r="CA69" s="33"/>
      <c r="CB69" s="953"/>
      <c r="CC69" s="20"/>
      <c r="CD69" s="33"/>
      <c r="CE69" s="33"/>
      <c r="CF69" s="33"/>
      <c r="CG69" s="33"/>
      <c r="CH69" s="33"/>
      <c r="CI69" s="33"/>
      <c r="CJ69" s="33"/>
      <c r="CK69" s="33"/>
      <c r="CL69" s="33"/>
      <c r="CM69" s="33"/>
      <c r="CN69" s="33"/>
      <c r="CO69" s="33"/>
      <c r="CP69" s="33"/>
      <c r="CQ69" s="34"/>
      <c r="CR69" s="14"/>
      <c r="CS69" s="14"/>
      <c r="CZ69" s="8"/>
    </row>
    <row r="70" spans="1:104" ht="14.25" hidden="1" customHeight="1" outlineLevel="1">
      <c r="A70" s="8"/>
      <c r="B70" s="28" t="s">
        <v>13</v>
      </c>
      <c r="C70" s="29"/>
      <c r="D70" s="30">
        <v>0</v>
      </c>
      <c r="E70" s="31">
        <v>0</v>
      </c>
      <c r="F70" s="31">
        <v>0</v>
      </c>
      <c r="G70" s="32">
        <v>0</v>
      </c>
      <c r="H70" s="30">
        <v>0</v>
      </c>
      <c r="I70" s="31">
        <v>0</v>
      </c>
      <c r="J70" s="31">
        <v>0</v>
      </c>
      <c r="K70" s="32">
        <v>0</v>
      </c>
      <c r="L70" s="30">
        <v>0</v>
      </c>
      <c r="M70" s="31">
        <v>0</v>
      </c>
      <c r="N70" s="31">
        <v>0</v>
      </c>
      <c r="O70" s="32">
        <v>0</v>
      </c>
      <c r="P70" s="30">
        <v>0</v>
      </c>
      <c r="Q70" s="31">
        <v>0</v>
      </c>
      <c r="R70" s="31">
        <v>0</v>
      </c>
      <c r="S70" s="32">
        <v>0</v>
      </c>
      <c r="T70" s="30">
        <v>0</v>
      </c>
      <c r="U70" s="31">
        <v>0</v>
      </c>
      <c r="V70" s="31">
        <v>0</v>
      </c>
      <c r="W70" s="32">
        <v>0</v>
      </c>
      <c r="X70" s="30">
        <v>0</v>
      </c>
      <c r="Y70" s="31">
        <v>0</v>
      </c>
      <c r="Z70" s="31">
        <v>0</v>
      </c>
      <c r="AA70" s="32">
        <v>0</v>
      </c>
      <c r="AB70" s="30">
        <v>0</v>
      </c>
      <c r="AC70" s="31">
        <v>0</v>
      </c>
      <c r="AD70" s="31">
        <v>0</v>
      </c>
      <c r="AE70" s="32">
        <v>0</v>
      </c>
      <c r="AF70" s="31">
        <v>0</v>
      </c>
      <c r="AG70" s="33">
        <f>IF(AG61&gt;0,(AG17+AG30+AG37)*0%,(AG17+AG30+AG37)*AG68)</f>
        <v>0</v>
      </c>
      <c r="AH70" s="33">
        <f>IF(AH61&gt;0,(AH17+AH30+AH37)*0%,(AH17+AH30+AH37)*AH68)</f>
        <v>0</v>
      </c>
      <c r="AI70" s="31">
        <f>IF(AI61&gt;0,(AI17+AI30+AI37)*0%,(AI17+AI30+AI37)*AI68)</f>
        <v>0</v>
      </c>
      <c r="AJ70" s="30">
        <v>0</v>
      </c>
      <c r="AK70" s="33">
        <f>IF(AK61&gt;0,(AK17+AK30+AK37)*0%,(AK17+AK30+AK37)*AK68)</f>
        <v>0</v>
      </c>
      <c r="AL70" s="33">
        <f>IF(AL61&gt;0,(AL17+AL30+AL37)*0%,(AL17+AL30+AL37)*AL68)</f>
        <v>0</v>
      </c>
      <c r="AM70" s="31">
        <v>0</v>
      </c>
      <c r="AN70" s="30">
        <v>0</v>
      </c>
      <c r="AO70" s="33">
        <f>IF(AO61&gt;0,(AO17+AO30+AO37)*0%,(AO17+AO30+AO37)*AO68)</f>
        <v>0</v>
      </c>
      <c r="AP70" s="33">
        <f>IF(AP61&gt;0,(AP17+AP30+AP37)*0%,(AP17+AP30+AP37)*AP68)</f>
        <v>0</v>
      </c>
      <c r="AQ70" s="31">
        <v>0</v>
      </c>
      <c r="AR70" s="30">
        <v>0</v>
      </c>
      <c r="AS70" s="33">
        <f>IF(AS61&gt;0,(AS17+AS30+AS37)*0%,(AS17+AS30+AS37)*AS68)</f>
        <v>0</v>
      </c>
      <c r="AT70" s="33">
        <f>IF(AT61&gt;0,(AT17+AT30+AT37)*0%,(AT17+AT30+AT37)*AT68)</f>
        <v>0</v>
      </c>
      <c r="AU70" s="31">
        <v>0</v>
      </c>
      <c r="AV70" s="30">
        <v>0</v>
      </c>
      <c r="AW70" s="33">
        <f>IF(AW61&gt;0,(AW17+AW30+AW37)*0%,(AW17+AW30+AW37)*AW68)</f>
        <v>0</v>
      </c>
      <c r="AX70" s="33">
        <f>IF(AX61&gt;0,(AX17+AX30+AX37)*0%,(AX17+AX30+AX37)*AX68)</f>
        <v>0</v>
      </c>
      <c r="AY70" s="32">
        <v>0</v>
      </c>
      <c r="AZ70" s="30">
        <v>0</v>
      </c>
      <c r="BA70" s="33">
        <f t="shared" ref="BA70:BK70" si="186">IF(BA61&gt;0,(BA17+BA30+BA37)*0%,(BA17+BA30+BA37)*BA68)</f>
        <v>0</v>
      </c>
      <c r="BB70" s="33">
        <v>159.69999999999999</v>
      </c>
      <c r="BC70" s="32">
        <v>0</v>
      </c>
      <c r="BD70" s="35">
        <f t="shared" si="186"/>
        <v>0</v>
      </c>
      <c r="BE70" s="33">
        <f t="shared" si="186"/>
        <v>0</v>
      </c>
      <c r="BF70" s="33">
        <f t="shared" si="186"/>
        <v>0</v>
      </c>
      <c r="BG70" s="34">
        <f t="shared" si="186"/>
        <v>0</v>
      </c>
      <c r="BH70" s="35">
        <f t="shared" si="186"/>
        <v>0</v>
      </c>
      <c r="BI70" s="33">
        <f t="shared" si="186"/>
        <v>0</v>
      </c>
      <c r="BJ70" s="33">
        <f t="shared" si="186"/>
        <v>0</v>
      </c>
      <c r="BK70" s="34">
        <f t="shared" si="186"/>
        <v>0</v>
      </c>
      <c r="BL70" s="269"/>
      <c r="BM70" s="35">
        <f>SUM(D70:G70)</f>
        <v>0</v>
      </c>
      <c r="BN70" s="33">
        <f>SUM(H70:K70)</f>
        <v>0</v>
      </c>
      <c r="BO70" s="33">
        <f>SUM(L70:O70)</f>
        <v>0</v>
      </c>
      <c r="BP70" s="33">
        <f>SUM(P70:S70)</f>
        <v>0</v>
      </c>
      <c r="BQ70" s="33">
        <f>SUM(T70:W70)</f>
        <v>0</v>
      </c>
      <c r="BR70" s="33">
        <f>SUM(X70:AA70)</f>
        <v>0</v>
      </c>
      <c r="BS70" s="33">
        <f>SUM(AB70:AE70)</f>
        <v>0</v>
      </c>
      <c r="BT70" s="35">
        <f>SUM(AF70:AI70)</f>
        <v>0</v>
      </c>
      <c r="BU70" s="33">
        <f>SUM(AJ70:AM70)</f>
        <v>0</v>
      </c>
      <c r="BV70" s="33">
        <f>SUM(AN70:AQ70)</f>
        <v>0</v>
      </c>
      <c r="BW70" s="33">
        <f>SUM(AR70:AU70)</f>
        <v>0</v>
      </c>
      <c r="BX70" s="33">
        <f>SUM(AV70:AY70)</f>
        <v>0</v>
      </c>
      <c r="BY70" s="33">
        <f>SUM(AZ70:BC70)</f>
        <v>159.69999999999999</v>
      </c>
      <c r="BZ70" s="33">
        <f>SUM(BD70:BG70)</f>
        <v>0</v>
      </c>
      <c r="CA70" s="33">
        <f>SUM(BH70:BK70)</f>
        <v>0</v>
      </c>
      <c r="CB70" s="953">
        <f>IF(CB61&gt;0,(CB17+CB30+CB37)*0%,(CB17+CB30+CB37)*CB68)</f>
        <v>0</v>
      </c>
      <c r="CC70" s="20"/>
      <c r="CD70" s="33">
        <f>SUM(G70:J70)</f>
        <v>0</v>
      </c>
      <c r="CE70" s="33">
        <f>SUM(K70:N70)</f>
        <v>0</v>
      </c>
      <c r="CF70" s="33">
        <f>SUM(O70:R70)</f>
        <v>0</v>
      </c>
      <c r="CG70" s="33">
        <f>SUM(S70:V70)</f>
        <v>0</v>
      </c>
      <c r="CH70" s="33">
        <f>SUM(W70:Z70)</f>
        <v>0</v>
      </c>
      <c r="CI70" s="33">
        <f>SUM(AA70:AD70)</f>
        <v>0</v>
      </c>
      <c r="CJ70" s="33">
        <f>SUM(AE70:AH70)</f>
        <v>0</v>
      </c>
      <c r="CK70" s="33">
        <f>SUM(AI70:AL70)</f>
        <v>0</v>
      </c>
      <c r="CL70" s="33">
        <f>SUM(AM70:AP70)</f>
        <v>0</v>
      </c>
      <c r="CM70" s="33">
        <f>SUM(AQ70:AT70)</f>
        <v>0</v>
      </c>
      <c r="CN70" s="33">
        <f>SUM(AU70:AX70)</f>
        <v>0</v>
      </c>
      <c r="CO70" s="33">
        <f>SUM(AY70:BB70)</f>
        <v>159.69999999999999</v>
      </c>
      <c r="CP70" s="33">
        <f>SUM(BC70:BF70)</f>
        <v>0</v>
      </c>
      <c r="CQ70" s="34">
        <f>SUM(BG70:BJ70)</f>
        <v>0</v>
      </c>
      <c r="CR70" s="14"/>
      <c r="CS70" s="14"/>
      <c r="CZ70" s="8"/>
    </row>
    <row r="71" spans="1:104" ht="14.25" hidden="1" customHeight="1" outlineLevel="1">
      <c r="A71" s="8"/>
      <c r="B71" s="23" t="s">
        <v>14</v>
      </c>
      <c r="C71" s="24"/>
      <c r="D71" s="35">
        <f>+D67-D70</f>
        <v>22.952000000000002</v>
      </c>
      <c r="E71" s="33">
        <f t="shared" ref="E71:AM71" si="187">+E67-E70</f>
        <v>12.656000000000001</v>
      </c>
      <c r="F71" s="33">
        <f t="shared" si="187"/>
        <v>49.811</v>
      </c>
      <c r="G71" s="34">
        <f t="shared" si="187"/>
        <v>17.033999999999999</v>
      </c>
      <c r="H71" s="35">
        <f t="shared" si="187"/>
        <v>24.975999999999999</v>
      </c>
      <c r="I71" s="33">
        <f t="shared" si="187"/>
        <v>26.242000000000001</v>
      </c>
      <c r="J71" s="33">
        <f t="shared" si="187"/>
        <v>15.608000000000001</v>
      </c>
      <c r="K71" s="34">
        <f t="shared" si="187"/>
        <v>13.648</v>
      </c>
      <c r="L71" s="35">
        <f t="shared" si="187"/>
        <v>26.722999999999999</v>
      </c>
      <c r="M71" s="33">
        <f t="shared" si="187"/>
        <v>24.183</v>
      </c>
      <c r="N71" s="33">
        <f t="shared" si="187"/>
        <v>26.138999999999999</v>
      </c>
      <c r="O71" s="34">
        <f t="shared" si="187"/>
        <v>23.129000000000001</v>
      </c>
      <c r="P71" s="35">
        <f t="shared" si="187"/>
        <v>23.72</v>
      </c>
      <c r="Q71" s="33">
        <f t="shared" si="187"/>
        <v>21.815000000000001</v>
      </c>
      <c r="R71" s="33">
        <f t="shared" si="187"/>
        <v>37.145000000000003</v>
      </c>
      <c r="S71" s="34">
        <f t="shared" si="187"/>
        <v>13.627000000000001</v>
      </c>
      <c r="T71" s="35">
        <f t="shared" si="187"/>
        <v>8.4440000000000008</v>
      </c>
      <c r="U71" s="33">
        <f t="shared" si="187"/>
        <v>16.271999999999998</v>
      </c>
      <c r="V71" s="33">
        <f t="shared" si="187"/>
        <v>26.103000000000002</v>
      </c>
      <c r="W71" s="34">
        <f t="shared" si="187"/>
        <v>13.462</v>
      </c>
      <c r="X71" s="35">
        <f t="shared" si="187"/>
        <v>44.302</v>
      </c>
      <c r="Y71" s="33">
        <f t="shared" si="187"/>
        <v>48.274999999999999</v>
      </c>
      <c r="Z71" s="33">
        <f t="shared" si="187"/>
        <v>27.867999999999999</v>
      </c>
      <c r="AA71" s="34">
        <f t="shared" si="187"/>
        <v>8.7600000000000193</v>
      </c>
      <c r="AB71" s="35">
        <f t="shared" si="187"/>
        <v>26.11</v>
      </c>
      <c r="AC71" s="33">
        <f t="shared" si="187"/>
        <v>19.954999999999998</v>
      </c>
      <c r="AD71" s="33">
        <f t="shared" si="187"/>
        <v>2.9239999999999999</v>
      </c>
      <c r="AE71" s="34">
        <f t="shared" si="187"/>
        <v>17.982999999999997</v>
      </c>
      <c r="AF71" s="33">
        <f t="shared" si="187"/>
        <v>25.074000000000002</v>
      </c>
      <c r="AG71" s="33">
        <f t="shared" si="187"/>
        <v>14.646000000000001</v>
      </c>
      <c r="AH71" s="33">
        <f t="shared" si="187"/>
        <v>12.045</v>
      </c>
      <c r="AI71" s="33">
        <f t="shared" si="187"/>
        <v>7.7050000000000001</v>
      </c>
      <c r="AJ71" s="35">
        <f t="shared" si="187"/>
        <v>25.956</v>
      </c>
      <c r="AK71" s="33">
        <f t="shared" si="187"/>
        <v>11.304</v>
      </c>
      <c r="AL71" s="33">
        <f t="shared" si="187"/>
        <v>22.055</v>
      </c>
      <c r="AM71" s="33">
        <f t="shared" si="187"/>
        <v>19.823</v>
      </c>
      <c r="AN71" s="35">
        <f t="shared" ref="AN71:AS71" si="188">+AN67-AN70</f>
        <v>26.667000000000002</v>
      </c>
      <c r="AO71" s="33">
        <f t="shared" si="188"/>
        <v>22.802</v>
      </c>
      <c r="AP71" s="33">
        <f t="shared" si="188"/>
        <v>17.536000000000001</v>
      </c>
      <c r="AQ71" s="33">
        <f t="shared" si="188"/>
        <v>24.855</v>
      </c>
      <c r="AR71" s="35">
        <f t="shared" si="188"/>
        <v>20.251999999999999</v>
      </c>
      <c r="AS71" s="33">
        <f t="shared" si="188"/>
        <v>16.670999999999999</v>
      </c>
      <c r="AT71" s="33">
        <f t="shared" ref="AT71:AY71" si="189">+AT67-AT70</f>
        <v>24.231999999999999</v>
      </c>
      <c r="AU71" s="33">
        <f t="shared" si="189"/>
        <v>24.803000000000001</v>
      </c>
      <c r="AV71" s="35">
        <f t="shared" si="189"/>
        <v>18.568999999999999</v>
      </c>
      <c r="AW71" s="33">
        <f t="shared" si="189"/>
        <v>11.47</v>
      </c>
      <c r="AX71" s="33">
        <f t="shared" si="189"/>
        <v>20.734000000000002</v>
      </c>
      <c r="AY71" s="34">
        <f t="shared" si="189"/>
        <v>17.795000000000002</v>
      </c>
      <c r="AZ71" s="35">
        <f t="shared" ref="AZ71:BK71" si="190">+AZ67-AZ70</f>
        <v>15.013999999999999</v>
      </c>
      <c r="BA71" s="33">
        <f t="shared" si="190"/>
        <v>19.468</v>
      </c>
      <c r="BB71" s="33">
        <f t="shared" si="190"/>
        <v>23.524000000000001</v>
      </c>
      <c r="BC71" s="34">
        <f t="shared" si="190"/>
        <v>20.324999999999999</v>
      </c>
      <c r="BD71" s="35">
        <f t="shared" si="190"/>
        <v>25.893376916039994</v>
      </c>
      <c r="BE71" s="33">
        <f t="shared" si="190"/>
        <v>26.913222647515745</v>
      </c>
      <c r="BF71" s="33">
        <f t="shared" si="190"/>
        <v>26.690268885173246</v>
      </c>
      <c r="BG71" s="34">
        <f t="shared" si="190"/>
        <v>27.342362107731958</v>
      </c>
      <c r="BH71" s="35">
        <f t="shared" si="190"/>
        <v>28.696275344573024</v>
      </c>
      <c r="BI71" s="33">
        <f t="shared" si="190"/>
        <v>29.21454596617108</v>
      </c>
      <c r="BJ71" s="33">
        <f t="shared" si="190"/>
        <v>29.065302681923747</v>
      </c>
      <c r="BK71" s="34">
        <f t="shared" si="190"/>
        <v>29.657862908633263</v>
      </c>
      <c r="BL71" s="269"/>
      <c r="BM71" s="35">
        <f t="shared" ref="BM71:BW71" si="191">+BM67-BM70</f>
        <v>102.453</v>
      </c>
      <c r="BN71" s="33">
        <f t="shared" si="191"/>
        <v>80.474000000000004</v>
      </c>
      <c r="BO71" s="33">
        <f t="shared" si="191"/>
        <v>100.17400000000001</v>
      </c>
      <c r="BP71" s="33">
        <f t="shared" si="191"/>
        <v>96.307000000000002</v>
      </c>
      <c r="BQ71" s="33">
        <f t="shared" si="191"/>
        <v>64.281000000000006</v>
      </c>
      <c r="BR71" s="33">
        <f t="shared" si="191"/>
        <v>129.20500000000001</v>
      </c>
      <c r="BS71" s="33">
        <f t="shared" si="191"/>
        <v>66.971999999999994</v>
      </c>
      <c r="BT71" s="35">
        <f t="shared" si="191"/>
        <v>59.47</v>
      </c>
      <c r="BU71" s="33">
        <f t="shared" si="191"/>
        <v>79.138000000000005</v>
      </c>
      <c r="BV71" s="33">
        <f t="shared" si="191"/>
        <v>91.86</v>
      </c>
      <c r="BW71" s="33">
        <f t="shared" si="191"/>
        <v>85.957999999999998</v>
      </c>
      <c r="BX71" s="33">
        <f>+BX67-BX70</f>
        <v>68.568000000000012</v>
      </c>
      <c r="BY71" s="33">
        <f>+BY67-BY70</f>
        <v>78.330999999999989</v>
      </c>
      <c r="BZ71" s="33">
        <f>+BZ67-BZ70</f>
        <v>106.83923055646093</v>
      </c>
      <c r="CA71" s="33">
        <f>+CA67-CA70</f>
        <v>116.63398690130111</v>
      </c>
      <c r="CB71" s="953">
        <f>+CB67-CB70</f>
        <v>123.03187040128742</v>
      </c>
      <c r="CC71" s="20"/>
      <c r="CD71" s="33">
        <f t="shared" ref="CD71:CM71" si="192">+CD67-CD70</f>
        <v>83.86</v>
      </c>
      <c r="CE71" s="33">
        <f t="shared" si="192"/>
        <v>90.692999999999998</v>
      </c>
      <c r="CF71" s="33">
        <f t="shared" si="192"/>
        <v>105.809</v>
      </c>
      <c r="CG71" s="33">
        <f t="shared" si="192"/>
        <v>64.445999999999998</v>
      </c>
      <c r="CH71" s="33">
        <f t="shared" si="192"/>
        <v>133.90699999999998</v>
      </c>
      <c r="CI71" s="33">
        <f t="shared" si="192"/>
        <v>57.749000000000017</v>
      </c>
      <c r="CJ71" s="33">
        <f t="shared" si="192"/>
        <v>69.748000000000005</v>
      </c>
      <c r="CK71" s="33">
        <f t="shared" si="192"/>
        <v>67.02000000000001</v>
      </c>
      <c r="CL71" s="33">
        <f t="shared" si="192"/>
        <v>86.828000000000003</v>
      </c>
      <c r="CM71" s="33">
        <f t="shared" si="192"/>
        <v>86.009999999999991</v>
      </c>
      <c r="CN71" s="33">
        <f>+CN67-CN70</f>
        <v>75.575999999999993</v>
      </c>
      <c r="CO71" s="33">
        <f>+CO67-CO70</f>
        <v>75.800999999999988</v>
      </c>
      <c r="CP71" s="33">
        <f>+CP67-CP70</f>
        <v>99.821868448728992</v>
      </c>
      <c r="CQ71" s="34">
        <f>+CQ67-CQ70</f>
        <v>114.31848610039981</v>
      </c>
      <c r="CR71" s="806"/>
      <c r="CS71" s="806"/>
      <c r="CZ71" s="8"/>
    </row>
    <row r="72" spans="1:104" ht="14.25" hidden="1" customHeight="1" outlineLevel="1">
      <c r="A72" s="8"/>
      <c r="B72" s="36" t="s">
        <v>15</v>
      </c>
      <c r="C72" s="37"/>
      <c r="D72" s="40">
        <f t="shared" ref="D72:AM72" si="193">D71/D64</f>
        <v>0.22601896621335504</v>
      </c>
      <c r="E72" s="38">
        <f t="shared" si="193"/>
        <v>0.12266656328144691</v>
      </c>
      <c r="F72" s="38">
        <f t="shared" si="193"/>
        <v>0.37645485050938654</v>
      </c>
      <c r="G72" s="39">
        <f t="shared" si="193"/>
        <v>0.12559909159280941</v>
      </c>
      <c r="H72" s="40">
        <f t="shared" si="193"/>
        <v>0.2227136538735911</v>
      </c>
      <c r="I72" s="38">
        <f t="shared" si="193"/>
        <v>0.21630577238519932</v>
      </c>
      <c r="J72" s="38">
        <f t="shared" si="193"/>
        <v>0.14301291037869826</v>
      </c>
      <c r="K72" s="39">
        <f t="shared" si="193"/>
        <v>0.13223012382041197</v>
      </c>
      <c r="L72" s="40">
        <f t="shared" si="193"/>
        <v>0.23670038441779315</v>
      </c>
      <c r="M72" s="38">
        <f t="shared" si="193"/>
        <v>0.20887387932076903</v>
      </c>
      <c r="N72" s="38">
        <f t="shared" si="193"/>
        <v>0.199058737520276</v>
      </c>
      <c r="O72" s="39">
        <f t="shared" si="193"/>
        <v>0.19411340136967908</v>
      </c>
      <c r="P72" s="40">
        <f t="shared" si="193"/>
        <v>0.17904589371980673</v>
      </c>
      <c r="Q72" s="38">
        <f t="shared" si="193"/>
        <v>0.16065366119494218</v>
      </c>
      <c r="R72" s="38">
        <f t="shared" si="193"/>
        <v>0.31132138726385827</v>
      </c>
      <c r="S72" s="39">
        <f t="shared" si="193"/>
        <v>0.17722259792956352</v>
      </c>
      <c r="T72" s="40">
        <f t="shared" si="193"/>
        <v>0.13048181228173189</v>
      </c>
      <c r="U72" s="38">
        <f t="shared" si="193"/>
        <v>0.18871556973035652</v>
      </c>
      <c r="V72" s="38">
        <f t="shared" si="193"/>
        <v>0.18436535459765643</v>
      </c>
      <c r="W72" s="39">
        <f t="shared" si="193"/>
        <v>8.1289816128740103E-2</v>
      </c>
      <c r="X72" s="40">
        <f t="shared" si="193"/>
        <v>0.21835584975035613</v>
      </c>
      <c r="Y72" s="38">
        <f t="shared" si="193"/>
        <v>0.22026280969110731</v>
      </c>
      <c r="Z72" s="38">
        <f t="shared" si="193"/>
        <v>0.15105835162750353</v>
      </c>
      <c r="AA72" s="39">
        <f t="shared" si="193"/>
        <v>4.8179518204818049E-2</v>
      </c>
      <c r="AB72" s="40">
        <f t="shared" si="193"/>
        <v>0.14337724524592688</v>
      </c>
      <c r="AC72" s="38">
        <f t="shared" si="193"/>
        <v>0.13163623410206343</v>
      </c>
      <c r="AD72" s="38">
        <f t="shared" si="193"/>
        <v>2.2164948453608248E-2</v>
      </c>
      <c r="AE72" s="39">
        <f t="shared" si="193"/>
        <v>0.11398310187679456</v>
      </c>
      <c r="AF72" s="38">
        <f t="shared" si="193"/>
        <v>0.15965311073331934</v>
      </c>
      <c r="AG72" s="38">
        <f t="shared" si="193"/>
        <v>0.10431475335109183</v>
      </c>
      <c r="AH72" s="38">
        <f t="shared" si="193"/>
        <v>0.10186304937968826</v>
      </c>
      <c r="AI72" s="38">
        <f t="shared" si="193"/>
        <v>5.4718347868079421E-2</v>
      </c>
      <c r="AJ72" s="40">
        <f t="shared" si="193"/>
        <v>0.14000226540882535</v>
      </c>
      <c r="AK72" s="38">
        <f t="shared" si="193"/>
        <v>6.1507321134163677E-2</v>
      </c>
      <c r="AL72" s="38">
        <f t="shared" si="193"/>
        <v>0.12162840330666021</v>
      </c>
      <c r="AM72" s="38">
        <f t="shared" si="193"/>
        <v>0.10535182823129252</v>
      </c>
      <c r="AN72" s="40">
        <f t="shared" ref="AN72:AS72" si="194">AN71/AN64</f>
        <v>0.13156155030192995</v>
      </c>
      <c r="AO72" s="38">
        <f t="shared" si="194"/>
        <v>0.11592508236059708</v>
      </c>
      <c r="AP72" s="38">
        <f t="shared" si="194"/>
        <v>9.3091897458765366E-2</v>
      </c>
      <c r="AQ72" s="38">
        <f t="shared" si="194"/>
        <v>0.13338592565163496</v>
      </c>
      <c r="AR72" s="40">
        <f t="shared" si="194"/>
        <v>0.11931470047603333</v>
      </c>
      <c r="AS72" s="38">
        <f t="shared" si="194"/>
        <v>0.11439020708394514</v>
      </c>
      <c r="AT72" s="38">
        <f t="shared" ref="AT72:AY72" si="195">AT71/AT64</f>
        <v>0.15452110700165791</v>
      </c>
      <c r="AU72" s="38">
        <f t="shared" si="195"/>
        <v>0.14497726236541539</v>
      </c>
      <c r="AV72" s="40">
        <f t="shared" si="195"/>
        <v>0.10154652142052478</v>
      </c>
      <c r="AW72" s="38">
        <f t="shared" si="195"/>
        <v>6.4836692932970078E-2</v>
      </c>
      <c r="AX72" s="38">
        <f t="shared" si="195"/>
        <v>0.12639985368976134</v>
      </c>
      <c r="AY72" s="39">
        <f t="shared" si="195"/>
        <v>0.10321686271780239</v>
      </c>
      <c r="AZ72" s="40">
        <f t="shared" ref="AZ72:BK72" si="196">AZ71/AZ64</f>
        <v>8.205985877003126E-2</v>
      </c>
      <c r="BA72" s="38">
        <f t="shared" si="196"/>
        <v>0.1038237960642099</v>
      </c>
      <c r="BB72" s="38">
        <f t="shared" si="196"/>
        <v>0.1203138265770604</v>
      </c>
      <c r="BC72" s="39">
        <f t="shared" si="196"/>
        <v>9.242039114401214E-2</v>
      </c>
      <c r="BD72" s="40">
        <f t="shared" si="196"/>
        <v>0.12</v>
      </c>
      <c r="BE72" s="38">
        <f t="shared" si="196"/>
        <v>0.12500000000000003</v>
      </c>
      <c r="BF72" s="38">
        <f t="shared" si="196"/>
        <v>0.125</v>
      </c>
      <c r="BG72" s="39">
        <f t="shared" si="196"/>
        <v>0.125</v>
      </c>
      <c r="BH72" s="40">
        <f t="shared" si="196"/>
        <v>0.125</v>
      </c>
      <c r="BI72" s="38">
        <f t="shared" si="196"/>
        <v>0.12500000000000003</v>
      </c>
      <c r="BJ72" s="38">
        <f t="shared" si="196"/>
        <v>0.125</v>
      </c>
      <c r="BK72" s="39">
        <f t="shared" si="196"/>
        <v>0.125</v>
      </c>
      <c r="BL72" s="269"/>
      <c r="BM72" s="40">
        <f t="shared" ref="BM72:BW72" si="197">BM71/BM64</f>
        <v>0.21675788778849966</v>
      </c>
      <c r="BN72" s="38">
        <f t="shared" si="197"/>
        <v>0.180510257641079</v>
      </c>
      <c r="BO72" s="38">
        <f t="shared" si="197"/>
        <v>0.209069981487704</v>
      </c>
      <c r="BP72" s="38">
        <f t="shared" si="197"/>
        <v>0.20734592819850384</v>
      </c>
      <c r="BQ72" s="38">
        <f t="shared" si="197"/>
        <v>0.14031262073617137</v>
      </c>
      <c r="BR72" s="38">
        <f t="shared" si="197"/>
        <v>0.16389003049352832</v>
      </c>
      <c r="BS72" s="38">
        <f t="shared" si="197"/>
        <v>0.10743228936071918</v>
      </c>
      <c r="BT72" s="40">
        <f t="shared" si="197"/>
        <v>0.10686164229471311</v>
      </c>
      <c r="BU72" s="38">
        <f t="shared" si="197"/>
        <v>0.10713565308506764</v>
      </c>
      <c r="BV72" s="38">
        <f t="shared" si="197"/>
        <v>0.11866622572677568</v>
      </c>
      <c r="BW72" s="38">
        <f t="shared" si="197"/>
        <v>0.13360461067866997</v>
      </c>
      <c r="BX72" s="38">
        <f>BX71/BX64</f>
        <v>9.848794970461372E-2</v>
      </c>
      <c r="BY72" s="38">
        <f>BY71/BY64</f>
        <v>9.9668539218617777E-2</v>
      </c>
      <c r="BZ72" s="38">
        <f>BZ71/BZ64</f>
        <v>0.12375033649096018</v>
      </c>
      <c r="CA72" s="38">
        <f>CA71/CA64</f>
        <v>0.125</v>
      </c>
      <c r="CB72" s="951">
        <f>CB71/CB64</f>
        <v>0.125</v>
      </c>
      <c r="CC72" s="20"/>
      <c r="CD72" s="38">
        <f t="shared" ref="CD72:CM72" si="198">CD71/CD64</f>
        <v>0.17535788817745723</v>
      </c>
      <c r="CE72" s="38">
        <f t="shared" si="198"/>
        <v>0.19579536401966308</v>
      </c>
      <c r="CF72" s="38">
        <f t="shared" si="198"/>
        <v>0.20880539137813658</v>
      </c>
      <c r="CG72" s="38">
        <f t="shared" si="198"/>
        <v>0.17445467686660487</v>
      </c>
      <c r="CH72" s="38">
        <f t="shared" si="198"/>
        <v>0.17342119202381914</v>
      </c>
      <c r="CI72" s="38">
        <f t="shared" si="198"/>
        <v>8.9196047812998641E-2</v>
      </c>
      <c r="CJ72" s="38">
        <f t="shared" si="198"/>
        <v>0.12162428440147804</v>
      </c>
      <c r="CK72" s="38">
        <f t="shared" si="198"/>
        <v>9.694455413750154E-2</v>
      </c>
      <c r="CL72" s="38">
        <f t="shared" si="198"/>
        <v>0.1119025679028257</v>
      </c>
      <c r="CM72" s="38">
        <f t="shared" si="198"/>
        <v>0.13058865863083083</v>
      </c>
      <c r="CN72" s="38">
        <f>CN71/CN64</f>
        <v>0.10876044237535705</v>
      </c>
      <c r="CO72" s="38">
        <f>CO71/CO64</f>
        <v>0.10265574214517872</v>
      </c>
      <c r="CP72" s="38">
        <f>CP71/CP64</f>
        <v>0.11546439951816646</v>
      </c>
      <c r="CQ72" s="39">
        <f>CQ71/CQ64</f>
        <v>0.12500000000000006</v>
      </c>
      <c r="CR72" s="14"/>
      <c r="CS72" s="14"/>
      <c r="CZ72" s="8"/>
    </row>
    <row r="73" spans="1:104" ht="14.25" customHeight="1" collapsed="1">
      <c r="A73" s="8"/>
      <c r="B73" s="23"/>
      <c r="C73" s="24"/>
      <c r="D73" s="46"/>
      <c r="E73" s="44"/>
      <c r="F73" s="44"/>
      <c r="G73" s="45"/>
      <c r="H73" s="46"/>
      <c r="I73" s="44"/>
      <c r="J73" s="44"/>
      <c r="K73" s="45"/>
      <c r="L73" s="46"/>
      <c r="M73" s="44"/>
      <c r="N73" s="44"/>
      <c r="O73" s="45"/>
      <c r="P73" s="46"/>
      <c r="Q73" s="44"/>
      <c r="R73" s="44"/>
      <c r="S73" s="45"/>
      <c r="T73" s="46"/>
      <c r="U73" s="44"/>
      <c r="V73" s="44"/>
      <c r="W73" s="45"/>
      <c r="X73" s="46"/>
      <c r="Y73" s="44"/>
      <c r="Z73" s="62"/>
      <c r="AA73" s="45"/>
      <c r="AB73" s="46"/>
      <c r="AC73" s="44"/>
      <c r="AD73" s="44"/>
      <c r="AE73" s="45"/>
      <c r="AF73" s="44"/>
      <c r="AG73" s="44"/>
      <c r="AH73" s="44"/>
      <c r="AI73" s="44"/>
      <c r="AJ73" s="46"/>
      <c r="AK73" s="44"/>
      <c r="AL73" s="44"/>
      <c r="AM73" s="44"/>
      <c r="AN73" s="46"/>
      <c r="AO73" s="44"/>
      <c r="AP73" s="44"/>
      <c r="AQ73" s="44"/>
      <c r="AR73" s="46"/>
      <c r="AS73" s="44"/>
      <c r="AT73" s="44"/>
      <c r="AU73" s="44"/>
      <c r="AV73" s="46"/>
      <c r="AW73" s="44"/>
      <c r="AX73" s="44"/>
      <c r="AY73" s="45"/>
      <c r="AZ73" s="46"/>
      <c r="BA73" s="44"/>
      <c r="BB73" s="44"/>
      <c r="BC73" s="45"/>
      <c r="BD73" s="46"/>
      <c r="BE73" s="62"/>
      <c r="BF73" s="44"/>
      <c r="BG73" s="63"/>
      <c r="BH73" s="46"/>
      <c r="BI73" s="62"/>
      <c r="BJ73" s="44"/>
      <c r="BK73" s="63"/>
      <c r="BL73" s="269"/>
      <c r="BM73" s="46"/>
      <c r="BN73" s="44"/>
      <c r="BO73" s="44"/>
      <c r="BP73" s="44"/>
      <c r="BQ73" s="44"/>
      <c r="BR73" s="44"/>
      <c r="BS73" s="44"/>
      <c r="BT73" s="46"/>
      <c r="BU73" s="44"/>
      <c r="BV73" s="44"/>
      <c r="BW73" s="44"/>
      <c r="BX73" s="44"/>
      <c r="BY73" s="44"/>
      <c r="BZ73" s="44"/>
      <c r="CA73" s="44"/>
      <c r="CB73" s="957"/>
      <c r="CC73" s="20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5"/>
      <c r="CR73" s="14"/>
      <c r="CS73" s="14"/>
      <c r="CZ73" s="8"/>
    </row>
    <row r="74" spans="1:104" ht="14.25" customHeight="1">
      <c r="A74" s="8"/>
      <c r="B74" s="50" t="s">
        <v>393</v>
      </c>
      <c r="C74" s="51"/>
      <c r="D74" s="52">
        <f t="shared" ref="D74:AM74" si="199">D61-D67</f>
        <v>76.841000000000051</v>
      </c>
      <c r="E74" s="53">
        <f t="shared" si="199"/>
        <v>85.597999999999985</v>
      </c>
      <c r="F74" s="53">
        <f t="shared" si="199"/>
        <v>80.969000000000023</v>
      </c>
      <c r="G74" s="54">
        <f t="shared" si="199"/>
        <v>110.74100000000001</v>
      </c>
      <c r="H74" s="52">
        <f t="shared" si="199"/>
        <v>82.490999999999985</v>
      </c>
      <c r="I74" s="53">
        <f t="shared" si="199"/>
        <v>93.046000000000006</v>
      </c>
      <c r="J74" s="53">
        <f t="shared" si="199"/>
        <v>87.509000000000043</v>
      </c>
      <c r="K74" s="54">
        <f t="shared" si="199"/>
        <v>87.626000000000005</v>
      </c>
      <c r="L74" s="52">
        <f t="shared" si="199"/>
        <v>84.277999999999963</v>
      </c>
      <c r="M74" s="53">
        <f t="shared" si="199"/>
        <v>89.698000000000008</v>
      </c>
      <c r="N74" s="53">
        <f t="shared" si="199"/>
        <v>103.592</v>
      </c>
      <c r="O74" s="54">
        <f t="shared" si="199"/>
        <v>91.747000000000014</v>
      </c>
      <c r="P74" s="52">
        <f t="shared" si="199"/>
        <v>83.177999999999997</v>
      </c>
      <c r="Q74" s="53">
        <f t="shared" si="199"/>
        <v>81.059999999999974</v>
      </c>
      <c r="R74" s="53">
        <f t="shared" si="199"/>
        <v>119.44400000000005</v>
      </c>
      <c r="S74" s="54">
        <f t="shared" si="199"/>
        <v>78.03700000000002</v>
      </c>
      <c r="T74" s="52">
        <f t="shared" si="199"/>
        <v>38.006000000000014</v>
      </c>
      <c r="U74" s="53">
        <f t="shared" si="199"/>
        <v>64.038000000000039</v>
      </c>
      <c r="V74" s="53">
        <f t="shared" si="199"/>
        <v>106.90800000000004</v>
      </c>
      <c r="W74" s="54">
        <f t="shared" si="199"/>
        <v>148.53199999999993</v>
      </c>
      <c r="X74" s="52">
        <f t="shared" si="199"/>
        <v>158.58699999999999</v>
      </c>
      <c r="Y74" s="53">
        <f t="shared" si="199"/>
        <v>170.89500000000004</v>
      </c>
      <c r="Z74" s="53">
        <f t="shared" si="199"/>
        <v>152.34100000000007</v>
      </c>
      <c r="AA74" s="54">
        <f t="shared" si="199"/>
        <v>160.05199999999999</v>
      </c>
      <c r="AB74" s="52">
        <f t="shared" si="199"/>
        <v>154.37399999999997</v>
      </c>
      <c r="AC74" s="53">
        <f t="shared" si="199"/>
        <v>126.28599999999999</v>
      </c>
      <c r="AD74" s="53">
        <f t="shared" si="199"/>
        <v>127.01399999999998</v>
      </c>
      <c r="AE74" s="54">
        <f t="shared" si="199"/>
        <v>122.40499999999997</v>
      </c>
      <c r="AF74" s="53">
        <f t="shared" si="199"/>
        <v>129.83099999999999</v>
      </c>
      <c r="AG74" s="53">
        <f t="shared" si="199"/>
        <v>123.43700000000003</v>
      </c>
      <c r="AH74" s="53">
        <f t="shared" si="199"/>
        <v>103.64800000000001</v>
      </c>
      <c r="AI74" s="53">
        <f>AI61-AI67</f>
        <v>130.62</v>
      </c>
      <c r="AJ74" s="52">
        <f>AJ61-AJ67</f>
        <v>157.02300000000005</v>
      </c>
      <c r="AK74" s="53">
        <f>AK61-AK67</f>
        <v>141.46099999999998</v>
      </c>
      <c r="AL74" s="53">
        <f t="shared" si="199"/>
        <v>175.87699999999998</v>
      </c>
      <c r="AM74" s="53">
        <f t="shared" si="199"/>
        <v>156.02699999999999</v>
      </c>
      <c r="AN74" s="52">
        <f t="shared" ref="AN74:AS74" si="200">AN61-AN67</f>
        <v>173.61100000000005</v>
      </c>
      <c r="AO74" s="53">
        <f t="shared" si="200"/>
        <v>171.51599999999999</v>
      </c>
      <c r="AP74" s="53">
        <f t="shared" si="200"/>
        <v>168.46599999999992</v>
      </c>
      <c r="AQ74" s="53">
        <f t="shared" si="200"/>
        <v>134.62299999999999</v>
      </c>
      <c r="AR74" s="52">
        <f t="shared" si="200"/>
        <v>147.71500000000003</v>
      </c>
      <c r="AS74" s="53">
        <f t="shared" si="200"/>
        <v>127.29800000000003</v>
      </c>
      <c r="AT74" s="53">
        <f t="shared" ref="AT74:AY74" si="201">AT61-AT67</f>
        <v>130.81900000000002</v>
      </c>
      <c r="AU74" s="53">
        <f t="shared" si="201"/>
        <v>145.03500000000003</v>
      </c>
      <c r="AV74" s="52">
        <f t="shared" si="201"/>
        <v>163.04899999999998</v>
      </c>
      <c r="AW74" s="53">
        <f t="shared" si="201"/>
        <v>164.19199999999995</v>
      </c>
      <c r="AX74" s="53">
        <f t="shared" si="201"/>
        <v>141.84599999999998</v>
      </c>
      <c r="AY74" s="54">
        <f t="shared" si="201"/>
        <v>153.42499999999995</v>
      </c>
      <c r="AZ74" s="52">
        <f t="shared" ref="AZ74:BK74" si="202">AZ61-AZ67</f>
        <v>167.24499999999998</v>
      </c>
      <c r="BA74" s="53">
        <f t="shared" si="202"/>
        <v>167.53200000000004</v>
      </c>
      <c r="BB74" s="53">
        <f t="shared" si="202"/>
        <v>11.944999999999993</v>
      </c>
      <c r="BC74" s="54">
        <f t="shared" si="202"/>
        <v>165.65899999999993</v>
      </c>
      <c r="BD74" s="52">
        <f t="shared" si="202"/>
        <v>189.88476405095997</v>
      </c>
      <c r="BE74" s="53">
        <f t="shared" si="202"/>
        <v>188.39255853261022</v>
      </c>
      <c r="BF74" s="53">
        <f t="shared" si="202"/>
        <v>186.83188219621272</v>
      </c>
      <c r="BG74" s="54">
        <f t="shared" si="202"/>
        <v>191.39653475412371</v>
      </c>
      <c r="BH74" s="52">
        <f t="shared" si="202"/>
        <v>200.87392741201117</v>
      </c>
      <c r="BI74" s="53">
        <f t="shared" si="202"/>
        <v>204.50182176319757</v>
      </c>
      <c r="BJ74" s="53">
        <f t="shared" si="202"/>
        <v>203.45711877346622</v>
      </c>
      <c r="BK74" s="54">
        <f t="shared" si="202"/>
        <v>207.60504036043284</v>
      </c>
      <c r="BL74" s="269"/>
      <c r="BM74" s="52">
        <f t="shared" ref="BM74:BW74" si="203">BM61-BM67</f>
        <v>354.14899999999989</v>
      </c>
      <c r="BN74" s="53">
        <f t="shared" si="203"/>
        <v>350.67200000000008</v>
      </c>
      <c r="BO74" s="53">
        <f t="shared" si="203"/>
        <v>369.31500000000005</v>
      </c>
      <c r="BP74" s="53">
        <f t="shared" si="203"/>
        <v>361.71899999999965</v>
      </c>
      <c r="BQ74" s="53">
        <f t="shared" si="203"/>
        <v>357.48400000000009</v>
      </c>
      <c r="BR74" s="53">
        <f t="shared" si="203"/>
        <v>641.87500000000023</v>
      </c>
      <c r="BS74" s="53">
        <f t="shared" si="203"/>
        <v>530.07899999999995</v>
      </c>
      <c r="BT74" s="52">
        <f t="shared" si="203"/>
        <v>487.53600000000017</v>
      </c>
      <c r="BU74" s="53">
        <f t="shared" si="203"/>
        <v>630.38800000000003</v>
      </c>
      <c r="BV74" s="53">
        <f t="shared" si="203"/>
        <v>648.21600000000024</v>
      </c>
      <c r="BW74" s="53">
        <f t="shared" si="203"/>
        <v>550.86700000000019</v>
      </c>
      <c r="BX74" s="53">
        <f>BX61-BX67</f>
        <v>622.51200000000017</v>
      </c>
      <c r="BY74" s="53">
        <f>BY61-BY67</f>
        <v>512.38100000000009</v>
      </c>
      <c r="BZ74" s="53">
        <f>BZ61-BZ67</f>
        <v>756.50573953390654</v>
      </c>
      <c r="CA74" s="53">
        <f>CA61-CA67</f>
        <v>816.4379083091078</v>
      </c>
      <c r="CB74" s="954">
        <f>CB61-CB67</f>
        <v>861.22309280901197</v>
      </c>
      <c r="CC74" s="20"/>
      <c r="CD74" s="53">
        <f t="shared" ref="CD74:CM74" si="204">CD61-CD67</f>
        <v>373.78700000000026</v>
      </c>
      <c r="CE74" s="53">
        <f t="shared" si="204"/>
        <v>365.19400000000002</v>
      </c>
      <c r="CF74" s="53">
        <f t="shared" si="204"/>
        <v>375.42899999999986</v>
      </c>
      <c r="CG74" s="53">
        <f t="shared" si="204"/>
        <v>286.98900000000015</v>
      </c>
      <c r="CH74" s="53">
        <f t="shared" si="204"/>
        <v>630.35500000000025</v>
      </c>
      <c r="CI74" s="53">
        <f t="shared" si="204"/>
        <v>567.72599999999989</v>
      </c>
      <c r="CJ74" s="53">
        <f t="shared" si="204"/>
        <v>479.32099999999986</v>
      </c>
      <c r="CK74" s="53">
        <f t="shared" si="204"/>
        <v>604.98100000000034</v>
      </c>
      <c r="CL74" s="53">
        <f t="shared" si="204"/>
        <v>669.61999999999978</v>
      </c>
      <c r="CM74" s="53">
        <f t="shared" si="204"/>
        <v>540.45499999999993</v>
      </c>
      <c r="CN74" s="53">
        <f>CN61-CN67</f>
        <v>614.12200000000007</v>
      </c>
      <c r="CO74" s="53">
        <f>CO61-CO67</f>
        <v>500.14700000000028</v>
      </c>
      <c r="CP74" s="53">
        <f>CP61-CP67</f>
        <v>730.76820477978276</v>
      </c>
      <c r="CQ74" s="54">
        <f>CQ61-CQ67</f>
        <v>800.22940270279821</v>
      </c>
      <c r="CR74" s="806"/>
      <c r="CS74" s="806"/>
      <c r="CZ74" s="8"/>
    </row>
    <row r="75" spans="1:104" ht="14.25" customHeight="1">
      <c r="A75" s="8"/>
      <c r="B75" s="36" t="s">
        <v>16</v>
      </c>
      <c r="C75" s="37"/>
      <c r="D75" s="40">
        <f>D74/D$10</f>
        <v>0.18955347958330365</v>
      </c>
      <c r="E75" s="38">
        <f>E74/E$10</f>
        <v>0.21456950986265724</v>
      </c>
      <c r="F75" s="38">
        <f>F74/F$10</f>
        <v>0.18008918939958413</v>
      </c>
      <c r="G75" s="39">
        <f>G74/G$10</f>
        <v>0.23445336698162544</v>
      </c>
      <c r="H75" s="40">
        <f t="shared" ref="H75:X75" si="205">H74/H$10</f>
        <v>0.17136998766001468</v>
      </c>
      <c r="I75" s="38">
        <f t="shared" si="205"/>
        <v>0.19916520398989684</v>
      </c>
      <c r="J75" s="38">
        <f t="shared" si="205"/>
        <v>0.19415164457263306</v>
      </c>
      <c r="K75" s="39">
        <f t="shared" si="205"/>
        <v>0.19759082873326841</v>
      </c>
      <c r="L75" s="40">
        <f t="shared" si="205"/>
        <v>0.18900141732000925</v>
      </c>
      <c r="M75" s="38">
        <f t="shared" si="205"/>
        <v>0.20161656484465965</v>
      </c>
      <c r="N75" s="38">
        <f t="shared" si="205"/>
        <v>0.21817752934882878</v>
      </c>
      <c r="O75" s="39">
        <f t="shared" si="205"/>
        <v>0.19284303009920972</v>
      </c>
      <c r="P75" s="40">
        <f t="shared" si="205"/>
        <v>0.17036084268995547</v>
      </c>
      <c r="Q75" s="38">
        <f t="shared" si="205"/>
        <v>0.16763970492433874</v>
      </c>
      <c r="R75" s="38">
        <f t="shared" si="205"/>
        <v>0.26057457999463346</v>
      </c>
      <c r="S75" s="39">
        <f t="shared" si="205"/>
        <v>0.19755502336626049</v>
      </c>
      <c r="T75" s="40">
        <f t="shared" si="205"/>
        <v>0.10101665182665093</v>
      </c>
      <c r="U75" s="38">
        <f t="shared" si="205"/>
        <v>0.15432702735269319</v>
      </c>
      <c r="V75" s="38">
        <f t="shared" si="205"/>
        <v>0.20825598179795818</v>
      </c>
      <c r="W75" s="39">
        <f t="shared" si="205"/>
        <v>0.2807682129220066</v>
      </c>
      <c r="X75" s="40">
        <f t="shared" si="205"/>
        <v>0.26665063717239723</v>
      </c>
      <c r="Y75" s="38">
        <f t="shared" ref="Y75:AM75" si="206">Y74/Y$10</f>
        <v>0.27578566518092007</v>
      </c>
      <c r="Z75" s="38">
        <f t="shared" si="206"/>
        <v>0.26858900897406524</v>
      </c>
      <c r="AA75" s="39">
        <f t="shared" si="206"/>
        <v>0.27226580840075393</v>
      </c>
      <c r="AB75" s="40">
        <f t="shared" si="206"/>
        <v>0.25082580106358948</v>
      </c>
      <c r="AC75" s="38">
        <f t="shared" si="206"/>
        <v>0.22745668748165104</v>
      </c>
      <c r="AD75" s="38">
        <f t="shared" si="206"/>
        <v>0.24851543071586074</v>
      </c>
      <c r="AE75" s="39">
        <f t="shared" si="206"/>
        <v>0.21898195440566895</v>
      </c>
      <c r="AF75" s="38">
        <f t="shared" si="206"/>
        <v>0.22277722106303535</v>
      </c>
      <c r="AG75" s="38">
        <f t="shared" si="206"/>
        <v>0.22693419961649694</v>
      </c>
      <c r="AH75" s="38">
        <f t="shared" si="206"/>
        <v>0.20332426383033819</v>
      </c>
      <c r="AI75" s="38">
        <f t="shared" si="206"/>
        <v>0.24544880564032412</v>
      </c>
      <c r="AJ75" s="40">
        <f t="shared" si="206"/>
        <v>0.27121797030857325</v>
      </c>
      <c r="AK75" s="38">
        <f t="shared" si="206"/>
        <v>0.23618677757426904</v>
      </c>
      <c r="AL75" s="38">
        <f t="shared" si="206"/>
        <v>0.29971405005998469</v>
      </c>
      <c r="AM75" s="38">
        <f t="shared" si="206"/>
        <v>0.25254320412156878</v>
      </c>
      <c r="AN75" s="40">
        <f t="shared" ref="AN75:AS75" si="207">AN74/AN$10</f>
        <v>0.28338499558463232</v>
      </c>
      <c r="AO75" s="38">
        <f t="shared" si="207"/>
        <v>0.2838437631358583</v>
      </c>
      <c r="AP75" s="38">
        <f t="shared" si="207"/>
        <v>0.28382829387295727</v>
      </c>
      <c r="AQ75" s="38">
        <f t="shared" si="207"/>
        <v>0.23747221732227905</v>
      </c>
      <c r="AR75" s="40">
        <f t="shared" si="207"/>
        <v>0.26905801008364183</v>
      </c>
      <c r="AS75" s="38">
        <f t="shared" si="207"/>
        <v>0.24129028833979063</v>
      </c>
      <c r="AT75" s="38">
        <f t="shared" ref="AT75:AY75" si="208">AT74/AT$10</f>
        <v>0.23103305164816731</v>
      </c>
      <c r="AU75" s="38">
        <f t="shared" si="208"/>
        <v>0.25397239548493522</v>
      </c>
      <c r="AV75" s="40">
        <f t="shared" si="208"/>
        <v>0.28357284849412412</v>
      </c>
      <c r="AW75" s="38">
        <f t="shared" si="208"/>
        <v>0.283476258138254</v>
      </c>
      <c r="AX75" s="38">
        <f t="shared" si="208"/>
        <v>0.24218696643946944</v>
      </c>
      <c r="AY75" s="39">
        <f t="shared" si="208"/>
        <v>0.25174254904405918</v>
      </c>
      <c r="AZ75" s="40">
        <f t="shared" ref="AZ75:BK75" si="209">AZ74/AZ$10</f>
        <v>0.27174601833467105</v>
      </c>
      <c r="BA75" s="38">
        <f t="shared" si="209"/>
        <v>0.27042968314923421</v>
      </c>
      <c r="BB75" s="38">
        <f t="shared" si="209"/>
        <v>1.8924481101659861E-2</v>
      </c>
      <c r="BC75" s="39">
        <f t="shared" si="209"/>
        <v>0.24620055821253087</v>
      </c>
      <c r="BD75" s="40">
        <f t="shared" si="209"/>
        <v>0.2811082962010133</v>
      </c>
      <c r="BE75" s="38">
        <f t="shared" si="209"/>
        <v>0.27732611395696755</v>
      </c>
      <c r="BF75" s="38">
        <f t="shared" si="209"/>
        <v>0.27558128993681569</v>
      </c>
      <c r="BG75" s="39">
        <f t="shared" si="209"/>
        <v>0.27551916018723671</v>
      </c>
      <c r="BH75" s="40">
        <f t="shared" si="209"/>
        <v>0.2798127093014825</v>
      </c>
      <c r="BI75" s="38">
        <f t="shared" si="209"/>
        <v>0.28241674770534142</v>
      </c>
      <c r="BJ75" s="38">
        <f t="shared" si="209"/>
        <v>0.28331185623486604</v>
      </c>
      <c r="BK75" s="39">
        <f t="shared" si="209"/>
        <v>0.28414519274892025</v>
      </c>
      <c r="BL75" s="269"/>
      <c r="BM75" s="40">
        <f>BM74/BM$10</f>
        <v>0.20515510499637937</v>
      </c>
      <c r="BN75" s="38">
        <f>BN74/BN$10</f>
        <v>0.19029933159280835</v>
      </c>
      <c r="BO75" s="38">
        <f>BO74/BO$10</f>
        <v>0.20056512209374316</v>
      </c>
      <c r="BP75" s="38">
        <f>BP74/BP$10</f>
        <v>0.19818221067026651</v>
      </c>
      <c r="BQ75" s="38">
        <f t="shared" ref="BQ75:BW75" si="210">BQ74/BQ$10</f>
        <v>0.19496780569320571</v>
      </c>
      <c r="BR75" s="38">
        <f t="shared" si="210"/>
        <v>0.27089677118481342</v>
      </c>
      <c r="BS75" s="38">
        <f t="shared" si="210"/>
        <v>0.2365646823186667</v>
      </c>
      <c r="BT75" s="40">
        <f t="shared" si="210"/>
        <v>0.2248106196844861</v>
      </c>
      <c r="BU75" s="38">
        <f t="shared" si="210"/>
        <v>0.26458753317375516</v>
      </c>
      <c r="BV75" s="38">
        <f t="shared" si="210"/>
        <v>0.2726639476659668</v>
      </c>
      <c r="BW75" s="38">
        <f t="shared" si="210"/>
        <v>0.24882412378985144</v>
      </c>
      <c r="BX75" s="38">
        <f>BX74/BX$10</f>
        <v>0.26497426925974649</v>
      </c>
      <c r="BY75" s="38">
        <f>BY74/BY$10</f>
        <v>0.20180393571652511</v>
      </c>
      <c r="BZ75" s="38">
        <f>BZ74/BZ$10</f>
        <v>0.27736888351129779</v>
      </c>
      <c r="CA75" s="38">
        <f>CA74/CA$10</f>
        <v>0.28242929118842536</v>
      </c>
      <c r="CB75" s="951">
        <f>CB74/CB$10</f>
        <v>0.28230233681260719</v>
      </c>
      <c r="CC75" s="20"/>
      <c r="CD75" s="38">
        <f t="shared" ref="CD75:CM75" si="211">CD74/CD$10</f>
        <v>0.19971479009448592</v>
      </c>
      <c r="CE75" s="38">
        <f t="shared" si="211"/>
        <v>0.20186680109934088</v>
      </c>
      <c r="CF75" s="38">
        <f t="shared" si="211"/>
        <v>0.19697942736616764</v>
      </c>
      <c r="CG75" s="38">
        <f t="shared" si="211"/>
        <v>0.16886195623777622</v>
      </c>
      <c r="CH75" s="38">
        <f t="shared" si="211"/>
        <v>0.27280855772905294</v>
      </c>
      <c r="CI75" s="38">
        <f t="shared" si="211"/>
        <v>0.25014198443348318</v>
      </c>
      <c r="CJ75" s="38">
        <f t="shared" si="211"/>
        <v>0.21832402092138442</v>
      </c>
      <c r="CK75" s="38">
        <f t="shared" si="211"/>
        <v>0.26339297376088228</v>
      </c>
      <c r="CL75" s="38">
        <f t="shared" si="211"/>
        <v>0.2757604497363757</v>
      </c>
      <c r="CM75" s="38">
        <f t="shared" si="211"/>
        <v>0.24458131478493828</v>
      </c>
      <c r="CN75" s="38">
        <f>CN74/CN$10</f>
        <v>0.26574508079815007</v>
      </c>
      <c r="CO75" s="38">
        <f>CO74/CO$10</f>
        <v>0.20203110849355763</v>
      </c>
      <c r="CP75" s="38">
        <f>CP74/CP$10</f>
        <v>0.2700925431093944</v>
      </c>
      <c r="CQ75" s="39">
        <f>CQ74/CQ$10</f>
        <v>0.28030866652860631</v>
      </c>
      <c r="CR75" s="14"/>
      <c r="CS75" s="14"/>
      <c r="CZ75" s="8"/>
    </row>
    <row r="76" spans="1:104" ht="14.25" customHeight="1">
      <c r="A76" s="8"/>
      <c r="B76" s="36"/>
      <c r="C76" s="37"/>
      <c r="D76" s="40"/>
      <c r="E76" s="38"/>
      <c r="F76" s="38"/>
      <c r="G76" s="39"/>
      <c r="H76" s="40"/>
      <c r="I76" s="38"/>
      <c r="J76" s="38"/>
      <c r="K76" s="39"/>
      <c r="L76" s="40"/>
      <c r="M76" s="38"/>
      <c r="N76" s="38"/>
      <c r="O76" s="39"/>
      <c r="P76" s="40"/>
      <c r="Q76" s="38"/>
      <c r="R76" s="38"/>
      <c r="S76" s="39"/>
      <c r="T76" s="40"/>
      <c r="U76" s="38"/>
      <c r="V76" s="38"/>
      <c r="W76" s="39"/>
      <c r="X76" s="40"/>
      <c r="Y76" s="38"/>
      <c r="Z76" s="38"/>
      <c r="AA76" s="39"/>
      <c r="AB76" s="40"/>
      <c r="AC76" s="38"/>
      <c r="AD76" s="38"/>
      <c r="AE76" s="39"/>
      <c r="AF76" s="38"/>
      <c r="AG76" s="38"/>
      <c r="AH76" s="38"/>
      <c r="AI76" s="38"/>
      <c r="AJ76" s="40"/>
      <c r="AK76" s="38"/>
      <c r="AL76" s="38"/>
      <c r="AM76" s="38"/>
      <c r="AN76" s="40"/>
      <c r="AO76" s="38"/>
      <c r="AP76" s="38"/>
      <c r="AQ76" s="38"/>
      <c r="AR76" s="40"/>
      <c r="AS76" s="38"/>
      <c r="AT76" s="38"/>
      <c r="AU76" s="38"/>
      <c r="AV76" s="40"/>
      <c r="AW76" s="38"/>
      <c r="AX76" s="38"/>
      <c r="AY76" s="39"/>
      <c r="AZ76" s="40"/>
      <c r="BA76" s="38"/>
      <c r="BB76" s="38"/>
      <c r="BC76" s="39"/>
      <c r="BD76" s="40"/>
      <c r="BE76" s="38"/>
      <c r="BF76" s="38"/>
      <c r="BG76" s="39"/>
      <c r="BH76" s="40"/>
      <c r="BI76" s="38"/>
      <c r="BJ76" s="38"/>
      <c r="BK76" s="39"/>
      <c r="BL76" s="269"/>
      <c r="BM76" s="40"/>
      <c r="BN76" s="38"/>
      <c r="BO76" s="38"/>
      <c r="BP76" s="38"/>
      <c r="BQ76" s="38"/>
      <c r="BR76" s="38"/>
      <c r="BS76" s="38"/>
      <c r="BT76" s="40"/>
      <c r="BU76" s="38"/>
      <c r="BV76" s="38"/>
      <c r="BW76" s="38"/>
      <c r="BX76" s="38"/>
      <c r="BY76" s="38"/>
      <c r="BZ76" s="38"/>
      <c r="CA76" s="38"/>
      <c r="CB76" s="951"/>
      <c r="CC76" s="20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9"/>
      <c r="CR76" s="14"/>
      <c r="CS76" s="14"/>
      <c r="CZ76" s="8"/>
    </row>
    <row r="77" spans="1:104" ht="14.25" hidden="1" customHeight="1" outlineLevel="1">
      <c r="A77" s="8"/>
      <c r="B77" s="23" t="s">
        <v>17</v>
      </c>
      <c r="C77" s="24"/>
      <c r="D77" s="35">
        <f t="shared" ref="D77:CF77" si="212">(D17+D30+D37-D57-D58+D43+D70+D42)</f>
        <v>1.756</v>
      </c>
      <c r="E77" s="33">
        <f t="shared" si="212"/>
        <v>4.92</v>
      </c>
      <c r="F77" s="33">
        <f t="shared" si="212"/>
        <v>1.536</v>
      </c>
      <c r="G77" s="34">
        <f t="shared" si="212"/>
        <v>7.8470000000000004</v>
      </c>
      <c r="H77" s="35">
        <f t="shared" si="212"/>
        <v>4.6769999999999996</v>
      </c>
      <c r="I77" s="33">
        <f t="shared" si="212"/>
        <v>2.0310000000000001</v>
      </c>
      <c r="J77" s="33">
        <f t="shared" si="212"/>
        <v>6.02</v>
      </c>
      <c r="K77" s="34">
        <f t="shared" si="212"/>
        <v>1.94</v>
      </c>
      <c r="L77" s="35">
        <f t="shared" si="212"/>
        <v>1.897</v>
      </c>
      <c r="M77" s="33">
        <f t="shared" si="212"/>
        <v>1.897</v>
      </c>
      <c r="N77" s="33">
        <f t="shared" si="212"/>
        <v>1.5820000000000001</v>
      </c>
      <c r="O77" s="34">
        <f t="shared" si="212"/>
        <v>4.2759999999999998</v>
      </c>
      <c r="P77" s="35">
        <f t="shared" si="212"/>
        <v>25.582000000000004</v>
      </c>
      <c r="Q77" s="33">
        <f t="shared" si="212"/>
        <v>32.914000000000001</v>
      </c>
      <c r="R77" s="33">
        <f t="shared" si="212"/>
        <v>-37.274999999999999</v>
      </c>
      <c r="S77" s="34">
        <f t="shared" si="212"/>
        <v>-14.772000000000004</v>
      </c>
      <c r="T77" s="35">
        <f t="shared" si="212"/>
        <v>18.263999999999999</v>
      </c>
      <c r="U77" s="33">
        <f t="shared" si="212"/>
        <v>5.915</v>
      </c>
      <c r="V77" s="33">
        <f t="shared" si="212"/>
        <v>8.5719999999999992</v>
      </c>
      <c r="W77" s="34">
        <f t="shared" si="212"/>
        <v>3.6110000000000015</v>
      </c>
      <c r="X77" s="35">
        <f t="shared" si="212"/>
        <v>0</v>
      </c>
      <c r="Y77" s="33">
        <f t="shared" si="212"/>
        <v>0</v>
      </c>
      <c r="Z77" s="33">
        <f t="shared" si="212"/>
        <v>4.2759999999999998</v>
      </c>
      <c r="AA77" s="34">
        <f t="shared" si="212"/>
        <v>13.008000000000001</v>
      </c>
      <c r="AB77" s="35">
        <f t="shared" si="212"/>
        <v>1.623</v>
      </c>
      <c r="AC77" s="33">
        <f t="shared" si="212"/>
        <v>5.351</v>
      </c>
      <c r="AD77" s="33">
        <f t="shared" si="212"/>
        <v>1.982</v>
      </c>
      <c r="AE77" s="34">
        <f t="shared" si="212"/>
        <v>17.381</v>
      </c>
      <c r="AF77" s="33">
        <f t="shared" si="212"/>
        <v>2.1480000000000001</v>
      </c>
      <c r="AG77" s="33">
        <f t="shared" si="212"/>
        <v>2.319</v>
      </c>
      <c r="AH77" s="33">
        <f t="shared" si="212"/>
        <v>2.5539999999999998</v>
      </c>
      <c r="AI77" s="33">
        <f t="shared" si="212"/>
        <v>2.4870000000000001</v>
      </c>
      <c r="AJ77" s="35">
        <f t="shared" si="212"/>
        <v>2.4180000000000001</v>
      </c>
      <c r="AK77" s="33">
        <f t="shared" si="212"/>
        <v>31.018000000000001</v>
      </c>
      <c r="AL77" s="33">
        <f t="shared" si="212"/>
        <v>-16.601000000000003</v>
      </c>
      <c r="AM77" s="33">
        <f t="shared" si="212"/>
        <v>12.31</v>
      </c>
      <c r="AN77" s="35">
        <f t="shared" ref="AN77:AS77" si="213">(AN17+AN30+AN37-AN57-AN58+AN43+AN70+AN42)</f>
        <v>2.4180000000000001</v>
      </c>
      <c r="AO77" s="33">
        <f t="shared" si="213"/>
        <v>2.3780000000000001</v>
      </c>
      <c r="AP77" s="33">
        <f t="shared" si="213"/>
        <v>2.371</v>
      </c>
      <c r="AQ77" s="33">
        <f t="shared" si="213"/>
        <v>26.861000000000001</v>
      </c>
      <c r="AR77" s="35">
        <f t="shared" si="213"/>
        <v>1.7689999999999999</v>
      </c>
      <c r="AS77" s="33">
        <f t="shared" si="213"/>
        <v>1.7689999999999999</v>
      </c>
      <c r="AT77" s="33">
        <f t="shared" ref="AT77:AY77" si="214">(AT17+AT30+AT37-AT57-AT58+AT43+AT70+AT42)</f>
        <v>1.7689999999999999</v>
      </c>
      <c r="AU77" s="33">
        <f t="shared" si="214"/>
        <v>1.244</v>
      </c>
      <c r="AV77" s="35">
        <f t="shared" si="214"/>
        <v>1.244</v>
      </c>
      <c r="AW77" s="33">
        <f t="shared" si="214"/>
        <v>1.244</v>
      </c>
      <c r="AX77" s="33">
        <f t="shared" si="214"/>
        <v>1.4550000000000001</v>
      </c>
      <c r="AY77" s="34">
        <f t="shared" si="214"/>
        <v>1.1839999999999999</v>
      </c>
      <c r="AZ77" s="35">
        <f t="shared" ref="AZ77:BK77" si="215">(AZ17+AZ30+AZ37-AZ57-AZ58+AZ43+AZ70+AZ42)</f>
        <v>0.70499999999999996</v>
      </c>
      <c r="BA77" s="33">
        <f t="shared" si="215"/>
        <v>0.51</v>
      </c>
      <c r="BB77" s="33">
        <f t="shared" si="215"/>
        <v>160.053</v>
      </c>
      <c r="BC77" s="34">
        <f t="shared" si="215"/>
        <v>33.935000000000002</v>
      </c>
      <c r="BD77" s="35">
        <f t="shared" si="215"/>
        <v>0</v>
      </c>
      <c r="BE77" s="33">
        <f t="shared" si="215"/>
        <v>0</v>
      </c>
      <c r="BF77" s="33">
        <f t="shared" si="215"/>
        <v>0</v>
      </c>
      <c r="BG77" s="34">
        <f t="shared" si="215"/>
        <v>0</v>
      </c>
      <c r="BH77" s="35">
        <f t="shared" si="215"/>
        <v>0</v>
      </c>
      <c r="BI77" s="33">
        <f t="shared" si="215"/>
        <v>0</v>
      </c>
      <c r="BJ77" s="33">
        <f t="shared" si="215"/>
        <v>0</v>
      </c>
      <c r="BK77" s="34">
        <f t="shared" si="215"/>
        <v>0</v>
      </c>
      <c r="BL77" s="24">
        <f t="shared" si="212"/>
        <v>0</v>
      </c>
      <c r="BM77" s="35">
        <f t="shared" si="212"/>
        <v>16.059000000000001</v>
      </c>
      <c r="BN77" s="33">
        <f t="shared" si="212"/>
        <v>14.667999999999999</v>
      </c>
      <c r="BO77" s="33">
        <f t="shared" si="212"/>
        <v>9.652000000000001</v>
      </c>
      <c r="BP77" s="33">
        <f t="shared" si="212"/>
        <v>6.4490000000000052</v>
      </c>
      <c r="BQ77" s="33">
        <f t="shared" si="212"/>
        <v>36.362000000000002</v>
      </c>
      <c r="BR77" s="33">
        <f t="shared" si="212"/>
        <v>17.283999999999999</v>
      </c>
      <c r="BS77" s="33">
        <f t="shared" si="212"/>
        <v>26.337000000000003</v>
      </c>
      <c r="BT77" s="35">
        <f t="shared" si="212"/>
        <v>9.5080000000000009</v>
      </c>
      <c r="BU77" s="33">
        <f t="shared" si="212"/>
        <v>29.145000000000003</v>
      </c>
      <c r="BV77" s="33">
        <f t="shared" si="212"/>
        <v>34.027999999999999</v>
      </c>
      <c r="BW77" s="33">
        <f t="shared" si="212"/>
        <v>6.5509999999999993</v>
      </c>
      <c r="BX77" s="33">
        <f>(BX17+BX30+BX37-BX57-BX58+BX43+BX70+BX42)</f>
        <v>5.1269999999999998</v>
      </c>
      <c r="BY77" s="33">
        <f>(BY17+BY30+BY37-BY57-BY58+BY43+BY70+BY42)</f>
        <v>195.20299999999997</v>
      </c>
      <c r="BZ77" s="33">
        <f>(BZ17+BZ30+BZ37-BZ57-BZ58+BZ43+BZ70+BZ42)</f>
        <v>0</v>
      </c>
      <c r="CA77" s="33">
        <f>(CA17+CA30+CA37-CA57-CA58+CA43+CA70+CA42)</f>
        <v>0</v>
      </c>
      <c r="CB77" s="953">
        <f>(CB17+CB30+CB37-CB57-CB58+CB43+CB70+CB42)</f>
        <v>0</v>
      </c>
      <c r="CC77" s="192"/>
      <c r="CD77" s="33">
        <f t="shared" si="212"/>
        <v>20.574999999999999</v>
      </c>
      <c r="CE77" s="33">
        <f t="shared" si="212"/>
        <v>7.3159999999999998</v>
      </c>
      <c r="CF77" s="33">
        <f t="shared" si="212"/>
        <v>25.497000000000007</v>
      </c>
      <c r="CG77" s="33">
        <f t="shared" ref="CG77:CL77" si="216">(CG17+CG30+CG37-CG57-CG58+CG43+CG70+CG42)</f>
        <v>17.978999999999996</v>
      </c>
      <c r="CH77" s="33">
        <f t="shared" si="216"/>
        <v>7.8870000000000013</v>
      </c>
      <c r="CI77" s="33">
        <f t="shared" si="216"/>
        <v>21.963999999999999</v>
      </c>
      <c r="CJ77" s="33">
        <f t="shared" si="216"/>
        <v>24.402000000000001</v>
      </c>
      <c r="CK77" s="33">
        <f t="shared" si="216"/>
        <v>19.322000000000003</v>
      </c>
      <c r="CL77" s="33">
        <f t="shared" si="216"/>
        <v>19.477000000000004</v>
      </c>
      <c r="CM77" s="33">
        <f>(CM17+CM30+CM37-CM57-CM58+CM43+CM70+CM42)</f>
        <v>32.167999999999999</v>
      </c>
      <c r="CN77" s="33">
        <f>(CN17+CN30+CN37-CN57-CN58+CN43+CN70+CN42)</f>
        <v>5.1870000000000003</v>
      </c>
      <c r="CO77" s="33">
        <f>(CO17+CO30+CO37-CO57-CO58+CO43+CO70+CO42)</f>
        <v>162.452</v>
      </c>
      <c r="CP77" s="33">
        <f>(CP17+CP30+CP37-CP57-CP58+CP43+CP70+CP42)</f>
        <v>33.935000000000002</v>
      </c>
      <c r="CQ77" s="34">
        <f>(CQ17+CQ30+CQ37-CQ57-CQ58+CQ43+CQ70+CQ42)</f>
        <v>0</v>
      </c>
      <c r="CR77" s="806"/>
      <c r="CS77" s="806"/>
      <c r="CZ77" s="8"/>
    </row>
    <row r="78" spans="1:104" ht="14.25" hidden="1" customHeight="1" outlineLevel="1">
      <c r="A78" s="8"/>
      <c r="B78" s="50" t="s">
        <v>18</v>
      </c>
      <c r="C78" s="51"/>
      <c r="D78" s="52">
        <f t="shared" ref="D78:AM78" si="217">D64-D71</f>
        <v>78.597000000000051</v>
      </c>
      <c r="E78" s="53">
        <f t="shared" si="217"/>
        <v>90.517999999999972</v>
      </c>
      <c r="F78" s="53">
        <f t="shared" si="217"/>
        <v>82.505000000000024</v>
      </c>
      <c r="G78" s="54">
        <f t="shared" si="217"/>
        <v>118.58800000000002</v>
      </c>
      <c r="H78" s="52">
        <f t="shared" si="217"/>
        <v>87.167999999999992</v>
      </c>
      <c r="I78" s="53">
        <f t="shared" si="217"/>
        <v>95.077000000000012</v>
      </c>
      <c r="J78" s="53">
        <f t="shared" si="217"/>
        <v>93.529000000000053</v>
      </c>
      <c r="K78" s="54">
        <f t="shared" si="217"/>
        <v>89.566000000000003</v>
      </c>
      <c r="L78" s="52">
        <f t="shared" si="217"/>
        <v>86.174999999999955</v>
      </c>
      <c r="M78" s="53">
        <f t="shared" si="217"/>
        <v>91.594999999999999</v>
      </c>
      <c r="N78" s="53">
        <f t="shared" si="217"/>
        <v>105.17399999999999</v>
      </c>
      <c r="O78" s="54">
        <f t="shared" si="217"/>
        <v>96.022999999999996</v>
      </c>
      <c r="P78" s="52">
        <f t="shared" si="217"/>
        <v>108.76000000000002</v>
      </c>
      <c r="Q78" s="53">
        <f t="shared" si="217"/>
        <v>113.97399999999999</v>
      </c>
      <c r="R78" s="53">
        <f t="shared" si="217"/>
        <v>82.16900000000004</v>
      </c>
      <c r="S78" s="54">
        <f t="shared" si="217"/>
        <v>63.265000000000008</v>
      </c>
      <c r="T78" s="52">
        <f t="shared" si="217"/>
        <v>56.270000000000024</v>
      </c>
      <c r="U78" s="53">
        <f t="shared" si="217"/>
        <v>69.953000000000031</v>
      </c>
      <c r="V78" s="53">
        <f t="shared" si="217"/>
        <v>115.48000000000005</v>
      </c>
      <c r="W78" s="54">
        <f t="shared" si="217"/>
        <v>152.14299999999994</v>
      </c>
      <c r="X78" s="52">
        <f t="shared" si="217"/>
        <v>158.58699999999999</v>
      </c>
      <c r="Y78" s="53">
        <f t="shared" si="217"/>
        <v>170.89500000000004</v>
      </c>
      <c r="Z78" s="53">
        <f t="shared" si="217"/>
        <v>156.61700000000008</v>
      </c>
      <c r="AA78" s="54">
        <f t="shared" si="217"/>
        <v>173.06</v>
      </c>
      <c r="AB78" s="52">
        <f t="shared" si="217"/>
        <v>155.99699999999996</v>
      </c>
      <c r="AC78" s="53">
        <f t="shared" si="217"/>
        <v>131.637</v>
      </c>
      <c r="AD78" s="53">
        <f t="shared" si="217"/>
        <v>128.99599999999998</v>
      </c>
      <c r="AE78" s="54">
        <f t="shared" si="217"/>
        <v>139.78599999999997</v>
      </c>
      <c r="AF78" s="53">
        <f t="shared" si="217"/>
        <v>131.97899999999998</v>
      </c>
      <c r="AG78" s="53">
        <f t="shared" si="217"/>
        <v>125.75600000000004</v>
      </c>
      <c r="AH78" s="53">
        <f t="shared" si="217"/>
        <v>106.20200000000001</v>
      </c>
      <c r="AI78" s="53">
        <f>AI64-AI71</f>
        <v>133.107</v>
      </c>
      <c r="AJ78" s="52">
        <f>AJ64-AJ71</f>
        <v>159.44100000000006</v>
      </c>
      <c r="AK78" s="53">
        <f>AK64-AK71</f>
        <v>172.47899999999996</v>
      </c>
      <c r="AL78" s="53">
        <f t="shared" si="217"/>
        <v>159.27599999999998</v>
      </c>
      <c r="AM78" s="53">
        <f t="shared" si="217"/>
        <v>168.33699999999999</v>
      </c>
      <c r="AN78" s="52">
        <f t="shared" ref="AN78:AS78" si="218">AN64-AN71</f>
        <v>176.02900000000005</v>
      </c>
      <c r="AO78" s="53">
        <f t="shared" si="218"/>
        <v>173.89399999999998</v>
      </c>
      <c r="AP78" s="53">
        <f t="shared" si="218"/>
        <v>170.83699999999993</v>
      </c>
      <c r="AQ78" s="53">
        <f t="shared" si="218"/>
        <v>161.48399999999998</v>
      </c>
      <c r="AR78" s="52">
        <f t="shared" si="218"/>
        <v>149.48400000000004</v>
      </c>
      <c r="AS78" s="53">
        <f t="shared" si="218"/>
        <v>129.06700000000004</v>
      </c>
      <c r="AT78" s="53">
        <f t="shared" ref="AT78:AY78" si="219">AT64-AT71</f>
        <v>132.58800000000002</v>
      </c>
      <c r="AU78" s="53">
        <f t="shared" si="219"/>
        <v>146.27900000000002</v>
      </c>
      <c r="AV78" s="52">
        <f t="shared" si="219"/>
        <v>164.29299999999998</v>
      </c>
      <c r="AW78" s="53">
        <f t="shared" si="219"/>
        <v>165.43599999999995</v>
      </c>
      <c r="AX78" s="53">
        <f t="shared" si="219"/>
        <v>143.30099999999999</v>
      </c>
      <c r="AY78" s="54">
        <f t="shared" si="219"/>
        <v>154.60899999999998</v>
      </c>
      <c r="AZ78" s="52">
        <f t="shared" ref="AZ78:BK78" si="220">AZ64-AZ71</f>
        <v>167.95</v>
      </c>
      <c r="BA78" s="53">
        <f t="shared" si="220"/>
        <v>168.04200000000003</v>
      </c>
      <c r="BB78" s="53">
        <f t="shared" si="220"/>
        <v>171.99799999999999</v>
      </c>
      <c r="BC78" s="54">
        <f t="shared" si="220"/>
        <v>199.59399999999994</v>
      </c>
      <c r="BD78" s="52">
        <f t="shared" si="220"/>
        <v>189.88476405095997</v>
      </c>
      <c r="BE78" s="53">
        <f t="shared" si="220"/>
        <v>188.39255853261017</v>
      </c>
      <c r="BF78" s="53">
        <f t="shared" si="220"/>
        <v>186.83188219621272</v>
      </c>
      <c r="BG78" s="54">
        <f t="shared" si="220"/>
        <v>191.39653475412371</v>
      </c>
      <c r="BH78" s="52">
        <f t="shared" si="220"/>
        <v>200.87392741201117</v>
      </c>
      <c r="BI78" s="53">
        <f t="shared" si="220"/>
        <v>204.50182176319751</v>
      </c>
      <c r="BJ78" s="53">
        <f t="shared" si="220"/>
        <v>203.45711877346622</v>
      </c>
      <c r="BK78" s="54">
        <f t="shared" si="220"/>
        <v>207.60504036043284</v>
      </c>
      <c r="BL78" s="269"/>
      <c r="BM78" s="52">
        <f t="shared" ref="BM78:BW78" si="221">BM64-BM71</f>
        <v>370.20799999999986</v>
      </c>
      <c r="BN78" s="53">
        <f t="shared" si="221"/>
        <v>365.34000000000003</v>
      </c>
      <c r="BO78" s="53">
        <f t="shared" si="221"/>
        <v>378.9670000000001</v>
      </c>
      <c r="BP78" s="53">
        <f t="shared" si="221"/>
        <v>368.16799999999967</v>
      </c>
      <c r="BQ78" s="53">
        <f t="shared" si="221"/>
        <v>393.84600000000012</v>
      </c>
      <c r="BR78" s="53">
        <f t="shared" si="221"/>
        <v>659.15900000000022</v>
      </c>
      <c r="BS78" s="53">
        <f t="shared" si="221"/>
        <v>556.41599999999994</v>
      </c>
      <c r="BT78" s="52">
        <f t="shared" si="221"/>
        <v>497.04400000000021</v>
      </c>
      <c r="BU78" s="53">
        <f t="shared" si="221"/>
        <v>659.53300000000002</v>
      </c>
      <c r="BV78" s="53">
        <f t="shared" si="221"/>
        <v>682.24400000000026</v>
      </c>
      <c r="BW78" s="53">
        <f t="shared" si="221"/>
        <v>557.41800000000023</v>
      </c>
      <c r="BX78" s="53">
        <f>BX64-BX71</f>
        <v>627.63900000000012</v>
      </c>
      <c r="BY78" s="53">
        <f>BY64-BY71</f>
        <v>707.58399999999995</v>
      </c>
      <c r="BZ78" s="53">
        <f>BZ64-BZ71</f>
        <v>756.50573953390654</v>
      </c>
      <c r="CA78" s="53">
        <f>CA64-CA71</f>
        <v>816.4379083091078</v>
      </c>
      <c r="CB78" s="954">
        <f>CB64-CB71</f>
        <v>861.22309280901197</v>
      </c>
      <c r="CC78" s="20"/>
      <c r="CD78" s="53">
        <f t="shared" ref="CD78:CM78" si="222">CD64-CD71</f>
        <v>394.36200000000025</v>
      </c>
      <c r="CE78" s="53">
        <f t="shared" si="222"/>
        <v>372.51000000000005</v>
      </c>
      <c r="CF78" s="53">
        <f t="shared" si="222"/>
        <v>400.92599999999982</v>
      </c>
      <c r="CG78" s="53">
        <f t="shared" si="222"/>
        <v>304.96800000000019</v>
      </c>
      <c r="CH78" s="53">
        <f t="shared" si="222"/>
        <v>638.24200000000042</v>
      </c>
      <c r="CI78" s="53">
        <f t="shared" si="222"/>
        <v>589.68999999999983</v>
      </c>
      <c r="CJ78" s="53">
        <f t="shared" si="222"/>
        <v>503.7229999999999</v>
      </c>
      <c r="CK78" s="53">
        <f t="shared" si="222"/>
        <v>624.30300000000034</v>
      </c>
      <c r="CL78" s="53">
        <f t="shared" si="222"/>
        <v>689.09699999999975</v>
      </c>
      <c r="CM78" s="53">
        <f t="shared" si="222"/>
        <v>572.62299999999993</v>
      </c>
      <c r="CN78" s="53">
        <f>CN64-CN71</f>
        <v>619.30900000000008</v>
      </c>
      <c r="CO78" s="53">
        <f>CO64-CO71</f>
        <v>662.59900000000016</v>
      </c>
      <c r="CP78" s="53">
        <f>CP64-CP71</f>
        <v>764.70320477978271</v>
      </c>
      <c r="CQ78" s="54">
        <f>CQ64-CQ71</f>
        <v>800.22940270279821</v>
      </c>
      <c r="CR78" s="806"/>
      <c r="CS78" s="806"/>
      <c r="CZ78" s="8"/>
    </row>
    <row r="79" spans="1:104" ht="14.25" hidden="1" customHeight="1" outlineLevel="1">
      <c r="A79" s="8"/>
      <c r="B79" s="36" t="s">
        <v>19</v>
      </c>
      <c r="C79" s="37"/>
      <c r="D79" s="40">
        <f>+D78/D10</f>
        <v>0.19388522839120934</v>
      </c>
      <c r="E79" s="38">
        <f t="shared" ref="E79:AM79" si="223">+E78/E10</f>
        <v>0.22690253152816661</v>
      </c>
      <c r="F79" s="38">
        <f t="shared" si="223"/>
        <v>0.18350552151332841</v>
      </c>
      <c r="G79" s="39">
        <f t="shared" si="223"/>
        <v>0.25106650548231457</v>
      </c>
      <c r="H79" s="40">
        <f t="shared" si="223"/>
        <v>0.18108616799830479</v>
      </c>
      <c r="I79" s="38">
        <f t="shared" si="223"/>
        <v>0.20351256475020338</v>
      </c>
      <c r="J79" s="38">
        <f t="shared" si="223"/>
        <v>0.20750790393255322</v>
      </c>
      <c r="K79" s="39">
        <f t="shared" si="223"/>
        <v>0.20196540029584734</v>
      </c>
      <c r="L79" s="40">
        <f t="shared" si="223"/>
        <v>0.19325561994294829</v>
      </c>
      <c r="M79" s="38">
        <f t="shared" si="223"/>
        <v>0.2058805018723561</v>
      </c>
      <c r="N79" s="38">
        <f t="shared" si="223"/>
        <v>0.22150941647746658</v>
      </c>
      <c r="O79" s="39">
        <f t="shared" si="223"/>
        <v>0.20183075500252229</v>
      </c>
      <c r="P79" s="40">
        <f t="shared" si="223"/>
        <v>0.2227565612416692</v>
      </c>
      <c r="Q79" s="38">
        <f t="shared" si="223"/>
        <v>0.2357089529860176</v>
      </c>
      <c r="R79" s="38">
        <f t="shared" si="223"/>
        <v>0.17925682883676902</v>
      </c>
      <c r="S79" s="39">
        <f t="shared" si="223"/>
        <v>0.16015888044474375</v>
      </c>
      <c r="T79" s="40">
        <f t="shared" si="223"/>
        <v>0.14956077983175414</v>
      </c>
      <c r="U79" s="38">
        <f t="shared" si="223"/>
        <v>0.16858175683817336</v>
      </c>
      <c r="V79" s="38">
        <f t="shared" si="223"/>
        <v>0.22495417347652383</v>
      </c>
      <c r="W79" s="39">
        <f t="shared" si="223"/>
        <v>0.28759404181316389</v>
      </c>
      <c r="X79" s="40">
        <f t="shared" si="223"/>
        <v>0.26665063717239723</v>
      </c>
      <c r="Y79" s="38">
        <f t="shared" si="223"/>
        <v>0.27578566518092007</v>
      </c>
      <c r="Z79" s="38">
        <f t="shared" si="223"/>
        <v>0.27612792891271015</v>
      </c>
      <c r="AA79" s="39">
        <f t="shared" si="223"/>
        <v>0.29439382701768474</v>
      </c>
      <c r="AB79" s="40">
        <f t="shared" si="223"/>
        <v>0.25346284017073317</v>
      </c>
      <c r="AC79" s="38">
        <f t="shared" si="223"/>
        <v>0.23709449954881859</v>
      </c>
      <c r="AD79" s="38">
        <f t="shared" si="223"/>
        <v>0.25239340939284782</v>
      </c>
      <c r="AE79" s="39">
        <f t="shared" si="223"/>
        <v>0.25007647954373463</v>
      </c>
      <c r="AF79" s="38">
        <f t="shared" si="223"/>
        <v>0.22646297770700635</v>
      </c>
      <c r="AG79" s="38">
        <f t="shared" si="223"/>
        <v>0.23119759235052856</v>
      </c>
      <c r="AH79" s="38">
        <f t="shared" si="223"/>
        <v>0.20833439591028846</v>
      </c>
      <c r="AI79" s="38">
        <f t="shared" si="223"/>
        <v>0.25012214188000781</v>
      </c>
      <c r="AJ79" s="40">
        <f t="shared" si="223"/>
        <v>0.27539446070938162</v>
      </c>
      <c r="AK79" s="38">
        <f t="shared" si="223"/>
        <v>0.28797519605567856</v>
      </c>
      <c r="AL79" s="38">
        <f t="shared" si="223"/>
        <v>0.27142409204929652</v>
      </c>
      <c r="AM79" s="38">
        <f t="shared" si="223"/>
        <v>0.27246800459031145</v>
      </c>
      <c r="AN79" s="40">
        <f t="shared" ref="AN79:AS79" si="224">+AN78/AN10</f>
        <v>0.28733189364595124</v>
      </c>
      <c r="AO79" s="38">
        <f t="shared" si="224"/>
        <v>0.28777914216018879</v>
      </c>
      <c r="AP79" s="38">
        <f t="shared" si="224"/>
        <v>0.28782290931330007</v>
      </c>
      <c r="AQ79" s="38">
        <f t="shared" si="224"/>
        <v>0.28485447168812839</v>
      </c>
      <c r="AR79" s="40">
        <f t="shared" si="224"/>
        <v>0.27228018535249038</v>
      </c>
      <c r="AS79" s="38">
        <f t="shared" si="224"/>
        <v>0.24464338516828041</v>
      </c>
      <c r="AT79" s="38">
        <f t="shared" ref="AT79:AY79" si="225">+AT78/AT10</f>
        <v>0.23415719621711836</v>
      </c>
      <c r="AU79" s="38">
        <f t="shared" si="225"/>
        <v>0.25615077766843064</v>
      </c>
      <c r="AV79" s="40">
        <f t="shared" si="225"/>
        <v>0.28573639824620289</v>
      </c>
      <c r="AW79" s="38">
        <f t="shared" si="225"/>
        <v>0.28562401482021166</v>
      </c>
      <c r="AX79" s="38">
        <f t="shared" si="225"/>
        <v>0.24467122426957696</v>
      </c>
      <c r="AY79" s="39">
        <f t="shared" si="225"/>
        <v>0.25368527792180512</v>
      </c>
      <c r="AZ79" s="40">
        <f t="shared" ref="AZ79:BK79" si="226">+AZ78/AZ10</f>
        <v>0.27289152906997521</v>
      </c>
      <c r="BA79" s="38">
        <f t="shared" si="226"/>
        <v>0.27125292371465515</v>
      </c>
      <c r="BB79" s="38">
        <f t="shared" si="226"/>
        <v>0.27249668484916656</v>
      </c>
      <c r="BC79" s="39">
        <f t="shared" si="226"/>
        <v>0.29663437673698312</v>
      </c>
      <c r="BD79" s="40">
        <f t="shared" si="226"/>
        <v>0.2811082962010133</v>
      </c>
      <c r="BE79" s="38">
        <f t="shared" si="226"/>
        <v>0.27732611395696749</v>
      </c>
      <c r="BF79" s="38">
        <f t="shared" si="226"/>
        <v>0.27558128993681569</v>
      </c>
      <c r="BG79" s="39">
        <f t="shared" si="226"/>
        <v>0.27551916018723671</v>
      </c>
      <c r="BH79" s="40">
        <f t="shared" si="226"/>
        <v>0.2798127093014825</v>
      </c>
      <c r="BI79" s="38">
        <f t="shared" si="226"/>
        <v>0.28241674770534136</v>
      </c>
      <c r="BJ79" s="38">
        <f t="shared" si="226"/>
        <v>0.28331185623486604</v>
      </c>
      <c r="BK79" s="39">
        <f t="shared" si="226"/>
        <v>0.28414519274892025</v>
      </c>
      <c r="BL79" s="269"/>
      <c r="BM79" s="40">
        <f t="shared" ref="BM79:BW79" si="227">+BM78/BM10</f>
        <v>0.21445792903692967</v>
      </c>
      <c r="BN79" s="38">
        <f t="shared" si="227"/>
        <v>0.1982592217346027</v>
      </c>
      <c r="BO79" s="38">
        <f t="shared" si="227"/>
        <v>0.20580686575010376</v>
      </c>
      <c r="BP79" s="38">
        <f t="shared" si="227"/>
        <v>0.20171555306204728</v>
      </c>
      <c r="BQ79" s="38">
        <f t="shared" si="227"/>
        <v>0.21479923689185051</v>
      </c>
      <c r="BR79" s="38">
        <f t="shared" si="227"/>
        <v>0.27819130640297629</v>
      </c>
      <c r="BS79" s="38">
        <f t="shared" si="227"/>
        <v>0.24831840966539565</v>
      </c>
      <c r="BT79" s="40">
        <f t="shared" si="227"/>
        <v>0.22919491001783607</v>
      </c>
      <c r="BU79" s="38">
        <f t="shared" si="227"/>
        <v>0.27682032258971656</v>
      </c>
      <c r="BV79" s="38">
        <f t="shared" si="227"/>
        <v>0.28697739998923177</v>
      </c>
      <c r="BW79" s="38">
        <f t="shared" si="227"/>
        <v>0.25178318075813477</v>
      </c>
      <c r="BX79" s="38">
        <f>+BX78/BX10</f>
        <v>0.26715659358200006</v>
      </c>
      <c r="BY79" s="38">
        <f>+BY78/BY10</f>
        <v>0.27868565784063354</v>
      </c>
      <c r="BZ79" s="38">
        <f>+BZ78/BZ10</f>
        <v>0.27736888351129779</v>
      </c>
      <c r="CA79" s="38">
        <f>+CA78/CA10</f>
        <v>0.28242929118842536</v>
      </c>
      <c r="CB79" s="951">
        <f>+CB78/CB10</f>
        <v>0.28230233681260719</v>
      </c>
      <c r="CC79" s="20"/>
      <c r="CD79" s="38">
        <f t="shared" ref="CD79:CM79" si="228">+CD78/CD10</f>
        <v>0.2107080343918907</v>
      </c>
      <c r="CE79" s="38">
        <f t="shared" si="228"/>
        <v>0.20591083664440127</v>
      </c>
      <c r="CF79" s="38">
        <f t="shared" si="228"/>
        <v>0.21035714847869535</v>
      </c>
      <c r="CG79" s="38">
        <f t="shared" si="228"/>
        <v>0.17944065127904604</v>
      </c>
      <c r="CH79" s="38">
        <f t="shared" si="228"/>
        <v>0.27622193764165626</v>
      </c>
      <c r="CI79" s="38">
        <f t="shared" si="228"/>
        <v>0.25981939668181603</v>
      </c>
      <c r="CJ79" s="38">
        <f t="shared" si="228"/>
        <v>0.22943879110362897</v>
      </c>
      <c r="CK79" s="38">
        <f t="shared" si="228"/>
        <v>0.27180526941811411</v>
      </c>
      <c r="CL79" s="38">
        <f t="shared" si="228"/>
        <v>0.28378139636209682</v>
      </c>
      <c r="CM79" s="38">
        <f t="shared" si="228"/>
        <v>0.25913884822250827</v>
      </c>
      <c r="CN79" s="38">
        <f>+CN78/CN10</f>
        <v>0.26798961809546235</v>
      </c>
      <c r="CO79" s="38">
        <f>+CO78/CO10</f>
        <v>0.26765253106931108</v>
      </c>
      <c r="CP79" s="38">
        <f>+CP78/CP10</f>
        <v>0.28263494765089919</v>
      </c>
      <c r="CQ79" s="39">
        <f>+CQ78/CQ10</f>
        <v>0.28030866652860631</v>
      </c>
      <c r="CR79" s="14"/>
      <c r="CS79" s="14"/>
      <c r="CZ79" s="8"/>
    </row>
    <row r="80" spans="1:104" s="630" customFormat="1" ht="14.25" hidden="1" customHeight="1" outlineLevel="1">
      <c r="A80" s="624"/>
      <c r="B80" s="625"/>
      <c r="C80" s="626"/>
      <c r="D80" s="627"/>
      <c r="E80" s="628"/>
      <c r="F80" s="628"/>
      <c r="G80" s="629"/>
      <c r="H80" s="627"/>
      <c r="I80" s="628"/>
      <c r="J80" s="628"/>
      <c r="K80" s="629"/>
      <c r="L80" s="627"/>
      <c r="M80" s="628"/>
      <c r="N80" s="628"/>
      <c r="O80" s="629"/>
      <c r="P80" s="627"/>
      <c r="Q80" s="628"/>
      <c r="R80" s="628"/>
      <c r="S80" s="629"/>
      <c r="T80" s="627"/>
      <c r="U80" s="628"/>
      <c r="V80" s="628"/>
      <c r="W80" s="629"/>
      <c r="X80" s="627"/>
      <c r="Y80" s="628"/>
      <c r="Z80" s="628"/>
      <c r="AA80" s="629"/>
      <c r="AB80" s="627"/>
      <c r="AC80" s="628"/>
      <c r="AD80" s="628"/>
      <c r="AE80" s="629"/>
      <c r="AF80" s="628"/>
      <c r="AG80" s="628"/>
      <c r="AH80" s="628"/>
      <c r="AI80" s="628"/>
      <c r="AJ80" s="627"/>
      <c r="AK80" s="628"/>
      <c r="AL80" s="628"/>
      <c r="AM80" s="628"/>
      <c r="AN80" s="627"/>
      <c r="AO80" s="628"/>
      <c r="AP80" s="628"/>
      <c r="AQ80" s="628"/>
      <c r="AR80" s="627"/>
      <c r="AS80" s="628"/>
      <c r="AT80" s="628"/>
      <c r="AU80" s="628"/>
      <c r="AV80" s="627"/>
      <c r="AW80" s="628"/>
      <c r="AX80" s="628"/>
      <c r="AY80" s="629"/>
      <c r="AZ80" s="627"/>
      <c r="BA80" s="628"/>
      <c r="BB80" s="628"/>
      <c r="BC80" s="629"/>
      <c r="BD80" s="627"/>
      <c r="BE80" s="628"/>
      <c r="BF80" s="628"/>
      <c r="BG80" s="629"/>
      <c r="BH80" s="627"/>
      <c r="BI80" s="628"/>
      <c r="BJ80" s="628"/>
      <c r="BK80" s="629"/>
      <c r="BL80" s="801"/>
      <c r="BM80" s="627"/>
      <c r="BN80" s="628"/>
      <c r="BO80" s="628"/>
      <c r="BP80" s="628"/>
      <c r="BQ80" s="628"/>
      <c r="BR80" s="628"/>
      <c r="BS80" s="628"/>
      <c r="BT80" s="627"/>
      <c r="BU80" s="628"/>
      <c r="BV80" s="628"/>
      <c r="BW80" s="628"/>
      <c r="BX80" s="628"/>
      <c r="BY80" s="628"/>
      <c r="BZ80" s="628"/>
      <c r="CA80" s="628"/>
      <c r="CB80" s="958"/>
      <c r="CC80" s="916"/>
      <c r="CD80" s="628"/>
      <c r="CE80" s="628"/>
      <c r="CF80" s="628"/>
      <c r="CG80" s="628"/>
      <c r="CH80" s="628"/>
      <c r="CI80" s="628"/>
      <c r="CJ80" s="628"/>
      <c r="CK80" s="628"/>
      <c r="CL80" s="628"/>
      <c r="CM80" s="628"/>
      <c r="CN80" s="628"/>
      <c r="CO80" s="628"/>
      <c r="CP80" s="628"/>
      <c r="CQ80" s="629"/>
      <c r="CR80" s="666"/>
      <c r="CS80" s="666"/>
      <c r="CT80"/>
      <c r="CU80"/>
      <c r="CV80"/>
      <c r="CW80"/>
      <c r="CX80"/>
      <c r="CY80"/>
      <c r="CZ80" s="624"/>
    </row>
    <row r="81" spans="1:109" ht="14.25" customHeight="1" collapsed="1">
      <c r="A81" s="8"/>
      <c r="B81" s="50" t="s">
        <v>189</v>
      </c>
      <c r="C81" s="51"/>
      <c r="D81" s="52">
        <f t="shared" ref="D81:AM81" si="229">D74</f>
        <v>76.841000000000051</v>
      </c>
      <c r="E81" s="53">
        <f t="shared" si="229"/>
        <v>85.597999999999985</v>
      </c>
      <c r="F81" s="53">
        <f t="shared" si="229"/>
        <v>80.969000000000023</v>
      </c>
      <c r="G81" s="54">
        <f t="shared" si="229"/>
        <v>110.74100000000001</v>
      </c>
      <c r="H81" s="52">
        <f t="shared" si="229"/>
        <v>82.490999999999985</v>
      </c>
      <c r="I81" s="53">
        <f t="shared" si="229"/>
        <v>93.046000000000006</v>
      </c>
      <c r="J81" s="53">
        <f t="shared" si="229"/>
        <v>87.509000000000043</v>
      </c>
      <c r="K81" s="54">
        <f t="shared" si="229"/>
        <v>87.626000000000005</v>
      </c>
      <c r="L81" s="52">
        <f t="shared" si="229"/>
        <v>84.277999999999963</v>
      </c>
      <c r="M81" s="53">
        <f t="shared" si="229"/>
        <v>89.698000000000008</v>
      </c>
      <c r="N81" s="53">
        <f t="shared" si="229"/>
        <v>103.592</v>
      </c>
      <c r="O81" s="54">
        <f t="shared" si="229"/>
        <v>91.747000000000014</v>
      </c>
      <c r="P81" s="52">
        <f t="shared" si="229"/>
        <v>83.177999999999997</v>
      </c>
      <c r="Q81" s="53">
        <f t="shared" si="229"/>
        <v>81.059999999999974</v>
      </c>
      <c r="R81" s="53">
        <f t="shared" si="229"/>
        <v>119.44400000000005</v>
      </c>
      <c r="S81" s="54">
        <f t="shared" si="229"/>
        <v>78.03700000000002</v>
      </c>
      <c r="T81" s="52">
        <f t="shared" si="229"/>
        <v>38.006000000000014</v>
      </c>
      <c r="U81" s="53">
        <f t="shared" si="229"/>
        <v>64.038000000000039</v>
      </c>
      <c r="V81" s="53">
        <f t="shared" si="229"/>
        <v>106.90800000000004</v>
      </c>
      <c r="W81" s="54">
        <f t="shared" si="229"/>
        <v>148.53199999999993</v>
      </c>
      <c r="X81" s="52">
        <f t="shared" si="229"/>
        <v>158.58699999999999</v>
      </c>
      <c r="Y81" s="53">
        <f t="shared" si="229"/>
        <v>170.89500000000004</v>
      </c>
      <c r="Z81" s="53">
        <f t="shared" si="229"/>
        <v>152.34100000000007</v>
      </c>
      <c r="AA81" s="54">
        <f t="shared" si="229"/>
        <v>160.05199999999999</v>
      </c>
      <c r="AB81" s="52">
        <f t="shared" si="229"/>
        <v>154.37399999999997</v>
      </c>
      <c r="AC81" s="53">
        <f t="shared" si="229"/>
        <v>126.28599999999999</v>
      </c>
      <c r="AD81" s="53">
        <f t="shared" si="229"/>
        <v>127.01399999999998</v>
      </c>
      <c r="AE81" s="54">
        <f t="shared" si="229"/>
        <v>122.40499999999997</v>
      </c>
      <c r="AF81" s="53">
        <f t="shared" si="229"/>
        <v>129.83099999999999</v>
      </c>
      <c r="AG81" s="53">
        <f t="shared" si="229"/>
        <v>123.43700000000003</v>
      </c>
      <c r="AH81" s="53">
        <f t="shared" si="229"/>
        <v>103.64800000000001</v>
      </c>
      <c r="AI81" s="53">
        <f t="shared" si="229"/>
        <v>130.62</v>
      </c>
      <c r="AJ81" s="52">
        <f>AJ74</f>
        <v>157.02300000000005</v>
      </c>
      <c r="AK81" s="53">
        <f>AK74</f>
        <v>141.46099999999998</v>
      </c>
      <c r="AL81" s="53">
        <f t="shared" si="229"/>
        <v>175.87699999999998</v>
      </c>
      <c r="AM81" s="53">
        <f t="shared" si="229"/>
        <v>156.02699999999999</v>
      </c>
      <c r="AN81" s="52">
        <f t="shared" ref="AN81:AS81" si="230">AN74</f>
        <v>173.61100000000005</v>
      </c>
      <c r="AO81" s="53">
        <f t="shared" si="230"/>
        <v>171.51599999999999</v>
      </c>
      <c r="AP81" s="53">
        <f t="shared" si="230"/>
        <v>168.46599999999992</v>
      </c>
      <c r="AQ81" s="53">
        <f t="shared" si="230"/>
        <v>134.62299999999999</v>
      </c>
      <c r="AR81" s="52">
        <f t="shared" si="230"/>
        <v>147.71500000000003</v>
      </c>
      <c r="AS81" s="53">
        <f t="shared" si="230"/>
        <v>127.29800000000003</v>
      </c>
      <c r="AT81" s="53">
        <f t="shared" ref="AT81:AY81" si="231">AT74</f>
        <v>130.81900000000002</v>
      </c>
      <c r="AU81" s="53">
        <f t="shared" si="231"/>
        <v>145.03500000000003</v>
      </c>
      <c r="AV81" s="52">
        <f t="shared" si="231"/>
        <v>163.04899999999998</v>
      </c>
      <c r="AW81" s="53">
        <f t="shared" si="231"/>
        <v>164.19199999999995</v>
      </c>
      <c r="AX81" s="53">
        <f t="shared" si="231"/>
        <v>141.84599999999998</v>
      </c>
      <c r="AY81" s="54">
        <f t="shared" si="231"/>
        <v>153.42499999999995</v>
      </c>
      <c r="AZ81" s="52">
        <f t="shared" ref="AZ81:BK81" si="232">AZ74</f>
        <v>167.24499999999998</v>
      </c>
      <c r="BA81" s="53">
        <f t="shared" si="232"/>
        <v>167.53200000000004</v>
      </c>
      <c r="BB81" s="53">
        <f t="shared" si="232"/>
        <v>11.944999999999993</v>
      </c>
      <c r="BC81" s="54">
        <f t="shared" si="232"/>
        <v>165.65899999999993</v>
      </c>
      <c r="BD81" s="52">
        <f t="shared" si="232"/>
        <v>189.88476405095997</v>
      </c>
      <c r="BE81" s="53">
        <f t="shared" si="232"/>
        <v>188.39255853261022</v>
      </c>
      <c r="BF81" s="53">
        <f t="shared" si="232"/>
        <v>186.83188219621272</v>
      </c>
      <c r="BG81" s="54">
        <f t="shared" si="232"/>
        <v>191.39653475412371</v>
      </c>
      <c r="BH81" s="52">
        <f t="shared" si="232"/>
        <v>200.87392741201117</v>
      </c>
      <c r="BI81" s="53">
        <f t="shared" si="232"/>
        <v>204.50182176319757</v>
      </c>
      <c r="BJ81" s="53">
        <f t="shared" si="232"/>
        <v>203.45711877346622</v>
      </c>
      <c r="BK81" s="54">
        <f t="shared" si="232"/>
        <v>207.60504036043284</v>
      </c>
      <c r="BL81" s="269"/>
      <c r="BM81" s="52">
        <f t="shared" ref="BM81:BW81" si="233">BM74</f>
        <v>354.14899999999989</v>
      </c>
      <c r="BN81" s="53">
        <f t="shared" si="233"/>
        <v>350.67200000000008</v>
      </c>
      <c r="BO81" s="53">
        <f t="shared" si="233"/>
        <v>369.31500000000005</v>
      </c>
      <c r="BP81" s="53">
        <f t="shared" si="233"/>
        <v>361.71899999999965</v>
      </c>
      <c r="BQ81" s="53">
        <f t="shared" si="233"/>
        <v>357.48400000000009</v>
      </c>
      <c r="BR81" s="53">
        <f t="shared" si="233"/>
        <v>641.87500000000023</v>
      </c>
      <c r="BS81" s="53">
        <f t="shared" si="233"/>
        <v>530.07899999999995</v>
      </c>
      <c r="BT81" s="52">
        <f t="shared" si="233"/>
        <v>487.53600000000017</v>
      </c>
      <c r="BU81" s="53">
        <f t="shared" si="233"/>
        <v>630.38800000000003</v>
      </c>
      <c r="BV81" s="53">
        <f t="shared" si="233"/>
        <v>648.21600000000024</v>
      </c>
      <c r="BW81" s="53">
        <f t="shared" si="233"/>
        <v>550.86700000000019</v>
      </c>
      <c r="BX81" s="53">
        <f>BX74</f>
        <v>622.51200000000017</v>
      </c>
      <c r="BY81" s="53">
        <f>BY74</f>
        <v>512.38100000000009</v>
      </c>
      <c r="BZ81" s="53">
        <f>BZ74</f>
        <v>756.50573953390654</v>
      </c>
      <c r="CA81" s="53">
        <f>CA74</f>
        <v>816.4379083091078</v>
      </c>
      <c r="CB81" s="954">
        <f>CB74</f>
        <v>861.22309280901197</v>
      </c>
      <c r="CC81" s="20"/>
      <c r="CD81" s="53">
        <f t="shared" ref="CD81:CM81" si="234">CD74</f>
        <v>373.78700000000026</v>
      </c>
      <c r="CE81" s="53">
        <f t="shared" si="234"/>
        <v>365.19400000000002</v>
      </c>
      <c r="CF81" s="53">
        <f t="shared" si="234"/>
        <v>375.42899999999986</v>
      </c>
      <c r="CG81" s="53">
        <f t="shared" si="234"/>
        <v>286.98900000000015</v>
      </c>
      <c r="CH81" s="53">
        <f t="shared" si="234"/>
        <v>630.35500000000025</v>
      </c>
      <c r="CI81" s="53">
        <f t="shared" si="234"/>
        <v>567.72599999999989</v>
      </c>
      <c r="CJ81" s="53">
        <f t="shared" si="234"/>
        <v>479.32099999999986</v>
      </c>
      <c r="CK81" s="53">
        <f t="shared" si="234"/>
        <v>604.98100000000034</v>
      </c>
      <c r="CL81" s="53">
        <f t="shared" si="234"/>
        <v>669.61999999999978</v>
      </c>
      <c r="CM81" s="53">
        <f t="shared" si="234"/>
        <v>540.45499999999993</v>
      </c>
      <c r="CN81" s="53">
        <f>CN74</f>
        <v>614.12200000000007</v>
      </c>
      <c r="CO81" s="53">
        <f>CO74</f>
        <v>500.14700000000028</v>
      </c>
      <c r="CP81" s="53">
        <f>CP74</f>
        <v>730.76820477978276</v>
      </c>
      <c r="CQ81" s="54">
        <f>CQ74</f>
        <v>800.22940270279821</v>
      </c>
      <c r="CR81" s="806"/>
      <c r="CS81" s="806"/>
      <c r="CZ81" s="8"/>
    </row>
    <row r="82" spans="1:109" ht="14.25" customHeight="1">
      <c r="A82" s="8"/>
      <c r="B82" s="36" t="s">
        <v>20</v>
      </c>
      <c r="C82" s="37"/>
      <c r="D82" s="40">
        <f t="shared" ref="D82:AM82" si="235">D81/D10</f>
        <v>0.18955347958330365</v>
      </c>
      <c r="E82" s="38">
        <f t="shared" si="235"/>
        <v>0.21456950986265724</v>
      </c>
      <c r="F82" s="38">
        <f t="shared" si="235"/>
        <v>0.18008918939958413</v>
      </c>
      <c r="G82" s="39">
        <f t="shared" si="235"/>
        <v>0.23445336698162544</v>
      </c>
      <c r="H82" s="40">
        <f t="shared" si="235"/>
        <v>0.17136998766001468</v>
      </c>
      <c r="I82" s="38">
        <f t="shared" si="235"/>
        <v>0.19916520398989684</v>
      </c>
      <c r="J82" s="38">
        <f t="shared" si="235"/>
        <v>0.19415164457263306</v>
      </c>
      <c r="K82" s="39">
        <f t="shared" si="235"/>
        <v>0.19759082873326841</v>
      </c>
      <c r="L82" s="40">
        <f t="shared" si="235"/>
        <v>0.18900141732000925</v>
      </c>
      <c r="M82" s="38">
        <f t="shared" si="235"/>
        <v>0.20161656484465965</v>
      </c>
      <c r="N82" s="38">
        <f t="shared" si="235"/>
        <v>0.21817752934882878</v>
      </c>
      <c r="O82" s="39">
        <f t="shared" si="235"/>
        <v>0.19284303009920972</v>
      </c>
      <c r="P82" s="40">
        <f t="shared" si="235"/>
        <v>0.17036084268995547</v>
      </c>
      <c r="Q82" s="38">
        <f t="shared" si="235"/>
        <v>0.16763970492433874</v>
      </c>
      <c r="R82" s="38">
        <f t="shared" si="235"/>
        <v>0.26057457999463346</v>
      </c>
      <c r="S82" s="39">
        <f t="shared" si="235"/>
        <v>0.19755502336626049</v>
      </c>
      <c r="T82" s="40">
        <f t="shared" si="235"/>
        <v>0.10101665182665093</v>
      </c>
      <c r="U82" s="38">
        <f t="shared" si="235"/>
        <v>0.15432702735269319</v>
      </c>
      <c r="V82" s="38">
        <f t="shared" si="235"/>
        <v>0.20825598179795818</v>
      </c>
      <c r="W82" s="39">
        <f t="shared" si="235"/>
        <v>0.2807682129220066</v>
      </c>
      <c r="X82" s="40">
        <f t="shared" si="235"/>
        <v>0.26665063717239723</v>
      </c>
      <c r="Y82" s="38">
        <f t="shared" si="235"/>
        <v>0.27578566518092007</v>
      </c>
      <c r="Z82" s="38">
        <f t="shared" si="235"/>
        <v>0.26858900897406524</v>
      </c>
      <c r="AA82" s="39">
        <f t="shared" si="235"/>
        <v>0.27226580840075393</v>
      </c>
      <c r="AB82" s="40">
        <f t="shared" si="235"/>
        <v>0.25082580106358948</v>
      </c>
      <c r="AC82" s="38">
        <f t="shared" si="235"/>
        <v>0.22745668748165104</v>
      </c>
      <c r="AD82" s="38">
        <f t="shared" si="235"/>
        <v>0.24851543071586074</v>
      </c>
      <c r="AE82" s="39">
        <f t="shared" si="235"/>
        <v>0.21898195440566895</v>
      </c>
      <c r="AF82" s="38">
        <f t="shared" si="235"/>
        <v>0.22277722106303535</v>
      </c>
      <c r="AG82" s="38">
        <f t="shared" si="235"/>
        <v>0.22693419961649694</v>
      </c>
      <c r="AH82" s="38">
        <f t="shared" si="235"/>
        <v>0.20332426383033819</v>
      </c>
      <c r="AI82" s="38">
        <f t="shared" si="235"/>
        <v>0.24544880564032412</v>
      </c>
      <c r="AJ82" s="40">
        <f t="shared" si="235"/>
        <v>0.27121797030857325</v>
      </c>
      <c r="AK82" s="38">
        <f t="shared" si="235"/>
        <v>0.23618677757426904</v>
      </c>
      <c r="AL82" s="38">
        <f t="shared" si="235"/>
        <v>0.29971405005998469</v>
      </c>
      <c r="AM82" s="38">
        <f t="shared" si="235"/>
        <v>0.25254320412156878</v>
      </c>
      <c r="AN82" s="40">
        <f t="shared" ref="AN82:AS82" si="236">AN81/AN10</f>
        <v>0.28338499558463232</v>
      </c>
      <c r="AO82" s="38">
        <f t="shared" si="236"/>
        <v>0.2838437631358583</v>
      </c>
      <c r="AP82" s="38">
        <f t="shared" si="236"/>
        <v>0.28382829387295727</v>
      </c>
      <c r="AQ82" s="38">
        <f t="shared" si="236"/>
        <v>0.23747221732227905</v>
      </c>
      <c r="AR82" s="40">
        <f t="shared" si="236"/>
        <v>0.26905801008364183</v>
      </c>
      <c r="AS82" s="38">
        <f t="shared" si="236"/>
        <v>0.24129028833979063</v>
      </c>
      <c r="AT82" s="38">
        <f t="shared" ref="AT82:AY82" si="237">AT81/AT10</f>
        <v>0.23103305164816731</v>
      </c>
      <c r="AU82" s="38">
        <f t="shared" si="237"/>
        <v>0.25397239548493522</v>
      </c>
      <c r="AV82" s="40">
        <f t="shared" si="237"/>
        <v>0.28357284849412412</v>
      </c>
      <c r="AW82" s="38">
        <f t="shared" si="237"/>
        <v>0.283476258138254</v>
      </c>
      <c r="AX82" s="38">
        <f t="shared" si="237"/>
        <v>0.24218696643946944</v>
      </c>
      <c r="AY82" s="39">
        <f t="shared" si="237"/>
        <v>0.25174254904405918</v>
      </c>
      <c r="AZ82" s="40">
        <f t="shared" ref="AZ82:BK82" si="238">AZ81/AZ10</f>
        <v>0.27174601833467105</v>
      </c>
      <c r="BA82" s="38">
        <f t="shared" si="238"/>
        <v>0.27042968314923421</v>
      </c>
      <c r="BB82" s="38">
        <f t="shared" si="238"/>
        <v>1.8924481101659861E-2</v>
      </c>
      <c r="BC82" s="39">
        <f t="shared" si="238"/>
        <v>0.24620055821253087</v>
      </c>
      <c r="BD82" s="40">
        <f t="shared" si="238"/>
        <v>0.2811082962010133</v>
      </c>
      <c r="BE82" s="38">
        <f t="shared" si="238"/>
        <v>0.27732611395696755</v>
      </c>
      <c r="BF82" s="38">
        <f t="shared" si="238"/>
        <v>0.27558128993681569</v>
      </c>
      <c r="BG82" s="39">
        <f t="shared" si="238"/>
        <v>0.27551916018723671</v>
      </c>
      <c r="BH82" s="40">
        <f t="shared" si="238"/>
        <v>0.2798127093014825</v>
      </c>
      <c r="BI82" s="38">
        <f t="shared" si="238"/>
        <v>0.28241674770534142</v>
      </c>
      <c r="BJ82" s="38">
        <f t="shared" si="238"/>
        <v>0.28331185623486604</v>
      </c>
      <c r="BK82" s="39">
        <f t="shared" si="238"/>
        <v>0.28414519274892025</v>
      </c>
      <c r="BL82" s="269"/>
      <c r="BM82" s="40">
        <f t="shared" ref="BM82:BW82" si="239">BM81/BM10</f>
        <v>0.20515510499637937</v>
      </c>
      <c r="BN82" s="38">
        <f t="shared" si="239"/>
        <v>0.19029933159280835</v>
      </c>
      <c r="BO82" s="38">
        <f t="shared" si="239"/>
        <v>0.20056512209374316</v>
      </c>
      <c r="BP82" s="38">
        <f t="shared" si="239"/>
        <v>0.19818221067026651</v>
      </c>
      <c r="BQ82" s="38">
        <f t="shared" si="239"/>
        <v>0.19496780569320571</v>
      </c>
      <c r="BR82" s="38">
        <f t="shared" si="239"/>
        <v>0.27089677118481342</v>
      </c>
      <c r="BS82" s="38">
        <f t="shared" si="239"/>
        <v>0.2365646823186667</v>
      </c>
      <c r="BT82" s="40">
        <f t="shared" si="239"/>
        <v>0.2248106196844861</v>
      </c>
      <c r="BU82" s="38">
        <f t="shared" si="239"/>
        <v>0.26458753317375516</v>
      </c>
      <c r="BV82" s="38">
        <f t="shared" si="239"/>
        <v>0.2726639476659668</v>
      </c>
      <c r="BW82" s="38">
        <f t="shared" si="239"/>
        <v>0.24882412378985144</v>
      </c>
      <c r="BX82" s="38">
        <f>BX81/BX10</f>
        <v>0.26497426925974649</v>
      </c>
      <c r="BY82" s="38">
        <f>BY81/BY10</f>
        <v>0.20180393571652511</v>
      </c>
      <c r="BZ82" s="38">
        <f>BZ81/BZ10</f>
        <v>0.27736888351129779</v>
      </c>
      <c r="CA82" s="38">
        <f>CA81/CA10</f>
        <v>0.28242929118842536</v>
      </c>
      <c r="CB82" s="951">
        <f>CB81/CB10</f>
        <v>0.28230233681260719</v>
      </c>
      <c r="CC82" s="20"/>
      <c r="CD82" s="38">
        <f t="shared" ref="CD82:CM82" si="240">CD81/CD10</f>
        <v>0.19971479009448592</v>
      </c>
      <c r="CE82" s="38">
        <f t="shared" si="240"/>
        <v>0.20186680109934088</v>
      </c>
      <c r="CF82" s="38">
        <f t="shared" si="240"/>
        <v>0.19697942736616764</v>
      </c>
      <c r="CG82" s="38">
        <f t="shared" si="240"/>
        <v>0.16886195623777622</v>
      </c>
      <c r="CH82" s="38">
        <f t="shared" si="240"/>
        <v>0.27280855772905294</v>
      </c>
      <c r="CI82" s="38">
        <f t="shared" si="240"/>
        <v>0.25014198443348318</v>
      </c>
      <c r="CJ82" s="38">
        <f t="shared" si="240"/>
        <v>0.21832402092138442</v>
      </c>
      <c r="CK82" s="38">
        <f t="shared" si="240"/>
        <v>0.26339297376088228</v>
      </c>
      <c r="CL82" s="38">
        <f t="shared" si="240"/>
        <v>0.2757604497363757</v>
      </c>
      <c r="CM82" s="38">
        <f t="shared" si="240"/>
        <v>0.24458131478493828</v>
      </c>
      <c r="CN82" s="38">
        <f>CN81/CN10</f>
        <v>0.26574508079815007</v>
      </c>
      <c r="CO82" s="38">
        <f>CO81/CO10</f>
        <v>0.20203110849355763</v>
      </c>
      <c r="CP82" s="38">
        <f>CP81/CP10</f>
        <v>0.2700925431093944</v>
      </c>
      <c r="CQ82" s="39">
        <f>CQ81/CQ10</f>
        <v>0.28030866652860631</v>
      </c>
      <c r="CR82" s="807"/>
      <c r="CS82" s="807"/>
      <c r="CZ82" s="8"/>
    </row>
    <row r="83" spans="1:109" ht="14.25" customHeight="1">
      <c r="A83" s="8"/>
      <c r="B83" s="36"/>
      <c r="C83" s="37"/>
      <c r="D83" s="42"/>
      <c r="E83" s="41"/>
      <c r="F83" s="41"/>
      <c r="G83" s="43"/>
      <c r="H83" s="42"/>
      <c r="I83" s="41"/>
      <c r="J83" s="41"/>
      <c r="K83" s="43"/>
      <c r="L83" s="42"/>
      <c r="M83" s="41"/>
      <c r="N83" s="41"/>
      <c r="O83" s="43"/>
      <c r="P83" s="42"/>
      <c r="Q83" s="41"/>
      <c r="R83" s="41"/>
      <c r="S83" s="43"/>
      <c r="T83" s="42"/>
      <c r="U83" s="41"/>
      <c r="V83" s="41"/>
      <c r="W83" s="43"/>
      <c r="X83" s="42"/>
      <c r="Y83" s="41"/>
      <c r="Z83" s="41"/>
      <c r="AA83" s="43"/>
      <c r="AB83" s="42"/>
      <c r="AC83" s="41"/>
      <c r="AD83" s="41"/>
      <c r="AE83" s="43"/>
      <c r="AF83" s="41"/>
      <c r="AG83" s="41"/>
      <c r="AH83" s="41"/>
      <c r="AI83" s="41"/>
      <c r="AJ83" s="42"/>
      <c r="AK83" s="41"/>
      <c r="AL83" s="41"/>
      <c r="AM83" s="41"/>
      <c r="AN83" s="42"/>
      <c r="AO83" s="41"/>
      <c r="AP83" s="41"/>
      <c r="AQ83" s="41"/>
      <c r="AR83" s="42"/>
      <c r="AS83" s="41"/>
      <c r="AT83" s="41"/>
      <c r="AU83" s="41"/>
      <c r="AV83" s="42"/>
      <c r="AW83" s="41"/>
      <c r="AX83" s="41"/>
      <c r="AY83" s="43"/>
      <c r="AZ83" s="42"/>
      <c r="BA83" s="41"/>
      <c r="BB83" s="41"/>
      <c r="BC83" s="43"/>
      <c r="BD83" s="42"/>
      <c r="BE83" s="846"/>
      <c r="BF83" s="41"/>
      <c r="BG83" s="64"/>
      <c r="BH83" s="42"/>
      <c r="BI83" s="846"/>
      <c r="BJ83" s="41"/>
      <c r="BK83" s="64"/>
      <c r="BL83" s="269"/>
      <c r="BM83" s="42"/>
      <c r="BN83" s="41"/>
      <c r="BO83" s="41"/>
      <c r="BP83" s="41"/>
      <c r="BQ83" s="41"/>
      <c r="BR83" s="41"/>
      <c r="BS83" s="41"/>
      <c r="BT83" s="42"/>
      <c r="BU83" s="41"/>
      <c r="BV83" s="41"/>
      <c r="BW83" s="41"/>
      <c r="BX83" s="41"/>
      <c r="BY83" s="41"/>
      <c r="BZ83" s="41"/>
      <c r="CA83" s="41"/>
      <c r="CB83" s="950"/>
      <c r="CC83" s="20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3"/>
      <c r="CR83" s="808"/>
      <c r="CS83" s="808"/>
      <c r="CZ83" s="8"/>
    </row>
    <row r="84" spans="1:109" ht="14.25" customHeight="1">
      <c r="A84" s="8"/>
      <c r="B84" s="23" t="s">
        <v>190</v>
      </c>
      <c r="C84" s="24"/>
      <c r="D84" s="65">
        <f t="shared" ref="D84:AM84" si="241">D81/D90</f>
        <v>0.21461688424133765</v>
      </c>
      <c r="E84" s="66">
        <f t="shared" si="241"/>
        <v>0.24020092041755522</v>
      </c>
      <c r="F84" s="66">
        <f t="shared" si="241"/>
        <v>0.22922004206807334</v>
      </c>
      <c r="G84" s="67">
        <f t="shared" si="241"/>
        <v>0.31618514108856477</v>
      </c>
      <c r="H84" s="65">
        <f t="shared" si="241"/>
        <v>0.23637202425298287</v>
      </c>
      <c r="I84" s="66">
        <f t="shared" si="241"/>
        <v>0.27111937341196768</v>
      </c>
      <c r="J84" s="66">
        <f t="shared" si="241"/>
        <v>0.25763022236353639</v>
      </c>
      <c r="K84" s="67">
        <f t="shared" si="241"/>
        <v>0.26533794811699268</v>
      </c>
      <c r="L84" s="65">
        <f t="shared" si="241"/>
        <v>0.27796357495761836</v>
      </c>
      <c r="M84" s="66">
        <f t="shared" si="241"/>
        <v>0.29679114305188836</v>
      </c>
      <c r="N84" s="66">
        <f t="shared" si="241"/>
        <v>0.35351287896367684</v>
      </c>
      <c r="O84" s="67">
        <f t="shared" si="241"/>
        <v>0.3204340582772483</v>
      </c>
      <c r="P84" s="65">
        <f t="shared" si="241"/>
        <v>0.29613252587394662</v>
      </c>
      <c r="Q84" s="66">
        <f t="shared" si="241"/>
        <v>0.29188301634055169</v>
      </c>
      <c r="R84" s="66">
        <f t="shared" si="241"/>
        <v>0.43557250850585122</v>
      </c>
      <c r="S84" s="67">
        <f t="shared" si="241"/>
        <v>0.28389375766240676</v>
      </c>
      <c r="T84" s="65">
        <f t="shared" si="241"/>
        <v>0.13757429649096142</v>
      </c>
      <c r="U84" s="66">
        <f t="shared" si="241"/>
        <v>0.23119413115369633</v>
      </c>
      <c r="V84" s="66">
        <f t="shared" si="241"/>
        <v>0.38377978647789052</v>
      </c>
      <c r="W84" s="67">
        <f t="shared" si="241"/>
        <v>0.53565581160517839</v>
      </c>
      <c r="X84" s="65">
        <f t="shared" si="241"/>
        <v>0.57554774062662173</v>
      </c>
      <c r="Y84" s="66">
        <f t="shared" si="241"/>
        <v>0.64908502540963076</v>
      </c>
      <c r="Z84" s="66">
        <f t="shared" si="241"/>
        <v>0.57789857821343504</v>
      </c>
      <c r="AA84" s="67">
        <f t="shared" si="241"/>
        <v>0.58807838007649882</v>
      </c>
      <c r="AB84" s="65">
        <f t="shared" si="241"/>
        <v>0.55917008660627276</v>
      </c>
      <c r="AC84" s="66">
        <f t="shared" si="241"/>
        <v>0.47134480660776995</v>
      </c>
      <c r="AD84" s="66">
        <f t="shared" si="241"/>
        <v>0.47413805975720824</v>
      </c>
      <c r="AE84" s="67">
        <f t="shared" si="241"/>
        <v>0.44322979657162714</v>
      </c>
      <c r="AF84" s="66">
        <f t="shared" si="241"/>
        <v>0.47414725001826014</v>
      </c>
      <c r="AG84" s="66">
        <f t="shared" si="241"/>
        <v>0.45666666666666672</v>
      </c>
      <c r="AH84" s="66">
        <f t="shared" si="241"/>
        <v>0.38221953432113703</v>
      </c>
      <c r="AI84" s="66">
        <f t="shared" si="241"/>
        <v>0.47139918438052625</v>
      </c>
      <c r="AJ84" s="65">
        <f>AJ81/AJ90</f>
        <v>0.56021420595024474</v>
      </c>
      <c r="AK84" s="66">
        <f>AK81/AK90</f>
        <v>0.48664705781172052</v>
      </c>
      <c r="AL84" s="66">
        <f t="shared" si="241"/>
        <v>0.61027082357431595</v>
      </c>
      <c r="AM84" s="66">
        <f t="shared" si="241"/>
        <v>0.52973830024173607</v>
      </c>
      <c r="AN84" s="65">
        <f t="shared" ref="AN84:AS84" si="242">AN81/AN90</f>
        <v>0.61656231466124978</v>
      </c>
      <c r="AO84" s="66">
        <f t="shared" si="242"/>
        <v>0.62188542422044957</v>
      </c>
      <c r="AP84" s="66">
        <f t="shared" si="242"/>
        <v>0.61529976807465403</v>
      </c>
      <c r="AQ84" s="66">
        <f t="shared" si="242"/>
        <v>0.49950280875947067</v>
      </c>
      <c r="AR84" s="65">
        <f t="shared" si="242"/>
        <v>0.54561740479444476</v>
      </c>
      <c r="AS84" s="66">
        <f t="shared" si="242"/>
        <v>0.47848116491133125</v>
      </c>
      <c r="AT84" s="66">
        <f t="shared" ref="AT84:AY84" si="243">AT81/AT90</f>
        <v>0.4852138822229064</v>
      </c>
      <c r="AU84" s="66">
        <f t="shared" si="243"/>
        <v>0.54024405688700838</v>
      </c>
      <c r="AV84" s="65">
        <f t="shared" si="243"/>
        <v>0.61249182963569559</v>
      </c>
      <c r="AW84" s="66">
        <f t="shared" si="243"/>
        <v>0.60727957303428948</v>
      </c>
      <c r="AX84" s="66">
        <f t="shared" si="243"/>
        <v>0.52384029898700413</v>
      </c>
      <c r="AY84" s="67">
        <f t="shared" si="243"/>
        <v>0.57428777834756328</v>
      </c>
      <c r="AZ84" s="65">
        <f t="shared" ref="AZ84:BK84" si="244">AZ81/AZ90</f>
        <v>0.629220796322005</v>
      </c>
      <c r="BA84" s="66">
        <f t="shared" si="244"/>
        <v>0.64880313844557114</v>
      </c>
      <c r="BB84" s="66">
        <f t="shared" si="244"/>
        <v>4.6279076975529597E-2</v>
      </c>
      <c r="BC84" s="67">
        <f t="shared" si="244"/>
        <v>0.64229826765303411</v>
      </c>
      <c r="BD84" s="65">
        <f t="shared" si="244"/>
        <v>0.73909279317348853</v>
      </c>
      <c r="BE84" s="66">
        <f t="shared" si="244"/>
        <v>0.73614998098051798</v>
      </c>
      <c r="BF84" s="66">
        <f t="shared" si="244"/>
        <v>0.73291547880954011</v>
      </c>
      <c r="BG84" s="67">
        <f t="shared" si="244"/>
        <v>0.75377894561242187</v>
      </c>
      <c r="BH84" s="65">
        <f t="shared" si="244"/>
        <v>0.7942317900489142</v>
      </c>
      <c r="BI84" s="66">
        <f t="shared" si="244"/>
        <v>0.81178576098063471</v>
      </c>
      <c r="BJ84" s="66">
        <f t="shared" si="244"/>
        <v>0.81085749323863854</v>
      </c>
      <c r="BK84" s="67">
        <f t="shared" si="244"/>
        <v>0.83069927639860131</v>
      </c>
      <c r="BL84" s="269"/>
      <c r="BM84" s="65">
        <f t="shared" ref="BM84:BX84" si="245">BM81/BM90</f>
        <v>0.99909724122560761</v>
      </c>
      <c r="BN84" s="66">
        <f t="shared" si="245"/>
        <v>1.0298041541981013</v>
      </c>
      <c r="BO84" s="66">
        <f t="shared" si="245"/>
        <v>1.2468633443649082</v>
      </c>
      <c r="BP84" s="66">
        <f t="shared" si="245"/>
        <v>1.3061996083773648</v>
      </c>
      <c r="BQ84" s="66">
        <f t="shared" si="245"/>
        <v>1.2892736646404033</v>
      </c>
      <c r="BR84" s="66">
        <f t="shared" si="245"/>
        <v>2.3892611204168999</v>
      </c>
      <c r="BS84" s="66">
        <f t="shared" si="245"/>
        <v>1.9487231332268431</v>
      </c>
      <c r="BT84" s="65">
        <f t="shared" si="245"/>
        <v>1.785218384743827</v>
      </c>
      <c r="BU84" s="66">
        <f t="shared" si="245"/>
        <v>2.1856086510699857</v>
      </c>
      <c r="BV84" s="66">
        <f t="shared" si="245"/>
        <v>2.3556757228206364</v>
      </c>
      <c r="BW84" s="66">
        <f t="shared" si="245"/>
        <v>2.0500256315073098</v>
      </c>
      <c r="BX84" s="66">
        <f t="shared" si="245"/>
        <v>2.3173649183772813</v>
      </c>
      <c r="BY84" s="66">
        <f>BY81/BY90</f>
        <v>1.9706241502714328</v>
      </c>
      <c r="BZ84" s="66">
        <f>BZ81/BZ90</f>
        <v>2.9618572819788365</v>
      </c>
      <c r="CA84" s="66">
        <f>CA81/CA90</f>
        <v>3.2473585941591141</v>
      </c>
      <c r="CB84" s="959">
        <f>CB81/CB90</f>
        <v>3.4529584822505854</v>
      </c>
      <c r="CC84" s="20"/>
      <c r="CD84" s="66">
        <f t="shared" ref="CD84:CM84" si="246">CD81/CD90</f>
        <v>1.0818021981202388</v>
      </c>
      <c r="CE84" s="66">
        <f t="shared" si="246"/>
        <v>1.188876400562219</v>
      </c>
      <c r="CF84" s="66">
        <f t="shared" si="246"/>
        <v>1.3418494038720834</v>
      </c>
      <c r="CG84" s="66">
        <f t="shared" si="246"/>
        <v>1.0372849561712241</v>
      </c>
      <c r="CH84" s="66">
        <f t="shared" si="246"/>
        <v>2.3352341189316959</v>
      </c>
      <c r="CI84" s="66">
        <f t="shared" si="246"/>
        <v>2.0948351965639924</v>
      </c>
      <c r="CJ84" s="66">
        <f t="shared" si="246"/>
        <v>1.7566232385978409</v>
      </c>
      <c r="CK84" s="66">
        <f t="shared" si="246"/>
        <v>2.1297254768050662</v>
      </c>
      <c r="CL84" s="66">
        <f t="shared" si="246"/>
        <v>2.3793694646045598</v>
      </c>
      <c r="CM84" s="66">
        <f t="shared" si="246"/>
        <v>2.0093112656275998</v>
      </c>
      <c r="CN84" s="66">
        <f>CN81/CN90</f>
        <v>2.2833591430552644</v>
      </c>
      <c r="CO84" s="66">
        <f>CO81/CO90</f>
        <v>1.9066311248009358</v>
      </c>
      <c r="CP84" s="66">
        <f>CP81/CP90</f>
        <v>2.849932160160765</v>
      </c>
      <c r="CQ84" s="67">
        <f>CQ81/CQ90</f>
        <v>3.1702800246529468</v>
      </c>
      <c r="CR84" s="14"/>
      <c r="CS84" s="14"/>
      <c r="CZ84" s="8"/>
    </row>
    <row r="85" spans="1:109" ht="14.25" customHeight="1">
      <c r="A85" s="8"/>
      <c r="B85" s="363" t="s">
        <v>21</v>
      </c>
      <c r="C85" s="364"/>
      <c r="D85" s="365">
        <f t="shared" ref="D85:AM85" si="247">D78/D90</f>
        <v>0.21952139158413367</v>
      </c>
      <c r="E85" s="366">
        <f t="shared" si="247"/>
        <v>0.25400718374677284</v>
      </c>
      <c r="F85" s="366">
        <f t="shared" si="247"/>
        <v>0.23356839742156121</v>
      </c>
      <c r="G85" s="367">
        <f t="shared" si="247"/>
        <v>0.33858971393983006</v>
      </c>
      <c r="H85" s="365">
        <f t="shared" si="247"/>
        <v>0.24977363118502641</v>
      </c>
      <c r="I85" s="366">
        <f t="shared" si="247"/>
        <v>0.27703734352782117</v>
      </c>
      <c r="J85" s="366">
        <f t="shared" si="247"/>
        <v>0.27535335871098054</v>
      </c>
      <c r="K85" s="367">
        <f t="shared" si="247"/>
        <v>0.27121241025547854</v>
      </c>
      <c r="L85" s="365">
        <f t="shared" si="247"/>
        <v>0.28422021253438334</v>
      </c>
      <c r="M85" s="366">
        <f t="shared" si="247"/>
        <v>0.30306790282768525</v>
      </c>
      <c r="N85" s="366">
        <f t="shared" si="247"/>
        <v>0.35891153305395923</v>
      </c>
      <c r="O85" s="367">
        <f t="shared" si="247"/>
        <v>0.33536834531871568</v>
      </c>
      <c r="P85" s="365">
        <f t="shared" si="247"/>
        <v>0.38721024205980481</v>
      </c>
      <c r="Q85" s="366">
        <f t="shared" si="247"/>
        <v>0.41040062798418514</v>
      </c>
      <c r="R85" s="366">
        <f t="shared" si="247"/>
        <v>0.29964299128811234</v>
      </c>
      <c r="S85" s="367">
        <f t="shared" si="247"/>
        <v>0.2301541394276069</v>
      </c>
      <c r="T85" s="365">
        <f t="shared" si="247"/>
        <v>0.20368640908136607</v>
      </c>
      <c r="U85" s="366">
        <f t="shared" si="247"/>
        <v>0.25254884688145346</v>
      </c>
      <c r="V85" s="366">
        <f t="shared" si="247"/>
        <v>0.41455166818635458</v>
      </c>
      <c r="W85" s="367">
        <f t="shared" si="247"/>
        <v>0.54867827905802569</v>
      </c>
      <c r="X85" s="365">
        <f t="shared" si="247"/>
        <v>0.57554774062662173</v>
      </c>
      <c r="Y85" s="366">
        <f t="shared" si="247"/>
        <v>0.64908502540963076</v>
      </c>
      <c r="Z85" s="366">
        <f t="shared" si="247"/>
        <v>0.59411938758478389</v>
      </c>
      <c r="AA85" s="367">
        <f t="shared" si="247"/>
        <v>0.63587361892409278</v>
      </c>
      <c r="AB85" s="365">
        <f t="shared" si="247"/>
        <v>0.56504888129036446</v>
      </c>
      <c r="AC85" s="366">
        <f t="shared" si="247"/>
        <v>0.49131666461386869</v>
      </c>
      <c r="AD85" s="366">
        <f t="shared" si="247"/>
        <v>0.48153678457839949</v>
      </c>
      <c r="AE85" s="367">
        <f t="shared" si="247"/>
        <v>0.5061665809694168</v>
      </c>
      <c r="AF85" s="366">
        <f t="shared" si="247"/>
        <v>0.48199181944342995</v>
      </c>
      <c r="AG85" s="366">
        <f t="shared" si="247"/>
        <v>0.46524602293747702</v>
      </c>
      <c r="AH85" s="366">
        <f t="shared" si="247"/>
        <v>0.39163784138597368</v>
      </c>
      <c r="AI85" s="366">
        <f t="shared" si="247"/>
        <v>0.48037460752823996</v>
      </c>
      <c r="AJ85" s="365">
        <f>AJ78/AJ90</f>
        <v>0.56884095457934813</v>
      </c>
      <c r="AK85" s="366">
        <f>AK78/AK90</f>
        <v>0.59335363021827736</v>
      </c>
      <c r="AL85" s="366">
        <f t="shared" si="247"/>
        <v>0.55266746473741735</v>
      </c>
      <c r="AM85" s="366">
        <f t="shared" si="247"/>
        <v>0.57153285167178203</v>
      </c>
      <c r="AN85" s="365">
        <f t="shared" ref="AN85:AS85" si="248">AN78/AN90</f>
        <v>0.62514960277577536</v>
      </c>
      <c r="AO85" s="366">
        <f t="shared" si="248"/>
        <v>0.6305076142131979</v>
      </c>
      <c r="AP85" s="366">
        <f t="shared" si="248"/>
        <v>0.62395953176646735</v>
      </c>
      <c r="AQ85" s="366">
        <f t="shared" si="248"/>
        <v>0.599167390191233</v>
      </c>
      <c r="AR85" s="365">
        <f t="shared" si="248"/>
        <v>0.55215159014516313</v>
      </c>
      <c r="AS85" s="366">
        <f t="shared" si="248"/>
        <v>0.48513039098501776</v>
      </c>
      <c r="AT85" s="366">
        <f t="shared" ref="AT85:AY85" si="249">AT78/AT90</f>
        <v>0.49177518721417163</v>
      </c>
      <c r="AU85" s="366">
        <f t="shared" si="249"/>
        <v>0.54487785980883707</v>
      </c>
      <c r="AV85" s="365">
        <f t="shared" si="249"/>
        <v>0.61716490236884203</v>
      </c>
      <c r="AW85" s="366">
        <f t="shared" si="249"/>
        <v>0.61188062417475098</v>
      </c>
      <c r="AX85" s="366">
        <f t="shared" si="249"/>
        <v>0.52921364497509049</v>
      </c>
      <c r="AY85" s="367">
        <f t="shared" si="249"/>
        <v>0.57871962928165832</v>
      </c>
      <c r="AZ85" s="365">
        <f t="shared" ref="AZ85:BK85" si="250">AZ78/AZ90</f>
        <v>0.63187319646196149</v>
      </c>
      <c r="BA85" s="366">
        <f t="shared" si="250"/>
        <v>0.65077822141841957</v>
      </c>
      <c r="BB85" s="366">
        <f t="shared" si="250"/>
        <v>0.66637996497590146</v>
      </c>
      <c r="BC85" s="367">
        <f t="shared" si="250"/>
        <v>0.77387211340126216</v>
      </c>
      <c r="BD85" s="365">
        <f t="shared" si="250"/>
        <v>0.73909279317348853</v>
      </c>
      <c r="BE85" s="366">
        <f t="shared" si="250"/>
        <v>0.73614998098051776</v>
      </c>
      <c r="BF85" s="366">
        <f t="shared" si="250"/>
        <v>0.73291547880954011</v>
      </c>
      <c r="BG85" s="367">
        <f t="shared" si="250"/>
        <v>0.75377894561242187</v>
      </c>
      <c r="BH85" s="365">
        <f t="shared" si="250"/>
        <v>0.7942317900489142</v>
      </c>
      <c r="BI85" s="366">
        <f t="shared" si="250"/>
        <v>0.81178576098063449</v>
      </c>
      <c r="BJ85" s="366">
        <f t="shared" si="250"/>
        <v>0.81085749323863854</v>
      </c>
      <c r="BK85" s="367">
        <f t="shared" si="250"/>
        <v>0.83069927639860131</v>
      </c>
      <c r="BL85" s="800"/>
      <c r="BM85" s="884">
        <f t="shared" ref="BM85:BX85" si="251">BM78/BM90</f>
        <v>1.0444016260942419</v>
      </c>
      <c r="BN85" s="750">
        <f t="shared" si="251"/>
        <v>1.0728790713108953</v>
      </c>
      <c r="BO85" s="750">
        <f t="shared" si="251"/>
        <v>1.2794499574182912</v>
      </c>
      <c r="BP85" s="750">
        <f t="shared" si="251"/>
        <v>1.3294875232351013</v>
      </c>
      <c r="BQ85" s="750">
        <f t="shared" si="251"/>
        <v>1.4204139925813863</v>
      </c>
      <c r="BR85" s="750">
        <f t="shared" si="251"/>
        <v>2.4535976177182213</v>
      </c>
      <c r="BS85" s="750">
        <f t="shared" si="251"/>
        <v>2.0455455335856487</v>
      </c>
      <c r="BT85" s="365">
        <f t="shared" si="251"/>
        <v>1.8200339807247277</v>
      </c>
      <c r="BU85" s="366">
        <f t="shared" si="251"/>
        <v>2.2866568374812668</v>
      </c>
      <c r="BV85" s="366">
        <f t="shared" si="251"/>
        <v>2.4793365604058559</v>
      </c>
      <c r="BW85" s="366">
        <f t="shared" si="251"/>
        <v>2.0744048698933528</v>
      </c>
      <c r="BX85" s="366">
        <f t="shared" si="251"/>
        <v>2.3364507029670083</v>
      </c>
      <c r="BY85" s="366">
        <f>BY78/BY90</f>
        <v>2.7213774881302411</v>
      </c>
      <c r="BZ85" s="366">
        <f>BZ78/BZ90</f>
        <v>2.9618572819788365</v>
      </c>
      <c r="CA85" s="366">
        <f>CA78/CA90</f>
        <v>3.2473585941591141</v>
      </c>
      <c r="CB85" s="960">
        <f>CB78/CB90</f>
        <v>3.4529584822505854</v>
      </c>
      <c r="CC85" s="917"/>
      <c r="CD85" s="750">
        <f t="shared" ref="CD85:CM85" si="252">CD78/CD90</f>
        <v>1.1413496950270972</v>
      </c>
      <c r="CE85" s="750">
        <f t="shared" si="252"/>
        <v>1.2126933848130916</v>
      </c>
      <c r="CF85" s="750">
        <f t="shared" si="252"/>
        <v>1.4329801749380546</v>
      </c>
      <c r="CG85" s="750">
        <f t="shared" si="252"/>
        <v>1.1022677472433644</v>
      </c>
      <c r="CH85" s="750">
        <f t="shared" si="252"/>
        <v>2.3644525617076151</v>
      </c>
      <c r="CI85" s="750">
        <f t="shared" si="252"/>
        <v>2.1758795036017737</v>
      </c>
      <c r="CJ85" s="750">
        <f t="shared" si="252"/>
        <v>1.8460520770344304</v>
      </c>
      <c r="CK85" s="750">
        <f t="shared" si="252"/>
        <v>2.1977450603338506</v>
      </c>
      <c r="CL85" s="750">
        <f t="shared" si="252"/>
        <v>2.4485773422995254</v>
      </c>
      <c r="CM85" s="750">
        <f t="shared" si="252"/>
        <v>2.128905912346954</v>
      </c>
      <c r="CN85" s="750">
        <f>CN78/CN90</f>
        <v>2.3026448613246435</v>
      </c>
      <c r="CO85" s="750">
        <f>CO78/CO90</f>
        <v>2.5259211325109914</v>
      </c>
      <c r="CP85" s="750">
        <f>CP78/CP90</f>
        <v>2.9822756956655696</v>
      </c>
      <c r="CQ85" s="907">
        <f>CQ78/CQ90</f>
        <v>3.1702800246529468</v>
      </c>
      <c r="CR85" s="808"/>
      <c r="CS85" s="808"/>
      <c r="CZ85" s="8"/>
      <c r="DC85" s="423"/>
      <c r="DD85" s="423"/>
      <c r="DE85" s="423"/>
    </row>
    <row r="86" spans="1:109" ht="14.25" customHeight="1">
      <c r="A86" s="8"/>
      <c r="B86" s="70"/>
      <c r="C86" s="71"/>
      <c r="D86" s="383"/>
      <c r="E86" s="383"/>
      <c r="F86" s="384"/>
      <c r="G86" s="384"/>
      <c r="H86" s="383"/>
      <c r="I86" s="383"/>
      <c r="J86" s="384"/>
      <c r="K86" s="384"/>
      <c r="L86" s="383"/>
      <c r="M86" s="383"/>
      <c r="N86" s="384"/>
      <c r="O86" s="384"/>
      <c r="P86" s="383"/>
      <c r="Q86" s="383"/>
      <c r="R86" s="384"/>
      <c r="S86" s="384"/>
      <c r="T86" s="383"/>
      <c r="U86" s="383"/>
      <c r="V86" s="384"/>
      <c r="W86" s="384"/>
      <c r="X86" s="383"/>
      <c r="Y86" s="383"/>
      <c r="Z86" s="383"/>
      <c r="AA86" s="384"/>
      <c r="AB86" s="383"/>
      <c r="AC86" s="383"/>
      <c r="AD86" s="383"/>
      <c r="AE86" s="384"/>
      <c r="AF86" s="383"/>
      <c r="AG86" s="383"/>
      <c r="AH86" s="383"/>
      <c r="AI86" s="383"/>
      <c r="AJ86" s="383"/>
      <c r="AK86" s="383"/>
      <c r="AL86" s="383"/>
      <c r="AM86" s="383"/>
      <c r="AN86" s="383"/>
      <c r="AO86" s="383"/>
      <c r="AP86" s="383"/>
      <c r="AQ86" s="383"/>
      <c r="AR86" s="383"/>
      <c r="AS86" s="383"/>
      <c r="AT86" s="383"/>
      <c r="AU86" s="383"/>
      <c r="AV86" s="383"/>
      <c r="AW86" s="383"/>
      <c r="AX86" s="383"/>
      <c r="AY86" s="828"/>
      <c r="AZ86" s="828"/>
      <c r="BA86" s="383"/>
      <c r="BB86" s="828"/>
      <c r="BC86" s="828"/>
      <c r="BD86" s="828"/>
      <c r="BE86" s="828"/>
      <c r="BF86" s="828"/>
      <c r="BG86" s="828"/>
      <c r="BH86" s="828"/>
      <c r="BI86" s="828"/>
      <c r="BJ86" s="828"/>
      <c r="BK86" s="828"/>
      <c r="BL86" s="14"/>
      <c r="BM86" s="47"/>
      <c r="BN86" s="47"/>
      <c r="BO86" s="47"/>
      <c r="BP86" s="47"/>
      <c r="BQ86" s="47"/>
      <c r="BR86" s="47"/>
      <c r="BS86" s="47"/>
      <c r="BT86" s="47"/>
      <c r="BU86" s="47"/>
      <c r="BV86" s="47"/>
      <c r="BW86" s="908"/>
      <c r="BX86" s="908"/>
      <c r="BY86" s="908"/>
      <c r="BZ86" s="908"/>
      <c r="CA86" s="908"/>
      <c r="CB86" s="936"/>
      <c r="CC86" s="14"/>
      <c r="CD86" s="47"/>
      <c r="CE86" s="47"/>
      <c r="CF86" s="47"/>
      <c r="CG86" s="47"/>
      <c r="CH86" s="47"/>
      <c r="CI86" s="47"/>
      <c r="CJ86" s="47"/>
      <c r="CK86" s="47"/>
      <c r="CL86" s="909"/>
      <c r="CM86" s="908"/>
      <c r="CN86" s="908"/>
      <c r="CO86" s="908"/>
      <c r="CP86" s="908"/>
      <c r="CQ86" s="908"/>
      <c r="CR86" s="841"/>
      <c r="CS86" s="841"/>
      <c r="CZ86" s="8"/>
      <c r="DC86" s="423"/>
      <c r="DD86" s="423"/>
      <c r="DE86" s="423"/>
    </row>
    <row r="87" spans="1:109" ht="14.25" customHeight="1">
      <c r="A87" s="8"/>
      <c r="B87" s="71"/>
      <c r="C87" s="71"/>
      <c r="D87" s="383"/>
      <c r="E87" s="383"/>
      <c r="F87" s="383"/>
      <c r="G87" s="383"/>
      <c r="H87" s="383"/>
      <c r="I87" s="383"/>
      <c r="J87" s="383"/>
      <c r="K87" s="383"/>
      <c r="L87" s="383"/>
      <c r="M87" s="383"/>
      <c r="N87" s="383"/>
      <c r="O87" s="383"/>
      <c r="P87" s="383"/>
      <c r="Q87" s="383"/>
      <c r="R87" s="383"/>
      <c r="S87" s="383"/>
      <c r="T87" s="383"/>
      <c r="U87" s="383"/>
      <c r="V87" s="383"/>
      <c r="W87" s="383"/>
      <c r="X87" s="383"/>
      <c r="Y87" s="383"/>
      <c r="Z87" s="383"/>
      <c r="AA87" s="383"/>
      <c r="AB87" s="383"/>
      <c r="AC87" s="383"/>
      <c r="AD87" s="383"/>
      <c r="AE87" s="383"/>
      <c r="AF87" s="383"/>
      <c r="AG87" s="383"/>
      <c r="AH87" s="383"/>
      <c r="AI87" s="383"/>
      <c r="AJ87" s="383"/>
      <c r="AK87" s="383"/>
      <c r="AL87" s="383"/>
      <c r="AM87" s="383"/>
      <c r="AN87" s="383"/>
      <c r="AO87" s="383"/>
      <c r="AP87" s="383"/>
      <c r="AQ87" s="383"/>
      <c r="AR87" s="383"/>
      <c r="AS87" s="383"/>
      <c r="AT87" s="383"/>
      <c r="AU87" s="383"/>
      <c r="AV87" s="383"/>
      <c r="AW87" s="383"/>
      <c r="AX87" s="383"/>
      <c r="AY87" s="383"/>
      <c r="AZ87" s="361"/>
      <c r="BA87" s="383"/>
      <c r="BB87" s="361"/>
      <c r="BC87" s="361"/>
      <c r="BD87" s="361"/>
      <c r="BE87" s="361"/>
      <c r="BF87" s="361"/>
      <c r="BG87" s="361"/>
      <c r="BH87" s="361"/>
      <c r="BI87" s="361"/>
      <c r="BJ87" s="361"/>
      <c r="BK87" s="361"/>
      <c r="BL87" s="8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361"/>
      <c r="BX87" s="361"/>
      <c r="BY87" s="361"/>
      <c r="BZ87" s="361"/>
      <c r="CA87" s="361"/>
      <c r="CB87" s="937"/>
      <c r="CC87" s="8"/>
      <c r="CD87" s="47"/>
      <c r="CE87" s="47"/>
      <c r="CF87" s="47"/>
      <c r="CG87" s="47"/>
      <c r="CH87" s="47"/>
      <c r="CI87" s="47"/>
      <c r="CJ87" s="47"/>
      <c r="CK87" s="47"/>
      <c r="CL87" s="750"/>
      <c r="CM87" s="361"/>
      <c r="CN87" s="361"/>
      <c r="CO87" s="361"/>
      <c r="CP87" s="361"/>
      <c r="CQ87" s="361"/>
      <c r="CR87" s="11"/>
      <c r="CS87" s="11"/>
      <c r="CZ87" s="8"/>
    </row>
    <row r="88" spans="1:109" ht="14.25" customHeight="1">
      <c r="A88" s="8"/>
      <c r="B88" s="608" t="s">
        <v>385</v>
      </c>
      <c r="C88" s="609">
        <f t="shared" ref="C88:BK88" si="253">+C$9</f>
        <v>0</v>
      </c>
      <c r="D88" s="17" t="str">
        <f t="shared" si="253"/>
        <v>F1Q06A</v>
      </c>
      <c r="E88" s="18" t="str">
        <f t="shared" si="253"/>
        <v>F2Q06A</v>
      </c>
      <c r="F88" s="18" t="str">
        <f t="shared" si="253"/>
        <v>F3Q06A</v>
      </c>
      <c r="G88" s="19" t="str">
        <f t="shared" si="253"/>
        <v>F4Q06A</v>
      </c>
      <c r="H88" s="17" t="str">
        <f t="shared" si="253"/>
        <v>F1Q07A</v>
      </c>
      <c r="I88" s="18" t="str">
        <f t="shared" si="253"/>
        <v>F2Q07A</v>
      </c>
      <c r="J88" s="18" t="str">
        <f t="shared" si="253"/>
        <v>F3Q07A</v>
      </c>
      <c r="K88" s="19" t="str">
        <f t="shared" si="253"/>
        <v>F4Q07A</v>
      </c>
      <c r="L88" s="17" t="str">
        <f t="shared" si="253"/>
        <v>F1Q08A</v>
      </c>
      <c r="M88" s="18" t="str">
        <f t="shared" si="253"/>
        <v>F2Q08A</v>
      </c>
      <c r="N88" s="18" t="str">
        <f t="shared" si="253"/>
        <v>F3Q08A</v>
      </c>
      <c r="O88" s="19" t="str">
        <f t="shared" si="253"/>
        <v>F4Q08A</v>
      </c>
      <c r="P88" s="17" t="str">
        <f t="shared" si="253"/>
        <v>F1Q09A</v>
      </c>
      <c r="Q88" s="18" t="str">
        <f t="shared" si="253"/>
        <v>F2Q09A</v>
      </c>
      <c r="R88" s="18" t="str">
        <f t="shared" si="253"/>
        <v>F3Q09A</v>
      </c>
      <c r="S88" s="19" t="str">
        <f t="shared" si="253"/>
        <v>F4Q09A</v>
      </c>
      <c r="T88" s="17" t="str">
        <f t="shared" si="253"/>
        <v>F1Q10A</v>
      </c>
      <c r="U88" s="18" t="str">
        <f t="shared" si="253"/>
        <v>F2Q10A</v>
      </c>
      <c r="V88" s="18" t="str">
        <f t="shared" si="253"/>
        <v>F3Q10A</v>
      </c>
      <c r="W88" s="19" t="str">
        <f t="shared" si="253"/>
        <v>F4Q10A</v>
      </c>
      <c r="X88" s="18" t="str">
        <f t="shared" si="253"/>
        <v>F1Q11A</v>
      </c>
      <c r="Y88" s="18" t="str">
        <f t="shared" si="253"/>
        <v>F2Q11A</v>
      </c>
      <c r="Z88" s="18" t="str">
        <f t="shared" si="253"/>
        <v>F3Q11A</v>
      </c>
      <c r="AA88" s="19" t="str">
        <f t="shared" si="253"/>
        <v>F4Q11A</v>
      </c>
      <c r="AB88" s="17" t="str">
        <f t="shared" si="253"/>
        <v>F1Q12A</v>
      </c>
      <c r="AC88" s="18" t="str">
        <f t="shared" si="253"/>
        <v>F2Q12A</v>
      </c>
      <c r="AD88" s="18" t="str">
        <f t="shared" si="253"/>
        <v>F3Q12A</v>
      </c>
      <c r="AE88" s="19" t="str">
        <f t="shared" si="253"/>
        <v>F4Q12A</v>
      </c>
      <c r="AF88" s="17" t="str">
        <f t="shared" si="253"/>
        <v>F1Q13A</v>
      </c>
      <c r="AG88" s="18" t="str">
        <f t="shared" si="253"/>
        <v>F2Q13A</v>
      </c>
      <c r="AH88" s="18" t="str">
        <f t="shared" si="253"/>
        <v>F3Q13A</v>
      </c>
      <c r="AI88" s="18" t="str">
        <f t="shared" si="253"/>
        <v>F4Q13A</v>
      </c>
      <c r="AJ88" s="17" t="str">
        <f t="shared" si="253"/>
        <v>F1Q14A</v>
      </c>
      <c r="AK88" s="18" t="str">
        <f t="shared" si="253"/>
        <v>F2Q14A</v>
      </c>
      <c r="AL88" s="18" t="str">
        <f t="shared" si="253"/>
        <v>F3Q14A</v>
      </c>
      <c r="AM88" s="18" t="str">
        <f t="shared" si="253"/>
        <v>F4Q14A</v>
      </c>
      <c r="AN88" s="17" t="str">
        <f t="shared" si="253"/>
        <v>F1Q15A</v>
      </c>
      <c r="AO88" s="18" t="str">
        <f t="shared" si="253"/>
        <v>F2Q15A</v>
      </c>
      <c r="AP88" s="18" t="str">
        <f t="shared" si="253"/>
        <v>F3Q15A</v>
      </c>
      <c r="AQ88" s="19" t="str">
        <f t="shared" si="253"/>
        <v>F4Q15A</v>
      </c>
      <c r="AR88" s="17" t="str">
        <f t="shared" si="253"/>
        <v>F1Q16A</v>
      </c>
      <c r="AS88" s="18" t="str">
        <f t="shared" si="253"/>
        <v>F2Q16A</v>
      </c>
      <c r="AT88" s="18" t="str">
        <f t="shared" si="253"/>
        <v>F3Q16A</v>
      </c>
      <c r="AU88" s="19" t="str">
        <f t="shared" si="253"/>
        <v>F4Q16A</v>
      </c>
      <c r="AV88" s="17" t="str">
        <f t="shared" si="253"/>
        <v>F1Q17A</v>
      </c>
      <c r="AW88" s="18" t="str">
        <f t="shared" si="253"/>
        <v>F2Q17A</v>
      </c>
      <c r="AX88" s="18" t="str">
        <f t="shared" si="253"/>
        <v>F3Q17A</v>
      </c>
      <c r="AY88" s="19" t="str">
        <f t="shared" si="253"/>
        <v>F4Q17A</v>
      </c>
      <c r="AZ88" s="351" t="str">
        <f t="shared" si="253"/>
        <v>F1Q18A</v>
      </c>
      <c r="BA88" s="18" t="str">
        <f t="shared" si="253"/>
        <v>F2Q18A</v>
      </c>
      <c r="BB88" s="511" t="str">
        <f t="shared" si="253"/>
        <v>F3Q18A</v>
      </c>
      <c r="BC88" s="21" t="str">
        <f t="shared" si="253"/>
        <v>F4Q18A</v>
      </c>
      <c r="BD88" s="17" t="str">
        <f t="shared" si="253"/>
        <v>F1Q19E</v>
      </c>
      <c r="BE88" s="18" t="str">
        <f t="shared" si="253"/>
        <v>F2Q19E</v>
      </c>
      <c r="BF88" s="18" t="str">
        <f t="shared" si="253"/>
        <v>F3Q19E</v>
      </c>
      <c r="BG88" s="19" t="str">
        <f t="shared" si="253"/>
        <v>F4Q19E</v>
      </c>
      <c r="BH88" s="17" t="str">
        <f t="shared" si="253"/>
        <v>F1Q20E</v>
      </c>
      <c r="BI88" s="18" t="str">
        <f t="shared" si="253"/>
        <v>F2Q20E</v>
      </c>
      <c r="BJ88" s="18" t="str">
        <f t="shared" si="253"/>
        <v>F3Q20E</v>
      </c>
      <c r="BK88" s="19" t="str">
        <f t="shared" si="253"/>
        <v>F4Q20E</v>
      </c>
      <c r="BL88" s="20"/>
      <c r="BM88" s="605" t="str">
        <f t="shared" ref="BM88:BX88" si="254">+BM9</f>
        <v>FY2006A</v>
      </c>
      <c r="BN88" s="606" t="str">
        <f t="shared" si="254"/>
        <v>FY2007A</v>
      </c>
      <c r="BO88" s="606" t="str">
        <f t="shared" si="254"/>
        <v>FY2008A</v>
      </c>
      <c r="BP88" s="606" t="str">
        <f t="shared" si="254"/>
        <v>FY2009A</v>
      </c>
      <c r="BQ88" s="606" t="str">
        <f t="shared" si="254"/>
        <v>FY2010A</v>
      </c>
      <c r="BR88" s="606" t="str">
        <f t="shared" si="254"/>
        <v>FY2011A</v>
      </c>
      <c r="BS88" s="606" t="str">
        <f t="shared" si="254"/>
        <v>FY2012A</v>
      </c>
      <c r="BT88" s="605" t="str">
        <f t="shared" si="254"/>
        <v>FY2013A</v>
      </c>
      <c r="BU88" s="606" t="str">
        <f t="shared" si="254"/>
        <v>FY2014</v>
      </c>
      <c r="BV88" s="606" t="str">
        <f t="shared" si="254"/>
        <v>FY2015</v>
      </c>
      <c r="BW88" s="606" t="str">
        <f t="shared" si="254"/>
        <v>FY2016</v>
      </c>
      <c r="BX88" s="606" t="str">
        <f t="shared" si="254"/>
        <v>FY2017</v>
      </c>
      <c r="BY88" s="606" t="str">
        <f>+BY9</f>
        <v>FY2018A</v>
      </c>
      <c r="BZ88" s="606" t="str">
        <f>+BZ9</f>
        <v>FY2019E</v>
      </c>
      <c r="CA88" s="606" t="str">
        <f>+CA9</f>
        <v>FY2020E</v>
      </c>
      <c r="CB88" s="938" t="str">
        <f>+CB9</f>
        <v>FY2021E</v>
      </c>
      <c r="CC88" s="20"/>
      <c r="CD88" s="605" t="str">
        <f>+CD$7</f>
        <v>CY2006</v>
      </c>
      <c r="CE88" s="606" t="str">
        <f t="shared" ref="CE88:CQ88" si="255">+CE$7</f>
        <v>CY2007</v>
      </c>
      <c r="CF88" s="606" t="str">
        <f t="shared" si="255"/>
        <v>CY2008</v>
      </c>
      <c r="CG88" s="606" t="str">
        <f t="shared" si="255"/>
        <v>CY2009</v>
      </c>
      <c r="CH88" s="606" t="str">
        <f t="shared" si="255"/>
        <v>CY2010</v>
      </c>
      <c r="CI88" s="606" t="str">
        <f t="shared" si="255"/>
        <v>CY2011</v>
      </c>
      <c r="CJ88" s="606" t="str">
        <f t="shared" si="255"/>
        <v>CY2012</v>
      </c>
      <c r="CK88" s="606" t="str">
        <f t="shared" si="255"/>
        <v>CY2013</v>
      </c>
      <c r="CL88" s="606" t="str">
        <f t="shared" si="255"/>
        <v>CY2014</v>
      </c>
      <c r="CM88" s="606" t="str">
        <f t="shared" si="255"/>
        <v>CY2015</v>
      </c>
      <c r="CN88" s="606" t="str">
        <f t="shared" si="255"/>
        <v>CY2016</v>
      </c>
      <c r="CO88" s="606" t="str">
        <f t="shared" si="255"/>
        <v>CY2017</v>
      </c>
      <c r="CP88" s="606" t="str">
        <f t="shared" si="255"/>
        <v>CY2018</v>
      </c>
      <c r="CQ88" s="607" t="str">
        <f t="shared" si="255"/>
        <v>CY2019</v>
      </c>
      <c r="CR88" s="8"/>
      <c r="CS88" s="8"/>
      <c r="CZ88" s="8"/>
    </row>
    <row r="89" spans="1:109" s="336" customFormat="1" ht="14.25" customHeight="1">
      <c r="A89" s="11"/>
      <c r="B89" s="74" t="s">
        <v>383</v>
      </c>
      <c r="C89" s="75"/>
      <c r="D89" s="76">
        <v>350.70499999999998</v>
      </c>
      <c r="E89" s="77">
        <v>349.25400000000002</v>
      </c>
      <c r="F89" s="77">
        <v>348.20299999999997</v>
      </c>
      <c r="G89" s="78">
        <v>344.68299999999999</v>
      </c>
      <c r="H89" s="76">
        <v>341.85300000000001</v>
      </c>
      <c r="I89" s="77">
        <v>339.43099999999998</v>
      </c>
      <c r="J89" s="77">
        <v>334.06200000000001</v>
      </c>
      <c r="K89" s="78">
        <v>325.11500000000001</v>
      </c>
      <c r="L89" s="76">
        <v>297.72000000000003</v>
      </c>
      <c r="M89" s="77">
        <v>298.00799999999998</v>
      </c>
      <c r="N89" s="77">
        <v>289.70299999999997</v>
      </c>
      <c r="O89" s="78">
        <v>284.52300000000002</v>
      </c>
      <c r="P89" s="76">
        <v>278.16500000000002</v>
      </c>
      <c r="Q89" s="77">
        <v>276.16899999999998</v>
      </c>
      <c r="R89" s="77">
        <v>273.99700000000001</v>
      </c>
      <c r="S89" s="78">
        <v>274.68900000000002</v>
      </c>
      <c r="T89" s="76">
        <v>275.52300000000002</v>
      </c>
      <c r="U89" s="77">
        <v>276.35300000000001</v>
      </c>
      <c r="V89" s="77">
        <v>276.83199999999999</v>
      </c>
      <c r="W89" s="78">
        <v>274.68599999999998</v>
      </c>
      <c r="X89" s="76">
        <v>272.09699999999998</v>
      </c>
      <c r="Y89" s="77">
        <v>260.15100000000001</v>
      </c>
      <c r="Z89" s="77">
        <v>259.41800000000001</v>
      </c>
      <c r="AA89" s="78">
        <v>263.60300000000001</v>
      </c>
      <c r="AB89" s="76">
        <v>265.31299999999999</v>
      </c>
      <c r="AC89" s="77">
        <v>264.00599999999997</v>
      </c>
      <c r="AD89" s="77">
        <v>261.25700000000001</v>
      </c>
      <c r="AE89" s="78">
        <v>263.26100000000002</v>
      </c>
      <c r="AF89" s="76">
        <v>263.05500000000001</v>
      </c>
      <c r="AG89" s="741">
        <v>260.60500000000002</v>
      </c>
      <c r="AH89" s="741">
        <v>260.69</v>
      </c>
      <c r="AI89" s="741">
        <v>263.03500000000003</v>
      </c>
      <c r="AJ89" s="76">
        <v>264.15300000000002</v>
      </c>
      <c r="AK89" s="741">
        <v>268.47800000000001</v>
      </c>
      <c r="AL89" s="741">
        <v>267.77999999999997</v>
      </c>
      <c r="AM89" s="741">
        <v>268.13400000000001</v>
      </c>
      <c r="AN89" s="76">
        <v>267.64800000000002</v>
      </c>
      <c r="AO89" s="741">
        <v>265.94200000000001</v>
      </c>
      <c r="AP89" s="741">
        <v>262.88099999999997</v>
      </c>
      <c r="AQ89" s="805">
        <v>260.85700000000003</v>
      </c>
      <c r="AR89" s="76">
        <v>258.02100000000002</v>
      </c>
      <c r="AS89" s="741">
        <v>257.64</v>
      </c>
      <c r="AT89" s="741">
        <v>256.45</v>
      </c>
      <c r="AU89" s="805">
        <v>255.46700000000001</v>
      </c>
      <c r="AV89" s="76">
        <v>252.90100000000001</v>
      </c>
      <c r="AW89" s="741">
        <v>253.46600000000001</v>
      </c>
      <c r="AX89" s="741">
        <v>250.982</v>
      </c>
      <c r="AY89" s="805">
        <v>249.01400000000001</v>
      </c>
      <c r="AZ89" s="888">
        <v>247.911</v>
      </c>
      <c r="BA89" s="892">
        <v>248.09399999999999</v>
      </c>
      <c r="BB89" s="802">
        <v>254.089</v>
      </c>
      <c r="BC89" s="805">
        <v>254.559</v>
      </c>
      <c r="BD89" s="868">
        <f t="shared" ref="BD89:BK89" si="256">BC89+(BD90-BC90)</f>
        <v>253.559</v>
      </c>
      <c r="BE89" s="804">
        <f t="shared" si="256"/>
        <v>252.559</v>
      </c>
      <c r="BF89" s="804">
        <f t="shared" si="256"/>
        <v>251.559</v>
      </c>
      <c r="BG89" s="803">
        <f t="shared" si="256"/>
        <v>250.559</v>
      </c>
      <c r="BH89" s="868">
        <f t="shared" si="256"/>
        <v>249.559</v>
      </c>
      <c r="BI89" s="804">
        <f t="shared" si="256"/>
        <v>248.559</v>
      </c>
      <c r="BJ89" s="804">
        <f t="shared" si="256"/>
        <v>247.559</v>
      </c>
      <c r="BK89" s="803">
        <f t="shared" si="256"/>
        <v>246.559</v>
      </c>
      <c r="BL89" s="24"/>
      <c r="BM89" s="584">
        <f>AVERAGE(D89:G89)</f>
        <v>348.21125000000001</v>
      </c>
      <c r="BN89" s="79">
        <f>AVERAGE(H89:K89)</f>
        <v>335.11525</v>
      </c>
      <c r="BO89" s="79">
        <f>AVERAGE(L89:O89)</f>
        <v>292.48850000000004</v>
      </c>
      <c r="BP89" s="79">
        <f>AVERAGE(P89:S89)</f>
        <v>275.75500000000005</v>
      </c>
      <c r="BQ89" s="79">
        <f>AVERAGE(T89:W89)</f>
        <v>275.8485</v>
      </c>
      <c r="BR89" s="79">
        <f>AVERAGE(X89:AA89)</f>
        <v>263.81725</v>
      </c>
      <c r="BS89" s="79">
        <f>AVERAGE(AB89:AE89)</f>
        <v>263.45925</v>
      </c>
      <c r="BT89" s="584">
        <f>AVERAGE(AF89:AI89)</f>
        <v>261.84625000000005</v>
      </c>
      <c r="BU89" s="79">
        <f>AVERAGE(AJ89:AM89)</f>
        <v>267.13625000000002</v>
      </c>
      <c r="BV89" s="79">
        <f>AVERAGE(AN89:AQ89)</f>
        <v>264.33199999999999</v>
      </c>
      <c r="BW89" s="79">
        <f>AVERAGE(AR89:AU89)</f>
        <v>256.89450000000005</v>
      </c>
      <c r="BX89" s="79">
        <f>AVERAGE(AV89:AY89)</f>
        <v>251.59075000000001</v>
      </c>
      <c r="BY89" s="79">
        <f>AVERAGE(AZ89:BC89)</f>
        <v>251.16325000000001</v>
      </c>
      <c r="BZ89" s="79">
        <f>AVERAGE(BD89:BG89)</f>
        <v>252.059</v>
      </c>
      <c r="CA89" s="79">
        <f>AVERAGE(BH89:BK89)</f>
        <v>248.059</v>
      </c>
      <c r="CB89" s="939">
        <f>+CA89</f>
        <v>248.059</v>
      </c>
      <c r="CC89" s="192"/>
      <c r="CD89" s="584">
        <f>AVERAGE(G89:J89)</f>
        <v>340.00725</v>
      </c>
      <c r="CE89" s="79">
        <f>AVERAGE(K89:N89)</f>
        <v>302.63650000000001</v>
      </c>
      <c r="CF89" s="79">
        <f>AVERAGE(O89:R89)</f>
        <v>278.21350000000001</v>
      </c>
      <c r="CG89" s="79">
        <f>AVERAGE(S89:V89)</f>
        <v>275.84924999999998</v>
      </c>
      <c r="CH89" s="79">
        <f>AVERAGE(W89:Z89)</f>
        <v>266.58799999999997</v>
      </c>
      <c r="CI89" s="79">
        <f>AVERAGE(AA89:AD89)</f>
        <v>263.54474999999996</v>
      </c>
      <c r="CJ89" s="79">
        <f>AVERAGE(AE89:AH89)</f>
        <v>261.90275000000003</v>
      </c>
      <c r="CK89" s="79">
        <f>AVERAGE(AI89:AL89)</f>
        <v>265.86150000000004</v>
      </c>
      <c r="CL89" s="86">
        <f>AVERAGE(AM89:AP89)</f>
        <v>266.15125</v>
      </c>
      <c r="CM89" s="86">
        <f>AVERAGE(AQ89:AT89)</f>
        <v>258.24200000000002</v>
      </c>
      <c r="CN89" s="86">
        <f>AVERAGE(AU89:AX89)</f>
        <v>253.20400000000001</v>
      </c>
      <c r="CO89" s="86">
        <f>AVERAGE(AY89:BB89)</f>
        <v>249.77699999999999</v>
      </c>
      <c r="CP89" s="86">
        <f>AVERAGE(BC89:BF89)</f>
        <v>253.059</v>
      </c>
      <c r="CQ89" s="87">
        <f>AVERAGE(BG89:BJ89)</f>
        <v>249.059</v>
      </c>
      <c r="CR89" s="806"/>
      <c r="CS89" s="806"/>
      <c r="CT89"/>
      <c r="CU89"/>
      <c r="CV89"/>
      <c r="CW89"/>
      <c r="CX89"/>
      <c r="CY89"/>
      <c r="CZ89" s="11"/>
    </row>
    <row r="90" spans="1:109" s="336" customFormat="1" ht="14.25" customHeight="1">
      <c r="A90" s="11"/>
      <c r="B90" s="23" t="s">
        <v>384</v>
      </c>
      <c r="C90" s="24"/>
      <c r="D90" s="83">
        <v>358.03800000000001</v>
      </c>
      <c r="E90" s="84">
        <v>356.36</v>
      </c>
      <c r="F90" s="84">
        <v>353.23700000000002</v>
      </c>
      <c r="G90" s="85">
        <v>350.24099999999999</v>
      </c>
      <c r="H90" s="83">
        <v>348.988</v>
      </c>
      <c r="I90" s="84">
        <v>343.19200000000001</v>
      </c>
      <c r="J90" s="84">
        <v>339.66899999999998</v>
      </c>
      <c r="K90" s="85">
        <v>330.24299999999999</v>
      </c>
      <c r="L90" s="83">
        <v>303.19799999999998</v>
      </c>
      <c r="M90" s="84">
        <v>302.226</v>
      </c>
      <c r="N90" s="84">
        <v>293.036</v>
      </c>
      <c r="O90" s="85">
        <v>286.32100000000003</v>
      </c>
      <c r="P90" s="83">
        <v>280.88099999999997</v>
      </c>
      <c r="Q90" s="84">
        <v>277.714</v>
      </c>
      <c r="R90" s="84">
        <v>274.22300000000001</v>
      </c>
      <c r="S90" s="85">
        <v>274.88099999999997</v>
      </c>
      <c r="T90" s="83">
        <v>276.25799999999998</v>
      </c>
      <c r="U90" s="84">
        <v>276.988</v>
      </c>
      <c r="V90" s="84">
        <v>278.56599999999997</v>
      </c>
      <c r="W90" s="85">
        <v>277.29000000000002</v>
      </c>
      <c r="X90" s="84">
        <v>275.541</v>
      </c>
      <c r="Y90" s="84">
        <v>263.286</v>
      </c>
      <c r="Z90" s="84">
        <v>263.61200000000002</v>
      </c>
      <c r="AA90" s="32">
        <v>272.161</v>
      </c>
      <c r="AB90" s="84">
        <v>276.077</v>
      </c>
      <c r="AC90" s="84">
        <v>267.92700000000002</v>
      </c>
      <c r="AD90" s="84">
        <v>267.88400000000001</v>
      </c>
      <c r="AE90" s="32">
        <v>276.166</v>
      </c>
      <c r="AF90" s="84">
        <v>273.82</v>
      </c>
      <c r="AG90" s="91">
        <v>270.3</v>
      </c>
      <c r="AH90" s="91">
        <v>271.17399999999998</v>
      </c>
      <c r="AI90" s="91">
        <v>277.08999999999997</v>
      </c>
      <c r="AJ90" s="83">
        <v>280.291</v>
      </c>
      <c r="AK90" s="91">
        <v>290.685</v>
      </c>
      <c r="AL90" s="91">
        <v>288.19499999999999</v>
      </c>
      <c r="AM90" s="92">
        <v>294.536</v>
      </c>
      <c r="AN90" s="83">
        <v>281.57900000000001</v>
      </c>
      <c r="AO90" s="91">
        <v>275.8</v>
      </c>
      <c r="AP90" s="91">
        <v>273.79500000000002</v>
      </c>
      <c r="AQ90" s="803">
        <v>269.51400000000001</v>
      </c>
      <c r="AR90" s="83">
        <v>270.73</v>
      </c>
      <c r="AS90" s="91">
        <v>266.04599999999999</v>
      </c>
      <c r="AT90" s="91">
        <v>269.61099999999999</v>
      </c>
      <c r="AU90" s="803">
        <v>268.46199999999999</v>
      </c>
      <c r="AV90" s="83">
        <v>266.20600000000002</v>
      </c>
      <c r="AW90" s="91">
        <v>270.37299999999999</v>
      </c>
      <c r="AX90" s="91">
        <v>270.78100000000001</v>
      </c>
      <c r="AY90" s="803">
        <v>267.15699999999998</v>
      </c>
      <c r="AZ90" s="868">
        <v>265.79700000000003</v>
      </c>
      <c r="BA90" s="91">
        <v>258.21699999999998</v>
      </c>
      <c r="BB90" s="804">
        <v>258.108</v>
      </c>
      <c r="BC90" s="803">
        <v>257.916</v>
      </c>
      <c r="BD90" s="868">
        <f t="shared" ref="BD90:BK90" si="257">BC90-1</f>
        <v>256.916</v>
      </c>
      <c r="BE90" s="804">
        <f t="shared" si="257"/>
        <v>255.916</v>
      </c>
      <c r="BF90" s="804">
        <f t="shared" si="257"/>
        <v>254.916</v>
      </c>
      <c r="BG90" s="803">
        <f t="shared" si="257"/>
        <v>253.916</v>
      </c>
      <c r="BH90" s="868">
        <f t="shared" si="257"/>
        <v>252.916</v>
      </c>
      <c r="BI90" s="804">
        <f t="shared" si="257"/>
        <v>251.916</v>
      </c>
      <c r="BJ90" s="804">
        <f t="shared" si="257"/>
        <v>250.916</v>
      </c>
      <c r="BK90" s="803">
        <f t="shared" si="257"/>
        <v>249.916</v>
      </c>
      <c r="BL90" s="24"/>
      <c r="BM90" s="585">
        <f>AVERAGE(D90:G90)</f>
        <v>354.46899999999999</v>
      </c>
      <c r="BN90" s="86">
        <f>AVERAGE(H90:K90)</f>
        <v>340.52300000000002</v>
      </c>
      <c r="BO90" s="86">
        <f>AVERAGE(L90:O90)</f>
        <v>296.19524999999999</v>
      </c>
      <c r="BP90" s="86">
        <f>AVERAGE(P90:S90)</f>
        <v>276.92475000000002</v>
      </c>
      <c r="BQ90" s="86">
        <f>AVERAGE(T90:W90)</f>
        <v>277.27549999999997</v>
      </c>
      <c r="BR90" s="86">
        <f>AVERAGE(X90:AA90)</f>
        <v>268.65000000000003</v>
      </c>
      <c r="BS90" s="86">
        <f>AVERAGE(AB90:AE90)</f>
        <v>272.01350000000002</v>
      </c>
      <c r="BT90" s="585">
        <f>AVERAGE(AF90:AI90)</f>
        <v>273.096</v>
      </c>
      <c r="BU90" s="86">
        <f>AVERAGE(AJ90:AM90)</f>
        <v>288.42675000000003</v>
      </c>
      <c r="BV90" s="86">
        <f>AVERAGE(AN90:AQ90)</f>
        <v>275.17200000000003</v>
      </c>
      <c r="BW90" s="86">
        <f>AVERAGE(AR90:AU90)</f>
        <v>268.71225000000004</v>
      </c>
      <c r="BX90" s="86">
        <f>AVERAGE(AV90:AY90)</f>
        <v>268.62924999999996</v>
      </c>
      <c r="BY90" s="86">
        <f>AVERAGE(AZ90:BC90)</f>
        <v>260.0095</v>
      </c>
      <c r="BZ90" s="86">
        <f>AVERAGE(BD90:BG90)</f>
        <v>255.416</v>
      </c>
      <c r="CA90" s="86">
        <f>AVERAGE(BH90:BK90)</f>
        <v>251.416</v>
      </c>
      <c r="CB90" s="940">
        <f>CA90-2</f>
        <v>249.416</v>
      </c>
      <c r="CC90" s="192"/>
      <c r="CD90" s="585">
        <f>AVERAGE(G90:J90)</f>
        <v>345.52250000000004</v>
      </c>
      <c r="CE90" s="86">
        <f>AVERAGE(K90:N90)</f>
        <v>307.17574999999999</v>
      </c>
      <c r="CF90" s="86">
        <f>AVERAGE(O90:R90)</f>
        <v>279.78474999999997</v>
      </c>
      <c r="CG90" s="86">
        <f>AVERAGE(S90:V90)</f>
        <v>276.67325</v>
      </c>
      <c r="CH90" s="86">
        <f>AVERAGE(W90:Z90)</f>
        <v>269.93225000000001</v>
      </c>
      <c r="CI90" s="86">
        <f>AVERAGE(AA90:AD90)</f>
        <v>271.01224999999999</v>
      </c>
      <c r="CJ90" s="86">
        <f>AVERAGE(AE90:AH90)</f>
        <v>272.86500000000001</v>
      </c>
      <c r="CK90" s="86">
        <f>AVERAGE(AI90:AL90)</f>
        <v>284.06524999999999</v>
      </c>
      <c r="CL90" s="86">
        <f>AVERAGE(AM90:AP90)</f>
        <v>281.42750000000001</v>
      </c>
      <c r="CM90" s="86">
        <f>AVERAGE(AQ90:AT90)</f>
        <v>268.97524999999996</v>
      </c>
      <c r="CN90" s="86">
        <f>AVERAGE(AU90:AX90)</f>
        <v>268.95549999999997</v>
      </c>
      <c r="CO90" s="86">
        <f>AVERAGE(AY90:BB90)</f>
        <v>262.31975</v>
      </c>
      <c r="CP90" s="86">
        <f>AVERAGE(BC90:BF90)</f>
        <v>256.416</v>
      </c>
      <c r="CQ90" s="87">
        <f>AVERAGE(BG90:BJ90)</f>
        <v>252.416</v>
      </c>
      <c r="CR90" s="806"/>
      <c r="CS90" s="806"/>
      <c r="CT90"/>
      <c r="CU90"/>
      <c r="CV90"/>
      <c r="CW90"/>
      <c r="CX90"/>
      <c r="CY90"/>
      <c r="CZ90" s="11"/>
    </row>
    <row r="91" spans="1:109" ht="14.25" customHeight="1">
      <c r="A91" s="8"/>
      <c r="B91" s="36" t="s">
        <v>22</v>
      </c>
      <c r="C91" s="37"/>
      <c r="D91" s="88">
        <f t="shared" ref="D91:AM91" si="258">D90/D89</f>
        <v>1.0209093112444934</v>
      </c>
      <c r="E91" s="89">
        <f t="shared" si="258"/>
        <v>1.020346223665298</v>
      </c>
      <c r="F91" s="89">
        <f t="shared" si="258"/>
        <v>1.014457083942413</v>
      </c>
      <c r="G91" s="90">
        <f t="shared" si="258"/>
        <v>1.0161249611962295</v>
      </c>
      <c r="H91" s="88">
        <f t="shared" si="258"/>
        <v>1.0208715442017475</v>
      </c>
      <c r="I91" s="89">
        <f t="shared" si="258"/>
        <v>1.0110803079270898</v>
      </c>
      <c r="J91" s="89">
        <f t="shared" si="258"/>
        <v>1.0167843094994342</v>
      </c>
      <c r="K91" s="90">
        <f t="shared" si="258"/>
        <v>1.0157728803654091</v>
      </c>
      <c r="L91" s="88">
        <f t="shared" si="258"/>
        <v>1.0183998387746875</v>
      </c>
      <c r="M91" s="89">
        <f t="shared" si="258"/>
        <v>1.0141539824434245</v>
      </c>
      <c r="N91" s="89">
        <f t="shared" si="258"/>
        <v>1.0115048860384601</v>
      </c>
      <c r="O91" s="90">
        <f t="shared" si="258"/>
        <v>1.0063193485236694</v>
      </c>
      <c r="P91" s="88">
        <f t="shared" si="258"/>
        <v>1.0097639889993348</v>
      </c>
      <c r="Q91" s="89">
        <f t="shared" si="258"/>
        <v>1.0055944005301103</v>
      </c>
      <c r="R91" s="89">
        <f t="shared" si="258"/>
        <v>1.0008248265491957</v>
      </c>
      <c r="S91" s="90">
        <f t="shared" si="258"/>
        <v>1.0006989722923012</v>
      </c>
      <c r="T91" s="88">
        <f t="shared" si="258"/>
        <v>1.0026676538800752</v>
      </c>
      <c r="U91" s="89">
        <f t="shared" si="258"/>
        <v>1.0022977858029405</v>
      </c>
      <c r="V91" s="89">
        <f t="shared" si="258"/>
        <v>1.0062637267367933</v>
      </c>
      <c r="W91" s="90">
        <f t="shared" si="258"/>
        <v>1.0094799152486842</v>
      </c>
      <c r="X91" s="89">
        <f t="shared" si="258"/>
        <v>1.0126572509068459</v>
      </c>
      <c r="Y91" s="89">
        <f t="shared" si="258"/>
        <v>1.0120506936356193</v>
      </c>
      <c r="Z91" s="89">
        <f t="shared" si="258"/>
        <v>1.0161669583452191</v>
      </c>
      <c r="AA91" s="90">
        <f t="shared" si="258"/>
        <v>1.0324654878738102</v>
      </c>
      <c r="AB91" s="89">
        <f t="shared" si="258"/>
        <v>1.0405709482761871</v>
      </c>
      <c r="AC91" s="89">
        <f t="shared" si="258"/>
        <v>1.0148519351832914</v>
      </c>
      <c r="AD91" s="89">
        <f t="shared" si="258"/>
        <v>1.0253658275184971</v>
      </c>
      <c r="AE91" s="90">
        <f t="shared" si="258"/>
        <v>1.0490197940446933</v>
      </c>
      <c r="AF91" s="89">
        <f t="shared" si="258"/>
        <v>1.0409230008933492</v>
      </c>
      <c r="AG91" s="89">
        <f t="shared" si="258"/>
        <v>1.03720189558911</v>
      </c>
      <c r="AH91" s="89">
        <f t="shared" si="258"/>
        <v>1.0402163489201732</v>
      </c>
      <c r="AI91" s="89">
        <f t="shared" si="258"/>
        <v>1.0534339536563573</v>
      </c>
      <c r="AJ91" s="88">
        <f t="shared" si="258"/>
        <v>1.0610933814872441</v>
      </c>
      <c r="AK91" s="89">
        <f t="shared" si="258"/>
        <v>1.0827144123540848</v>
      </c>
      <c r="AL91" s="89">
        <f t="shared" si="258"/>
        <v>1.0762379565314812</v>
      </c>
      <c r="AM91" s="90">
        <f t="shared" si="258"/>
        <v>1.0984656925268708</v>
      </c>
      <c r="AN91" s="88">
        <f>AN90/AN89</f>
        <v>1.0520497070779531</v>
      </c>
      <c r="AO91" s="89">
        <f>AO90/AO89</f>
        <v>1.0370682329229681</v>
      </c>
      <c r="AP91" s="89">
        <f>AP90/AP89</f>
        <v>1.0415168840654139</v>
      </c>
      <c r="AQ91" s="89">
        <f>AQ90/AQ89</f>
        <v>1.0331867651625219</v>
      </c>
      <c r="AR91" s="88">
        <f t="shared" ref="AR91:AW91" si="259">AR90/AR89</f>
        <v>1.0492556807391646</v>
      </c>
      <c r="AS91" s="89">
        <f t="shared" si="259"/>
        <v>1.0326269212855146</v>
      </c>
      <c r="AT91" s="89">
        <f t="shared" si="259"/>
        <v>1.0513199454084616</v>
      </c>
      <c r="AU91" s="89">
        <f t="shared" si="259"/>
        <v>1.0508676267384827</v>
      </c>
      <c r="AV91" s="88">
        <f t="shared" si="259"/>
        <v>1.0526095191399005</v>
      </c>
      <c r="AW91" s="89">
        <f t="shared" si="259"/>
        <v>1.0667032264682441</v>
      </c>
      <c r="AX91" s="89">
        <f>AX90/AX89</f>
        <v>1.078886135260696</v>
      </c>
      <c r="AY91" s="89">
        <f>AY90/AY89</f>
        <v>1.0728593573052116</v>
      </c>
      <c r="AZ91" s="88">
        <f t="shared" ref="AZ91:BG91" si="260">AZ90/AZ89</f>
        <v>1.0721468591551002</v>
      </c>
      <c r="BA91" s="89">
        <f t="shared" si="260"/>
        <v>1.0408030827025241</v>
      </c>
      <c r="BB91" s="89">
        <f t="shared" si="260"/>
        <v>1.0158172923660607</v>
      </c>
      <c r="BC91" s="90">
        <f t="shared" si="260"/>
        <v>1.0131875125216552</v>
      </c>
      <c r="BD91" s="88">
        <f t="shared" si="260"/>
        <v>1.0132395221624948</v>
      </c>
      <c r="BE91" s="89">
        <f t="shared" si="260"/>
        <v>1.0132919436646486</v>
      </c>
      <c r="BF91" s="89">
        <f t="shared" si="260"/>
        <v>1.0133447819398234</v>
      </c>
      <c r="BG91" s="90">
        <f t="shared" si="260"/>
        <v>1.013398041978137</v>
      </c>
      <c r="BH91" s="88">
        <f>BH90/BH89</f>
        <v>1.0134517288496909</v>
      </c>
      <c r="BI91" s="89">
        <f>BI90/BI89</f>
        <v>1.0135058477061785</v>
      </c>
      <c r="BJ91" s="89">
        <f>BJ90/BJ89</f>
        <v>1.0135604037825325</v>
      </c>
      <c r="BK91" s="90">
        <f>BK90/BK89</f>
        <v>1.0136154023986146</v>
      </c>
      <c r="BL91" s="269"/>
      <c r="BM91" s="88">
        <f t="shared" ref="BM91:BX91" si="261">BM90/BM89</f>
        <v>1.017971131030373</v>
      </c>
      <c r="BN91" s="89">
        <f t="shared" si="261"/>
        <v>1.016136985708648</v>
      </c>
      <c r="BO91" s="89">
        <f t="shared" si="261"/>
        <v>1.0126731478331625</v>
      </c>
      <c r="BP91" s="89">
        <f t="shared" si="261"/>
        <v>1.0042419901724355</v>
      </c>
      <c r="BQ91" s="89">
        <f t="shared" si="261"/>
        <v>1.0051731294533048</v>
      </c>
      <c r="BR91" s="89">
        <f t="shared" si="261"/>
        <v>1.0183185519521565</v>
      </c>
      <c r="BS91" s="89">
        <f t="shared" si="261"/>
        <v>1.0324689681611103</v>
      </c>
      <c r="BT91" s="88">
        <f t="shared" si="261"/>
        <v>1.0429631892761495</v>
      </c>
      <c r="BU91" s="89">
        <f t="shared" si="261"/>
        <v>1.0796990299893781</v>
      </c>
      <c r="BV91" s="89">
        <f t="shared" si="261"/>
        <v>1.0410090340934885</v>
      </c>
      <c r="BW91" s="89">
        <f t="shared" si="261"/>
        <v>1.0460023472670688</v>
      </c>
      <c r="BX91" s="89">
        <f t="shared" si="261"/>
        <v>1.0677230780543401</v>
      </c>
      <c r="BY91" s="89">
        <f>BY90/BY89</f>
        <v>1.0352211161465701</v>
      </c>
      <c r="BZ91" s="89">
        <f>BZ90/BZ89</f>
        <v>1.0133183103955821</v>
      </c>
      <c r="CA91" s="89">
        <f>CA90/CA89</f>
        <v>1.0135330707613914</v>
      </c>
      <c r="CB91" s="941">
        <v>1.04</v>
      </c>
      <c r="CC91" s="20"/>
      <c r="CD91" s="88">
        <f t="shared" ref="CD91:CM91" si="262">CD90/CD89</f>
        <v>1.0162209776409181</v>
      </c>
      <c r="CE91" s="89">
        <f t="shared" si="262"/>
        <v>1.0149990169725065</v>
      </c>
      <c r="CF91" s="89">
        <f t="shared" si="262"/>
        <v>1.0056476411101545</v>
      </c>
      <c r="CG91" s="89">
        <f t="shared" si="262"/>
        <v>1.0029871388086065</v>
      </c>
      <c r="CH91" s="89">
        <f t="shared" si="262"/>
        <v>1.0125446381682599</v>
      </c>
      <c r="CI91" s="89">
        <f t="shared" si="262"/>
        <v>1.02833484635911</v>
      </c>
      <c r="CJ91" s="89">
        <f t="shared" si="262"/>
        <v>1.0418561851679677</v>
      </c>
      <c r="CK91" s="89">
        <f t="shared" si="262"/>
        <v>1.0684708015263584</v>
      </c>
      <c r="CL91" s="89">
        <f t="shared" si="262"/>
        <v>1.0573968748972624</v>
      </c>
      <c r="CM91" s="89">
        <f t="shared" si="262"/>
        <v>1.0415627589625234</v>
      </c>
      <c r="CN91" s="89">
        <f>CN90/CN89</f>
        <v>1.0622087328794172</v>
      </c>
      <c r="CO91" s="89">
        <f>CO90/CO89</f>
        <v>1.0502157924868984</v>
      </c>
      <c r="CP91" s="89">
        <f>CP90/CP89</f>
        <v>1.0132656811257454</v>
      </c>
      <c r="CQ91" s="90">
        <f>CQ90/CQ89</f>
        <v>1.0134787339546052</v>
      </c>
      <c r="CR91" s="14"/>
      <c r="CS91" s="14"/>
      <c r="CZ91" s="8"/>
    </row>
    <row r="92" spans="1:109" ht="14.25" customHeight="1">
      <c r="A92" s="8"/>
      <c r="B92" s="23"/>
      <c r="C92" s="24"/>
      <c r="D92" s="57"/>
      <c r="E92" s="47"/>
      <c r="F92" s="47"/>
      <c r="G92" s="48"/>
      <c r="H92" s="57"/>
      <c r="I92" s="47"/>
      <c r="J92" s="47"/>
      <c r="K92" s="48"/>
      <c r="L92" s="57"/>
      <c r="M92" s="47"/>
      <c r="N92" s="47"/>
      <c r="O92" s="48"/>
      <c r="P92" s="57"/>
      <c r="Q92" s="47"/>
      <c r="R92" s="47"/>
      <c r="S92" s="48"/>
      <c r="T92" s="57"/>
      <c r="U92" s="47"/>
      <c r="V92" s="47"/>
      <c r="W92" s="48"/>
      <c r="X92" s="47"/>
      <c r="Y92" s="47"/>
      <c r="Z92" s="47"/>
      <c r="AA92" s="48"/>
      <c r="AB92" s="47"/>
      <c r="AC92" s="47"/>
      <c r="AD92" s="47"/>
      <c r="AE92" s="48"/>
      <c r="AF92" s="47"/>
      <c r="AG92" s="47"/>
      <c r="AH92" s="47"/>
      <c r="AI92" s="47"/>
      <c r="AJ92" s="57"/>
      <c r="AK92" s="47"/>
      <c r="AL92" s="47"/>
      <c r="AM92" s="48"/>
      <c r="AN92" s="57"/>
      <c r="AO92" s="47"/>
      <c r="AP92" s="47"/>
      <c r="AQ92" s="48"/>
      <c r="AR92" s="57"/>
      <c r="AS92" s="47"/>
      <c r="AT92" s="47"/>
      <c r="AU92" s="48"/>
      <c r="AV92" s="57"/>
      <c r="AW92" s="47"/>
      <c r="AX92" s="47"/>
      <c r="AY92" s="48"/>
      <c r="AZ92" s="57"/>
      <c r="BA92" s="47"/>
      <c r="BB92" s="47"/>
      <c r="BC92" s="48"/>
      <c r="BD92" s="57"/>
      <c r="BE92" s="47"/>
      <c r="BF92" s="47"/>
      <c r="BG92" s="48"/>
      <c r="BH92" s="57"/>
      <c r="BI92" s="47"/>
      <c r="BJ92" s="47"/>
      <c r="BK92" s="48"/>
      <c r="BL92" s="269"/>
      <c r="BM92" s="57"/>
      <c r="BN92" s="47"/>
      <c r="BO92" s="47"/>
      <c r="BP92" s="47"/>
      <c r="BQ92" s="47"/>
      <c r="BR92" s="47"/>
      <c r="BS92" s="47"/>
      <c r="BT92" s="57"/>
      <c r="BU92" s="47"/>
      <c r="BV92" s="47"/>
      <c r="BW92" s="47"/>
      <c r="BX92" s="47"/>
      <c r="BY92" s="47"/>
      <c r="BZ92" s="47"/>
      <c r="CA92" s="47"/>
      <c r="CB92" s="942"/>
      <c r="CC92" s="20"/>
      <c r="CD92" s="57"/>
      <c r="CE92" s="47"/>
      <c r="CF92" s="47"/>
      <c r="CG92" s="47"/>
      <c r="CH92" s="47"/>
      <c r="CI92" s="47"/>
      <c r="CJ92" s="47"/>
      <c r="CK92" s="47"/>
      <c r="CL92" s="47"/>
      <c r="CM92" s="47"/>
      <c r="CN92" s="47"/>
      <c r="CO92" s="47"/>
      <c r="CP92" s="47"/>
      <c r="CQ92" s="48"/>
      <c r="CR92" s="14"/>
      <c r="CS92" s="14"/>
      <c r="CZ92" s="8"/>
    </row>
    <row r="93" spans="1:109" ht="14.25" customHeight="1">
      <c r="A93" s="8"/>
      <c r="B93" s="23" t="s">
        <v>23</v>
      </c>
      <c r="C93" s="24"/>
      <c r="D93" s="83">
        <v>349</v>
      </c>
      <c r="E93" s="84">
        <v>348.2</v>
      </c>
      <c r="F93" s="84">
        <v>344.3</v>
      </c>
      <c r="G93" s="85">
        <v>342.61799999999999</v>
      </c>
      <c r="H93" s="83">
        <v>339.7</v>
      </c>
      <c r="I93" s="84">
        <v>335.8</v>
      </c>
      <c r="J93" s="84">
        <v>331.7</v>
      </c>
      <c r="K93" s="85">
        <v>295.90199999999999</v>
      </c>
      <c r="L93" s="83">
        <v>298.10000000000002</v>
      </c>
      <c r="M93" s="84">
        <v>293.8</v>
      </c>
      <c r="N93" s="84">
        <v>286.2</v>
      </c>
      <c r="O93" s="85">
        <v>280.51900000000001</v>
      </c>
      <c r="P93" s="83">
        <v>276.10000000000002</v>
      </c>
      <c r="Q93" s="84">
        <v>273.89999999999998</v>
      </c>
      <c r="R93" s="84">
        <v>274.10000000000002</v>
      </c>
      <c r="S93" s="85">
        <v>275.50700000000001</v>
      </c>
      <c r="T93" s="83">
        <v>275.5</v>
      </c>
      <c r="U93" s="84">
        <v>276.8</v>
      </c>
      <c r="V93" s="84">
        <v>276.5</v>
      </c>
      <c r="W93" s="85">
        <v>273.48700000000002</v>
      </c>
      <c r="X93" s="83">
        <v>258</v>
      </c>
      <c r="Y93" s="84">
        <v>258</v>
      </c>
      <c r="Z93" s="84">
        <v>260</v>
      </c>
      <c r="AA93" s="85">
        <v>264.60199999999998</v>
      </c>
      <c r="AB93" s="83">
        <v>276.077</v>
      </c>
      <c r="AC93" s="84">
        <v>262.461679</v>
      </c>
      <c r="AD93" s="84">
        <v>261.83463</v>
      </c>
      <c r="AE93" s="85">
        <v>263.61200000000002</v>
      </c>
      <c r="AF93" s="80">
        <f>AF90</f>
        <v>273.82</v>
      </c>
      <c r="AG93" s="33">
        <f>+AG90</f>
        <v>270.3</v>
      </c>
      <c r="AH93" s="31">
        <v>261.56167199999999</v>
      </c>
      <c r="AI93" s="33">
        <f>+AI90</f>
        <v>277.08999999999997</v>
      </c>
      <c r="AJ93" s="80">
        <f>AJ90</f>
        <v>280.291</v>
      </c>
      <c r="AK93" s="33">
        <f>+AK90</f>
        <v>290.685</v>
      </c>
      <c r="AL93" s="33">
        <f>+AL90</f>
        <v>288.19499999999999</v>
      </c>
      <c r="AM93" s="34">
        <f>+AM90</f>
        <v>294.536</v>
      </c>
      <c r="AN93" s="80">
        <f>AN90</f>
        <v>281.57900000000001</v>
      </c>
      <c r="AO93" s="33">
        <f>+AO90</f>
        <v>275.8</v>
      </c>
      <c r="AP93" s="33">
        <f>+AP90</f>
        <v>273.79500000000002</v>
      </c>
      <c r="AQ93" s="34">
        <f>+AQ90</f>
        <v>269.51400000000001</v>
      </c>
      <c r="AR93" s="80">
        <f>AR90</f>
        <v>270.73</v>
      </c>
      <c r="AS93" s="33">
        <f>+AS90</f>
        <v>266.04599999999999</v>
      </c>
      <c r="AT93" s="33">
        <f>+AT90</f>
        <v>269.61099999999999</v>
      </c>
      <c r="AU93" s="34">
        <f>+AU90</f>
        <v>268.46199999999999</v>
      </c>
      <c r="AV93" s="80">
        <f>AV90</f>
        <v>266.20600000000002</v>
      </c>
      <c r="AW93" s="33">
        <f>+AW90</f>
        <v>270.37299999999999</v>
      </c>
      <c r="AX93" s="33">
        <f>+AX90</f>
        <v>270.78100000000001</v>
      </c>
      <c r="AY93" s="34">
        <f>+AY90</f>
        <v>267.15699999999998</v>
      </c>
      <c r="AZ93" s="35">
        <f t="shared" ref="AZ93:BG93" si="263">+AZ90</f>
        <v>265.79700000000003</v>
      </c>
      <c r="BA93" s="33">
        <f>+BA90</f>
        <v>258.21699999999998</v>
      </c>
      <c r="BB93" s="33">
        <f t="shared" si="263"/>
        <v>258.108</v>
      </c>
      <c r="BC93" s="34">
        <f t="shared" si="263"/>
        <v>257.916</v>
      </c>
      <c r="BD93" s="35">
        <f t="shared" si="263"/>
        <v>256.916</v>
      </c>
      <c r="BE93" s="33">
        <f t="shared" si="263"/>
        <v>255.916</v>
      </c>
      <c r="BF93" s="33">
        <f t="shared" si="263"/>
        <v>254.916</v>
      </c>
      <c r="BG93" s="34">
        <f t="shared" si="263"/>
        <v>253.916</v>
      </c>
      <c r="BH93" s="35">
        <f>+BH90</f>
        <v>252.916</v>
      </c>
      <c r="BI93" s="33">
        <f>+BI90</f>
        <v>251.916</v>
      </c>
      <c r="BJ93" s="33">
        <f>+BJ90</f>
        <v>250.916</v>
      </c>
      <c r="BK93" s="34">
        <f>+BK90</f>
        <v>249.916</v>
      </c>
      <c r="BL93" s="269"/>
      <c r="BM93" s="585">
        <f t="shared" ref="BM93:BR93" si="264">V93</f>
        <v>276.5</v>
      </c>
      <c r="BN93" s="86">
        <f t="shared" si="264"/>
        <v>273.48700000000002</v>
      </c>
      <c r="BO93" s="86">
        <f t="shared" si="264"/>
        <v>258</v>
      </c>
      <c r="BP93" s="86">
        <f t="shared" si="264"/>
        <v>258</v>
      </c>
      <c r="BQ93" s="86">
        <f t="shared" si="264"/>
        <v>260</v>
      </c>
      <c r="BR93" s="86">
        <f t="shared" si="264"/>
        <v>264.60199999999998</v>
      </c>
      <c r="BS93" s="86">
        <f>AE93</f>
        <v>263.61200000000002</v>
      </c>
      <c r="BT93" s="585">
        <f>AI93</f>
        <v>277.08999999999997</v>
      </c>
      <c r="BU93" s="86">
        <f>AM93</f>
        <v>294.536</v>
      </c>
      <c r="BV93" s="86">
        <f>AN93</f>
        <v>281.57900000000001</v>
      </c>
      <c r="BW93" s="86">
        <f>AU93</f>
        <v>268.46199999999999</v>
      </c>
      <c r="BX93" s="86">
        <f>AY93</f>
        <v>267.15699999999998</v>
      </c>
      <c r="BY93" s="86">
        <f>BC93</f>
        <v>257.916</v>
      </c>
      <c r="BZ93" s="86">
        <f>BG93</f>
        <v>253.916</v>
      </c>
      <c r="CA93" s="86">
        <f>BK93</f>
        <v>249.916</v>
      </c>
      <c r="CB93" s="943">
        <f>CA93+(CFS!CB43)/IS!CB96</f>
        <v>249.916</v>
      </c>
      <c r="CC93" s="20"/>
      <c r="CD93" s="585">
        <f>AL93</f>
        <v>288.19499999999999</v>
      </c>
      <c r="CE93" s="86">
        <f>AM93</f>
        <v>294.536</v>
      </c>
      <c r="CF93" s="86">
        <f>AN93</f>
        <v>281.57900000000001</v>
      </c>
      <c r="CG93" s="86">
        <f>AO93</f>
        <v>275.8</v>
      </c>
      <c r="CH93" s="86">
        <f>AP93</f>
        <v>273.79500000000002</v>
      </c>
      <c r="CI93" s="86">
        <f>AD93</f>
        <v>261.83463</v>
      </c>
      <c r="CJ93" s="86">
        <f>AH93</f>
        <v>261.56167199999999</v>
      </c>
      <c r="CK93" s="86">
        <f>AL93</f>
        <v>288.19499999999999</v>
      </c>
      <c r="CL93" s="86">
        <f>AL93</f>
        <v>288.19499999999999</v>
      </c>
      <c r="CM93" s="86">
        <f>AT93</f>
        <v>269.61099999999999</v>
      </c>
      <c r="CN93" s="86">
        <f>AU93</f>
        <v>268.46199999999999</v>
      </c>
      <c r="CO93" s="86">
        <f>CO90</f>
        <v>262.31975</v>
      </c>
      <c r="CP93" s="86">
        <f>CP90</f>
        <v>256.416</v>
      </c>
      <c r="CQ93" s="87">
        <f>CQ90</f>
        <v>252.416</v>
      </c>
      <c r="CR93" s="14"/>
      <c r="CS93" s="14"/>
      <c r="CZ93" s="8"/>
    </row>
    <row r="94" spans="1:109" ht="14.25" customHeight="1">
      <c r="A94" s="8"/>
      <c r="B94" s="23"/>
      <c r="C94" s="24"/>
      <c r="D94" s="83"/>
      <c r="E94" s="84"/>
      <c r="F94" s="84"/>
      <c r="G94" s="85"/>
      <c r="H94" s="83"/>
      <c r="I94" s="84"/>
      <c r="J94" s="84"/>
      <c r="K94" s="85"/>
      <c r="L94" s="83"/>
      <c r="M94" s="84"/>
      <c r="N94" s="84"/>
      <c r="O94" s="85"/>
      <c r="P94" s="83"/>
      <c r="Q94" s="84"/>
      <c r="R94" s="84"/>
      <c r="S94" s="85"/>
      <c r="T94" s="83"/>
      <c r="U94" s="84"/>
      <c r="V94" s="84"/>
      <c r="W94" s="85"/>
      <c r="X94" s="84"/>
      <c r="Y94" s="91"/>
      <c r="Z94" s="91"/>
      <c r="AA94" s="92"/>
      <c r="AB94" s="84"/>
      <c r="AC94" s="84"/>
      <c r="AD94" s="84"/>
      <c r="AE94" s="92"/>
      <c r="AF94" s="84"/>
      <c r="AG94" s="91"/>
      <c r="AH94" s="91"/>
      <c r="AI94" s="91"/>
      <c r="AJ94" s="93"/>
      <c r="AK94" s="91"/>
      <c r="AL94" s="91"/>
      <c r="AM94" s="92"/>
      <c r="AN94" s="93"/>
      <c r="AO94" s="91"/>
      <c r="AP94" s="91"/>
      <c r="AQ94" s="92"/>
      <c r="AR94" s="93"/>
      <c r="AS94" s="91"/>
      <c r="AT94" s="91"/>
      <c r="AU94" s="92"/>
      <c r="AV94" s="93"/>
      <c r="AW94" s="91"/>
      <c r="AX94" s="91"/>
      <c r="AY94" s="92"/>
      <c r="AZ94" s="93"/>
      <c r="BA94" s="91"/>
      <c r="BB94" s="91"/>
      <c r="BC94" s="92"/>
      <c r="BD94" s="93"/>
      <c r="BE94" s="91"/>
      <c r="BF94" s="91"/>
      <c r="BG94" s="92"/>
      <c r="BH94" s="93"/>
      <c r="BI94" s="91"/>
      <c r="BJ94" s="91"/>
      <c r="BK94" s="92"/>
      <c r="BL94" s="269"/>
      <c r="BM94" s="57"/>
      <c r="BN94" s="47"/>
      <c r="BO94" s="47"/>
      <c r="BP94" s="47"/>
      <c r="BQ94" s="47"/>
      <c r="BR94" s="47"/>
      <c r="BS94" s="47"/>
      <c r="BT94" s="57"/>
      <c r="BU94" s="47"/>
      <c r="BV94" s="47"/>
      <c r="BW94" s="47"/>
      <c r="BX94" s="47"/>
      <c r="BY94" s="47"/>
      <c r="BZ94" s="47"/>
      <c r="CA94" s="47"/>
      <c r="CB94" s="942"/>
      <c r="CC94" s="20"/>
      <c r="CD94" s="57"/>
      <c r="CE94" s="47"/>
      <c r="CF94" s="47"/>
      <c r="CG94" s="47"/>
      <c r="CH94" s="47"/>
      <c r="CI94" s="47"/>
      <c r="CJ94" s="47"/>
      <c r="CK94" s="47"/>
      <c r="CL94" s="47"/>
      <c r="CM94" s="47"/>
      <c r="CN94" s="47"/>
      <c r="CO94" s="47"/>
      <c r="CP94" s="47"/>
      <c r="CQ94" s="48"/>
      <c r="CR94" s="14"/>
      <c r="CS94" s="14"/>
      <c r="CZ94" s="8"/>
    </row>
    <row r="95" spans="1:109" s="494" customFormat="1" ht="14.25" customHeight="1">
      <c r="A95" s="514"/>
      <c r="B95" s="23" t="s">
        <v>24</v>
      </c>
      <c r="C95" s="507"/>
      <c r="D95" s="515">
        <f>-CFS!D44/IS!D93</f>
        <v>7.0358166189111754E-2</v>
      </c>
      <c r="E95" s="516">
        <f>-CFS!E44/IS!E93</f>
        <v>7.0473865594485929E-2</v>
      </c>
      <c r="F95" s="516">
        <f>-CFS!F44/IS!F93</f>
        <v>6.9654371187917494E-2</v>
      </c>
      <c r="G95" s="507">
        <f>-CFS!G44/IS!G93</f>
        <v>7.0381591159833973E-2</v>
      </c>
      <c r="H95" s="515">
        <f>-CFS!H44/IS!H93</f>
        <v>9.0756549896967909E-2</v>
      </c>
      <c r="I95" s="516">
        <f>-CFS!I44/IS!I93</f>
        <v>9.0324597974985113E-2</v>
      </c>
      <c r="J95" s="516">
        <f>-CFS!J44/IS!J93</f>
        <v>9.0621043111245095E-2</v>
      </c>
      <c r="K95" s="507">
        <f>-CFS!K44/IS!K93</f>
        <v>0.1000770525376645</v>
      </c>
      <c r="L95" s="515">
        <f>-CFS!L44/IS!L93</f>
        <v>0.11981885273398189</v>
      </c>
      <c r="M95" s="516">
        <f>-CFS!M44/IS!M93</f>
        <v>0.12145336963921032</v>
      </c>
      <c r="N95" s="516">
        <f>-CFS!N44/IS!N93</f>
        <v>0.12047519217330539</v>
      </c>
      <c r="O95" s="507">
        <f>-CFS!O44/IS!O93</f>
        <v>0.12153543966718827</v>
      </c>
      <c r="P95" s="515">
        <f>-CFS!P44/IS!P93</f>
        <v>0.14099239406012312</v>
      </c>
      <c r="Q95" s="516">
        <f>-CFS!Q44/IS!Q93</f>
        <v>0.14128148959474263</v>
      </c>
      <c r="R95" s="516">
        <f>-CFS!R44/IS!R93</f>
        <v>0.13993797883983947</v>
      </c>
      <c r="S95" s="507">
        <f>-CFS!S44/IS!S93</f>
        <v>0.13993110882845078</v>
      </c>
      <c r="T95" s="515">
        <f>-CFS!T44/IS!T93</f>
        <v>0.14001451905626133</v>
      </c>
      <c r="U95" s="516">
        <f>-CFS!U44/IS!U93</f>
        <v>0.13997109826589596</v>
      </c>
      <c r="V95" s="516">
        <f>-CFS!V44/IS!V93</f>
        <v>0.16021338155515374</v>
      </c>
      <c r="W95" s="507">
        <f>-CFS!W44/IS!W93</f>
        <v>0.1609985118122616</v>
      </c>
      <c r="X95" s="516">
        <f>-CFS!X44/IS!X93</f>
        <v>0.16983333333333334</v>
      </c>
      <c r="Y95" s="516">
        <f>-CFS!Y44/IS!Y93</f>
        <v>0.16141472868217055</v>
      </c>
      <c r="Z95" s="516">
        <f>-CFS!Z44/IS!Z93</f>
        <v>0.15957307692307685</v>
      </c>
      <c r="AA95" s="507">
        <f>-CFS!AA44/IS!AA93</f>
        <v>0.15918624953704061</v>
      </c>
      <c r="AB95" s="516">
        <f>-CFS!AB44/IS!AB90</f>
        <v>0.1827606066423498</v>
      </c>
      <c r="AC95" s="516">
        <f>-CFS!AC44/IS!AC93</f>
        <v>0.19182990900549712</v>
      </c>
      <c r="AD95" s="516">
        <f>-CFS!AD44/IS!AD93</f>
        <v>0.1893026907861653</v>
      </c>
      <c r="AE95" s="507">
        <f>-CFS!AE44/IS!AE93</f>
        <v>0.18963855970137922</v>
      </c>
      <c r="AF95" s="516">
        <f>-CFS!AF44/IS!AF90</f>
        <v>0.21205901687239795</v>
      </c>
      <c r="AG95" s="893">
        <v>0.22</v>
      </c>
      <c r="AH95" s="893">
        <f>-CFS!AH44/IS!AH93</f>
        <v>0.21916819678381624</v>
      </c>
      <c r="AI95" s="893">
        <f>-CFS!AI44/IS!AI93</f>
        <v>0.20867588148255081</v>
      </c>
      <c r="AJ95" s="894">
        <f>-CFS!AJ44/IS!AJ93</f>
        <v>0.23549453960348354</v>
      </c>
      <c r="AK95" s="893">
        <f>-CFS!AK44/IS!AK93</f>
        <v>0.23117119906427921</v>
      </c>
      <c r="AL95" s="893">
        <v>0.25</v>
      </c>
      <c r="AM95" s="895">
        <v>0.25</v>
      </c>
      <c r="AN95" s="894">
        <f>-CFS!AN44/IS!AN93</f>
        <v>0.2749530327190593</v>
      </c>
      <c r="AO95" s="893">
        <f>-CFS!AO44/IS!AO93</f>
        <v>0.27903190717911519</v>
      </c>
      <c r="AP95" s="893">
        <v>0.28999999999999998</v>
      </c>
      <c r="AQ95" s="895">
        <v>0.28999999999999998</v>
      </c>
      <c r="AR95" s="894">
        <f>-CFS!AR44/IS!AR93</f>
        <v>0.29625826469175931</v>
      </c>
      <c r="AS95" s="893">
        <f>-CFS!AS44/IS!AS93</f>
        <v>0.301436593671771</v>
      </c>
      <c r="AT95" s="893">
        <v>0.31</v>
      </c>
      <c r="AU95" s="895">
        <v>0.31</v>
      </c>
      <c r="AV95" s="894">
        <v>0.33</v>
      </c>
      <c r="AW95" s="893">
        <v>0.33</v>
      </c>
      <c r="AX95" s="893">
        <v>0.33</v>
      </c>
      <c r="AY95" s="895">
        <v>0.31</v>
      </c>
      <c r="AZ95" s="894">
        <v>0.35</v>
      </c>
      <c r="BA95" s="893">
        <v>0.35</v>
      </c>
      <c r="BB95" s="893">
        <v>0.35</v>
      </c>
      <c r="BC95" s="895">
        <v>0.35</v>
      </c>
      <c r="BD95" s="894">
        <v>0.37</v>
      </c>
      <c r="BE95" s="893">
        <v>0.37</v>
      </c>
      <c r="BF95" s="893">
        <v>0.37</v>
      </c>
      <c r="BG95" s="895">
        <v>0.37</v>
      </c>
      <c r="BH95" s="894">
        <v>0.37</v>
      </c>
      <c r="BI95" s="893">
        <v>0.37</v>
      </c>
      <c r="BJ95" s="893">
        <v>0.37</v>
      </c>
      <c r="BK95" s="895">
        <v>0.37</v>
      </c>
      <c r="BL95" s="669"/>
      <c r="BM95" s="587">
        <f>SUM(D95:G95)</f>
        <v>0.28086799413134911</v>
      </c>
      <c r="BN95" s="518">
        <f>SUM(H95:K95)</f>
        <v>0.37177924352086256</v>
      </c>
      <c r="BO95" s="518">
        <f>SUM(L95:O95)</f>
        <v>0.48328285421368589</v>
      </c>
      <c r="BP95" s="518">
        <f>SUM(P95:S95)</f>
        <v>0.56214297132315605</v>
      </c>
      <c r="BQ95" s="518">
        <f>SUM(T95:W95)</f>
        <v>0.60119751068957261</v>
      </c>
      <c r="BR95" s="518">
        <f>SUM(X95:AA95)</f>
        <v>0.65000738847562134</v>
      </c>
      <c r="BS95" s="518">
        <f>SUM(AB95:AE95)</f>
        <v>0.75353176613539152</v>
      </c>
      <c r="BT95" s="587">
        <f>SUM(AF95:AI95)</f>
        <v>0.85990309513876495</v>
      </c>
      <c r="BU95" s="518">
        <f>SUM(AJ95:AM95)</f>
        <v>0.96666573866776273</v>
      </c>
      <c r="BV95" s="518">
        <f>SUM(AN95:AQ95)</f>
        <v>1.1339849398981745</v>
      </c>
      <c r="BW95" s="518">
        <f>SUM(AR95:AU95)</f>
        <v>1.2176948583635303</v>
      </c>
      <c r="BX95" s="516">
        <f>SUM(AV95:AY95)</f>
        <v>1.3</v>
      </c>
      <c r="BY95" s="516">
        <f>SUM(AZ95:BC95)</f>
        <v>1.4</v>
      </c>
      <c r="BZ95" s="516">
        <f>SUM(BD95:BG95)</f>
        <v>1.48</v>
      </c>
      <c r="CA95" s="516">
        <f>SUM(BH95:BK95)</f>
        <v>1.48</v>
      </c>
      <c r="CB95" s="944">
        <f>CA95</f>
        <v>1.48</v>
      </c>
      <c r="CC95" s="517"/>
      <c r="CD95" s="587">
        <f>SUM(G95:J95)</f>
        <v>0.34208378214303209</v>
      </c>
      <c r="CE95" s="518">
        <f>SUM(K95:N95)</f>
        <v>0.46182446708416208</v>
      </c>
      <c r="CF95" s="518">
        <f>SUM(O95:R95)</f>
        <v>0.54374730216189349</v>
      </c>
      <c r="CG95" s="518">
        <f>SUM(S95:V95)</f>
        <v>0.58013010770576179</v>
      </c>
      <c r="CH95" s="518">
        <f>SUM(W95:Z95)</f>
        <v>0.65181965075084236</v>
      </c>
      <c r="CI95" s="518">
        <f>SUM(AA95:AD95)</f>
        <v>0.72307945597105272</v>
      </c>
      <c r="CJ95" s="518">
        <f>SUM(AE95:AH95)</f>
        <v>0.84086577335759338</v>
      </c>
      <c r="CK95" s="518">
        <f>SUM(AI95:AL95)</f>
        <v>0.92534162015031352</v>
      </c>
      <c r="CL95" s="518">
        <f>SUM(AM95:AP95)</f>
        <v>1.0939849398981745</v>
      </c>
      <c r="CM95" s="518">
        <f>SUM(AN95:AQ95)</f>
        <v>1.1339849398981745</v>
      </c>
      <c r="CN95" s="518">
        <f>SUM(AU95:AX95)</f>
        <v>1.3</v>
      </c>
      <c r="CO95" s="518">
        <f>SUM(AY95:BB95)</f>
        <v>1.3599999999999999</v>
      </c>
      <c r="CP95" s="518">
        <f>SUM(BC95:BF95)</f>
        <v>1.46</v>
      </c>
      <c r="CQ95" s="519">
        <f>SUM(BG95:BJ95)</f>
        <v>1.48</v>
      </c>
      <c r="CR95" s="596"/>
      <c r="CS95" s="596"/>
      <c r="CT95"/>
      <c r="CU95"/>
      <c r="CV95"/>
      <c r="CW95"/>
      <c r="CX95"/>
      <c r="CY95"/>
      <c r="CZ95" s="514"/>
    </row>
    <row r="96" spans="1:109" ht="14.25" customHeight="1">
      <c r="A96" s="8"/>
      <c r="B96" s="23" t="s">
        <v>25</v>
      </c>
      <c r="C96" s="24"/>
      <c r="D96" s="94"/>
      <c r="E96" s="95"/>
      <c r="F96" s="95"/>
      <c r="G96" s="96"/>
      <c r="H96" s="94"/>
      <c r="I96" s="95"/>
      <c r="J96" s="95"/>
      <c r="K96" s="96"/>
      <c r="L96" s="94"/>
      <c r="M96" s="95"/>
      <c r="N96" s="95"/>
      <c r="O96" s="96"/>
      <c r="P96" s="94"/>
      <c r="Q96" s="95"/>
      <c r="R96" s="95"/>
      <c r="S96" s="96"/>
      <c r="T96" s="94"/>
      <c r="U96" s="95"/>
      <c r="V96" s="95"/>
      <c r="W96" s="96"/>
      <c r="X96" s="95"/>
      <c r="Y96" s="95"/>
      <c r="Z96" s="97"/>
      <c r="AA96" s="98"/>
      <c r="AB96" s="95"/>
      <c r="AC96" s="95"/>
      <c r="AD96" s="95"/>
      <c r="AE96" s="98"/>
      <c r="AF96" s="97">
        <v>33</v>
      </c>
      <c r="AG96" s="33">
        <f t="shared" ref="AG96:BA96" si="265">AF96*((1+AG97)^(1/4))</f>
        <v>33.795751739786688</v>
      </c>
      <c r="AH96" s="33">
        <f t="shared" si="265"/>
        <v>34.610691989614999</v>
      </c>
      <c r="AI96" s="33">
        <f t="shared" si="265"/>
        <v>35.44528345525007</v>
      </c>
      <c r="AJ96" s="35">
        <f t="shared" si="265"/>
        <v>36.299999999999997</v>
      </c>
      <c r="AK96" s="33">
        <f t="shared" si="265"/>
        <v>37.175326913765353</v>
      </c>
      <c r="AL96" s="33">
        <f t="shared" si="265"/>
        <v>38.071761188576495</v>
      </c>
      <c r="AM96" s="34">
        <f t="shared" si="265"/>
        <v>38.989811800775072</v>
      </c>
      <c r="AN96" s="35">
        <f t="shared" si="265"/>
        <v>39.929999999999993</v>
      </c>
      <c r="AO96" s="33">
        <f t="shared" si="265"/>
        <v>40.892859605141886</v>
      </c>
      <c r="AP96" s="33">
        <f t="shared" si="265"/>
        <v>41.878937307434143</v>
      </c>
      <c r="AQ96" s="34">
        <f t="shared" si="265"/>
        <v>42.888792980852578</v>
      </c>
      <c r="AR96" s="35">
        <f t="shared" si="265"/>
        <v>43.922999999999988</v>
      </c>
      <c r="AS96" s="33">
        <f t="shared" si="265"/>
        <v>44.982145565656069</v>
      </c>
      <c r="AT96" s="33">
        <f t="shared" si="265"/>
        <v>46.066831038177547</v>
      </c>
      <c r="AU96" s="34">
        <f t="shared" si="265"/>
        <v>47.177672278937827</v>
      </c>
      <c r="AV96" s="35">
        <f t="shared" si="265"/>
        <v>48.315299999999979</v>
      </c>
      <c r="AW96" s="33">
        <f t="shared" si="265"/>
        <v>49.480360122221668</v>
      </c>
      <c r="AX96" s="33">
        <f t="shared" si="265"/>
        <v>50.673514141995298</v>
      </c>
      <c r="AY96" s="34">
        <f t="shared" si="265"/>
        <v>51.895439506831607</v>
      </c>
      <c r="AZ96" s="35">
        <f t="shared" ref="AZ96:BG96" si="266">AY96*((1+AZ97)^(1/4))</f>
        <v>53.146829999999973</v>
      </c>
      <c r="BA96" s="33">
        <f t="shared" si="265"/>
        <v>54.42839613444383</v>
      </c>
      <c r="BB96" s="33">
        <f t="shared" si="266"/>
        <v>55.740865556194819</v>
      </c>
      <c r="BC96" s="34">
        <f t="shared" si="266"/>
        <v>57.08498345751476</v>
      </c>
      <c r="BD96" s="35">
        <f t="shared" si="266"/>
        <v>58.461512999999961</v>
      </c>
      <c r="BE96" s="33">
        <f t="shared" si="266"/>
        <v>59.871235747888207</v>
      </c>
      <c r="BF96" s="33">
        <f t="shared" si="266"/>
        <v>61.3149521118143</v>
      </c>
      <c r="BG96" s="34">
        <f t="shared" si="266"/>
        <v>62.793481803266232</v>
      </c>
      <c r="BH96" s="35">
        <f>BG96*((1+BH97)^(1/4))</f>
        <v>64.307664299999956</v>
      </c>
      <c r="BI96" s="33">
        <f>BH96*((1+BI97)^(1/4))</f>
        <v>65.858359322677032</v>
      </c>
      <c r="BJ96" s="33">
        <f>BI96*((1+BJ97)^(1/4))</f>
        <v>67.446447322995738</v>
      </c>
      <c r="BK96" s="34">
        <f>BJ96*((1+BK97)^(1/4))</f>
        <v>69.072829983592868</v>
      </c>
      <c r="BL96" s="269"/>
      <c r="BM96" s="80">
        <f>V96</f>
        <v>0</v>
      </c>
      <c r="BN96" s="81">
        <f>W96</f>
        <v>0</v>
      </c>
      <c r="BO96" s="81">
        <f>X96</f>
        <v>0</v>
      </c>
      <c r="BP96" s="81">
        <f>Y96</f>
        <v>0</v>
      </c>
      <c r="BQ96" s="81">
        <f>Z96</f>
        <v>0</v>
      </c>
      <c r="BR96" s="81">
        <v>0</v>
      </c>
      <c r="BS96" s="81">
        <v>0</v>
      </c>
      <c r="BT96" s="80">
        <f>AVERAGE(AF96:AI96)</f>
        <v>34.212931796162934</v>
      </c>
      <c r="BU96" s="81">
        <f>AVERAGE(AJ96:AM96)</f>
        <v>37.634224975779226</v>
      </c>
      <c r="BV96" s="81">
        <f>AVERAGE(AN96:AQ96)</f>
        <v>41.397647473357146</v>
      </c>
      <c r="BW96" s="81">
        <f>AVERAGE(AR96:AU96)</f>
        <v>45.537412220692858</v>
      </c>
      <c r="BX96" s="81">
        <f>AVERAGE(AV96:AY96)</f>
        <v>50.091153442762135</v>
      </c>
      <c r="BY96" s="81">
        <f>AVERAGE(AZ96:BC96)</f>
        <v>55.100268787038345</v>
      </c>
      <c r="BZ96" s="81">
        <f>AVERAGE(BD96:BG96)</f>
        <v>60.610295665742171</v>
      </c>
      <c r="CA96" s="81">
        <f>AVERAGE(BH96:BK96)</f>
        <v>66.671325232316406</v>
      </c>
      <c r="CB96" s="945">
        <f>CA96*((1+CB97)^(1/4))</f>
        <v>66.671325232316406</v>
      </c>
      <c r="CC96" s="20"/>
      <c r="CD96" s="80"/>
      <c r="CE96" s="81"/>
      <c r="CF96" s="81"/>
      <c r="CG96" s="81"/>
      <c r="CH96" s="81"/>
      <c r="CI96" s="81"/>
      <c r="CJ96" s="81">
        <f>AVERAGE(AE96:AH96)</f>
        <v>33.80214790980056</v>
      </c>
      <c r="CK96" s="81">
        <f>AVERAGE(AI96:AL96)</f>
        <v>36.748092889397981</v>
      </c>
      <c r="CL96" s="81">
        <f>AVERAGE(AM96:AP96)</f>
        <v>40.422902178337772</v>
      </c>
      <c r="CM96" s="81">
        <f>AVERAGE(AR96:AU96)</f>
        <v>45.537412220692858</v>
      </c>
      <c r="CN96" s="81">
        <f>AVERAGE(AS96:AV96)</f>
        <v>46.635487220692852</v>
      </c>
      <c r="CO96" s="81">
        <f>AVERAGE(AY96:BB96)</f>
        <v>53.802882799367559</v>
      </c>
      <c r="CP96" s="81">
        <f>AVERAGE(BC96:BF96)</f>
        <v>59.183171079304309</v>
      </c>
      <c r="CQ96" s="82">
        <f>AVERAGE(BG96:BJ96)</f>
        <v>65.101488187234736</v>
      </c>
      <c r="CR96" s="14"/>
      <c r="CS96" s="14"/>
      <c r="CZ96" s="8"/>
    </row>
    <row r="97" spans="1:104" ht="14.25" customHeight="1">
      <c r="A97" s="8"/>
      <c r="B97" s="36" t="s">
        <v>26</v>
      </c>
      <c r="C97" s="37"/>
      <c r="D97" s="99"/>
      <c r="E97" s="100"/>
      <c r="F97" s="100"/>
      <c r="G97" s="101"/>
      <c r="H97" s="99"/>
      <c r="I97" s="100"/>
      <c r="J97" s="100"/>
      <c r="K97" s="101"/>
      <c r="L97" s="99"/>
      <c r="M97" s="100"/>
      <c r="N97" s="100"/>
      <c r="O97" s="101"/>
      <c r="P97" s="99"/>
      <c r="Q97" s="100"/>
      <c r="R97" s="100"/>
      <c r="S97" s="101"/>
      <c r="T97" s="99"/>
      <c r="U97" s="100"/>
      <c r="V97" s="100"/>
      <c r="W97" s="101"/>
      <c r="X97" s="100"/>
      <c r="Y97" s="102"/>
      <c r="Z97" s="102"/>
      <c r="AA97" s="103"/>
      <c r="AB97" s="100"/>
      <c r="AC97" s="100"/>
      <c r="AD97" s="100"/>
      <c r="AE97" s="39"/>
      <c r="AF97" s="100"/>
      <c r="AG97" s="38">
        <v>0.1</v>
      </c>
      <c r="AH97" s="38">
        <v>0.1</v>
      </c>
      <c r="AI97" s="38">
        <v>0.1</v>
      </c>
      <c r="AJ97" s="40">
        <v>0.1</v>
      </c>
      <c r="AK97" s="38">
        <v>0.1</v>
      </c>
      <c r="AL97" s="38">
        <v>0.1</v>
      </c>
      <c r="AM97" s="39">
        <v>0.1</v>
      </c>
      <c r="AN97" s="40">
        <v>0.1</v>
      </c>
      <c r="AO97" s="38">
        <v>0.1</v>
      </c>
      <c r="AP97" s="38">
        <v>0.1</v>
      </c>
      <c r="AQ97" s="39">
        <v>0.1</v>
      </c>
      <c r="AR97" s="40">
        <v>0.1</v>
      </c>
      <c r="AS97" s="38">
        <v>0.1</v>
      </c>
      <c r="AT97" s="38">
        <v>0.1</v>
      </c>
      <c r="AU97" s="39">
        <v>0.1</v>
      </c>
      <c r="AV97" s="40">
        <v>0.1</v>
      </c>
      <c r="AW97" s="38">
        <v>0.1</v>
      </c>
      <c r="AX97" s="38">
        <v>0.1</v>
      </c>
      <c r="AY97" s="39">
        <v>0.1</v>
      </c>
      <c r="AZ97" s="40">
        <v>0.1</v>
      </c>
      <c r="BA97" s="38">
        <v>0.1</v>
      </c>
      <c r="BB97" s="38">
        <v>0.1</v>
      </c>
      <c r="BC97" s="39">
        <v>0.1</v>
      </c>
      <c r="BD97" s="40">
        <v>0.1</v>
      </c>
      <c r="BE97" s="38">
        <v>0.1</v>
      </c>
      <c r="BF97" s="38">
        <v>0.1</v>
      </c>
      <c r="BG97" s="39">
        <v>0.1</v>
      </c>
      <c r="BH97" s="40">
        <v>0.1</v>
      </c>
      <c r="BI97" s="38">
        <v>0.1</v>
      </c>
      <c r="BJ97" s="38">
        <v>0.1</v>
      </c>
      <c r="BK97" s="39">
        <v>0.1</v>
      </c>
      <c r="BL97" s="269"/>
      <c r="BM97" s="106"/>
      <c r="BN97" s="104"/>
      <c r="BO97" s="104"/>
      <c r="BP97" s="104"/>
      <c r="BQ97" s="104"/>
      <c r="BR97" s="104"/>
      <c r="BS97" s="104"/>
      <c r="BT97" s="106"/>
      <c r="BU97" s="104"/>
      <c r="BV97" s="104"/>
      <c r="BW97" s="104"/>
      <c r="BX97" s="102"/>
      <c r="BY97" s="102"/>
      <c r="BZ97" s="102"/>
      <c r="CA97" s="102"/>
      <c r="CB97" s="946"/>
      <c r="CC97" s="20"/>
      <c r="CD97" s="106"/>
      <c r="CE97" s="104"/>
      <c r="CF97" s="104"/>
      <c r="CG97" s="104"/>
      <c r="CH97" s="104"/>
      <c r="CI97" s="104"/>
      <c r="CJ97" s="104"/>
      <c r="CK97" s="104"/>
      <c r="CL97" s="104"/>
      <c r="CM97" s="104"/>
      <c r="CN97" s="104"/>
      <c r="CO97" s="104"/>
      <c r="CP97" s="104"/>
      <c r="CQ97" s="105"/>
      <c r="CR97" s="14"/>
      <c r="CS97" s="14"/>
      <c r="CZ97" s="8"/>
    </row>
    <row r="98" spans="1:104" ht="14.25" customHeight="1">
      <c r="A98" s="8"/>
      <c r="B98" s="23"/>
      <c r="C98" s="24"/>
      <c r="D98" s="57"/>
      <c r="E98" s="47"/>
      <c r="F98" s="47"/>
      <c r="G98" s="48"/>
      <c r="H98" s="57"/>
      <c r="I98" s="47"/>
      <c r="J98" s="47"/>
      <c r="K98" s="48"/>
      <c r="L98" s="57"/>
      <c r="M98" s="47"/>
      <c r="N98" s="47"/>
      <c r="O98" s="48"/>
      <c r="P98" s="57"/>
      <c r="Q98" s="47"/>
      <c r="R98" s="47"/>
      <c r="S98" s="48"/>
      <c r="T98" s="57"/>
      <c r="U98" s="47"/>
      <c r="V98" s="47"/>
      <c r="W98" s="48"/>
      <c r="X98" s="47"/>
      <c r="Y98" s="47"/>
      <c r="Z98" s="47"/>
      <c r="AA98" s="48"/>
      <c r="AB98" s="47"/>
      <c r="AC98" s="47"/>
      <c r="AD98" s="47"/>
      <c r="AE98" s="48"/>
      <c r="AF98" s="47"/>
      <c r="AG98" s="47"/>
      <c r="AH98" s="47"/>
      <c r="AI98" s="47"/>
      <c r="AJ98" s="57"/>
      <c r="AK98" s="47"/>
      <c r="AL98" s="47"/>
      <c r="AM98" s="48"/>
      <c r="AN98" s="57"/>
      <c r="AO98" s="47"/>
      <c r="AP98" s="47"/>
      <c r="AQ98" s="48"/>
      <c r="AR98" s="57"/>
      <c r="AS98" s="47"/>
      <c r="AT98" s="47"/>
      <c r="AU98" s="48"/>
      <c r="AV98" s="57"/>
      <c r="AW98" s="47"/>
      <c r="AX98" s="47"/>
      <c r="AY98" s="48"/>
      <c r="AZ98" s="57"/>
      <c r="BA98" s="47"/>
      <c r="BB98" s="47"/>
      <c r="BC98" s="48"/>
      <c r="BD98" s="57"/>
      <c r="BE98" s="47"/>
      <c r="BF98" s="47"/>
      <c r="BG98" s="48"/>
      <c r="BH98" s="57"/>
      <c r="BI98" s="47"/>
      <c r="BJ98" s="47"/>
      <c r="BK98" s="48"/>
      <c r="BL98" s="269"/>
      <c r="BM98" s="57"/>
      <c r="BN98" s="47"/>
      <c r="BO98" s="47"/>
      <c r="BP98" s="47"/>
      <c r="BQ98" s="47"/>
      <c r="BR98" s="47"/>
      <c r="BS98" s="47"/>
      <c r="BT98" s="57"/>
      <c r="BU98" s="47"/>
      <c r="BV98" s="47"/>
      <c r="BW98" s="47"/>
      <c r="BX98" s="47"/>
      <c r="BY98" s="47"/>
      <c r="BZ98" s="47"/>
      <c r="CA98" s="47"/>
      <c r="CB98" s="942"/>
      <c r="CC98" s="20"/>
      <c r="CD98" s="57"/>
      <c r="CE98" s="47"/>
      <c r="CF98" s="47"/>
      <c r="CG98" s="47"/>
      <c r="CH98" s="47"/>
      <c r="CI98" s="47"/>
      <c r="CJ98" s="47"/>
      <c r="CK98" s="47"/>
      <c r="CL98" s="47"/>
      <c r="CM98" s="47"/>
      <c r="CN98" s="47"/>
      <c r="CO98" s="47"/>
      <c r="CP98" s="47"/>
      <c r="CQ98" s="48"/>
      <c r="CR98" s="14"/>
      <c r="CS98" s="14"/>
      <c r="CZ98" s="8"/>
    </row>
    <row r="99" spans="1:104" ht="14.25" customHeight="1">
      <c r="A99" s="8"/>
      <c r="B99" s="68" t="s">
        <v>27</v>
      </c>
      <c r="C99" s="69"/>
      <c r="D99" s="610">
        <v>0.35</v>
      </c>
      <c r="E99" s="611">
        <v>0.35</v>
      </c>
      <c r="F99" s="611">
        <v>0.35</v>
      </c>
      <c r="G99" s="612">
        <v>0.35</v>
      </c>
      <c r="H99" s="610">
        <v>0.35</v>
      </c>
      <c r="I99" s="611">
        <v>0.35</v>
      </c>
      <c r="J99" s="611">
        <v>0.35</v>
      </c>
      <c r="K99" s="612">
        <v>0.35</v>
      </c>
      <c r="L99" s="610">
        <v>0.35</v>
      </c>
      <c r="M99" s="611">
        <v>0.35</v>
      </c>
      <c r="N99" s="611">
        <v>0.35</v>
      </c>
      <c r="O99" s="612">
        <v>0.35</v>
      </c>
      <c r="P99" s="610">
        <v>0.35</v>
      </c>
      <c r="Q99" s="611">
        <v>0.35</v>
      </c>
      <c r="R99" s="611">
        <v>0.35</v>
      </c>
      <c r="S99" s="612">
        <v>0.35</v>
      </c>
      <c r="T99" s="610">
        <v>0.35</v>
      </c>
      <c r="U99" s="611">
        <v>0.35</v>
      </c>
      <c r="V99" s="611">
        <v>0.35</v>
      </c>
      <c r="W99" s="612">
        <v>0.35</v>
      </c>
      <c r="X99" s="611">
        <v>0.35</v>
      </c>
      <c r="Y99" s="611">
        <v>0.35</v>
      </c>
      <c r="Z99" s="611">
        <v>0.35</v>
      </c>
      <c r="AA99" s="612">
        <v>0.35</v>
      </c>
      <c r="AB99" s="611">
        <v>0.35</v>
      </c>
      <c r="AC99" s="611">
        <v>0.35</v>
      </c>
      <c r="AD99" s="611">
        <v>0.35</v>
      </c>
      <c r="AE99" s="612">
        <v>0.35</v>
      </c>
      <c r="AF99" s="611">
        <v>0.35</v>
      </c>
      <c r="AG99" s="611">
        <v>0.35</v>
      </c>
      <c r="AH99" s="611">
        <v>0.35</v>
      </c>
      <c r="AI99" s="611">
        <v>0.35</v>
      </c>
      <c r="AJ99" s="610">
        <v>0.35</v>
      </c>
      <c r="AK99" s="611">
        <v>0.35</v>
      </c>
      <c r="AL99" s="611">
        <v>0.35</v>
      </c>
      <c r="AM99" s="611">
        <v>0.35</v>
      </c>
      <c r="AN99" s="610">
        <v>0.35</v>
      </c>
      <c r="AO99" s="611">
        <v>0.35</v>
      </c>
      <c r="AP99" s="611">
        <v>0.35</v>
      </c>
      <c r="AQ99" s="612">
        <v>0.35</v>
      </c>
      <c r="AR99" s="610">
        <v>0.35</v>
      </c>
      <c r="AS99" s="611">
        <v>0.35</v>
      </c>
      <c r="AT99" s="611">
        <v>0.35</v>
      </c>
      <c r="AU99" s="612">
        <v>0.35</v>
      </c>
      <c r="AV99" s="610">
        <v>0.35</v>
      </c>
      <c r="AW99" s="611">
        <v>0.35</v>
      </c>
      <c r="AX99" s="611">
        <v>0.35</v>
      </c>
      <c r="AY99" s="612">
        <v>0.35</v>
      </c>
      <c r="AZ99" s="610">
        <v>0.35</v>
      </c>
      <c r="BA99" s="611">
        <v>0.35</v>
      </c>
      <c r="BB99" s="611">
        <v>0.35</v>
      </c>
      <c r="BC99" s="612">
        <v>0.35</v>
      </c>
      <c r="BD99" s="610">
        <v>0.35</v>
      </c>
      <c r="BE99" s="611">
        <v>0.35</v>
      </c>
      <c r="BF99" s="611">
        <v>0.35</v>
      </c>
      <c r="BG99" s="612">
        <v>0.35</v>
      </c>
      <c r="BH99" s="610">
        <v>0.35</v>
      </c>
      <c r="BI99" s="611">
        <v>0.35</v>
      </c>
      <c r="BJ99" s="611">
        <v>0.35</v>
      </c>
      <c r="BK99" s="612">
        <v>0.35</v>
      </c>
      <c r="BL99" s="269"/>
      <c r="BM99" s="610">
        <v>0.35</v>
      </c>
      <c r="BN99" s="611">
        <v>0.35</v>
      </c>
      <c r="BO99" s="611">
        <v>0.35</v>
      </c>
      <c r="BP99" s="611">
        <v>0.35</v>
      </c>
      <c r="BQ99" s="611">
        <v>0.35</v>
      </c>
      <c r="BR99" s="611">
        <v>0.35</v>
      </c>
      <c r="BS99" s="611">
        <v>0.35</v>
      </c>
      <c r="BT99" s="610">
        <v>0.35</v>
      </c>
      <c r="BU99" s="611">
        <v>0.35</v>
      </c>
      <c r="BV99" s="611">
        <v>0.35</v>
      </c>
      <c r="BW99" s="611">
        <v>0.35</v>
      </c>
      <c r="BX99" s="613">
        <v>0.35</v>
      </c>
      <c r="BY99" s="613">
        <v>0.35</v>
      </c>
      <c r="BZ99" s="613">
        <v>0.35</v>
      </c>
      <c r="CA99" s="613">
        <v>0.35</v>
      </c>
      <c r="CB99" s="947">
        <v>0.35</v>
      </c>
      <c r="CC99" s="20"/>
      <c r="CD99" s="610">
        <v>0.35</v>
      </c>
      <c r="CE99" s="611">
        <v>0.35</v>
      </c>
      <c r="CF99" s="611">
        <v>0.35</v>
      </c>
      <c r="CG99" s="611">
        <v>0.35</v>
      </c>
      <c r="CH99" s="611">
        <v>0.35</v>
      </c>
      <c r="CI99" s="611">
        <v>0.35</v>
      </c>
      <c r="CJ99" s="611">
        <v>0.35</v>
      </c>
      <c r="CK99" s="611">
        <v>0.35</v>
      </c>
      <c r="CL99" s="611">
        <v>0.35</v>
      </c>
      <c r="CM99" s="611">
        <v>0.35</v>
      </c>
      <c r="CN99" s="611">
        <v>0.35</v>
      </c>
      <c r="CO99" s="611">
        <v>0.35</v>
      </c>
      <c r="CP99" s="611">
        <v>0.35</v>
      </c>
      <c r="CQ99" s="612">
        <v>0.35</v>
      </c>
      <c r="CR99" s="14"/>
      <c r="CS99" s="14"/>
      <c r="CZ99" s="8"/>
    </row>
    <row r="100" spans="1:104" ht="14.25" customHeight="1">
      <c r="A100" s="8"/>
      <c r="B100" s="8"/>
      <c r="C100" s="8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8"/>
      <c r="AE100" s="8"/>
      <c r="AF100" s="11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14"/>
      <c r="BB100" s="8"/>
      <c r="BC100" s="8"/>
      <c r="BD100" s="8"/>
      <c r="BE100" s="14"/>
      <c r="BF100" s="8"/>
      <c r="BG100" s="8"/>
      <c r="BH100" s="8"/>
      <c r="BI100" s="14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14"/>
      <c r="BV100" s="14"/>
      <c r="BW100" s="14"/>
      <c r="BX100" s="14"/>
      <c r="BY100" s="14"/>
      <c r="BZ100" s="14"/>
      <c r="CA100" s="14"/>
      <c r="CB100" s="844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14"/>
      <c r="CO100" s="14"/>
      <c r="CP100" s="8"/>
      <c r="CQ100" s="8"/>
      <c r="CR100" s="8"/>
      <c r="CS100" s="8"/>
      <c r="CZ100" s="8"/>
    </row>
    <row r="101" spans="1:104" ht="14.25" customHeight="1">
      <c r="A101" s="8"/>
      <c r="B101" s="8"/>
      <c r="C101" s="8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8"/>
      <c r="AE101" s="8"/>
      <c r="AF101" s="11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14"/>
      <c r="BB101" s="8"/>
      <c r="BC101" s="8"/>
      <c r="BD101" s="8"/>
      <c r="BE101" s="14"/>
      <c r="BF101" s="8"/>
      <c r="BG101" s="8"/>
      <c r="BH101" s="8"/>
      <c r="BI101" s="14"/>
      <c r="BJ101" s="8"/>
      <c r="BK101" s="8"/>
      <c r="BL101" s="14"/>
      <c r="BM101" s="8"/>
      <c r="BN101" s="8"/>
      <c r="BO101" s="8"/>
      <c r="BP101" s="8"/>
      <c r="BQ101" s="8"/>
      <c r="BR101" s="8"/>
      <c r="BS101" s="8"/>
      <c r="BT101" s="8"/>
      <c r="BU101" s="14"/>
      <c r="BV101" s="14"/>
      <c r="BW101" s="14"/>
      <c r="BX101" s="14"/>
      <c r="BY101" s="14"/>
      <c r="BZ101" s="14"/>
      <c r="CA101" s="14"/>
      <c r="CB101" s="844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14"/>
      <c r="CO101" s="8"/>
      <c r="CP101" s="8"/>
      <c r="CQ101" s="8"/>
      <c r="CR101" s="8"/>
      <c r="CS101" s="8"/>
      <c r="CZ101" s="8"/>
    </row>
    <row r="102" spans="1:104" ht="14.25" customHeight="1">
      <c r="A102" s="8"/>
      <c r="B102" s="608" t="s">
        <v>387</v>
      </c>
      <c r="C102" s="609">
        <f t="shared" ref="C102:BK102" si="267">+C$9</f>
        <v>0</v>
      </c>
      <c r="D102" s="17" t="str">
        <f t="shared" si="267"/>
        <v>F1Q06A</v>
      </c>
      <c r="E102" s="18" t="str">
        <f t="shared" si="267"/>
        <v>F2Q06A</v>
      </c>
      <c r="F102" s="18" t="str">
        <f t="shared" si="267"/>
        <v>F3Q06A</v>
      </c>
      <c r="G102" s="19" t="str">
        <f t="shared" si="267"/>
        <v>F4Q06A</v>
      </c>
      <c r="H102" s="17" t="str">
        <f t="shared" si="267"/>
        <v>F1Q07A</v>
      </c>
      <c r="I102" s="18" t="str">
        <f t="shared" si="267"/>
        <v>F2Q07A</v>
      </c>
      <c r="J102" s="18" t="str">
        <f t="shared" si="267"/>
        <v>F3Q07A</v>
      </c>
      <c r="K102" s="19" t="str">
        <f t="shared" si="267"/>
        <v>F4Q07A</v>
      </c>
      <c r="L102" s="17" t="str">
        <f t="shared" si="267"/>
        <v>F1Q08A</v>
      </c>
      <c r="M102" s="18" t="str">
        <f t="shared" si="267"/>
        <v>F2Q08A</v>
      </c>
      <c r="N102" s="18" t="str">
        <f t="shared" si="267"/>
        <v>F3Q08A</v>
      </c>
      <c r="O102" s="19" t="str">
        <f t="shared" si="267"/>
        <v>F4Q08A</v>
      </c>
      <c r="P102" s="17" t="str">
        <f t="shared" si="267"/>
        <v>F1Q09A</v>
      </c>
      <c r="Q102" s="18" t="str">
        <f t="shared" si="267"/>
        <v>F2Q09A</v>
      </c>
      <c r="R102" s="18" t="str">
        <f t="shared" si="267"/>
        <v>F3Q09A</v>
      </c>
      <c r="S102" s="19" t="str">
        <f t="shared" si="267"/>
        <v>F4Q09A</v>
      </c>
      <c r="T102" s="17" t="str">
        <f t="shared" si="267"/>
        <v>F1Q10A</v>
      </c>
      <c r="U102" s="18" t="str">
        <f t="shared" si="267"/>
        <v>F2Q10A</v>
      </c>
      <c r="V102" s="18" t="str">
        <f t="shared" si="267"/>
        <v>F3Q10A</v>
      </c>
      <c r="W102" s="19" t="str">
        <f t="shared" si="267"/>
        <v>F4Q10A</v>
      </c>
      <c r="X102" s="18" t="str">
        <f t="shared" si="267"/>
        <v>F1Q11A</v>
      </c>
      <c r="Y102" s="18" t="str">
        <f t="shared" si="267"/>
        <v>F2Q11A</v>
      </c>
      <c r="Z102" s="18" t="str">
        <f t="shared" si="267"/>
        <v>F3Q11A</v>
      </c>
      <c r="AA102" s="19" t="str">
        <f t="shared" si="267"/>
        <v>F4Q11A</v>
      </c>
      <c r="AB102" s="17" t="str">
        <f t="shared" si="267"/>
        <v>F1Q12A</v>
      </c>
      <c r="AC102" s="18" t="str">
        <f t="shared" si="267"/>
        <v>F2Q12A</v>
      </c>
      <c r="AD102" s="18" t="str">
        <f t="shared" si="267"/>
        <v>F3Q12A</v>
      </c>
      <c r="AE102" s="19" t="str">
        <f t="shared" si="267"/>
        <v>F4Q12A</v>
      </c>
      <c r="AF102" s="17" t="str">
        <f t="shared" si="267"/>
        <v>F1Q13A</v>
      </c>
      <c r="AG102" s="18" t="str">
        <f t="shared" si="267"/>
        <v>F2Q13A</v>
      </c>
      <c r="AH102" s="18" t="str">
        <f t="shared" si="267"/>
        <v>F3Q13A</v>
      </c>
      <c r="AI102" s="18" t="str">
        <f t="shared" si="267"/>
        <v>F4Q13A</v>
      </c>
      <c r="AJ102" s="17" t="str">
        <f t="shared" si="267"/>
        <v>F1Q14A</v>
      </c>
      <c r="AK102" s="18" t="str">
        <f t="shared" si="267"/>
        <v>F2Q14A</v>
      </c>
      <c r="AL102" s="18" t="str">
        <f t="shared" si="267"/>
        <v>F3Q14A</v>
      </c>
      <c r="AM102" s="18" t="str">
        <f t="shared" si="267"/>
        <v>F4Q14A</v>
      </c>
      <c r="AN102" s="17" t="str">
        <f t="shared" si="267"/>
        <v>F1Q15A</v>
      </c>
      <c r="AO102" s="18" t="str">
        <f t="shared" si="267"/>
        <v>F2Q15A</v>
      </c>
      <c r="AP102" s="18" t="str">
        <f t="shared" si="267"/>
        <v>F3Q15A</v>
      </c>
      <c r="AQ102" s="19" t="str">
        <f t="shared" si="267"/>
        <v>F4Q15A</v>
      </c>
      <c r="AR102" s="17" t="str">
        <f t="shared" si="267"/>
        <v>F1Q16A</v>
      </c>
      <c r="AS102" s="18" t="str">
        <f t="shared" si="267"/>
        <v>F2Q16A</v>
      </c>
      <c r="AT102" s="18" t="str">
        <f t="shared" si="267"/>
        <v>F3Q16A</v>
      </c>
      <c r="AU102" s="19" t="str">
        <f t="shared" si="267"/>
        <v>F4Q16A</v>
      </c>
      <c r="AV102" s="17" t="str">
        <f t="shared" si="267"/>
        <v>F1Q17A</v>
      </c>
      <c r="AW102" s="18" t="str">
        <f t="shared" si="267"/>
        <v>F2Q17A</v>
      </c>
      <c r="AX102" s="18" t="str">
        <f t="shared" si="267"/>
        <v>F3Q17A</v>
      </c>
      <c r="AY102" s="19" t="str">
        <f t="shared" si="267"/>
        <v>F4Q17A</v>
      </c>
      <c r="AZ102" s="18" t="str">
        <f t="shared" si="267"/>
        <v>F1Q18A</v>
      </c>
      <c r="BA102" s="18" t="str">
        <f t="shared" si="267"/>
        <v>F2Q18A</v>
      </c>
      <c r="BB102" s="18" t="str">
        <f t="shared" si="267"/>
        <v>F3Q18A</v>
      </c>
      <c r="BC102" s="19" t="str">
        <f t="shared" si="267"/>
        <v>F4Q18A</v>
      </c>
      <c r="BD102" s="18" t="str">
        <f t="shared" si="267"/>
        <v>F1Q19E</v>
      </c>
      <c r="BE102" s="18" t="str">
        <f t="shared" si="267"/>
        <v>F2Q19E</v>
      </c>
      <c r="BF102" s="18" t="str">
        <f t="shared" si="267"/>
        <v>F3Q19E</v>
      </c>
      <c r="BG102" s="19" t="str">
        <f t="shared" si="267"/>
        <v>F4Q19E</v>
      </c>
      <c r="BH102" s="18" t="str">
        <f t="shared" si="267"/>
        <v>F1Q20E</v>
      </c>
      <c r="BI102" s="18" t="str">
        <f t="shared" si="267"/>
        <v>F2Q20E</v>
      </c>
      <c r="BJ102" s="18" t="str">
        <f t="shared" si="267"/>
        <v>F3Q20E</v>
      </c>
      <c r="BK102" s="19" t="str">
        <f t="shared" si="267"/>
        <v>F4Q20E</v>
      </c>
      <c r="BL102" s="20"/>
      <c r="BM102" s="605" t="str">
        <f>+BM$88</f>
        <v>FY2006A</v>
      </c>
      <c r="BN102" s="606" t="str">
        <f t="shared" ref="BN102:CB102" si="268">+BN$88</f>
        <v>FY2007A</v>
      </c>
      <c r="BO102" s="606" t="str">
        <f t="shared" si="268"/>
        <v>FY2008A</v>
      </c>
      <c r="BP102" s="606" t="str">
        <f t="shared" si="268"/>
        <v>FY2009A</v>
      </c>
      <c r="BQ102" s="606" t="str">
        <f t="shared" si="268"/>
        <v>FY2010A</v>
      </c>
      <c r="BR102" s="606" t="str">
        <f t="shared" si="268"/>
        <v>FY2011A</v>
      </c>
      <c r="BS102" s="606" t="str">
        <f t="shared" si="268"/>
        <v>FY2012A</v>
      </c>
      <c r="BT102" s="605" t="str">
        <f t="shared" si="268"/>
        <v>FY2013A</v>
      </c>
      <c r="BU102" s="606" t="str">
        <f t="shared" si="268"/>
        <v>FY2014</v>
      </c>
      <c r="BV102" s="606" t="str">
        <f t="shared" si="268"/>
        <v>FY2015</v>
      </c>
      <c r="BW102" s="606" t="str">
        <f t="shared" si="268"/>
        <v>FY2016</v>
      </c>
      <c r="BX102" s="606" t="str">
        <f t="shared" si="268"/>
        <v>FY2017</v>
      </c>
      <c r="BY102" s="606" t="str">
        <f t="shared" si="268"/>
        <v>FY2018A</v>
      </c>
      <c r="BZ102" s="606" t="str">
        <f t="shared" si="268"/>
        <v>FY2019E</v>
      </c>
      <c r="CA102" s="606" t="str">
        <f t="shared" si="268"/>
        <v>FY2020E</v>
      </c>
      <c r="CB102" s="938" t="str">
        <f t="shared" si="268"/>
        <v>FY2021E</v>
      </c>
      <c r="CC102" s="20"/>
      <c r="CD102" s="605" t="str">
        <f>+CD$7</f>
        <v>CY2006</v>
      </c>
      <c r="CE102" s="606" t="str">
        <f t="shared" ref="CE102:CQ102" si="269">+CE$7</f>
        <v>CY2007</v>
      </c>
      <c r="CF102" s="606" t="str">
        <f t="shared" si="269"/>
        <v>CY2008</v>
      </c>
      <c r="CG102" s="606" t="str">
        <f t="shared" si="269"/>
        <v>CY2009</v>
      </c>
      <c r="CH102" s="606" t="str">
        <f t="shared" si="269"/>
        <v>CY2010</v>
      </c>
      <c r="CI102" s="606" t="str">
        <f t="shared" si="269"/>
        <v>CY2011</v>
      </c>
      <c r="CJ102" s="606" t="str">
        <f t="shared" si="269"/>
        <v>CY2012</v>
      </c>
      <c r="CK102" s="606" t="str">
        <f t="shared" si="269"/>
        <v>CY2013</v>
      </c>
      <c r="CL102" s="606" t="str">
        <f t="shared" si="269"/>
        <v>CY2014</v>
      </c>
      <c r="CM102" s="606" t="str">
        <f t="shared" si="269"/>
        <v>CY2015</v>
      </c>
      <c r="CN102" s="606" t="str">
        <f t="shared" si="269"/>
        <v>CY2016</v>
      </c>
      <c r="CO102" s="606" t="str">
        <f t="shared" si="269"/>
        <v>CY2017</v>
      </c>
      <c r="CP102" s="606" t="str">
        <f t="shared" si="269"/>
        <v>CY2018</v>
      </c>
      <c r="CQ102" s="607" t="str">
        <f t="shared" si="269"/>
        <v>CY2019</v>
      </c>
      <c r="CR102" s="8"/>
      <c r="CS102" s="8"/>
      <c r="CZ102" s="8"/>
    </row>
    <row r="103" spans="1:104" s="492" customFormat="1" ht="14.25" customHeight="1">
      <c r="A103" s="635"/>
      <c r="B103" s="636" t="s">
        <v>381</v>
      </c>
      <c r="C103" s="637"/>
      <c r="D103" s="638">
        <v>0</v>
      </c>
      <c r="E103" s="639">
        <v>0</v>
      </c>
      <c r="F103" s="639">
        <v>0</v>
      </c>
      <c r="G103" s="640">
        <v>0</v>
      </c>
      <c r="H103" s="638">
        <v>3.6419999999999999</v>
      </c>
      <c r="I103" s="639">
        <v>2.4260000000000002</v>
      </c>
      <c r="J103" s="639">
        <v>2.2919999999999998</v>
      </c>
      <c r="K103" s="640">
        <v>1.9850000000000001</v>
      </c>
      <c r="L103" s="638">
        <v>2.1709999999999998</v>
      </c>
      <c r="M103" s="639">
        <v>1.677</v>
      </c>
      <c r="N103" s="639">
        <v>1.9370000000000001</v>
      </c>
      <c r="O103" s="640">
        <v>1.82</v>
      </c>
      <c r="P103" s="638">
        <v>1.5820000000000001</v>
      </c>
      <c r="Q103" s="639">
        <v>1.4970000000000001</v>
      </c>
      <c r="R103" s="639">
        <v>1.337</v>
      </c>
      <c r="S103" s="640">
        <v>1.375</v>
      </c>
      <c r="T103" s="638">
        <v>1.115</v>
      </c>
      <c r="U103" s="639">
        <v>1.272</v>
      </c>
      <c r="V103" s="639">
        <v>1.2909999999999999</v>
      </c>
      <c r="W103" s="640">
        <v>1.5009999999999999</v>
      </c>
      <c r="X103" s="639">
        <v>1.2669999999999999</v>
      </c>
      <c r="Y103" s="639">
        <v>1.3120000000000001</v>
      </c>
      <c r="Z103" s="639">
        <v>1.0920000000000001</v>
      </c>
      <c r="AA103" s="640">
        <v>1.1539999999999999</v>
      </c>
      <c r="AB103" s="639">
        <v>1.31</v>
      </c>
      <c r="AC103" s="639">
        <v>1.284</v>
      </c>
      <c r="AD103" s="639">
        <v>1.35</v>
      </c>
      <c r="AE103" s="640">
        <v>1.6859999999999999</v>
      </c>
      <c r="AF103" s="639">
        <v>1.728</v>
      </c>
      <c r="AG103" s="639">
        <v>1.4730000000000001</v>
      </c>
      <c r="AH103" s="639">
        <v>1.5169999999999999</v>
      </c>
      <c r="AI103" s="639">
        <v>1.6379999999999999</v>
      </c>
      <c r="AJ103" s="734">
        <v>1.804</v>
      </c>
      <c r="AK103" s="639">
        <v>1.8580000000000001</v>
      </c>
      <c r="AL103" s="639">
        <v>1.966</v>
      </c>
      <c r="AM103" s="639">
        <v>1.974</v>
      </c>
      <c r="AN103" s="734">
        <v>1.992</v>
      </c>
      <c r="AO103" s="639">
        <v>2.077</v>
      </c>
      <c r="AP103" s="639">
        <v>2.339</v>
      </c>
      <c r="AQ103" s="640">
        <v>1.6919999999999999</v>
      </c>
      <c r="AR103" s="734">
        <v>1.964</v>
      </c>
      <c r="AS103" s="639">
        <v>1.7629999999999999</v>
      </c>
      <c r="AT103" s="639">
        <v>2.145</v>
      </c>
      <c r="AU103" s="640">
        <v>2.105</v>
      </c>
      <c r="AV103" s="734">
        <v>2.1190000000000002</v>
      </c>
      <c r="AW103" s="639">
        <v>1.93</v>
      </c>
      <c r="AX103" s="639">
        <v>1.9450000000000001</v>
      </c>
      <c r="AY103" s="640">
        <v>2.02</v>
      </c>
      <c r="AZ103" s="734">
        <v>2.15</v>
      </c>
      <c r="BA103" s="639">
        <v>2.1469999999999998</v>
      </c>
      <c r="BB103" s="639">
        <v>2.1880000000000002</v>
      </c>
      <c r="BC103" s="640">
        <v>2.0059999999999998</v>
      </c>
      <c r="BD103" s="642">
        <f t="shared" ref="BD103:BG105" si="270">BC103</f>
        <v>2.0059999999999998</v>
      </c>
      <c r="BE103" s="642">
        <f t="shared" si="270"/>
        <v>2.0059999999999998</v>
      </c>
      <c r="BF103" s="642">
        <f t="shared" si="270"/>
        <v>2.0059999999999998</v>
      </c>
      <c r="BG103" s="643">
        <f t="shared" si="270"/>
        <v>2.0059999999999998</v>
      </c>
      <c r="BH103" s="642">
        <f t="shared" ref="BH103:BK105" si="271">BG103</f>
        <v>2.0059999999999998</v>
      </c>
      <c r="BI103" s="642">
        <f t="shared" si="271"/>
        <v>2.0059999999999998</v>
      </c>
      <c r="BJ103" s="642">
        <f t="shared" si="271"/>
        <v>2.0059999999999998</v>
      </c>
      <c r="BK103" s="643">
        <f t="shared" si="271"/>
        <v>2.0059999999999998</v>
      </c>
      <c r="BL103" s="644"/>
      <c r="BM103" s="641">
        <f>SUM(D103:G103)</f>
        <v>0</v>
      </c>
      <c r="BN103" s="642">
        <f>SUM(H103:K103)</f>
        <v>10.344999999999999</v>
      </c>
      <c r="BO103" s="642">
        <f>SUM(L103:O103)</f>
        <v>7.6050000000000004</v>
      </c>
      <c r="BP103" s="642">
        <f>SUM(P103:S103)</f>
        <v>5.7910000000000004</v>
      </c>
      <c r="BQ103" s="642">
        <f>SUM(T103:W103)</f>
        <v>5.1790000000000003</v>
      </c>
      <c r="BR103" s="642">
        <f>SUM(X103:AA103)</f>
        <v>4.8249999999999993</v>
      </c>
      <c r="BS103" s="642">
        <f>SUM(AB103:AE103)</f>
        <v>5.6300000000000008</v>
      </c>
      <c r="BT103" s="862">
        <f>SUM(AF103:AI103)</f>
        <v>6.3559999999999999</v>
      </c>
      <c r="BU103" s="863">
        <f>SUM(AJ103:AM103)</f>
        <v>7.6020000000000003</v>
      </c>
      <c r="BV103" s="863">
        <f>SUM(AN103:AQ103)</f>
        <v>8.1</v>
      </c>
      <c r="BW103" s="863">
        <f>SUM(AR103:AU103)</f>
        <v>7.9770000000000003</v>
      </c>
      <c r="BX103" s="863">
        <f>SUM(AV103:AY103)</f>
        <v>8.0140000000000011</v>
      </c>
      <c r="BY103" s="863">
        <f>SUM(AZ103:BC103)</f>
        <v>8.4909999999999997</v>
      </c>
      <c r="BZ103" s="863">
        <f>SUM(BD103:BG103)</f>
        <v>8.0239999999999991</v>
      </c>
      <c r="CA103" s="863">
        <f>SUM(BH103:BK103)</f>
        <v>8.0239999999999991</v>
      </c>
      <c r="CB103" s="863">
        <f>CA103</f>
        <v>8.0239999999999991</v>
      </c>
      <c r="CC103" s="644"/>
      <c r="CD103" s="641">
        <f>SUM(G103:J103)</f>
        <v>8.36</v>
      </c>
      <c r="CE103" s="642">
        <f>SUM(K103:N103)</f>
        <v>7.7700000000000005</v>
      </c>
      <c r="CF103" s="642">
        <f>SUM(O103:R103)</f>
        <v>6.2359999999999998</v>
      </c>
      <c r="CG103" s="642">
        <f>SUM(S103:V103)</f>
        <v>5.0530000000000008</v>
      </c>
      <c r="CH103" s="642">
        <f>SUM(W103:Z103)</f>
        <v>5.1720000000000006</v>
      </c>
      <c r="CI103" s="642">
        <f>SUM(AA103:AD103)</f>
        <v>5.0980000000000008</v>
      </c>
      <c r="CJ103" s="642">
        <f>SUM(AE103:AH103)</f>
        <v>6.4039999999999999</v>
      </c>
      <c r="CK103" s="642">
        <f>SUM(AI103:AL103)</f>
        <v>7.2660000000000009</v>
      </c>
      <c r="CL103" s="860">
        <f>SUM(AM103:AP103)</f>
        <v>8.3819999999999997</v>
      </c>
      <c r="CM103" s="860">
        <f>SUM(AQ103:AT103)</f>
        <v>7.5640000000000001</v>
      </c>
      <c r="CN103" s="860">
        <f>SUM(AU103:AX103)</f>
        <v>8.0990000000000002</v>
      </c>
      <c r="CO103" s="860">
        <f>SUM(AY103:BB103)</f>
        <v>8.5050000000000008</v>
      </c>
      <c r="CP103" s="860">
        <f>SUM(BC103:BF103)</f>
        <v>8.0239999999999991</v>
      </c>
      <c r="CQ103" s="869">
        <f>SUM(BG103:BJ103)</f>
        <v>8.0239999999999991</v>
      </c>
      <c r="CR103" s="635"/>
      <c r="CS103" s="635"/>
      <c r="CT103"/>
      <c r="CU103"/>
      <c r="CV103"/>
      <c r="CW103"/>
      <c r="CX103"/>
      <c r="CY103"/>
      <c r="CZ103" s="635"/>
    </row>
    <row r="104" spans="1:104" s="492" customFormat="1" ht="14.25" customHeight="1">
      <c r="A104" s="635"/>
      <c r="B104" s="636" t="s">
        <v>187</v>
      </c>
      <c r="C104" s="637"/>
      <c r="D104" s="638">
        <v>0</v>
      </c>
      <c r="E104" s="639">
        <v>0</v>
      </c>
      <c r="F104" s="639">
        <v>0</v>
      </c>
      <c r="G104" s="640">
        <v>0</v>
      </c>
      <c r="H104" s="638">
        <v>12.364000000000001</v>
      </c>
      <c r="I104" s="639">
        <v>9.81</v>
      </c>
      <c r="J104" s="639">
        <v>10.029</v>
      </c>
      <c r="K104" s="640">
        <v>9.407</v>
      </c>
      <c r="L104" s="638">
        <v>7.3010000000000002</v>
      </c>
      <c r="M104" s="639">
        <v>7.2469999999999999</v>
      </c>
      <c r="N104" s="639">
        <v>7.9770000000000003</v>
      </c>
      <c r="O104" s="640">
        <v>8.9079999999999995</v>
      </c>
      <c r="P104" s="638">
        <v>6.3540000000000001</v>
      </c>
      <c r="Q104" s="639">
        <v>6.2930000000000001</v>
      </c>
      <c r="R104" s="639">
        <v>6.0549999999999997</v>
      </c>
      <c r="S104" s="640">
        <v>6.3730000000000002</v>
      </c>
      <c r="T104" s="638">
        <v>5.9960000000000004</v>
      </c>
      <c r="U104" s="639">
        <v>5.2050000000000001</v>
      </c>
      <c r="V104" s="639">
        <v>7.2889999999999997</v>
      </c>
      <c r="W104" s="640">
        <v>7.2759999999999998</v>
      </c>
      <c r="X104" s="639">
        <v>7.2039999999999997</v>
      </c>
      <c r="Y104" s="639">
        <v>7.3410000000000002</v>
      </c>
      <c r="Z104" s="639">
        <v>7.12</v>
      </c>
      <c r="AA104" s="640">
        <v>7.1150000000000002</v>
      </c>
      <c r="AB104" s="639">
        <v>6.4870000000000001</v>
      </c>
      <c r="AC104" s="639">
        <v>8.1029999999999998</v>
      </c>
      <c r="AD104" s="639">
        <v>8.6549999999999994</v>
      </c>
      <c r="AE104" s="640">
        <v>9.0649999999999995</v>
      </c>
      <c r="AF104" s="639">
        <v>8.6229999999999993</v>
      </c>
      <c r="AG104" s="639">
        <v>9.4039999999999999</v>
      </c>
      <c r="AH104" s="639">
        <v>9.6539999999999999</v>
      </c>
      <c r="AI104" s="639">
        <v>10.256</v>
      </c>
      <c r="AJ104" s="638">
        <v>10.218999999999999</v>
      </c>
      <c r="AK104" s="639">
        <v>11.343</v>
      </c>
      <c r="AL104" s="639">
        <v>11.912000000000001</v>
      </c>
      <c r="AM104" s="639">
        <v>12.731999999999999</v>
      </c>
      <c r="AN104" s="638">
        <v>10.505000000000001</v>
      </c>
      <c r="AO104" s="639">
        <v>14.831</v>
      </c>
      <c r="AP104" s="639">
        <v>14.909000000000001</v>
      </c>
      <c r="AQ104" s="640">
        <v>9.9410000000000007</v>
      </c>
      <c r="AR104" s="638">
        <v>14.692</v>
      </c>
      <c r="AS104" s="639">
        <v>12.933999999999999</v>
      </c>
      <c r="AT104" s="639">
        <v>16.934999999999999</v>
      </c>
      <c r="AU104" s="640">
        <v>15.131</v>
      </c>
      <c r="AV104" s="638">
        <v>15.12</v>
      </c>
      <c r="AW104" s="639">
        <v>16.529</v>
      </c>
      <c r="AX104" s="639">
        <v>17.154</v>
      </c>
      <c r="AY104" s="640">
        <v>18.018999999999998</v>
      </c>
      <c r="AZ104" s="638">
        <v>17.466000000000001</v>
      </c>
      <c r="BA104" s="639">
        <v>20.096</v>
      </c>
      <c r="BB104" s="639">
        <v>20.216999999999999</v>
      </c>
      <c r="BC104" s="640">
        <v>19.010999999999999</v>
      </c>
      <c r="BD104" s="642">
        <f t="shared" si="270"/>
        <v>19.010999999999999</v>
      </c>
      <c r="BE104" s="642">
        <f t="shared" si="270"/>
        <v>19.010999999999999</v>
      </c>
      <c r="BF104" s="642">
        <f t="shared" si="270"/>
        <v>19.010999999999999</v>
      </c>
      <c r="BG104" s="643">
        <f t="shared" si="270"/>
        <v>19.010999999999999</v>
      </c>
      <c r="BH104" s="642">
        <f t="shared" si="271"/>
        <v>19.010999999999999</v>
      </c>
      <c r="BI104" s="642">
        <f t="shared" si="271"/>
        <v>19.010999999999999</v>
      </c>
      <c r="BJ104" s="642">
        <f t="shared" si="271"/>
        <v>19.010999999999999</v>
      </c>
      <c r="BK104" s="643">
        <f t="shared" si="271"/>
        <v>19.010999999999999</v>
      </c>
      <c r="BL104" s="644"/>
      <c r="BM104" s="641">
        <f>SUM(D104:G104)</f>
        <v>0</v>
      </c>
      <c r="BN104" s="642">
        <f>SUM(H104:K104)</f>
        <v>41.61</v>
      </c>
      <c r="BO104" s="642">
        <f>SUM(L104:O104)</f>
        <v>31.433</v>
      </c>
      <c r="BP104" s="642">
        <f>SUM(P104:S104)</f>
        <v>25.074999999999999</v>
      </c>
      <c r="BQ104" s="642">
        <f>SUM(T104:W104)</f>
        <v>25.766000000000002</v>
      </c>
      <c r="BR104" s="642">
        <f>SUM(X104:AA104)</f>
        <v>28.78</v>
      </c>
      <c r="BS104" s="642">
        <f>SUM(AB104:AE104)</f>
        <v>32.309999999999995</v>
      </c>
      <c r="BT104" s="862">
        <f>SUM(AF104:AI104)</f>
        <v>37.936999999999998</v>
      </c>
      <c r="BU104" s="863">
        <f>SUM(AJ104:AM104)</f>
        <v>46.205999999999996</v>
      </c>
      <c r="BV104" s="863">
        <f>SUM(AN104:AQ104)</f>
        <v>50.186</v>
      </c>
      <c r="BW104" s="863">
        <f>SUM(AR104:AU104)</f>
        <v>59.691999999999993</v>
      </c>
      <c r="BX104" s="863">
        <f>SUM(AV104:AY104)</f>
        <v>66.822000000000003</v>
      </c>
      <c r="BY104" s="863">
        <f>SUM(AZ104:BC104)</f>
        <v>76.789999999999992</v>
      </c>
      <c r="BZ104" s="863">
        <f>SUM(BD104:BG104)</f>
        <v>76.043999999999997</v>
      </c>
      <c r="CA104" s="863">
        <f>SUM(BH104:BK104)</f>
        <v>76.043999999999997</v>
      </c>
      <c r="CB104" s="863">
        <f>CA104</f>
        <v>76.043999999999997</v>
      </c>
      <c r="CC104" s="644"/>
      <c r="CD104" s="641">
        <f>SUM(G104:J104)</f>
        <v>32.203000000000003</v>
      </c>
      <c r="CE104" s="642">
        <f>SUM(K104:N104)</f>
        <v>31.931999999999999</v>
      </c>
      <c r="CF104" s="642">
        <f>SUM(O104:R104)</f>
        <v>27.61</v>
      </c>
      <c r="CG104" s="642">
        <f>SUM(S104:V104)</f>
        <v>24.863</v>
      </c>
      <c r="CH104" s="642">
        <f>SUM(W104:Z104)</f>
        <v>28.941000000000003</v>
      </c>
      <c r="CI104" s="642">
        <f>SUM(AA104:AD104)</f>
        <v>30.36</v>
      </c>
      <c r="CJ104" s="642">
        <f>SUM(AE104:AH104)</f>
        <v>36.745999999999995</v>
      </c>
      <c r="CK104" s="642">
        <f>SUM(AI104:AL104)</f>
        <v>43.730000000000004</v>
      </c>
      <c r="CL104" s="860">
        <f>SUM(AM104:AP104)</f>
        <v>52.976999999999997</v>
      </c>
      <c r="CM104" s="860">
        <f>SUM(AQ104:AT104)</f>
        <v>54.501999999999995</v>
      </c>
      <c r="CN104" s="860">
        <f>SUM(AU104:AX104)</f>
        <v>63.933999999999997</v>
      </c>
      <c r="CO104" s="860">
        <f>SUM(AY104:BB104)</f>
        <v>75.798000000000002</v>
      </c>
      <c r="CP104" s="860">
        <f>SUM(BC104:BF104)</f>
        <v>76.043999999999997</v>
      </c>
      <c r="CQ104" s="869">
        <f>SUM(BG104:BJ104)</f>
        <v>76.043999999999997</v>
      </c>
      <c r="CR104" s="635"/>
      <c r="CS104" s="635"/>
      <c r="CT104"/>
      <c r="CU104"/>
      <c r="CV104"/>
      <c r="CW104"/>
      <c r="CX104"/>
      <c r="CY104"/>
      <c r="CZ104" s="635"/>
    </row>
    <row r="105" spans="1:104" s="656" customFormat="1" ht="14.25" customHeight="1">
      <c r="A105" s="645"/>
      <c r="B105" s="646" t="s">
        <v>188</v>
      </c>
      <c r="C105" s="647"/>
      <c r="D105" s="648">
        <v>0</v>
      </c>
      <c r="E105" s="649">
        <v>0</v>
      </c>
      <c r="F105" s="649">
        <v>0</v>
      </c>
      <c r="G105" s="650">
        <v>0</v>
      </c>
      <c r="H105" s="648">
        <v>10.802</v>
      </c>
      <c r="I105" s="649">
        <v>9.67</v>
      </c>
      <c r="J105" s="649">
        <v>9.1229999999999993</v>
      </c>
      <c r="K105" s="650">
        <v>8.7420000000000009</v>
      </c>
      <c r="L105" s="648">
        <v>7.048</v>
      </c>
      <c r="M105" s="649">
        <v>6.8289999999999997</v>
      </c>
      <c r="N105" s="649">
        <v>6.5419999999999998</v>
      </c>
      <c r="O105" s="650">
        <v>6.9690000000000003</v>
      </c>
      <c r="P105" s="648">
        <v>6.2279999999999998</v>
      </c>
      <c r="Q105" s="649">
        <v>5.6289999999999996</v>
      </c>
      <c r="R105" s="649">
        <v>5.649</v>
      </c>
      <c r="S105" s="650">
        <v>5.5730000000000004</v>
      </c>
      <c r="T105" s="648">
        <v>5.673</v>
      </c>
      <c r="U105" s="649">
        <v>5.2850000000000001</v>
      </c>
      <c r="V105" s="649">
        <v>6.9390000000000001</v>
      </c>
      <c r="W105" s="650">
        <v>6.694</v>
      </c>
      <c r="X105" s="649">
        <v>7.649</v>
      </c>
      <c r="Y105" s="649">
        <v>6.7679999999999998</v>
      </c>
      <c r="Z105" s="649">
        <v>6.5419999999999998</v>
      </c>
      <c r="AA105" s="650">
        <v>6.694</v>
      </c>
      <c r="AB105" s="649">
        <v>5.97</v>
      </c>
      <c r="AC105" s="649">
        <v>7.5119999999999996</v>
      </c>
      <c r="AD105" s="649">
        <v>7.8380000000000001</v>
      </c>
      <c r="AE105" s="650">
        <v>8.1579999999999995</v>
      </c>
      <c r="AF105" s="649">
        <v>7.2569999999999997</v>
      </c>
      <c r="AG105" s="649">
        <v>8.3689999999999998</v>
      </c>
      <c r="AH105" s="649">
        <v>8.5909999999999993</v>
      </c>
      <c r="AI105" s="649">
        <v>9.3520000000000003</v>
      </c>
      <c r="AJ105" s="648">
        <v>8.9309999999999992</v>
      </c>
      <c r="AK105" s="649">
        <v>9.859</v>
      </c>
      <c r="AL105" s="649">
        <v>10.461</v>
      </c>
      <c r="AM105" s="649">
        <v>11.263999999999999</v>
      </c>
      <c r="AN105" s="648">
        <v>9.609</v>
      </c>
      <c r="AO105" s="649">
        <v>11.832000000000001</v>
      </c>
      <c r="AP105" s="649">
        <v>11.805999999999999</v>
      </c>
      <c r="AQ105" s="650">
        <f>7.747+0.579</f>
        <v>8.3260000000000005</v>
      </c>
      <c r="AR105" s="648">
        <v>9.6639999999999997</v>
      </c>
      <c r="AS105" s="649">
        <v>11.984</v>
      </c>
      <c r="AT105" s="649">
        <v>12.382999999999999</v>
      </c>
      <c r="AU105" s="650">
        <v>10.284000000000001</v>
      </c>
      <c r="AV105" s="648">
        <v>12.164999999999999</v>
      </c>
      <c r="AW105" s="649">
        <v>11.343</v>
      </c>
      <c r="AX105" s="649">
        <v>11.768000000000001</v>
      </c>
      <c r="AY105" s="650">
        <v>12.746</v>
      </c>
      <c r="AZ105" s="648">
        <v>12.42</v>
      </c>
      <c r="BA105" s="649">
        <v>14.129</v>
      </c>
      <c r="BB105" s="649">
        <v>14.396000000000001</v>
      </c>
      <c r="BC105" s="650">
        <f>10.968+16.621</f>
        <v>27.588999999999999</v>
      </c>
      <c r="BD105" s="652">
        <f t="shared" si="270"/>
        <v>27.588999999999999</v>
      </c>
      <c r="BE105" s="652">
        <f t="shared" si="270"/>
        <v>27.588999999999999</v>
      </c>
      <c r="BF105" s="652">
        <f t="shared" si="270"/>
        <v>27.588999999999999</v>
      </c>
      <c r="BG105" s="653">
        <f t="shared" si="270"/>
        <v>27.588999999999999</v>
      </c>
      <c r="BH105" s="652">
        <f t="shared" si="271"/>
        <v>27.588999999999999</v>
      </c>
      <c r="BI105" s="652">
        <f t="shared" si="271"/>
        <v>27.588999999999999</v>
      </c>
      <c r="BJ105" s="652">
        <f t="shared" si="271"/>
        <v>27.588999999999999</v>
      </c>
      <c r="BK105" s="653">
        <f t="shared" si="271"/>
        <v>27.588999999999999</v>
      </c>
      <c r="BL105" s="655"/>
      <c r="BM105" s="651">
        <f>SUM(D105:G105)</f>
        <v>0</v>
      </c>
      <c r="BN105" s="652">
        <f>SUM(H105:K105)</f>
        <v>38.337000000000003</v>
      </c>
      <c r="BO105" s="652">
        <f>SUM(L105:O105)</f>
        <v>27.387999999999998</v>
      </c>
      <c r="BP105" s="652">
        <f>SUM(P105:S105)</f>
        <v>23.079000000000001</v>
      </c>
      <c r="BQ105" s="652">
        <f>SUM(T105:W105)</f>
        <v>24.590999999999998</v>
      </c>
      <c r="BR105" s="652">
        <f>SUM(X105:AA105)</f>
        <v>27.652999999999999</v>
      </c>
      <c r="BS105" s="652">
        <f>SUM(AB105:AE105)</f>
        <v>29.478000000000002</v>
      </c>
      <c r="BT105" s="862">
        <f>SUM(AF105:AI105)</f>
        <v>33.569000000000003</v>
      </c>
      <c r="BU105" s="863">
        <f>SUM(AJ105:AM105)</f>
        <v>40.515000000000001</v>
      </c>
      <c r="BV105" s="863">
        <f>SUM(AN105:AQ105)</f>
        <v>41.573</v>
      </c>
      <c r="BW105" s="863">
        <f>SUM(AR105:AU105)</f>
        <v>44.314999999999998</v>
      </c>
      <c r="BX105" s="863">
        <f>SUM(AV105:AY105)</f>
        <v>48.021999999999998</v>
      </c>
      <c r="BY105" s="863">
        <f>SUM(AZ105:BC105)</f>
        <v>68.533999999999992</v>
      </c>
      <c r="BZ105" s="863">
        <f>SUM(BD105:BG105)</f>
        <v>110.35599999999999</v>
      </c>
      <c r="CA105" s="863">
        <f>SUM(BH105:BK105)</f>
        <v>110.35599999999999</v>
      </c>
      <c r="CB105" s="863">
        <f>CA105</f>
        <v>110.35599999999999</v>
      </c>
      <c r="CC105" s="655"/>
      <c r="CD105" s="651">
        <f>SUM(G105:J105)</f>
        <v>29.594999999999999</v>
      </c>
      <c r="CE105" s="652">
        <f>SUM(K105:N105)</f>
        <v>29.161000000000001</v>
      </c>
      <c r="CF105" s="652">
        <f>SUM(O105:R105)</f>
        <v>24.475000000000001</v>
      </c>
      <c r="CG105" s="652">
        <f>SUM(S105:V105)</f>
        <v>23.47</v>
      </c>
      <c r="CH105" s="652">
        <f>SUM(W105:Z105)</f>
        <v>27.652999999999999</v>
      </c>
      <c r="CI105" s="652">
        <f>SUM(AA105:AD105)</f>
        <v>28.013999999999999</v>
      </c>
      <c r="CJ105" s="652">
        <f>SUM(AE105:AH105)</f>
        <v>32.375</v>
      </c>
      <c r="CK105" s="652">
        <f>SUM(AI105:AL105)</f>
        <v>38.603000000000002</v>
      </c>
      <c r="CL105" s="860">
        <f>SUM(AM105:AP105)</f>
        <v>44.510999999999996</v>
      </c>
      <c r="CM105" s="860">
        <f>SUM(AQ105:AT105)</f>
        <v>42.356999999999999</v>
      </c>
      <c r="CN105" s="860">
        <f>SUM(AU105:AX105)</f>
        <v>45.56</v>
      </c>
      <c r="CO105" s="860">
        <f>SUM(AY105:BB105)</f>
        <v>53.691000000000003</v>
      </c>
      <c r="CP105" s="860">
        <f>SUM(BC105:BF105)</f>
        <v>110.35599999999999</v>
      </c>
      <c r="CQ105" s="869">
        <f>SUM(BG105:BJ105)</f>
        <v>110.35599999999999</v>
      </c>
      <c r="CR105" s="645"/>
      <c r="CS105" s="645"/>
      <c r="CT105"/>
      <c r="CU105"/>
      <c r="CV105"/>
      <c r="CW105"/>
      <c r="CX105"/>
      <c r="CY105"/>
      <c r="CZ105" s="645"/>
    </row>
    <row r="106" spans="1:104" s="492" customFormat="1" ht="14.25" customHeight="1">
      <c r="A106" s="635"/>
      <c r="B106" s="657" t="s">
        <v>388</v>
      </c>
      <c r="C106" s="658"/>
      <c r="D106" s="281">
        <f t="shared" ref="D106:AK106" si="272">+SUM(D103:D105)</f>
        <v>0</v>
      </c>
      <c r="E106" s="281">
        <f t="shared" si="272"/>
        <v>0</v>
      </c>
      <c r="F106" s="281">
        <f t="shared" si="272"/>
        <v>0</v>
      </c>
      <c r="G106" s="281">
        <f t="shared" si="272"/>
        <v>0</v>
      </c>
      <c r="H106" s="281">
        <f t="shared" si="272"/>
        <v>26.808</v>
      </c>
      <c r="I106" s="281">
        <f t="shared" si="272"/>
        <v>21.905999999999999</v>
      </c>
      <c r="J106" s="281">
        <f t="shared" si="272"/>
        <v>21.443999999999999</v>
      </c>
      <c r="K106" s="281">
        <f t="shared" si="272"/>
        <v>20.134</v>
      </c>
      <c r="L106" s="281">
        <f t="shared" si="272"/>
        <v>16.52</v>
      </c>
      <c r="M106" s="281">
        <f t="shared" si="272"/>
        <v>15.753</v>
      </c>
      <c r="N106" s="281">
        <f t="shared" si="272"/>
        <v>16.456</v>
      </c>
      <c r="O106" s="281">
        <f t="shared" si="272"/>
        <v>17.696999999999999</v>
      </c>
      <c r="P106" s="281">
        <f t="shared" si="272"/>
        <v>14.164</v>
      </c>
      <c r="Q106" s="281">
        <f t="shared" si="272"/>
        <v>13.419</v>
      </c>
      <c r="R106" s="281">
        <f t="shared" si="272"/>
        <v>13.041</v>
      </c>
      <c r="S106" s="281">
        <f t="shared" si="272"/>
        <v>13.321000000000002</v>
      </c>
      <c r="T106" s="281">
        <f t="shared" si="272"/>
        <v>12.784000000000001</v>
      </c>
      <c r="U106" s="281">
        <f t="shared" si="272"/>
        <v>11.762</v>
      </c>
      <c r="V106" s="281">
        <f t="shared" si="272"/>
        <v>15.519</v>
      </c>
      <c r="W106" s="281">
        <f t="shared" si="272"/>
        <v>15.471</v>
      </c>
      <c r="X106" s="281">
        <f t="shared" si="272"/>
        <v>16.12</v>
      </c>
      <c r="Y106" s="281">
        <f t="shared" si="272"/>
        <v>15.420999999999999</v>
      </c>
      <c r="Z106" s="281">
        <f t="shared" si="272"/>
        <v>14.754</v>
      </c>
      <c r="AA106" s="281">
        <f t="shared" si="272"/>
        <v>14.963000000000001</v>
      </c>
      <c r="AB106" s="281">
        <f t="shared" si="272"/>
        <v>13.766999999999999</v>
      </c>
      <c r="AC106" s="281">
        <f t="shared" si="272"/>
        <v>16.899000000000001</v>
      </c>
      <c r="AD106" s="658">
        <f t="shared" si="272"/>
        <v>17.843</v>
      </c>
      <c r="AE106" s="658">
        <f t="shared" si="272"/>
        <v>18.908999999999999</v>
      </c>
      <c r="AF106" s="281">
        <f t="shared" si="272"/>
        <v>17.607999999999997</v>
      </c>
      <c r="AG106" s="658">
        <f t="shared" si="272"/>
        <v>19.246000000000002</v>
      </c>
      <c r="AH106" s="658">
        <f t="shared" si="272"/>
        <v>19.762</v>
      </c>
      <c r="AI106" s="658">
        <f t="shared" si="272"/>
        <v>21.246000000000002</v>
      </c>
      <c r="AJ106" s="735">
        <f t="shared" si="272"/>
        <v>20.954000000000001</v>
      </c>
      <c r="AK106" s="658">
        <f t="shared" si="272"/>
        <v>23.060000000000002</v>
      </c>
      <c r="AL106" s="658">
        <f>+SUM(AL103:AL105)</f>
        <v>24.338999999999999</v>
      </c>
      <c r="AM106" s="658">
        <f>+SUM(AM103:AM105)</f>
        <v>25.97</v>
      </c>
      <c r="AN106" s="735">
        <f>+SUM(AN103:AN105)</f>
        <v>22.106000000000002</v>
      </c>
      <c r="AO106" s="658">
        <f>+SUM(AO103:AO105)</f>
        <v>28.740000000000002</v>
      </c>
      <c r="AP106" s="658">
        <f t="shared" ref="AP106:AU106" si="273">+SUM(AP103:AP105)</f>
        <v>29.054000000000002</v>
      </c>
      <c r="AQ106" s="659">
        <f t="shared" si="273"/>
        <v>19.959000000000003</v>
      </c>
      <c r="AR106" s="735">
        <f t="shared" si="273"/>
        <v>26.32</v>
      </c>
      <c r="AS106" s="658">
        <f t="shared" si="273"/>
        <v>26.680999999999997</v>
      </c>
      <c r="AT106" s="658">
        <f t="shared" si="273"/>
        <v>31.462999999999997</v>
      </c>
      <c r="AU106" s="659">
        <f t="shared" si="273"/>
        <v>27.520000000000003</v>
      </c>
      <c r="AV106" s="735">
        <f>+SUM(AV103:AV105)</f>
        <v>29.404</v>
      </c>
      <c r="AW106" s="658">
        <f>+SUM(AW103:AW105)</f>
        <v>29.802</v>
      </c>
      <c r="AX106" s="658">
        <f>+SUM(AX103:AX105)</f>
        <v>30.867000000000001</v>
      </c>
      <c r="AY106" s="659">
        <f>+SUM(AY103:AY105)</f>
        <v>32.784999999999997</v>
      </c>
      <c r="AZ106" s="658">
        <f t="shared" ref="AZ106:BG106" si="274">+SUM(AZ103:AZ105)</f>
        <v>32.036000000000001</v>
      </c>
      <c r="BA106" s="658">
        <f t="shared" si="274"/>
        <v>36.372</v>
      </c>
      <c r="BB106" s="658">
        <f>+SUM(BB103:BB105)</f>
        <v>36.801000000000002</v>
      </c>
      <c r="BC106" s="659">
        <f>+SUM(BC103:BC105)</f>
        <v>48.605999999999995</v>
      </c>
      <c r="BD106" s="658">
        <f t="shared" si="274"/>
        <v>48.605999999999995</v>
      </c>
      <c r="BE106" s="658">
        <f t="shared" si="274"/>
        <v>48.605999999999995</v>
      </c>
      <c r="BF106" s="658">
        <f t="shared" si="274"/>
        <v>48.605999999999995</v>
      </c>
      <c r="BG106" s="659">
        <f t="shared" si="274"/>
        <v>48.605999999999995</v>
      </c>
      <c r="BH106" s="658">
        <f t="shared" ref="BH106:CF106" si="275">+SUM(BH103:BH105)</f>
        <v>48.605999999999995</v>
      </c>
      <c r="BI106" s="658">
        <f t="shared" si="275"/>
        <v>48.605999999999995</v>
      </c>
      <c r="BJ106" s="658">
        <f t="shared" si="275"/>
        <v>48.605999999999995</v>
      </c>
      <c r="BK106" s="659">
        <f t="shared" si="275"/>
        <v>48.605999999999995</v>
      </c>
      <c r="BL106" s="644">
        <f t="shared" si="275"/>
        <v>0</v>
      </c>
      <c r="BM106" s="657">
        <f t="shared" si="275"/>
        <v>0</v>
      </c>
      <c r="BN106" s="658">
        <f t="shared" si="275"/>
        <v>90.292000000000002</v>
      </c>
      <c r="BO106" s="658">
        <f t="shared" si="275"/>
        <v>66.425999999999988</v>
      </c>
      <c r="BP106" s="658">
        <f t="shared" si="275"/>
        <v>53.945</v>
      </c>
      <c r="BQ106" s="658">
        <f t="shared" si="275"/>
        <v>55.536000000000001</v>
      </c>
      <c r="BR106" s="658">
        <f t="shared" si="275"/>
        <v>61.258000000000003</v>
      </c>
      <c r="BS106" s="658">
        <f t="shared" si="275"/>
        <v>67.418000000000006</v>
      </c>
      <c r="BT106" s="864">
        <f t="shared" si="275"/>
        <v>77.861999999999995</v>
      </c>
      <c r="BU106" s="865">
        <f t="shared" si="275"/>
        <v>94.322999999999993</v>
      </c>
      <c r="BV106" s="865">
        <f t="shared" si="275"/>
        <v>99.859000000000009</v>
      </c>
      <c r="BW106" s="865">
        <f t="shared" si="275"/>
        <v>111.98399999999999</v>
      </c>
      <c r="BX106" s="865">
        <f t="shared" si="275"/>
        <v>122.858</v>
      </c>
      <c r="BY106" s="865">
        <f t="shared" si="275"/>
        <v>153.815</v>
      </c>
      <c r="BZ106" s="865">
        <f t="shared" si="275"/>
        <v>194.42399999999998</v>
      </c>
      <c r="CA106" s="865">
        <f t="shared" si="275"/>
        <v>194.42399999999998</v>
      </c>
      <c r="CB106" s="865">
        <f t="shared" si="275"/>
        <v>194.42399999999998</v>
      </c>
      <c r="CC106" s="644"/>
      <c r="CD106" s="657">
        <f t="shared" si="275"/>
        <v>70.158000000000001</v>
      </c>
      <c r="CE106" s="658">
        <f t="shared" si="275"/>
        <v>68.863</v>
      </c>
      <c r="CF106" s="658">
        <f t="shared" si="275"/>
        <v>58.320999999999998</v>
      </c>
      <c r="CG106" s="658">
        <f t="shared" ref="CG106:CM106" si="276">+SUM(CG103:CG105)</f>
        <v>53.385999999999996</v>
      </c>
      <c r="CH106" s="658">
        <f t="shared" si="276"/>
        <v>61.765999999999998</v>
      </c>
      <c r="CI106" s="658">
        <f t="shared" si="276"/>
        <v>63.471999999999994</v>
      </c>
      <c r="CJ106" s="658">
        <f t="shared" si="276"/>
        <v>75.524999999999991</v>
      </c>
      <c r="CK106" s="658">
        <f t="shared" si="276"/>
        <v>89.599000000000004</v>
      </c>
      <c r="CL106" s="861">
        <f t="shared" si="276"/>
        <v>105.86999999999999</v>
      </c>
      <c r="CM106" s="861">
        <f t="shared" si="276"/>
        <v>104.423</v>
      </c>
      <c r="CN106" s="861">
        <f>+SUM(CN103:CN105)</f>
        <v>117.593</v>
      </c>
      <c r="CO106" s="861">
        <f>+SUM(CO103:CO105)</f>
        <v>137.994</v>
      </c>
      <c r="CP106" s="861">
        <f>+SUM(CP103:CP105)</f>
        <v>194.42399999999998</v>
      </c>
      <c r="CQ106" s="870">
        <f>+SUM(CQ103:CQ105)</f>
        <v>194.42399999999998</v>
      </c>
      <c r="CR106" s="635"/>
      <c r="CS106" s="635"/>
      <c r="CT106"/>
      <c r="CU106"/>
      <c r="CV106"/>
      <c r="CW106"/>
      <c r="CX106"/>
      <c r="CY106"/>
      <c r="CZ106" s="635"/>
    </row>
    <row r="107" spans="1:104" ht="14.25" customHeight="1">
      <c r="A107" s="8"/>
      <c r="B107" s="8"/>
      <c r="C107" s="8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8"/>
      <c r="AE107" s="8"/>
      <c r="AF107" s="11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14"/>
      <c r="BB107" s="8"/>
      <c r="BC107" s="8"/>
      <c r="BD107" s="8"/>
      <c r="BE107" s="14"/>
      <c r="BF107" s="8"/>
      <c r="BG107" s="8"/>
      <c r="BH107" s="8"/>
      <c r="BI107" s="14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14"/>
      <c r="BV107" s="14"/>
      <c r="BW107" s="14"/>
      <c r="BX107" s="14"/>
      <c r="BY107" s="14"/>
      <c r="BZ107" s="14"/>
      <c r="CA107" s="14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14"/>
      <c r="CO107" s="8"/>
      <c r="CP107" s="8"/>
      <c r="CQ107" s="8"/>
      <c r="CR107" s="8"/>
      <c r="CS107" s="8"/>
      <c r="CZ107" s="8"/>
    </row>
    <row r="108" spans="1:104" ht="14.25" customHeight="1">
      <c r="A108" s="8"/>
      <c r="B108" s="8"/>
      <c r="C108" s="8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8"/>
      <c r="AE108" s="8"/>
      <c r="AF108" s="11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14"/>
      <c r="BV108" s="14"/>
      <c r="BW108" s="14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Z108" s="8"/>
    </row>
    <row r="109" spans="1:104" ht="14.25" customHeight="1">
      <c r="A109" s="8"/>
      <c r="B109" s="8"/>
      <c r="C109" s="8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8"/>
      <c r="AE109" s="8"/>
      <c r="AF109" s="11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14"/>
      <c r="BV109" s="14"/>
      <c r="BW109" s="14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Z109" s="8"/>
    </row>
    <row r="110" spans="1:104" ht="14.25" customHeight="1">
      <c r="A110" s="8"/>
      <c r="B110" s="8"/>
      <c r="C110" s="8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14"/>
      <c r="BV110" s="14"/>
      <c r="BW110" s="14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Z110" s="8"/>
    </row>
    <row r="112" spans="1:104" ht="14.25" customHeight="1">
      <c r="A112" s="8"/>
      <c r="B112" s="112" t="s">
        <v>70</v>
      </c>
      <c r="C112" s="112"/>
      <c r="D112" s="113" t="e">
        <f>VLOOKUP(D111,ValidDateTable,4,FALSE)</f>
        <v>#NAME?</v>
      </c>
      <c r="E112" s="113" t="e">
        <f>VLOOKUP(E111,ValidDateTable,4,FALSE)</f>
        <v>#NAME?</v>
      </c>
      <c r="F112" s="113" t="e">
        <f>VLOOKUP(F111,ValidDateTable,4,FALSE)</f>
        <v>#NAME?</v>
      </c>
      <c r="G112" s="113" t="e">
        <f>VLOOKUP(G111,ValidDateTable,4,FALSE)</f>
        <v>#NAME?</v>
      </c>
      <c r="H112" s="113" t="e">
        <f t="shared" ref="H112:AA112" si="277">VLOOKUP(H111,ValidDateTable,4,FALSE)</f>
        <v>#NAME?</v>
      </c>
      <c r="I112" s="113" t="e">
        <f t="shared" si="277"/>
        <v>#NAME?</v>
      </c>
      <c r="J112" s="113" t="e">
        <f t="shared" si="277"/>
        <v>#NAME?</v>
      </c>
      <c r="K112" s="113" t="e">
        <f t="shared" si="277"/>
        <v>#NAME?</v>
      </c>
      <c r="L112" s="113" t="e">
        <f t="shared" si="277"/>
        <v>#NAME?</v>
      </c>
      <c r="M112" s="113" t="e">
        <f t="shared" si="277"/>
        <v>#NAME?</v>
      </c>
      <c r="N112" s="113" t="e">
        <f t="shared" si="277"/>
        <v>#NAME?</v>
      </c>
      <c r="O112" s="113" t="e">
        <f t="shared" si="277"/>
        <v>#NAME?</v>
      </c>
      <c r="P112" s="113" t="e">
        <f t="shared" si="277"/>
        <v>#NAME?</v>
      </c>
      <c r="Q112" s="113" t="e">
        <f t="shared" si="277"/>
        <v>#NAME?</v>
      </c>
      <c r="R112" s="113" t="e">
        <f t="shared" si="277"/>
        <v>#NAME?</v>
      </c>
      <c r="S112" s="113" t="e">
        <f t="shared" si="277"/>
        <v>#NAME?</v>
      </c>
      <c r="T112" s="113" t="e">
        <f t="shared" si="277"/>
        <v>#NAME?</v>
      </c>
      <c r="U112" s="113" t="e">
        <f t="shared" si="277"/>
        <v>#NAME?</v>
      </c>
      <c r="V112" s="113" t="e">
        <f t="shared" si="277"/>
        <v>#NAME?</v>
      </c>
      <c r="W112" s="113" t="e">
        <f t="shared" si="277"/>
        <v>#NAME?</v>
      </c>
      <c r="X112" s="113" t="e">
        <f t="shared" si="277"/>
        <v>#NAME?</v>
      </c>
      <c r="Y112" s="113" t="e">
        <f t="shared" si="277"/>
        <v>#NAME?</v>
      </c>
      <c r="Z112" s="113" t="e">
        <f t="shared" si="277"/>
        <v>#NAME?</v>
      </c>
      <c r="AA112" s="113" t="e">
        <f t="shared" si="277"/>
        <v>#NAME?</v>
      </c>
      <c r="AB112" s="113" t="e">
        <f t="shared" ref="AB112:AI112" si="278">VLOOKUP(AB111,ValidDateTable,4,FALSE)</f>
        <v>#NAME?</v>
      </c>
      <c r="AC112" s="113" t="e">
        <f t="shared" si="278"/>
        <v>#NAME?</v>
      </c>
      <c r="AD112" s="113" t="e">
        <f t="shared" si="278"/>
        <v>#NAME?</v>
      </c>
      <c r="AE112" s="113" t="e">
        <f t="shared" si="278"/>
        <v>#NAME?</v>
      </c>
      <c r="AF112" s="113" t="e">
        <f t="shared" si="278"/>
        <v>#NAME?</v>
      </c>
      <c r="AG112" s="113" t="e">
        <f t="shared" si="278"/>
        <v>#NAME?</v>
      </c>
      <c r="AH112" s="113" t="e">
        <f t="shared" si="278"/>
        <v>#NAME?</v>
      </c>
      <c r="AI112" s="113" t="e">
        <f t="shared" si="278"/>
        <v>#NAME?</v>
      </c>
      <c r="AJ112" s="113" t="e">
        <f t="shared" ref="AJ112:AQ112" si="279">VLOOKUP(AJ111,ValidDateTable,4,FALSE)</f>
        <v>#NAME?</v>
      </c>
      <c r="AK112" s="113" t="e">
        <f t="shared" si="279"/>
        <v>#NAME?</v>
      </c>
      <c r="AL112" s="113" t="s">
        <v>76</v>
      </c>
      <c r="AM112" s="113" t="s">
        <v>76</v>
      </c>
      <c r="AN112" s="113" t="e">
        <f t="shared" si="279"/>
        <v>#NAME?</v>
      </c>
      <c r="AO112" s="113" t="e">
        <f t="shared" si="279"/>
        <v>#NAME?</v>
      </c>
      <c r="AP112" s="113" t="e">
        <f t="shared" si="279"/>
        <v>#NAME?</v>
      </c>
      <c r="AQ112" s="113" t="e">
        <f t="shared" si="279"/>
        <v>#NAME?</v>
      </c>
      <c r="AR112" s="113" t="e">
        <f t="shared" ref="AR112:AY112" si="280">VLOOKUP(AR111,ValidDateTable,4,FALSE)</f>
        <v>#NAME?</v>
      </c>
      <c r="AS112" s="113" t="e">
        <f t="shared" si="280"/>
        <v>#NAME?</v>
      </c>
      <c r="AT112" s="113" t="e">
        <f t="shared" si="280"/>
        <v>#NAME?</v>
      </c>
      <c r="AU112" s="113" t="e">
        <f t="shared" si="280"/>
        <v>#NAME?</v>
      </c>
      <c r="AV112" s="113" t="e">
        <f t="shared" si="280"/>
        <v>#NAME?</v>
      </c>
      <c r="AW112" s="113" t="e">
        <f t="shared" si="280"/>
        <v>#NAME?</v>
      </c>
      <c r="AX112" s="113" t="e">
        <f>VLOOKUP(AX111,ValidDateTable,4,FALSE)</f>
        <v>#NAME?</v>
      </c>
      <c r="AY112" s="113" t="e">
        <f t="shared" si="280"/>
        <v>#NAME?</v>
      </c>
      <c r="AZ112" s="113" t="e">
        <f t="shared" ref="AZ112:BG112" si="281">VLOOKUP(AZ111,ValidDateTable,4,FALSE)</f>
        <v>#NAME?</v>
      </c>
      <c r="BA112" s="113" t="e">
        <f t="shared" si="281"/>
        <v>#NAME?</v>
      </c>
      <c r="BB112" s="113" t="e">
        <f t="shared" si="281"/>
        <v>#NAME?</v>
      </c>
      <c r="BC112" s="113" t="e">
        <f t="shared" si="281"/>
        <v>#NAME?</v>
      </c>
      <c r="BD112" s="113" t="e">
        <f t="shared" si="281"/>
        <v>#NAME?</v>
      </c>
      <c r="BE112" s="113" t="e">
        <f t="shared" si="281"/>
        <v>#NAME?</v>
      </c>
      <c r="BF112" s="113" t="e">
        <f t="shared" si="281"/>
        <v>#NAME?</v>
      </c>
      <c r="BG112" s="113" t="e">
        <f t="shared" si="281"/>
        <v>#NAME?</v>
      </c>
      <c r="BH112" s="113" t="e">
        <f>VLOOKUP(BH111,ValidDateTable,4,FALSE)</f>
        <v>#NAME?</v>
      </c>
      <c r="BI112" s="113" t="e">
        <f>VLOOKUP(BI111,ValidDateTable,4,FALSE)</f>
        <v>#NAME?</v>
      </c>
      <c r="BJ112" s="113" t="e">
        <f>VLOOKUP(BJ111,ValidDateTable,4,FALSE)</f>
        <v>#NAME?</v>
      </c>
      <c r="BK112" s="113" t="e">
        <f>VLOOKUP(BK111,ValidDateTable,4,FALSE)</f>
        <v>#NAME?</v>
      </c>
      <c r="BL112" s="8"/>
      <c r="BM112" s="8" t="s">
        <v>76</v>
      </c>
      <c r="BN112" s="8" t="s">
        <v>76</v>
      </c>
      <c r="BO112" s="8" t="s">
        <v>76</v>
      </c>
      <c r="BP112" s="8" t="s">
        <v>76</v>
      </c>
      <c r="BQ112" s="8" t="s">
        <v>76</v>
      </c>
      <c r="BR112" s="8" t="e">
        <f t="shared" ref="BR112:CA112" si="282">VLOOKUP(BR111,ValidDateTable,4,FALSE)</f>
        <v>#NAME?</v>
      </c>
      <c r="BS112" s="8" t="e">
        <f t="shared" si="282"/>
        <v>#NAME?</v>
      </c>
      <c r="BT112" s="8" t="e">
        <f t="shared" si="282"/>
        <v>#NAME?</v>
      </c>
      <c r="BU112" s="8" t="e">
        <f t="shared" si="282"/>
        <v>#NAME?</v>
      </c>
      <c r="BV112" s="8" t="e">
        <f t="shared" si="282"/>
        <v>#NAME?</v>
      </c>
      <c r="BW112" s="8" t="e">
        <f t="shared" si="282"/>
        <v>#NAME?</v>
      </c>
      <c r="BX112" s="8" t="e">
        <f t="shared" si="282"/>
        <v>#NAME?</v>
      </c>
      <c r="BY112" s="8" t="e">
        <f t="shared" si="282"/>
        <v>#NAME?</v>
      </c>
      <c r="BZ112" s="8" t="e">
        <f t="shared" si="282"/>
        <v>#NAME?</v>
      </c>
      <c r="CA112" s="8" t="e">
        <f t="shared" si="282"/>
        <v>#NAME?</v>
      </c>
      <c r="CB112" s="8" t="e">
        <f>VLOOKUP(CB111,ValidDateTable,4,FALSE)</f>
        <v>#NAME?</v>
      </c>
      <c r="CC112" s="8"/>
      <c r="CD112" s="352" t="e">
        <f>J112</f>
        <v>#NAME?</v>
      </c>
      <c r="CE112" s="352" t="e">
        <f>N112</f>
        <v>#NAME?</v>
      </c>
      <c r="CF112" s="352" t="e">
        <f>R112</f>
        <v>#NAME?</v>
      </c>
      <c r="CG112" s="352" t="e">
        <f>V112</f>
        <v>#NAME?</v>
      </c>
      <c r="CH112" s="352" t="e">
        <f>Z112</f>
        <v>#NAME?</v>
      </c>
      <c r="CI112" s="352" t="e">
        <f>AD112</f>
        <v>#NAME?</v>
      </c>
      <c r="CJ112" s="352" t="e">
        <f>AH112</f>
        <v>#NAME?</v>
      </c>
      <c r="CK112" s="352" t="str">
        <f>AL112</f>
        <v>A</v>
      </c>
      <c r="CL112" s="352" t="e">
        <f>AP112</f>
        <v>#NAME?</v>
      </c>
      <c r="CM112" s="352" t="e">
        <f>AQ112</f>
        <v>#NAME?</v>
      </c>
      <c r="CN112" s="352" t="e">
        <f>AR112</f>
        <v>#NAME?</v>
      </c>
      <c r="CO112" s="352" t="e">
        <f>AS112</f>
        <v>#NAME?</v>
      </c>
      <c r="CP112" s="352" t="s">
        <v>77</v>
      </c>
      <c r="CQ112" s="352" t="s">
        <v>77</v>
      </c>
      <c r="CR112" s="8"/>
      <c r="CS112" s="8"/>
      <c r="CZ112" s="8"/>
    </row>
    <row r="113" spans="1:104" ht="14.25" customHeight="1">
      <c r="A113" s="8"/>
      <c r="B113" s="112" t="s">
        <v>71</v>
      </c>
      <c r="C113" s="112"/>
      <c r="D113" s="8">
        <v>2006</v>
      </c>
      <c r="E113" s="8">
        <v>2006</v>
      </c>
      <c r="F113" s="8">
        <v>2006</v>
      </c>
      <c r="G113" s="8">
        <v>2006</v>
      </c>
      <c r="H113" s="8">
        <v>2007</v>
      </c>
      <c r="I113" s="8">
        <v>2007</v>
      </c>
      <c r="J113" s="8">
        <v>2007</v>
      </c>
      <c r="K113" s="8">
        <v>2007</v>
      </c>
      <c r="L113" s="8">
        <v>2008</v>
      </c>
      <c r="M113" s="8">
        <v>2008</v>
      </c>
      <c r="N113" s="8">
        <v>2008</v>
      </c>
      <c r="O113" s="8">
        <v>2008</v>
      </c>
      <c r="P113" s="8">
        <v>2009</v>
      </c>
      <c r="Q113" s="8">
        <v>2009</v>
      </c>
      <c r="R113" s="8">
        <v>2009</v>
      </c>
      <c r="S113" s="8">
        <v>2009</v>
      </c>
      <c r="T113" s="8">
        <v>2010</v>
      </c>
      <c r="U113" s="8">
        <v>2010</v>
      </c>
      <c r="V113" s="8">
        <v>2010</v>
      </c>
      <c r="W113" s="8">
        <v>2010</v>
      </c>
      <c r="X113" s="8">
        <v>2011</v>
      </c>
      <c r="Y113" s="8">
        <v>2011</v>
      </c>
      <c r="Z113" s="8">
        <v>2011</v>
      </c>
      <c r="AA113" s="8">
        <v>2011</v>
      </c>
      <c r="AB113" s="8">
        <v>2012</v>
      </c>
      <c r="AC113" s="8">
        <v>2012</v>
      </c>
      <c r="AD113" s="8">
        <v>2012</v>
      </c>
      <c r="AE113" s="8">
        <v>2012</v>
      </c>
      <c r="AF113" s="8">
        <v>2013</v>
      </c>
      <c r="AG113" s="8">
        <v>2013</v>
      </c>
      <c r="AH113" s="8">
        <v>2013</v>
      </c>
      <c r="AI113" s="8">
        <v>2013</v>
      </c>
      <c r="AJ113" s="8">
        <v>2014</v>
      </c>
      <c r="AK113" s="8">
        <v>2014</v>
      </c>
      <c r="AL113" s="8">
        <v>2014</v>
      </c>
      <c r="AM113" s="8">
        <v>2014</v>
      </c>
      <c r="AN113" s="8">
        <v>2015</v>
      </c>
      <c r="AO113" s="8">
        <v>2015</v>
      </c>
      <c r="AP113" s="8">
        <v>2015</v>
      </c>
      <c r="AQ113" s="8">
        <v>2015</v>
      </c>
      <c r="AR113" s="8">
        <v>2016</v>
      </c>
      <c r="AS113" s="8">
        <v>2016</v>
      </c>
      <c r="AT113" s="8">
        <v>2016</v>
      </c>
      <c r="AU113" s="8">
        <v>2016</v>
      </c>
      <c r="AV113" s="8">
        <v>2017</v>
      </c>
      <c r="AW113" s="8">
        <v>2017</v>
      </c>
      <c r="AX113" s="8">
        <v>2017</v>
      </c>
      <c r="AY113" s="8">
        <v>2017</v>
      </c>
      <c r="AZ113" s="8">
        <v>2018</v>
      </c>
      <c r="BA113" s="8">
        <v>2018</v>
      </c>
      <c r="BB113" s="8">
        <v>2018</v>
      </c>
      <c r="BC113" s="8">
        <v>2018</v>
      </c>
      <c r="BD113" s="8">
        <v>2019</v>
      </c>
      <c r="BE113" s="8">
        <v>2019</v>
      </c>
      <c r="BF113" s="8">
        <v>2019</v>
      </c>
      <c r="BG113" s="8">
        <v>2019</v>
      </c>
      <c r="BH113" s="8">
        <v>2020</v>
      </c>
      <c r="BI113" s="8">
        <v>2020</v>
      </c>
      <c r="BJ113" s="8">
        <v>2020</v>
      </c>
      <c r="BK113" s="8">
        <v>2020</v>
      </c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Z113" s="8"/>
    </row>
    <row r="114" spans="1:104" ht="14.25" customHeight="1">
      <c r="A114" s="8"/>
      <c r="B114" s="112" t="s">
        <v>72</v>
      </c>
      <c r="C114" s="112"/>
      <c r="D114" s="8">
        <v>1</v>
      </c>
      <c r="E114" s="8">
        <v>2</v>
      </c>
      <c r="F114" s="8">
        <v>3</v>
      </c>
      <c r="G114" s="8">
        <v>4</v>
      </c>
      <c r="H114" s="8">
        <v>1</v>
      </c>
      <c r="I114" s="8">
        <v>2</v>
      </c>
      <c r="J114" s="8">
        <v>3</v>
      </c>
      <c r="K114" s="8">
        <v>4</v>
      </c>
      <c r="L114" s="8">
        <v>1</v>
      </c>
      <c r="M114" s="8">
        <v>2</v>
      </c>
      <c r="N114" s="8">
        <v>3</v>
      </c>
      <c r="O114" s="8">
        <v>4</v>
      </c>
      <c r="P114" s="8">
        <v>1</v>
      </c>
      <c r="Q114" s="8">
        <v>2</v>
      </c>
      <c r="R114" s="8">
        <v>3</v>
      </c>
      <c r="S114" s="8">
        <v>4</v>
      </c>
      <c r="T114" s="8">
        <v>1</v>
      </c>
      <c r="U114" s="8">
        <v>2</v>
      </c>
      <c r="V114" s="8">
        <v>3</v>
      </c>
      <c r="W114" s="8">
        <v>4</v>
      </c>
      <c r="X114" s="8">
        <v>1</v>
      </c>
      <c r="Y114" s="8">
        <v>2</v>
      </c>
      <c r="Z114" s="8">
        <v>3</v>
      </c>
      <c r="AA114" s="8">
        <v>4</v>
      </c>
      <c r="AB114" s="8">
        <v>1</v>
      </c>
      <c r="AC114" s="8">
        <v>2</v>
      </c>
      <c r="AD114" s="8">
        <v>3</v>
      </c>
      <c r="AE114" s="8">
        <v>4</v>
      </c>
      <c r="AF114" s="8">
        <v>1</v>
      </c>
      <c r="AG114" s="8">
        <v>2</v>
      </c>
      <c r="AH114" s="8">
        <v>3</v>
      </c>
      <c r="AI114" s="8">
        <v>4</v>
      </c>
      <c r="AJ114" s="8">
        <v>1</v>
      </c>
      <c r="AK114" s="8">
        <v>2</v>
      </c>
      <c r="AL114" s="8">
        <v>3</v>
      </c>
      <c r="AM114" s="8">
        <v>4</v>
      </c>
      <c r="AN114" s="8">
        <v>1</v>
      </c>
      <c r="AO114" s="8">
        <v>2</v>
      </c>
      <c r="AP114" s="8">
        <v>3</v>
      </c>
      <c r="AQ114" s="8">
        <v>4</v>
      </c>
      <c r="AR114" s="8">
        <v>1</v>
      </c>
      <c r="AS114" s="8">
        <v>2</v>
      </c>
      <c r="AT114" s="8">
        <v>3</v>
      </c>
      <c r="AU114" s="8">
        <v>4</v>
      </c>
      <c r="AV114" s="8">
        <v>1</v>
      </c>
      <c r="AW114" s="8">
        <v>2</v>
      </c>
      <c r="AX114" s="8">
        <v>3</v>
      </c>
      <c r="AY114" s="8">
        <v>4</v>
      </c>
      <c r="AZ114" s="8">
        <v>1</v>
      </c>
      <c r="BA114" s="8">
        <v>2</v>
      </c>
      <c r="BB114" s="8">
        <v>3</v>
      </c>
      <c r="BC114" s="8">
        <v>4</v>
      </c>
      <c r="BD114" s="8">
        <v>1</v>
      </c>
      <c r="BE114" s="8">
        <v>2</v>
      </c>
      <c r="BF114" s="8">
        <v>3</v>
      </c>
      <c r="BG114" s="8">
        <v>4</v>
      </c>
      <c r="BH114" s="8">
        <v>1</v>
      </c>
      <c r="BI114" s="8">
        <v>2</v>
      </c>
      <c r="BJ114" s="8">
        <v>3</v>
      </c>
      <c r="BK114" s="8">
        <v>4</v>
      </c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Z114" s="8"/>
    </row>
    <row r="115" spans="1:104" ht="14.25" customHeight="1" outlineLevel="1">
      <c r="A115" s="8"/>
      <c r="B115" s="112" t="s">
        <v>73</v>
      </c>
      <c r="C115" s="112"/>
      <c r="D115" s="8">
        <v>2005</v>
      </c>
      <c r="E115" s="8">
        <v>2005</v>
      </c>
      <c r="F115" s="8">
        <v>2005</v>
      </c>
      <c r="G115" s="8">
        <v>2006</v>
      </c>
      <c r="H115" s="8">
        <v>2006</v>
      </c>
      <c r="I115" s="8">
        <v>2006</v>
      </c>
      <c r="J115" s="8">
        <v>2006</v>
      </c>
      <c r="K115" s="8">
        <v>2007</v>
      </c>
      <c r="L115" s="8">
        <v>2007</v>
      </c>
      <c r="M115" s="8">
        <v>2007</v>
      </c>
      <c r="N115" s="8">
        <v>2007</v>
      </c>
      <c r="O115" s="8">
        <v>2008</v>
      </c>
      <c r="P115" s="8">
        <v>2008</v>
      </c>
      <c r="Q115" s="8">
        <v>2008</v>
      </c>
      <c r="R115" s="8">
        <v>2008</v>
      </c>
      <c r="S115" s="8">
        <v>2009</v>
      </c>
      <c r="T115" s="8">
        <v>2009</v>
      </c>
      <c r="U115" s="8">
        <v>2009</v>
      </c>
      <c r="V115" s="8">
        <v>2009</v>
      </c>
      <c r="W115" s="8">
        <v>2010</v>
      </c>
      <c r="X115" s="8">
        <v>2010</v>
      </c>
      <c r="Y115" s="8">
        <v>2010</v>
      </c>
      <c r="Z115" s="8">
        <v>2010</v>
      </c>
      <c r="AA115" s="8">
        <v>2011</v>
      </c>
      <c r="AB115" s="8">
        <v>2011</v>
      </c>
      <c r="AC115" s="8">
        <v>2011</v>
      </c>
      <c r="AD115" s="8">
        <v>2011</v>
      </c>
      <c r="AE115" s="8">
        <v>2012</v>
      </c>
      <c r="AF115" s="8">
        <v>2012</v>
      </c>
      <c r="AG115" s="8">
        <v>2012</v>
      </c>
      <c r="AH115" s="8">
        <v>2012</v>
      </c>
      <c r="AI115" s="8">
        <v>2013</v>
      </c>
      <c r="AJ115" s="8">
        <v>2013</v>
      </c>
      <c r="AK115" s="8">
        <v>2013</v>
      </c>
      <c r="AL115" s="8">
        <v>2013</v>
      </c>
      <c r="AM115" s="8">
        <v>2014</v>
      </c>
      <c r="AN115" s="8">
        <v>2014</v>
      </c>
      <c r="AO115" s="8">
        <v>2014</v>
      </c>
      <c r="AP115" s="8">
        <v>2014</v>
      </c>
      <c r="AQ115" s="8">
        <v>2015</v>
      </c>
      <c r="AR115" s="8">
        <v>2015</v>
      </c>
      <c r="AS115" s="8">
        <v>2015</v>
      </c>
      <c r="AT115" s="8">
        <v>2015</v>
      </c>
      <c r="AU115" s="8">
        <v>2016</v>
      </c>
      <c r="AV115" s="8">
        <v>2016</v>
      </c>
      <c r="AW115" s="8">
        <v>2016</v>
      </c>
      <c r="AX115" s="8">
        <v>2016</v>
      </c>
      <c r="AY115" s="8">
        <v>2017</v>
      </c>
      <c r="AZ115" s="8">
        <v>2017</v>
      </c>
      <c r="BA115" s="8">
        <v>2017</v>
      </c>
      <c r="BB115" s="8">
        <v>2017</v>
      </c>
      <c r="BC115" s="8">
        <v>2018</v>
      </c>
      <c r="BD115" s="8">
        <v>2018</v>
      </c>
      <c r="BE115" s="8">
        <v>2018</v>
      </c>
      <c r="BF115" s="8">
        <v>2018</v>
      </c>
      <c r="BG115" s="8">
        <v>2019</v>
      </c>
      <c r="BH115" s="8">
        <v>2019</v>
      </c>
      <c r="BI115" s="8">
        <v>2019</v>
      </c>
      <c r="BJ115" s="8">
        <v>2019</v>
      </c>
      <c r="BK115" s="8">
        <v>2020</v>
      </c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>
        <v>2006</v>
      </c>
      <c r="CE115" s="8">
        <v>2007</v>
      </c>
      <c r="CF115" s="8">
        <v>2008</v>
      </c>
      <c r="CG115" s="8">
        <v>2009</v>
      </c>
      <c r="CH115" s="8">
        <v>2010</v>
      </c>
      <c r="CI115" s="8">
        <v>2011</v>
      </c>
      <c r="CJ115" s="8">
        <v>2012</v>
      </c>
      <c r="CK115" s="8">
        <v>2013</v>
      </c>
      <c r="CL115" s="8">
        <v>2014</v>
      </c>
      <c r="CM115" s="8">
        <v>2015</v>
      </c>
      <c r="CN115" s="8">
        <v>2016</v>
      </c>
      <c r="CO115" s="8">
        <v>2017</v>
      </c>
      <c r="CP115" s="8">
        <v>2018</v>
      </c>
      <c r="CQ115" s="8">
        <v>2019</v>
      </c>
      <c r="CR115" s="8"/>
      <c r="CS115" s="8"/>
      <c r="CZ115" s="8"/>
    </row>
    <row r="116" spans="1:104" ht="14.25" customHeight="1" outlineLevel="1">
      <c r="A116" s="8"/>
      <c r="B116" s="112" t="s">
        <v>74</v>
      </c>
      <c r="C116" s="112"/>
      <c r="D116" s="8">
        <v>2</v>
      </c>
      <c r="E116" s="8">
        <v>3</v>
      </c>
      <c r="F116" s="8">
        <v>4</v>
      </c>
      <c r="G116" s="8">
        <v>1</v>
      </c>
      <c r="H116" s="8">
        <v>2</v>
      </c>
      <c r="I116" s="8">
        <v>3</v>
      </c>
      <c r="J116" s="8">
        <v>4</v>
      </c>
      <c r="K116" s="8">
        <v>1</v>
      </c>
      <c r="L116" s="8">
        <v>2</v>
      </c>
      <c r="M116" s="8">
        <v>3</v>
      </c>
      <c r="N116" s="8">
        <v>4</v>
      </c>
      <c r="O116" s="8">
        <v>1</v>
      </c>
      <c r="P116" s="8">
        <v>2</v>
      </c>
      <c r="Q116" s="8">
        <v>3</v>
      </c>
      <c r="R116" s="8">
        <v>4</v>
      </c>
      <c r="S116" s="8">
        <v>1</v>
      </c>
      <c r="T116" s="8">
        <v>2</v>
      </c>
      <c r="U116" s="8">
        <v>3</v>
      </c>
      <c r="V116" s="8">
        <v>4</v>
      </c>
      <c r="W116" s="8">
        <v>1</v>
      </c>
      <c r="X116" s="8">
        <v>2</v>
      </c>
      <c r="Y116" s="8">
        <v>3</v>
      </c>
      <c r="Z116" s="8">
        <v>4</v>
      </c>
      <c r="AA116" s="8">
        <v>1</v>
      </c>
      <c r="AB116" s="8">
        <v>2</v>
      </c>
      <c r="AC116" s="8">
        <v>3</v>
      </c>
      <c r="AD116" s="8">
        <v>4</v>
      </c>
      <c r="AE116" s="8">
        <v>1</v>
      </c>
      <c r="AF116" s="8">
        <v>2</v>
      </c>
      <c r="AG116" s="8">
        <v>3</v>
      </c>
      <c r="AH116" s="8">
        <v>4</v>
      </c>
      <c r="AI116" s="8">
        <v>1</v>
      </c>
      <c r="AJ116" s="8">
        <v>2</v>
      </c>
      <c r="AK116" s="8">
        <v>3</v>
      </c>
      <c r="AL116" s="8">
        <v>4</v>
      </c>
      <c r="AM116" s="8">
        <v>1</v>
      </c>
      <c r="AN116" s="8">
        <v>2</v>
      </c>
      <c r="AO116" s="8">
        <v>3</v>
      </c>
      <c r="AP116" s="8">
        <v>4</v>
      </c>
      <c r="AQ116" s="8">
        <v>1</v>
      </c>
      <c r="AR116" s="8">
        <v>2</v>
      </c>
      <c r="AS116" s="8">
        <v>3</v>
      </c>
      <c r="AT116" s="8">
        <v>4</v>
      </c>
      <c r="AU116" s="8">
        <v>1</v>
      </c>
      <c r="AV116" s="8">
        <v>2</v>
      </c>
      <c r="AW116" s="8">
        <v>3</v>
      </c>
      <c r="AX116" s="8">
        <v>4</v>
      </c>
      <c r="AY116" s="8">
        <v>1</v>
      </c>
      <c r="AZ116" s="8">
        <v>2</v>
      </c>
      <c r="BA116" s="8">
        <v>3</v>
      </c>
      <c r="BB116" s="8">
        <v>4</v>
      </c>
      <c r="BC116" s="8">
        <v>1</v>
      </c>
      <c r="BD116" s="8">
        <v>2</v>
      </c>
      <c r="BE116" s="8">
        <v>3</v>
      </c>
      <c r="BF116" s="8">
        <v>4</v>
      </c>
      <c r="BG116" s="8">
        <v>1</v>
      </c>
      <c r="BH116" s="8">
        <v>2</v>
      </c>
      <c r="BI116" s="8">
        <v>3</v>
      </c>
      <c r="BJ116" s="8">
        <v>4</v>
      </c>
      <c r="BK116" s="8">
        <v>1</v>
      </c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Z116" s="8"/>
    </row>
    <row r="117" spans="1:104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Z117" s="1"/>
    </row>
    <row r="118" spans="1:104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Z118" s="1"/>
    </row>
    <row r="119" spans="1:104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Z119" s="1"/>
    </row>
    <row r="120" spans="1:104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Z120" s="1"/>
    </row>
  </sheetData>
  <phoneticPr fontId="23" type="noConversion"/>
  <pageMargins left="0" right="0" top="0" bottom="0" header="0" footer="0"/>
  <pageSetup paperSize="5" scale="74" orientation="landscape" r:id="rId1"/>
  <headerFooter alignWithMargins="0"/>
  <colBreaks count="1" manualBreakCount="1">
    <brk id="73" max="134" man="1"/>
  </colBreaks>
  <ignoredErrors>
    <ignoredError sqref="BP144:BV155 BL144:BL155 BN110:BQ110 W66 W54 M48:M50 BN96:BQ98 N64 D57:G57 I64 E48:E50 G114 F66 W70:AA70 L96:X98 X52 D114:F115 BN100:BQ100 J64 T52 S82:S84 F40 E60:E62 L35:X35 W40 L28:X28 P64 F33 L94:X94 G75 T91:AA92 D48:D50 X54 E72:F75 T82:T84 BM112:BM116 D112:G112 D117:G137 L91:S92 AC110 L70:U70 D110:G110 BW112:CA130 BX110:CA110 D75 G54 D91:G92 L72:X75 O64 BW110 X33 U26 D28:G28 X26 K64 E35:G35 L64 D68:X68 V82:V84 E82:E84 F54 D64 X48:X50 U82:U84 E64 F64 G64 F82:F84 H64 D96:G98 G45:G46 X40 D94:G94 X45:X46 T144:AQ155 U54 G82:G84 G72:G73 BX92 AN68 L82:L84 M82:M84 N82:N84 O82:O84 P82:P84 Q82:Q84 R82:R84 W82:W84 X82:X84 D82:D84 J60:J62 D70:G70 D52 T26 E26 F26 G26 L26 M26 F60:F62 N26 D66 O26 U52 P26 X20:X22 Q26 BW100 R26 BX100 S26 D100:G100 D35 I66 K60:K62 J66 L60:L62 K66 M60:M62 L66 N60:N62 M66 O60:O62 N66 P60:P62 O66 V26 M64 W26 V52 D26 W52 G60:G62 E66 L20:L22 M20:M22 N20:N22 O20:O22 P20:P22 Q20:Q22 R20:R22 S20:S22 T20:T22 U20:U22 V20:V22 W20:W22 W33 Q64 D33 R64 E33 S64 T64 G33 U64 L33 V64 M33 W64 N33 X64 O33 P33 Q33 H60:H62 R33 S33 G66 T33 I60:I62 U33 H66 V33 D60:D62 D72:D73 X66 Q60:Q62 P66 R60:R62 Q66 S60:S62 R66 T60:T62 S66 U60:U62 T66 V60:V62 U66 W60:W62 V66 X60:X62 N48:N50 D40 L54 E40 O48:O50 M54 G40 P48:P50 L40 N54 M40 Q48:Q50 N40 O54 O40 R48:R50 P40 P54 Q40 S48:S50 R40 Q54 S40 T48:T50 T40 R54 U40 U48:U50 V40 S54 V48:V50 T54 E52 F52 G52 S52 L52 M52 N52 O52 P52 V54 Q52 R52 W48:W50 BX83:BX84 D45:D46 E45:E46 F45:F46 L45:L46 M45:M46 N45:N46 O45:O46 P45:P46 Q45:Q46 R45:R46 S45:S46 T45:T46 U45:U46 V45:V46 W45:W46 F48:F50 D54 G48:G50 E54 L48:L50" formula="1"/>
    <ignoredError sqref="Q114:S114 BL11:BM14 CC57 AL13:AM13 Y13:AA13 Y11:AA11 Q117:S143 BS10:BU10 BN13:BV14 BT42:BV42 BN11:BV11 CD72:CL75 AG11:AI13 CI94:CL95 BL10:BQ10 CD89:CH95 CI89:CL92 CD110:CL110 CD97:CL100 CD82:CL84 AL11 CD112:CL159" formulaRange="1"/>
    <ignoredError sqref="BM110 BS42 AL64:AM64 AG100:AM100 CD20:CL22 BR110:BV110 Y60:AA62 AL28:AM28 AB112:AK112 CD58:CL58 BL52:BL56 Y72:AA75 Y110:AB110 AG110:AQ110 AD98:AE98 Y28:AA28 BL18:BL22 Y35:AA35 Y94:AA94 Y96:Z98 AA97:AA98 Y68:AA68 AL35:AM35 CD57:CL57 T114:AQ114 BP112:BV143 Y15:AA15 BM82:BV84 AG98:AM98 BL58:BL59 BM58:BV58 BM64:BV64 CD56:CL56 T117:AB143 AC117:AQ118 BV68 BM91:BM98 BL89:BL100 AL20:AM20 AC124:AQ143 AD110:AE110 BR97:BV98 Y26:AA26 BN91:BV95 AL57 AG91:AH92 AL82:AM84 CD11:CE15 Y82:AA84 BM89:BV90 BL110 BL31:BL35 CK10:CL10 CD10:CI10 CF13:CL15 BM100 CF11:CL11 CD26:CL28 AG20:AI20 BM26:BV28 Y100:AA100 AL26:AM26 BM33:BV35 CD33:CL35 BR100:BV100 CD40:CL40 BL85 AL48:AM50 Y20:AA22 AG26 AL33:AM33 BM20:BV22 BL44:BL47 AL40:AM40 Y33:AA33 AL45:AM45 BL24:BL28 BL15:BV15 BM56:BT56 CD64:CL64 BL64:BL68 Y40:AA40 BL38:BL41 CD66:CL68 AL54:AM54 CD70:CL70 BM40:BV40 CD42:CL42 BL70:BV70 BV60 BL72:BV75 Y45:AA46 AL52:AM52 BM45:BU45 CD45:CL45 AD100:AE100 Y54:AA54 CD49:CL50 AL60:AM62 Y48:AA50 BM54:BV54 CD54:CL54 Y64:AA64 Y52:AA52 AL66:AM66 BM52:BV52 CD52:CL52 AL72:AM75 Y66:AA66 AG66:AI66 AK92:AM92 BV57 BL71 BL81:BL84 CD60:CL62 BL78:BL79 BL49:BV50 BL57:BT57 BL60:BU62 BM66:BU68 BV66 AG72:AH75 AI75 AI72:AI73 AG60:AI62 AG52:AI52 AG54:AI54 AG45:AI45 AG40:AI40 AI33 AG48:AI50 AI26 AG82:AI84 AG35:AI35 AG28:AI28 AG64:AI64 AG15:AI15 AG57:AI57 AI92 AL15 AN112:AQ112 AO100:AQ100 BL48:BU48 CD48:CK48 BL112:BL143" formula="1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CZ163"/>
  <sheetViews>
    <sheetView showGridLines="0" zoomScale="85" zoomScaleNormal="85" workbookViewId="0">
      <pane xSplit="3" ySplit="9" topLeftCell="BB10" activePane="bottomRight" state="frozen"/>
      <selection activeCell="AW75" sqref="AW75"/>
      <selection pane="topRight" activeCell="AW75" sqref="AW75"/>
      <selection pane="bottomLeft" activeCell="AW75" sqref="AW75"/>
      <selection pane="bottomRight" activeCell="B6" sqref="B6"/>
    </sheetView>
  </sheetViews>
  <sheetFormatPr defaultRowHeight="14.25" customHeight="1" outlineLevelRow="1" outlineLevelCol="1"/>
  <cols>
    <col min="1" max="1" width="1.7109375" customWidth="1"/>
    <col min="2" max="2" width="44.7109375" customWidth="1"/>
    <col min="3" max="3" width="1.7109375" customWidth="1"/>
    <col min="4" max="31" width="11.42578125" hidden="1" customWidth="1" outlineLevel="1"/>
    <col min="32" max="32" width="11.42578125" hidden="1" customWidth="1" outlineLevel="1" collapsed="1"/>
    <col min="33" max="35" width="11.42578125" hidden="1" customWidth="1" outlineLevel="1"/>
    <col min="36" max="36" width="10.5703125" hidden="1" customWidth="1" collapsed="1"/>
    <col min="37" max="37" width="10.5703125" hidden="1" customWidth="1"/>
    <col min="38" max="39" width="11.42578125" hidden="1" customWidth="1"/>
    <col min="40" max="40" width="11.140625" hidden="1" customWidth="1" outlineLevel="1"/>
    <col min="41" max="42" width="10.5703125" hidden="1" customWidth="1" outlineLevel="1"/>
    <col min="43" max="43" width="10" hidden="1" customWidth="1" outlineLevel="1"/>
    <col min="44" max="44" width="10.5703125" hidden="1" customWidth="1" outlineLevel="1" collapsed="1"/>
    <col min="45" max="46" width="10.5703125" hidden="1" customWidth="1" outlineLevel="1"/>
    <col min="47" max="47" width="10.42578125" hidden="1" customWidth="1" outlineLevel="1"/>
    <col min="48" max="48" width="11.28515625" hidden="1" customWidth="1" outlineLevel="1" collapsed="1"/>
    <col min="49" max="49" width="10.5703125" hidden="1" customWidth="1" outlineLevel="1"/>
    <col min="50" max="50" width="11.140625" hidden="1" customWidth="1" outlineLevel="1"/>
    <col min="51" max="51" width="11.5703125" hidden="1" customWidth="1" outlineLevel="1"/>
    <col min="52" max="52" width="11.7109375" customWidth="1" collapsed="1"/>
    <col min="53" max="53" width="12.42578125" customWidth="1"/>
    <col min="54" max="55" width="11.28515625" customWidth="1"/>
    <col min="56" max="59" width="10.5703125" customWidth="1"/>
    <col min="60" max="63" width="10.5703125" customWidth="1" outlineLevel="1"/>
    <col min="64" max="64" width="1.85546875" customWidth="1"/>
    <col min="65" max="71" width="11.42578125" hidden="1" customWidth="1" outlineLevel="1"/>
    <col min="72" max="73" width="9.7109375" hidden="1" customWidth="1" outlineLevel="1"/>
    <col min="74" max="75" width="10.5703125" hidden="1" customWidth="1" outlineLevel="1"/>
    <col min="76" max="76" width="11.42578125" customWidth="1" collapsed="1"/>
    <col min="77" max="79" width="11.42578125" customWidth="1"/>
    <col min="80" max="80" width="11.42578125" hidden="1" customWidth="1" outlineLevel="1"/>
    <col min="81" max="81" width="1.85546875" customWidth="1" collapsed="1"/>
    <col min="82" max="92" width="11.42578125" hidden="1" customWidth="1" outlineLevel="1"/>
    <col min="93" max="93" width="11.42578125" customWidth="1" collapsed="1"/>
    <col min="94" max="95" width="11.42578125" customWidth="1"/>
    <col min="96" max="96" width="10.7109375" bestFit="1" customWidth="1"/>
    <col min="97" max="97" width="10.7109375" customWidth="1"/>
  </cols>
  <sheetData>
    <row r="1" spans="1:104" ht="67.5" customHeight="1">
      <c r="A1" s="1"/>
      <c r="B1" s="345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" t="str">
        <f>IF(SUM(BS)&lt;&gt;0,"BS BREAK","")</f>
        <v/>
      </c>
      <c r="BM1" s="1"/>
      <c r="BN1" s="1"/>
      <c r="BO1" s="1"/>
      <c r="BP1" s="1"/>
      <c r="BQ1" s="2" t="str">
        <f>IF(SUM(BS)&lt;&gt;0,"BS BREAK","")</f>
        <v/>
      </c>
      <c r="BR1" s="2"/>
      <c r="BS1" s="2" t="str">
        <f>IF(SUM(BS)&lt;&gt;0,"BS BREAK","")</f>
        <v/>
      </c>
      <c r="BT1" s="1"/>
      <c r="BU1" s="2" t="str">
        <f>IF(SUM(BS)&lt;&gt;0,"BS BREAK","")</f>
        <v/>
      </c>
      <c r="BV1" s="2"/>
      <c r="BW1" s="2"/>
      <c r="BX1" s="1"/>
      <c r="BY1" s="2" t="str">
        <f>IF(SUM(BS)&lt;&gt;0,"BS BREAK","")</f>
        <v/>
      </c>
      <c r="BZ1" s="1"/>
      <c r="CA1" s="1" t="str">
        <f>IF(SUM(BS)&lt;&gt;0,"BS BREAK","")</f>
        <v/>
      </c>
      <c r="CB1" s="2"/>
      <c r="CC1" s="1"/>
      <c r="CD1" s="1"/>
      <c r="CE1" s="1"/>
      <c r="CF1" s="1"/>
      <c r="CG1" s="1"/>
      <c r="CH1" s="1" t="str">
        <f>IF(SUM(BS)&lt;&gt;0,"BS BREAK","")</f>
        <v/>
      </c>
      <c r="CI1" s="1"/>
      <c r="CJ1" s="1" t="str">
        <f>IF(SUM(BS)&lt;&gt;0,"BS BREAK","")</f>
        <v/>
      </c>
      <c r="CK1" s="1"/>
      <c r="CL1" s="2" t="str">
        <f>IF(SUM(BS)&lt;&gt;0,"BS BREAK","")</f>
        <v/>
      </c>
      <c r="CM1" s="2" t="str">
        <f>IF(SUM(BS)&lt;&gt;0,"BS BREAK","")</f>
        <v/>
      </c>
      <c r="CN1" s="2" t="str">
        <f>IF(SUM(BS)&lt;&gt;0,"BS BREAK","")</f>
        <v/>
      </c>
      <c r="CO1" s="2"/>
      <c r="CP1" s="2"/>
      <c r="CQ1" s="2"/>
      <c r="CR1" s="1"/>
      <c r="CS1" s="1"/>
      <c r="CZ1" s="1"/>
    </row>
    <row r="2" spans="1:104" ht="18" customHeight="1">
      <c r="A2" s="1"/>
      <c r="B2" s="4" t="s">
        <v>246</v>
      </c>
      <c r="C2" s="4"/>
      <c r="D2" s="1"/>
      <c r="E2" s="1"/>
      <c r="F2" s="1"/>
      <c r="G2" s="5"/>
      <c r="H2" s="1"/>
      <c r="I2" s="1"/>
      <c r="J2" s="1"/>
      <c r="K2" s="5"/>
      <c r="L2" s="1"/>
      <c r="M2" s="1"/>
      <c r="N2" s="1"/>
      <c r="O2" s="5"/>
      <c r="P2" s="1"/>
      <c r="Q2" s="1"/>
      <c r="R2" s="1"/>
      <c r="S2" s="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5"/>
      <c r="BN2" s="5"/>
      <c r="BO2" s="5"/>
      <c r="BP2" s="5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5"/>
      <c r="CE2" s="5"/>
      <c r="CF2" s="5"/>
      <c r="CG2" s="5"/>
      <c r="CH2" s="5"/>
      <c r="CI2" s="5"/>
      <c r="CJ2" s="5"/>
      <c r="CK2" s="1"/>
      <c r="CL2" s="1"/>
      <c r="CM2" s="1"/>
      <c r="CN2" s="1"/>
      <c r="CO2" s="1"/>
      <c r="CP2" s="1"/>
      <c r="CQ2" s="1"/>
      <c r="CR2" s="1"/>
      <c r="CS2" s="1"/>
      <c r="CZ2" s="1"/>
    </row>
    <row r="3" spans="1:104" ht="14.25" customHeight="1">
      <c r="A3" s="1"/>
      <c r="B3" s="1"/>
      <c r="C3" s="1"/>
      <c r="D3" s="1"/>
      <c r="E3" s="1"/>
      <c r="F3" s="1"/>
      <c r="G3" s="5"/>
      <c r="H3" s="1"/>
      <c r="I3" s="1"/>
      <c r="J3" s="1"/>
      <c r="K3" s="5"/>
      <c r="L3" s="1"/>
      <c r="M3" s="1"/>
      <c r="N3" s="1"/>
      <c r="O3" s="5"/>
      <c r="P3" s="1"/>
      <c r="Q3" s="1"/>
      <c r="R3" s="1"/>
      <c r="S3" s="5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5"/>
      <c r="BN3" s="5"/>
      <c r="BO3" s="5"/>
      <c r="BP3" s="5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5"/>
      <c r="CE3" s="5"/>
      <c r="CF3" s="5"/>
      <c r="CG3" s="5"/>
      <c r="CH3" s="5"/>
      <c r="CI3" s="5"/>
      <c r="CJ3" s="5"/>
      <c r="CK3" s="1"/>
      <c r="CL3" s="1"/>
      <c r="CM3" s="1"/>
      <c r="CN3" s="1"/>
      <c r="CO3" s="1"/>
      <c r="CP3" s="1"/>
      <c r="CQ3" s="1"/>
      <c r="CR3" s="1"/>
      <c r="CS3" s="1"/>
      <c r="CZ3" s="1"/>
    </row>
    <row r="4" spans="1:104" ht="14.25" customHeight="1">
      <c r="A4" s="1"/>
      <c r="B4" s="1"/>
      <c r="C4" s="1"/>
      <c r="D4" s="1"/>
      <c r="E4" s="1"/>
      <c r="F4" s="1"/>
      <c r="G4" s="5"/>
      <c r="H4" s="1"/>
      <c r="I4" s="1"/>
      <c r="J4" s="1"/>
      <c r="K4" s="5"/>
      <c r="L4" s="1"/>
      <c r="M4" s="1"/>
      <c r="N4" s="1"/>
      <c r="O4" s="5"/>
      <c r="P4" s="1"/>
      <c r="Q4" s="1"/>
      <c r="R4" s="1"/>
      <c r="S4" s="5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490" t="s">
        <v>291</v>
      </c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5"/>
      <c r="BN4" s="5"/>
      <c r="BO4" s="5"/>
      <c r="BP4" s="5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5"/>
      <c r="CE4" s="5"/>
      <c r="CF4" s="5"/>
      <c r="CG4" s="5"/>
      <c r="CH4" s="5"/>
      <c r="CI4" s="5"/>
      <c r="CJ4" s="5"/>
      <c r="CK4" s="1"/>
      <c r="CL4" s="1"/>
      <c r="CM4" s="1"/>
      <c r="CN4" s="1"/>
      <c r="CO4" s="1"/>
      <c r="CP4" s="1"/>
      <c r="CQ4" s="1"/>
      <c r="CR4" s="1"/>
      <c r="CS4" s="1"/>
      <c r="CZ4" s="1"/>
    </row>
    <row r="5" spans="1:104" ht="14.25" customHeight="1">
      <c r="A5" s="1"/>
      <c r="B5" s="1"/>
      <c r="C5" s="1"/>
      <c r="D5" s="1"/>
      <c r="E5" s="1"/>
      <c r="F5" s="1"/>
      <c r="G5" s="5"/>
      <c r="H5" s="1"/>
      <c r="I5" s="1"/>
      <c r="J5" s="1"/>
      <c r="K5" s="5"/>
      <c r="L5" s="1"/>
      <c r="M5" s="354"/>
      <c r="N5" s="354"/>
      <c r="O5" s="355"/>
      <c r="P5" s="354"/>
      <c r="Q5" s="354"/>
      <c r="R5" s="1"/>
      <c r="S5" s="5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490"/>
      <c r="AG5" s="490" t="s">
        <v>291</v>
      </c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5"/>
      <c r="BN5" s="5"/>
      <c r="BO5" s="5"/>
      <c r="BP5" s="5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5"/>
      <c r="CE5" s="5"/>
      <c r="CF5" s="5"/>
      <c r="CG5" s="5"/>
      <c r="CH5" s="5"/>
      <c r="CI5" s="5"/>
      <c r="CJ5" s="5"/>
      <c r="CK5" s="1"/>
      <c r="CL5" s="1"/>
      <c r="CM5" s="1"/>
      <c r="CN5" s="1"/>
      <c r="CO5" s="1"/>
      <c r="CP5" s="1"/>
      <c r="CQ5" s="1"/>
      <c r="CR5" s="1"/>
      <c r="CS5" s="1"/>
      <c r="CZ5" s="1"/>
    </row>
    <row r="6" spans="1:104" ht="14.25" customHeight="1">
      <c r="A6" s="1"/>
      <c r="B6" s="7"/>
      <c r="C6" s="7"/>
      <c r="D6" s="1"/>
      <c r="E6" s="1"/>
      <c r="F6" s="1"/>
      <c r="G6" s="5"/>
      <c r="H6" s="1"/>
      <c r="I6" s="1"/>
      <c r="J6" s="1"/>
      <c r="K6" s="5"/>
      <c r="L6" s="1"/>
      <c r="M6" s="1"/>
      <c r="N6" s="1"/>
      <c r="O6" s="1"/>
      <c r="P6" s="1"/>
      <c r="Q6" s="1"/>
      <c r="R6" s="1"/>
      <c r="S6" s="347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6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5"/>
      <c r="BN6" s="5"/>
      <c r="BO6" s="5"/>
      <c r="BP6" s="5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5"/>
      <c r="CE6" s="5"/>
      <c r="CF6" s="5"/>
      <c r="CG6" s="5"/>
      <c r="CH6" s="5"/>
      <c r="CI6" s="5"/>
      <c r="CJ6" s="5"/>
      <c r="CK6" s="1"/>
      <c r="CL6" s="1"/>
      <c r="CM6" s="1"/>
      <c r="CN6" s="1"/>
      <c r="CO6" s="1"/>
      <c r="CP6" s="1"/>
      <c r="CQ6" s="1"/>
      <c r="CR6" s="1"/>
      <c r="CS6" s="1"/>
      <c r="CZ6" s="1"/>
    </row>
    <row r="7" spans="1:104" ht="14.25" customHeight="1">
      <c r="A7" s="8"/>
      <c r="B7" s="9" t="s">
        <v>250</v>
      </c>
      <c r="C7" s="10"/>
      <c r="D7" s="17" t="str">
        <f>IS!D7</f>
        <v>C2Q05A</v>
      </c>
      <c r="E7" s="18" t="str">
        <f>IS!E7</f>
        <v>C3Q05A</v>
      </c>
      <c r="F7" s="18" t="str">
        <f>IS!F7</f>
        <v>C4Q05A</v>
      </c>
      <c r="G7" s="19" t="str">
        <f>IS!G7</f>
        <v>C1Q06A</v>
      </c>
      <c r="H7" s="17" t="str">
        <f>IS!H7</f>
        <v>C2Q06A</v>
      </c>
      <c r="I7" s="18" t="str">
        <f>IS!I7</f>
        <v>C3Q06A</v>
      </c>
      <c r="J7" s="18" t="str">
        <f>IS!J7</f>
        <v>C4Q06A</v>
      </c>
      <c r="K7" s="19" t="str">
        <f>IS!K7</f>
        <v>C1Q07A</v>
      </c>
      <c r="L7" s="17" t="str">
        <f>IS!L7</f>
        <v>C2Q07A</v>
      </c>
      <c r="M7" s="18" t="str">
        <f>IS!M7</f>
        <v>C3Q07A</v>
      </c>
      <c r="N7" s="18" t="str">
        <f>IS!N7</f>
        <v>C4Q07A</v>
      </c>
      <c r="O7" s="19" t="str">
        <f>IS!O7</f>
        <v>C1Q08A</v>
      </c>
      <c r="P7" s="17" t="str">
        <f>IS!P7</f>
        <v>C2Q08A</v>
      </c>
      <c r="Q7" s="18" t="str">
        <f>IS!Q7</f>
        <v>C3Q08A</v>
      </c>
      <c r="R7" s="18" t="str">
        <f>IS!R7</f>
        <v>C4Q08A</v>
      </c>
      <c r="S7" s="19" t="str">
        <f>IS!S7</f>
        <v>C1Q09A</v>
      </c>
      <c r="T7" s="17" t="str">
        <f>IS!T7</f>
        <v>C2Q09A</v>
      </c>
      <c r="U7" s="18" t="str">
        <f>IS!U7</f>
        <v>C3Q09A</v>
      </c>
      <c r="V7" s="18" t="str">
        <f>IS!V7</f>
        <v>C4Q09A</v>
      </c>
      <c r="W7" s="19" t="str">
        <f>IS!W7</f>
        <v>C1Q10A</v>
      </c>
      <c r="X7" s="17" t="str">
        <f>IS!X7</f>
        <v>C2Q10A</v>
      </c>
      <c r="Y7" s="18" t="str">
        <f>IS!Y7</f>
        <v>C3Q10A</v>
      </c>
      <c r="Z7" s="18" t="str">
        <f>IS!Z7</f>
        <v>C4Q10A</v>
      </c>
      <c r="AA7" s="19" t="str">
        <f>IS!AA7</f>
        <v>C1Q11A</v>
      </c>
      <c r="AB7" s="17" t="str">
        <f>IS!AB7</f>
        <v>C2Q11A</v>
      </c>
      <c r="AC7" s="18" t="str">
        <f>IS!AC7</f>
        <v>C3Q11A</v>
      </c>
      <c r="AD7" s="18" t="str">
        <f>IS!AD7</f>
        <v>C4Q11A</v>
      </c>
      <c r="AE7" s="19" t="str">
        <f>IS!AE7</f>
        <v>C1Q12A</v>
      </c>
      <c r="AF7" s="17" t="str">
        <f>IS!AF7</f>
        <v>C2Q12A</v>
      </c>
      <c r="AG7" s="18" t="str">
        <f>IS!AG7</f>
        <v>C3Q12A</v>
      </c>
      <c r="AH7" s="18" t="str">
        <f>IS!AH7</f>
        <v>C4Q12A</v>
      </c>
      <c r="AI7" s="19" t="str">
        <f>IS!AI7</f>
        <v>C1Q13A</v>
      </c>
      <c r="AJ7" s="17" t="str">
        <f>IS!AJ7</f>
        <v>C2Q13A</v>
      </c>
      <c r="AK7" s="18" t="str">
        <f>IS!AK7</f>
        <v>C3Q13A</v>
      </c>
      <c r="AL7" s="18" t="str">
        <f>IS!AL7</f>
        <v>C4Q13A</v>
      </c>
      <c r="AM7" s="19" t="str">
        <f>IS!AM7</f>
        <v>C1Q14A</v>
      </c>
      <c r="AN7" s="17" t="str">
        <f>IS!AN7</f>
        <v>C2Q14A</v>
      </c>
      <c r="AO7" s="18" t="str">
        <f>IS!AO7</f>
        <v>C3Q14A</v>
      </c>
      <c r="AP7" s="18" t="str">
        <f>IS!AP7</f>
        <v>C4Q14A</v>
      </c>
      <c r="AQ7" s="19" t="str">
        <f>IS!AQ7</f>
        <v>C1Q15A</v>
      </c>
      <c r="AR7" s="17" t="str">
        <f>IS!AR7</f>
        <v>C2Q15A</v>
      </c>
      <c r="AS7" s="18" t="str">
        <f>IS!AS7</f>
        <v>C3Q15A</v>
      </c>
      <c r="AT7" s="18" t="str">
        <f>IS!AT7</f>
        <v>C4Q15A</v>
      </c>
      <c r="AU7" s="19" t="str">
        <f>IS!AU7</f>
        <v>C1Q16A</v>
      </c>
      <c r="AV7" s="17" t="str">
        <f>IS!AV7</f>
        <v>C2Q16A</v>
      </c>
      <c r="AW7" s="18" t="str">
        <f>IS!AW7</f>
        <v>C3Q16A</v>
      </c>
      <c r="AX7" s="18" t="str">
        <f>IS!AX7</f>
        <v>C4Q16A</v>
      </c>
      <c r="AY7" s="19" t="str">
        <f>IS!AY7</f>
        <v>C1Q17A</v>
      </c>
      <c r="AZ7" s="17" t="str">
        <f>IS!AZ7</f>
        <v>C2Q17A</v>
      </c>
      <c r="BA7" s="18" t="str">
        <f>IS!BA7</f>
        <v>C3Q17A</v>
      </c>
      <c r="BB7" s="18" t="str">
        <f>IS!BB7</f>
        <v>C4Q17A</v>
      </c>
      <c r="BC7" s="19" t="str">
        <f>IS!BC7</f>
        <v>C1Q18A</v>
      </c>
      <c r="BD7" s="856" t="str">
        <f>IS!BD7</f>
        <v>C2Q18E</v>
      </c>
      <c r="BE7" s="757" t="str">
        <f>IS!BE7</f>
        <v>C3Q18E</v>
      </c>
      <c r="BF7" s="757" t="str">
        <f>IS!BF7</f>
        <v>C4Q18E</v>
      </c>
      <c r="BG7" s="756" t="str">
        <f>IS!BG7</f>
        <v>C1Q19E</v>
      </c>
      <c r="BH7" s="856" t="str">
        <f>IS!BH7</f>
        <v>C2Q19E</v>
      </c>
      <c r="BI7" s="757" t="str">
        <f>IS!BI7</f>
        <v>C3Q19E</v>
      </c>
      <c r="BJ7" s="757" t="str">
        <f>IS!BJ7</f>
        <v>C4Q19E</v>
      </c>
      <c r="BK7" s="756" t="str">
        <f>IS!BK7</f>
        <v>C1Q20E</v>
      </c>
      <c r="BL7" s="8"/>
      <c r="BM7" s="11"/>
      <c r="BN7" s="11"/>
      <c r="BO7" s="11"/>
      <c r="BP7" s="11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269"/>
      <c r="CD7" s="351" t="str">
        <f>IS!CD7</f>
        <v>CY2006</v>
      </c>
      <c r="CE7" s="511" t="str">
        <f>IS!CE7</f>
        <v>CY2007</v>
      </c>
      <c r="CF7" s="511" t="str">
        <f>IS!CF7</f>
        <v>CY2008</v>
      </c>
      <c r="CG7" s="511" t="str">
        <f>IS!CG7</f>
        <v>CY2009</v>
      </c>
      <c r="CH7" s="511" t="str">
        <f>IS!CH7</f>
        <v>CY2010</v>
      </c>
      <c r="CI7" s="511" t="str">
        <f>IS!CI7</f>
        <v>CY2011</v>
      </c>
      <c r="CJ7" s="511" t="str">
        <f>IS!CJ7</f>
        <v>CY2012</v>
      </c>
      <c r="CK7" s="18" t="str">
        <f>IS!CK7</f>
        <v>CY2013</v>
      </c>
      <c r="CL7" s="511" t="str">
        <f>IS!CL7</f>
        <v>CY2014</v>
      </c>
      <c r="CM7" s="511" t="str">
        <f>IS!CM7</f>
        <v>CY2015</v>
      </c>
      <c r="CN7" s="18" t="str">
        <f>IS!CN7</f>
        <v>CY2016</v>
      </c>
      <c r="CO7" s="18" t="str">
        <f>IS!CO7</f>
        <v>CY2017</v>
      </c>
      <c r="CP7" s="18" t="str">
        <f>IS!CP7</f>
        <v>CY2018</v>
      </c>
      <c r="CQ7" s="19" t="str">
        <f>IS!CQ7</f>
        <v>CY2019</v>
      </c>
      <c r="CR7" s="8"/>
      <c r="CS7" s="8"/>
      <c r="CZ7" s="8"/>
    </row>
    <row r="8" spans="1:104" ht="14.25" customHeight="1">
      <c r="A8" s="8"/>
      <c r="B8" s="12" t="s">
        <v>252</v>
      </c>
      <c r="C8" s="13"/>
      <c r="D8" s="503">
        <f>IS!D8</f>
        <v>38533</v>
      </c>
      <c r="E8" s="504">
        <f>IS!E8</f>
        <v>38625</v>
      </c>
      <c r="F8" s="504">
        <f>IS!F8</f>
        <v>38717</v>
      </c>
      <c r="G8" s="505">
        <f>IS!G8</f>
        <v>38807</v>
      </c>
      <c r="H8" s="503">
        <f>IS!H8</f>
        <v>38898</v>
      </c>
      <c r="I8" s="504">
        <f>IS!I8</f>
        <v>38990</v>
      </c>
      <c r="J8" s="504">
        <f>IS!J8</f>
        <v>39082</v>
      </c>
      <c r="K8" s="505">
        <f>IS!K8</f>
        <v>39172</v>
      </c>
      <c r="L8" s="503">
        <f>IS!L8</f>
        <v>39263</v>
      </c>
      <c r="M8" s="504">
        <f>IS!M8</f>
        <v>39355</v>
      </c>
      <c r="N8" s="504">
        <f>IS!N8</f>
        <v>39447</v>
      </c>
      <c r="O8" s="505">
        <f>IS!O8</f>
        <v>39538</v>
      </c>
      <c r="P8" s="503">
        <f>IS!P8</f>
        <v>39629</v>
      </c>
      <c r="Q8" s="504">
        <f>IS!Q8</f>
        <v>39721</v>
      </c>
      <c r="R8" s="504">
        <f>IS!R8</f>
        <v>39813</v>
      </c>
      <c r="S8" s="505">
        <f>IS!S8</f>
        <v>39903</v>
      </c>
      <c r="T8" s="503">
        <f>IS!T8</f>
        <v>39994</v>
      </c>
      <c r="U8" s="504">
        <f>IS!U8</f>
        <v>40086</v>
      </c>
      <c r="V8" s="504">
        <f>IS!V8</f>
        <v>40178</v>
      </c>
      <c r="W8" s="505">
        <f>IS!W8</f>
        <v>40268</v>
      </c>
      <c r="X8" s="503">
        <f>IS!X8</f>
        <v>40359</v>
      </c>
      <c r="Y8" s="504">
        <f>IS!Y8</f>
        <v>40451</v>
      </c>
      <c r="Z8" s="504">
        <f>IS!Z8</f>
        <v>40543</v>
      </c>
      <c r="AA8" s="505">
        <f>IS!AA8</f>
        <v>40633</v>
      </c>
      <c r="AB8" s="503">
        <f>IS!AB8</f>
        <v>40724</v>
      </c>
      <c r="AC8" s="504">
        <f>IS!AC8</f>
        <v>40816</v>
      </c>
      <c r="AD8" s="504">
        <f>IS!AD8</f>
        <v>40908</v>
      </c>
      <c r="AE8" s="505">
        <f>IS!AE8</f>
        <v>40999</v>
      </c>
      <c r="AF8" s="503">
        <f>IS!AF8</f>
        <v>41090</v>
      </c>
      <c r="AG8" s="504">
        <f>IS!AG8</f>
        <v>41182</v>
      </c>
      <c r="AH8" s="504">
        <f>IS!AH8</f>
        <v>41274</v>
      </c>
      <c r="AI8" s="505">
        <f>IS!AI8</f>
        <v>41364</v>
      </c>
      <c r="AJ8" s="503">
        <f>IS!AJ8</f>
        <v>41455</v>
      </c>
      <c r="AK8" s="504">
        <f>IS!AK8</f>
        <v>41547</v>
      </c>
      <c r="AL8" s="504">
        <f>IS!AL8</f>
        <v>41639</v>
      </c>
      <c r="AM8" s="505">
        <f>IS!AM8</f>
        <v>41729</v>
      </c>
      <c r="AN8" s="503">
        <f>IS!AN8</f>
        <v>41820</v>
      </c>
      <c r="AO8" s="504">
        <f>IS!AO8</f>
        <v>41912</v>
      </c>
      <c r="AP8" s="504">
        <f>IS!AP8</f>
        <v>42004</v>
      </c>
      <c r="AQ8" s="505">
        <f>IS!AQ8</f>
        <v>42094</v>
      </c>
      <c r="AR8" s="503">
        <f>IS!AR8</f>
        <v>42185</v>
      </c>
      <c r="AS8" s="504">
        <f>IS!AS8</f>
        <v>42277</v>
      </c>
      <c r="AT8" s="504">
        <f>IS!AT8</f>
        <v>42369</v>
      </c>
      <c r="AU8" s="505">
        <f>IS!AU8</f>
        <v>42460</v>
      </c>
      <c r="AV8" s="503">
        <f>IS!AV8</f>
        <v>42551</v>
      </c>
      <c r="AW8" s="504">
        <f>IS!AW8</f>
        <v>42643</v>
      </c>
      <c r="AX8" s="504">
        <f>IS!AX8</f>
        <v>42735</v>
      </c>
      <c r="AY8" s="505">
        <f>IS!AY8</f>
        <v>42825</v>
      </c>
      <c r="AZ8" s="503">
        <f>IS!AZ8</f>
        <v>42916</v>
      </c>
      <c r="BA8" s="504">
        <f>IS!BA8</f>
        <v>43008</v>
      </c>
      <c r="BB8" s="504">
        <f>IS!BB8</f>
        <v>43100</v>
      </c>
      <c r="BC8" s="505">
        <f>IS!BC8</f>
        <v>43190</v>
      </c>
      <c r="BD8" s="857">
        <f>IS!BD8</f>
        <v>43281</v>
      </c>
      <c r="BE8" s="759">
        <f>IS!BE8</f>
        <v>43373</v>
      </c>
      <c r="BF8" s="759">
        <f>IS!BF8</f>
        <v>43465</v>
      </c>
      <c r="BG8" s="758">
        <f>IS!BG8</f>
        <v>43555</v>
      </c>
      <c r="BH8" s="857">
        <f>IS!BH8</f>
        <v>43646</v>
      </c>
      <c r="BI8" s="759">
        <f>IS!BI8</f>
        <v>43738</v>
      </c>
      <c r="BJ8" s="759">
        <f>IS!BJ8</f>
        <v>43830</v>
      </c>
      <c r="BK8" s="758">
        <f>IS!BK8</f>
        <v>43921</v>
      </c>
      <c r="BL8" s="22"/>
      <c r="BM8" s="11"/>
      <c r="BN8" s="11"/>
      <c r="BO8" s="11"/>
      <c r="BP8" s="11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269"/>
      <c r="CD8" s="599">
        <f>IS!CD8</f>
        <v>39082</v>
      </c>
      <c r="CE8" s="600">
        <f>IS!CE8</f>
        <v>39447</v>
      </c>
      <c r="CF8" s="600">
        <f>IS!CF8</f>
        <v>39813</v>
      </c>
      <c r="CG8" s="600">
        <f>IS!CG8</f>
        <v>40178</v>
      </c>
      <c r="CH8" s="600">
        <f>IS!CH8</f>
        <v>40543</v>
      </c>
      <c r="CI8" s="600">
        <f>IS!CI8</f>
        <v>40908</v>
      </c>
      <c r="CJ8" s="600">
        <f>IS!CJ8</f>
        <v>41274</v>
      </c>
      <c r="CK8" s="600">
        <f>IS!CK8</f>
        <v>41639</v>
      </c>
      <c r="CL8" s="600">
        <f>IS!CL8</f>
        <v>42004</v>
      </c>
      <c r="CM8" s="600">
        <f>IS!CM8</f>
        <v>42369</v>
      </c>
      <c r="CN8" s="600">
        <f>IS!CN8</f>
        <v>42735</v>
      </c>
      <c r="CO8" s="600">
        <f>IS!CO8</f>
        <v>43100</v>
      </c>
      <c r="CP8" s="600">
        <f>IS!CP8</f>
        <v>43465</v>
      </c>
      <c r="CQ8" s="115">
        <f>IS!CQ8</f>
        <v>43830</v>
      </c>
      <c r="CR8" s="11"/>
      <c r="CS8" s="11"/>
      <c r="CZ8" s="8"/>
    </row>
    <row r="9" spans="1:104" ht="14.25" customHeight="1">
      <c r="A9" s="8"/>
      <c r="B9" s="12"/>
      <c r="C9" s="13"/>
      <c r="D9" s="17" t="str">
        <f>IS!D9</f>
        <v>F1Q06A</v>
      </c>
      <c r="E9" s="18" t="str">
        <f>IS!E9</f>
        <v>F2Q06A</v>
      </c>
      <c r="F9" s="18" t="str">
        <f>IS!F9</f>
        <v>F3Q06A</v>
      </c>
      <c r="G9" s="19" t="str">
        <f>IS!G9</f>
        <v>F4Q06A</v>
      </c>
      <c r="H9" s="17" t="str">
        <f>IS!H9</f>
        <v>F1Q07A</v>
      </c>
      <c r="I9" s="18" t="str">
        <f>IS!I9</f>
        <v>F2Q07A</v>
      </c>
      <c r="J9" s="18" t="str">
        <f>IS!J9</f>
        <v>F3Q07A</v>
      </c>
      <c r="K9" s="19" t="str">
        <f>IS!K9</f>
        <v>F4Q07A</v>
      </c>
      <c r="L9" s="17" t="str">
        <f>IS!L9</f>
        <v>F1Q08A</v>
      </c>
      <c r="M9" s="18" t="str">
        <f>IS!M9</f>
        <v>F2Q08A</v>
      </c>
      <c r="N9" s="18" t="str">
        <f>IS!N9</f>
        <v>F3Q08A</v>
      </c>
      <c r="O9" s="19" t="str">
        <f>IS!O9</f>
        <v>F4Q08A</v>
      </c>
      <c r="P9" s="17" t="str">
        <f>IS!P9</f>
        <v>F1Q09A</v>
      </c>
      <c r="Q9" s="18" t="str">
        <f>IS!Q9</f>
        <v>F2Q09A</v>
      </c>
      <c r="R9" s="18" t="str">
        <f>IS!R9</f>
        <v>F3Q09A</v>
      </c>
      <c r="S9" s="19" t="str">
        <f>IS!S9</f>
        <v>F4Q09A</v>
      </c>
      <c r="T9" s="17" t="str">
        <f>IS!T9</f>
        <v>F1Q10A</v>
      </c>
      <c r="U9" s="18" t="str">
        <f>IS!U9</f>
        <v>F2Q10A</v>
      </c>
      <c r="V9" s="18" t="str">
        <f>IS!V9</f>
        <v>F3Q10A</v>
      </c>
      <c r="W9" s="19" t="str">
        <f>IS!W9</f>
        <v>F4Q10A</v>
      </c>
      <c r="X9" s="17" t="str">
        <f>IS!X9</f>
        <v>F1Q11A</v>
      </c>
      <c r="Y9" s="18" t="str">
        <f>IS!Y9</f>
        <v>F2Q11A</v>
      </c>
      <c r="Z9" s="18" t="str">
        <f>IS!Z9</f>
        <v>F3Q11A</v>
      </c>
      <c r="AA9" s="19" t="str">
        <f>IS!AA9</f>
        <v>F4Q11A</v>
      </c>
      <c r="AB9" s="17" t="str">
        <f>IS!AB9</f>
        <v>F1Q12A</v>
      </c>
      <c r="AC9" s="18" t="str">
        <f>IS!AC9</f>
        <v>F2Q12A</v>
      </c>
      <c r="AD9" s="18" t="str">
        <f>IS!AD9</f>
        <v>F3Q12A</v>
      </c>
      <c r="AE9" s="19" t="str">
        <f>IS!AE9</f>
        <v>F4Q12A</v>
      </c>
      <c r="AF9" s="17" t="str">
        <f>IS!AF9</f>
        <v>F1Q13A</v>
      </c>
      <c r="AG9" s="18" t="str">
        <f>IS!AG9</f>
        <v>F2Q13A</v>
      </c>
      <c r="AH9" s="18" t="str">
        <f>IS!AH9</f>
        <v>F3Q13A</v>
      </c>
      <c r="AI9" s="19" t="str">
        <f>IS!AI9</f>
        <v>F4Q13A</v>
      </c>
      <c r="AJ9" s="17" t="str">
        <f>IS!AJ9</f>
        <v>F1Q14A</v>
      </c>
      <c r="AK9" s="18" t="str">
        <f>IS!AK9</f>
        <v>F2Q14A</v>
      </c>
      <c r="AL9" s="18" t="str">
        <f>IS!AL9</f>
        <v>F3Q14A</v>
      </c>
      <c r="AM9" s="19" t="str">
        <f>IS!AM9</f>
        <v>F4Q14A</v>
      </c>
      <c r="AN9" s="17" t="str">
        <f>IS!AN9</f>
        <v>F1Q15A</v>
      </c>
      <c r="AO9" s="18" t="str">
        <f>IS!AO9</f>
        <v>F2Q15A</v>
      </c>
      <c r="AP9" s="18" t="str">
        <f>IS!AP9</f>
        <v>F3Q15A</v>
      </c>
      <c r="AQ9" s="19" t="str">
        <f>IS!AQ9</f>
        <v>F4Q15A</v>
      </c>
      <c r="AR9" s="17" t="str">
        <f>IS!AR9</f>
        <v>F1Q16A</v>
      </c>
      <c r="AS9" s="18" t="str">
        <f>IS!AS9</f>
        <v>F2Q16A</v>
      </c>
      <c r="AT9" s="18" t="str">
        <f>IS!AT9</f>
        <v>F3Q16A</v>
      </c>
      <c r="AU9" s="19" t="str">
        <f>IS!AU9</f>
        <v>F4Q16A</v>
      </c>
      <c r="AV9" s="17" t="str">
        <f>IS!AV9</f>
        <v>F1Q17A</v>
      </c>
      <c r="AW9" s="18" t="str">
        <f>IS!AW9</f>
        <v>F2Q17A</v>
      </c>
      <c r="AX9" s="18" t="str">
        <f>IS!AX9</f>
        <v>F3Q17A</v>
      </c>
      <c r="AY9" s="19" t="str">
        <f>IS!AY9</f>
        <v>F4Q17A</v>
      </c>
      <c r="AZ9" s="17" t="str">
        <f>IS!AZ9</f>
        <v>F1Q18A</v>
      </c>
      <c r="BA9" s="18" t="str">
        <f>IS!BA9</f>
        <v>F2Q18A</v>
      </c>
      <c r="BB9" s="18" t="str">
        <f>IS!BB9</f>
        <v>F3Q18A</v>
      </c>
      <c r="BC9" s="19" t="str">
        <f>IS!BC9</f>
        <v>F4Q18A</v>
      </c>
      <c r="BD9" s="856" t="str">
        <f>IS!BD9</f>
        <v>F1Q19E</v>
      </c>
      <c r="BE9" s="757" t="str">
        <f>IS!BE9</f>
        <v>F2Q19E</v>
      </c>
      <c r="BF9" s="757" t="str">
        <f>IS!BF9</f>
        <v>F3Q19E</v>
      </c>
      <c r="BG9" s="756" t="str">
        <f>IS!BG9</f>
        <v>F4Q19E</v>
      </c>
      <c r="BH9" s="856" t="str">
        <f>IS!BH9</f>
        <v>F1Q20E</v>
      </c>
      <c r="BI9" s="757" t="str">
        <f>IS!BI9</f>
        <v>F2Q20E</v>
      </c>
      <c r="BJ9" s="757" t="str">
        <f>IS!BJ9</f>
        <v>F3Q20E</v>
      </c>
      <c r="BK9" s="756" t="str">
        <f>IS!BK9</f>
        <v>F4Q20E</v>
      </c>
      <c r="BL9" s="20"/>
      <c r="BM9" s="17" t="str">
        <f>IS!BM9</f>
        <v>FY2006A</v>
      </c>
      <c r="BN9" s="18" t="str">
        <f>IS!BN9</f>
        <v>FY2007A</v>
      </c>
      <c r="BO9" s="18" t="str">
        <f>IS!BO9</f>
        <v>FY2008A</v>
      </c>
      <c r="BP9" s="18" t="str">
        <f>IS!BP9</f>
        <v>FY2009A</v>
      </c>
      <c r="BQ9" s="18" t="str">
        <f>IS!BQ9</f>
        <v>FY2010A</v>
      </c>
      <c r="BR9" s="18" t="str">
        <f>IS!BR9</f>
        <v>FY2011A</v>
      </c>
      <c r="BS9" s="18" t="str">
        <f>IS!BS9</f>
        <v>FY2012A</v>
      </c>
      <c r="BT9" s="17" t="str">
        <f>IS!BT9</f>
        <v>FY2013A</v>
      </c>
      <c r="BU9" s="18" t="str">
        <f>IS!BU9</f>
        <v>FY2014</v>
      </c>
      <c r="BV9" s="18" t="str">
        <f>IS!BV9</f>
        <v>FY2015</v>
      </c>
      <c r="BW9" s="18" t="str">
        <f>IS!BW9</f>
        <v>FY2016</v>
      </c>
      <c r="BX9" s="511" t="str">
        <f>IS!BX9</f>
        <v>FY2017</v>
      </c>
      <c r="BY9" s="817" t="str">
        <f>IS!BY9</f>
        <v>FY2018A</v>
      </c>
      <c r="BZ9" s="817" t="str">
        <f>IS!BZ9</f>
        <v>FY2019E</v>
      </c>
      <c r="CA9" s="817" t="str">
        <f>IS!CA9</f>
        <v>FY2020E</v>
      </c>
      <c r="CB9" s="818" t="str">
        <f>IS!CB9</f>
        <v>FY2021E</v>
      </c>
      <c r="CC9" s="20"/>
      <c r="CD9" s="512"/>
      <c r="CE9" s="513"/>
      <c r="CF9" s="513"/>
      <c r="CG9" s="513"/>
      <c r="CH9" s="513"/>
      <c r="CI9" s="513"/>
      <c r="CJ9" s="513"/>
      <c r="CK9" s="753"/>
      <c r="CL9" s="670"/>
      <c r="CM9" s="670"/>
      <c r="CN9" s="513"/>
      <c r="CO9" s="513"/>
      <c r="CP9" s="513"/>
      <c r="CQ9" s="913"/>
      <c r="CR9" s="8"/>
      <c r="CS9" s="8"/>
      <c r="CZ9" s="11"/>
    </row>
    <row r="10" spans="1:104" ht="14.25" customHeight="1">
      <c r="A10" s="8"/>
      <c r="B10" s="116" t="s">
        <v>103</v>
      </c>
      <c r="C10" s="117"/>
      <c r="D10" s="120"/>
      <c r="E10" s="118"/>
      <c r="F10" s="118"/>
      <c r="G10" s="119"/>
      <c r="H10" s="120"/>
      <c r="I10" s="118"/>
      <c r="J10" s="118"/>
      <c r="K10" s="119"/>
      <c r="L10" s="120"/>
      <c r="M10" s="118"/>
      <c r="N10" s="118"/>
      <c r="O10" s="119"/>
      <c r="P10" s="120"/>
      <c r="Q10" s="118"/>
      <c r="R10" s="118"/>
      <c r="S10" s="119"/>
      <c r="T10" s="120"/>
      <c r="U10" s="118"/>
      <c r="V10" s="118"/>
      <c r="W10" s="119"/>
      <c r="X10" s="120"/>
      <c r="Y10" s="118"/>
      <c r="Z10" s="47"/>
      <c r="AA10" s="122"/>
      <c r="AB10" s="118"/>
      <c r="AC10" s="118"/>
      <c r="AD10" s="118"/>
      <c r="AE10" s="122"/>
      <c r="AF10" s="120"/>
      <c r="AG10" s="118"/>
      <c r="AH10" s="118"/>
      <c r="AI10" s="119"/>
      <c r="AJ10" s="120"/>
      <c r="AK10" s="118"/>
      <c r="AL10" s="118"/>
      <c r="AM10" s="119"/>
      <c r="AN10" s="120"/>
      <c r="AO10" s="118"/>
      <c r="AP10" s="118"/>
      <c r="AQ10" s="119"/>
      <c r="AR10" s="120"/>
      <c r="AS10" s="118"/>
      <c r="AT10" s="118"/>
      <c r="AU10" s="119"/>
      <c r="AV10" s="120"/>
      <c r="AW10" s="118"/>
      <c r="AX10" s="118"/>
      <c r="AY10" s="118"/>
      <c r="AZ10" s="120"/>
      <c r="BA10" s="118"/>
      <c r="BB10" s="121"/>
      <c r="BC10" s="119"/>
      <c r="BD10" s="847"/>
      <c r="BE10" s="118"/>
      <c r="BF10" s="121"/>
      <c r="BG10" s="119"/>
      <c r="BH10" s="847"/>
      <c r="BI10" s="118"/>
      <c r="BJ10" s="121"/>
      <c r="BK10" s="119"/>
      <c r="BL10" s="20"/>
      <c r="BM10" s="121"/>
      <c r="BN10" s="118"/>
      <c r="BO10" s="118"/>
      <c r="BP10" s="118"/>
      <c r="BQ10" s="118"/>
      <c r="BR10" s="118"/>
      <c r="BS10" s="118"/>
      <c r="BT10" s="120"/>
      <c r="BU10" s="118"/>
      <c r="BV10" s="118"/>
      <c r="BW10" s="118"/>
      <c r="BX10" s="118"/>
      <c r="BY10" s="118"/>
      <c r="BZ10" s="118"/>
      <c r="CA10" s="118"/>
      <c r="CB10" s="961"/>
      <c r="CC10" s="20"/>
      <c r="CD10" s="121"/>
      <c r="CE10" s="121"/>
      <c r="CF10" s="121"/>
      <c r="CG10" s="121"/>
      <c r="CH10" s="121"/>
      <c r="CI10" s="121"/>
      <c r="CJ10" s="121"/>
      <c r="CK10" s="121"/>
      <c r="CL10" s="121"/>
      <c r="CM10" s="121"/>
      <c r="CN10" s="121"/>
      <c r="CO10" s="121"/>
      <c r="CP10" s="118"/>
      <c r="CQ10" s="119"/>
      <c r="CR10" s="14"/>
      <c r="CS10" s="14"/>
      <c r="CZ10" s="11"/>
    </row>
    <row r="11" spans="1:104" ht="14.25" customHeight="1">
      <c r="A11" s="8"/>
      <c r="B11" s="28" t="s">
        <v>104</v>
      </c>
      <c r="C11" s="29"/>
      <c r="D11" s="57">
        <v>497.14699999999999</v>
      </c>
      <c r="E11" s="47">
        <v>567.02599999999995</v>
      </c>
      <c r="F11" s="47">
        <v>623.90700000000004</v>
      </c>
      <c r="G11" s="48">
        <v>783.36599999999999</v>
      </c>
      <c r="H11" s="57">
        <v>829.23800000000006</v>
      </c>
      <c r="I11" s="47">
        <v>903.58399999999995</v>
      </c>
      <c r="J11" s="47">
        <v>540.048</v>
      </c>
      <c r="K11" s="48">
        <v>635.87900000000002</v>
      </c>
      <c r="L11" s="57">
        <v>627.96400000000006</v>
      </c>
      <c r="M11" s="47">
        <v>368.30200000000002</v>
      </c>
      <c r="N11" s="47">
        <v>400.39800000000002</v>
      </c>
      <c r="O11" s="48">
        <v>866.995</v>
      </c>
      <c r="P11" s="57">
        <v>769.476</v>
      </c>
      <c r="Q11" s="47">
        <v>701.40599999999995</v>
      </c>
      <c r="R11" s="47">
        <v>1007.782</v>
      </c>
      <c r="S11" s="48">
        <v>1065.9870000000001</v>
      </c>
      <c r="T11" s="57">
        <v>836.38099999999997</v>
      </c>
      <c r="U11" s="47">
        <v>1028.1199999999999</v>
      </c>
      <c r="V11" s="47">
        <v>1037.5640000000001</v>
      </c>
      <c r="W11" s="48">
        <v>1031.4570000000001</v>
      </c>
      <c r="X11" s="47">
        <v>912.44500000000005</v>
      </c>
      <c r="Y11" s="47">
        <v>774.505</v>
      </c>
      <c r="Z11" s="47">
        <v>1101.05</v>
      </c>
      <c r="AA11" s="48">
        <v>1222.3589999999999</v>
      </c>
      <c r="AB11" s="47">
        <v>961.23699999999997</v>
      </c>
      <c r="AC11" s="47">
        <v>602.952</v>
      </c>
      <c r="AD11" s="47">
        <f>661.325</f>
        <v>661.32500000000005</v>
      </c>
      <c r="AE11" s="48">
        <v>788.822</v>
      </c>
      <c r="AF11" s="47">
        <v>526.18899999999996</v>
      </c>
      <c r="AG11" s="47">
        <v>595.11900000000003</v>
      </c>
      <c r="AH11" s="47">
        <v>623.13699999999994</v>
      </c>
      <c r="AI11" s="48">
        <v>623.55799999999999</v>
      </c>
      <c r="AJ11" s="47">
        <v>509.41399999999999</v>
      </c>
      <c r="AK11" s="47">
        <v>570.49400000000003</v>
      </c>
      <c r="AL11" s="47">
        <v>631.87900000000002</v>
      </c>
      <c r="AM11" s="48">
        <v>973.67700000000002</v>
      </c>
      <c r="AN11" s="57">
        <v>625.03200000000004</v>
      </c>
      <c r="AO11" s="47">
        <v>714.69899999999996</v>
      </c>
      <c r="AP11" s="47">
        <v>1431.0229999999999</v>
      </c>
      <c r="AQ11" s="48">
        <v>892.572</v>
      </c>
      <c r="AR11" s="57">
        <v>666.33799999999997</v>
      </c>
      <c r="AS11" s="47">
        <v>760.61099999999999</v>
      </c>
      <c r="AT11" s="47">
        <v>898.26400000000001</v>
      </c>
      <c r="AU11" s="48">
        <v>503.81599999999997</v>
      </c>
      <c r="AV11" s="57">
        <v>582.36199999999997</v>
      </c>
      <c r="AW11" s="47">
        <v>690.49</v>
      </c>
      <c r="AX11" s="47">
        <v>839.54600000000005</v>
      </c>
      <c r="AY11" s="48">
        <v>966.69500000000005</v>
      </c>
      <c r="AZ11" s="57">
        <v>1059.355</v>
      </c>
      <c r="BA11" s="47">
        <v>1070.193</v>
      </c>
      <c r="BB11" s="47">
        <v>911.46100000000001</v>
      </c>
      <c r="BC11" s="111">
        <f>3447.57-BC12</f>
        <v>817.45500000000038</v>
      </c>
      <c r="BD11" s="109">
        <f>BC11+CFS!BD52</f>
        <v>847.02046645396035</v>
      </c>
      <c r="BE11" s="110">
        <f>BD11+CFS!BE52</f>
        <v>945.21373833697737</v>
      </c>
      <c r="BF11" s="110">
        <f>BE11+CFS!BF52</f>
        <v>1019.0152087056504</v>
      </c>
      <c r="BG11" s="111">
        <f>BF11+CFS!BG52</f>
        <v>1075.6490979707016</v>
      </c>
      <c r="BH11" s="109">
        <f>BG11+CFS!BH52</f>
        <v>1157.8985991720631</v>
      </c>
      <c r="BI11" s="110">
        <f>BH11+CFS!BI52</f>
        <v>1234.0327206232625</v>
      </c>
      <c r="BJ11" s="110">
        <f>BI11+CFS!BJ52</f>
        <v>1316.2306029506829</v>
      </c>
      <c r="BK11" s="111">
        <f>BJ11+CFS!BK52</f>
        <v>1392.5374561978597</v>
      </c>
      <c r="BL11" s="20"/>
      <c r="BM11" s="110">
        <f t="shared" ref="BM11:BM16" si="0">G11</f>
        <v>783.36599999999999</v>
      </c>
      <c r="BN11" s="110">
        <f t="shared" ref="BN11:BN16" si="1">K11</f>
        <v>635.87900000000002</v>
      </c>
      <c r="BO11" s="110">
        <f t="shared" ref="BO11:BO16" si="2">O11</f>
        <v>866.995</v>
      </c>
      <c r="BP11" s="110">
        <f t="shared" ref="BP11:BP16" si="3">S11</f>
        <v>1065.9870000000001</v>
      </c>
      <c r="BQ11" s="110">
        <f t="shared" ref="BQ11:BQ16" si="4">W11</f>
        <v>1031.4570000000001</v>
      </c>
      <c r="BR11" s="110">
        <f t="shared" ref="BR11:BR16" si="5">AA11</f>
        <v>1222.3589999999999</v>
      </c>
      <c r="BS11" s="110">
        <f t="shared" ref="BS11:BS16" si="6">AE11</f>
        <v>788.822</v>
      </c>
      <c r="BT11" s="109">
        <f t="shared" ref="BT11:BT16" si="7">AI11</f>
        <v>623.55799999999999</v>
      </c>
      <c r="BU11" s="110">
        <f t="shared" ref="BU11:BU16" si="8">AM11</f>
        <v>973.67700000000002</v>
      </c>
      <c r="BV11" s="110">
        <f t="shared" ref="BV11:BV16" si="9">AQ11</f>
        <v>892.572</v>
      </c>
      <c r="BW11" s="110">
        <f t="shared" ref="BW11:BW16" si="10">AU11</f>
        <v>503.81599999999997</v>
      </c>
      <c r="BX11" s="110">
        <f t="shared" ref="BX11:BX16" si="11">AY11</f>
        <v>966.69500000000005</v>
      </c>
      <c r="BY11" s="110">
        <f t="shared" ref="BY11:BY16" si="12">BC11</f>
        <v>817.45500000000038</v>
      </c>
      <c r="BZ11" s="110">
        <f t="shared" ref="BZ11:BZ16" si="13">BG11</f>
        <v>1075.6490979707016</v>
      </c>
      <c r="CA11" s="110">
        <f t="shared" ref="CA11:CA16" si="14">BK11</f>
        <v>1392.5374561978597</v>
      </c>
      <c r="CB11" s="962">
        <f>CA11+CFS!CB52</f>
        <v>1793.0228866894126</v>
      </c>
      <c r="CC11" s="20"/>
      <c r="CD11" s="110">
        <f t="shared" ref="CD11:CD16" si="15">J11</f>
        <v>540.048</v>
      </c>
      <c r="CE11" s="110">
        <f t="shared" ref="CE11:CE16" si="16">N11</f>
        <v>400.39800000000002</v>
      </c>
      <c r="CF11" s="110">
        <f t="shared" ref="CF11:CF16" si="17">R11</f>
        <v>1007.782</v>
      </c>
      <c r="CG11" s="110">
        <f t="shared" ref="CG11:CG16" si="18">V11</f>
        <v>1037.5640000000001</v>
      </c>
      <c r="CH11" s="110">
        <f t="shared" ref="CH11:CH16" si="19">Z11</f>
        <v>1101.05</v>
      </c>
      <c r="CI11" s="110">
        <f t="shared" ref="CI11:CI16" si="20">AD11</f>
        <v>661.32500000000005</v>
      </c>
      <c r="CJ11" s="110">
        <f t="shared" ref="CJ11:CJ16" si="21">AH11</f>
        <v>623.13699999999994</v>
      </c>
      <c r="CK11" s="110">
        <f t="shared" ref="CK11:CK16" si="22">AL11</f>
        <v>631.87900000000002</v>
      </c>
      <c r="CL11" s="110">
        <f t="shared" ref="CL11:CL16" si="23">AP11</f>
        <v>1431.0229999999999</v>
      </c>
      <c r="CM11" s="110">
        <f t="shared" ref="CM11:CM16" si="24">AT11</f>
        <v>898.26400000000001</v>
      </c>
      <c r="CN11" s="110">
        <f t="shared" ref="CN11:CN16" si="25">AX11</f>
        <v>839.54600000000005</v>
      </c>
      <c r="CO11" s="110">
        <f t="shared" ref="CO11:CO16" si="26">BB11</f>
        <v>911.46100000000001</v>
      </c>
      <c r="CP11" s="110">
        <f t="shared" ref="CP11:CP16" si="27">BF11</f>
        <v>1019.0152087056504</v>
      </c>
      <c r="CQ11" s="111">
        <f t="shared" ref="CQ11:CQ16" si="28">BJ11</f>
        <v>1316.2306029506829</v>
      </c>
      <c r="CR11" s="808"/>
      <c r="CS11" s="808"/>
      <c r="CZ11" s="11"/>
    </row>
    <row r="12" spans="1:104" ht="14.25" customHeight="1">
      <c r="A12" s="8"/>
      <c r="B12" s="28" t="s">
        <v>235</v>
      </c>
      <c r="C12" s="29"/>
      <c r="D12" s="83">
        <v>454.03100000000001</v>
      </c>
      <c r="E12" s="84">
        <v>314.85899999999998</v>
      </c>
      <c r="F12" s="84">
        <v>264.41300000000001</v>
      </c>
      <c r="G12" s="85">
        <v>201.55099999999999</v>
      </c>
      <c r="H12" s="83">
        <v>204.14</v>
      </c>
      <c r="I12" s="84">
        <v>323.76799999999997</v>
      </c>
      <c r="J12" s="84">
        <v>617.60500000000002</v>
      </c>
      <c r="K12" s="85">
        <v>502.036</v>
      </c>
      <c r="L12" s="83">
        <v>574.03700000000003</v>
      </c>
      <c r="M12" s="84">
        <v>852.98599999999999</v>
      </c>
      <c r="N12" s="84">
        <v>915.54899999999998</v>
      </c>
      <c r="O12" s="85">
        <v>429.44</v>
      </c>
      <c r="P12" s="83">
        <v>469.23700000000002</v>
      </c>
      <c r="Q12" s="84">
        <v>599.60699999999997</v>
      </c>
      <c r="R12" s="84">
        <v>282.14800000000002</v>
      </c>
      <c r="S12" s="85">
        <v>258.94600000000003</v>
      </c>
      <c r="T12" s="83">
        <v>588.16600000000005</v>
      </c>
      <c r="U12" s="84">
        <v>489.49</v>
      </c>
      <c r="V12" s="84">
        <v>452.42899999999997</v>
      </c>
      <c r="W12" s="85">
        <v>355.14800000000002</v>
      </c>
      <c r="X12" s="84">
        <v>631.22</v>
      </c>
      <c r="Y12" s="84">
        <v>632.15899999999999</v>
      </c>
      <c r="Z12" s="84">
        <v>663.71500000000003</v>
      </c>
      <c r="AA12" s="85">
        <v>704.05399999999997</v>
      </c>
      <c r="AB12" s="84">
        <v>1012.149</v>
      </c>
      <c r="AC12" s="84">
        <v>1204.5930000000001</v>
      </c>
      <c r="AD12" s="84">
        <f>1099.306</f>
        <v>1099.306</v>
      </c>
      <c r="AE12" s="85">
        <v>1128.8050000000001</v>
      </c>
      <c r="AF12" s="84">
        <v>1216.9380000000001</v>
      </c>
      <c r="AG12" s="84">
        <v>1111.338</v>
      </c>
      <c r="AH12" s="84">
        <v>1063.4939999999999</v>
      </c>
      <c r="AI12" s="85">
        <v>1091.1869999999999</v>
      </c>
      <c r="AJ12" s="84">
        <v>1332.366</v>
      </c>
      <c r="AK12" s="84">
        <v>1693.5709999999999</v>
      </c>
      <c r="AL12" s="84">
        <v>1825.54</v>
      </c>
      <c r="AM12" s="85">
        <v>1483.644</v>
      </c>
      <c r="AN12" s="83">
        <v>1860.175</v>
      </c>
      <c r="AO12" s="84">
        <v>1881.1469999999999</v>
      </c>
      <c r="AP12" s="84">
        <v>1489.7439999999999</v>
      </c>
      <c r="AQ12" s="85">
        <v>2410.489</v>
      </c>
      <c r="AR12" s="83">
        <v>2666.087</v>
      </c>
      <c r="AS12" s="84">
        <f>2535.173</f>
        <v>2535.1729999999998</v>
      </c>
      <c r="AT12" s="84">
        <v>2498.2719999999999</v>
      </c>
      <c r="AU12" s="85">
        <v>2833.8829999999998</v>
      </c>
      <c r="AV12" s="83">
        <v>2935.616</v>
      </c>
      <c r="AW12" s="84">
        <v>2799.3380000000002</v>
      </c>
      <c r="AX12" s="84">
        <v>2414.5889999999999</v>
      </c>
      <c r="AY12" s="85">
        <v>2354.7620000000002</v>
      </c>
      <c r="AZ12" s="83">
        <v>2588.2069999999999</v>
      </c>
      <c r="BA12" s="84">
        <v>2490.027</v>
      </c>
      <c r="BB12" s="84">
        <v>2630.1149999999998</v>
      </c>
      <c r="BC12" s="82">
        <f>BB12</f>
        <v>2630.1149999999998</v>
      </c>
      <c r="BD12" s="80">
        <f>BC12-CFS!BD35</f>
        <v>2630.1149999999998</v>
      </c>
      <c r="BE12" s="81">
        <f>BD12-CFS!BE35</f>
        <v>2630.1149999999998</v>
      </c>
      <c r="BF12" s="81">
        <f>BE12-CFS!BF35</f>
        <v>2630.1149999999998</v>
      </c>
      <c r="BG12" s="82">
        <f>BF12-CFS!BG35</f>
        <v>2630.1149999999998</v>
      </c>
      <c r="BH12" s="80">
        <f>BG12-CFS!BH35</f>
        <v>2630.1149999999998</v>
      </c>
      <c r="BI12" s="81">
        <f>BH12-CFS!BI35</f>
        <v>2630.1149999999998</v>
      </c>
      <c r="BJ12" s="81">
        <f>BI12-CFS!BJ35</f>
        <v>2630.1149999999998</v>
      </c>
      <c r="BK12" s="82">
        <f>BJ12-CFS!BK35</f>
        <v>2630.1149999999998</v>
      </c>
      <c r="BL12" s="123"/>
      <c r="BM12" s="81">
        <f t="shared" si="0"/>
        <v>201.55099999999999</v>
      </c>
      <c r="BN12" s="81">
        <f t="shared" si="1"/>
        <v>502.036</v>
      </c>
      <c r="BO12" s="81">
        <f t="shared" si="2"/>
        <v>429.44</v>
      </c>
      <c r="BP12" s="81">
        <f t="shared" si="3"/>
        <v>258.94600000000003</v>
      </c>
      <c r="BQ12" s="81">
        <f t="shared" si="4"/>
        <v>355.14800000000002</v>
      </c>
      <c r="BR12" s="81">
        <f t="shared" si="5"/>
        <v>704.05399999999997</v>
      </c>
      <c r="BS12" s="81">
        <f t="shared" si="6"/>
        <v>1128.8050000000001</v>
      </c>
      <c r="BT12" s="80">
        <f t="shared" si="7"/>
        <v>1091.1869999999999</v>
      </c>
      <c r="BU12" s="81">
        <f t="shared" si="8"/>
        <v>1483.644</v>
      </c>
      <c r="BV12" s="81">
        <f t="shared" si="9"/>
        <v>2410.489</v>
      </c>
      <c r="BW12" s="81">
        <f t="shared" si="10"/>
        <v>2833.8829999999998</v>
      </c>
      <c r="BX12" s="81">
        <f t="shared" si="11"/>
        <v>2354.7620000000002</v>
      </c>
      <c r="BY12" s="81">
        <f t="shared" si="12"/>
        <v>2630.1149999999998</v>
      </c>
      <c r="BZ12" s="81">
        <f t="shared" si="13"/>
        <v>2630.1149999999998</v>
      </c>
      <c r="CA12" s="81">
        <f t="shared" si="14"/>
        <v>2630.1149999999998</v>
      </c>
      <c r="CB12" s="945">
        <f>CA12-CFS!CB35</f>
        <v>2630.1149999999998</v>
      </c>
      <c r="CC12" s="20"/>
      <c r="CD12" s="81">
        <f t="shared" si="15"/>
        <v>617.60500000000002</v>
      </c>
      <c r="CE12" s="81">
        <f t="shared" si="16"/>
        <v>915.54899999999998</v>
      </c>
      <c r="CF12" s="81">
        <f t="shared" si="17"/>
        <v>282.14800000000002</v>
      </c>
      <c r="CG12" s="81">
        <f t="shared" si="18"/>
        <v>452.42899999999997</v>
      </c>
      <c r="CH12" s="81">
        <f t="shared" si="19"/>
        <v>663.71500000000003</v>
      </c>
      <c r="CI12" s="81">
        <f t="shared" si="20"/>
        <v>1099.306</v>
      </c>
      <c r="CJ12" s="81">
        <f t="shared" si="21"/>
        <v>1063.4939999999999</v>
      </c>
      <c r="CK12" s="81">
        <f t="shared" si="22"/>
        <v>1825.54</v>
      </c>
      <c r="CL12" s="81">
        <f t="shared" si="23"/>
        <v>1489.7439999999999</v>
      </c>
      <c r="CM12" s="81">
        <f t="shared" si="24"/>
        <v>2498.2719999999999</v>
      </c>
      <c r="CN12" s="81">
        <f t="shared" si="25"/>
        <v>2414.5889999999999</v>
      </c>
      <c r="CO12" s="81">
        <f t="shared" si="26"/>
        <v>2630.1149999999998</v>
      </c>
      <c r="CP12" s="81">
        <f t="shared" si="27"/>
        <v>2630.1149999999998</v>
      </c>
      <c r="CQ12" s="82">
        <f t="shared" si="28"/>
        <v>2630.1149999999998</v>
      </c>
      <c r="CR12" s="808"/>
      <c r="CS12" s="808"/>
      <c r="CZ12" s="11"/>
    </row>
    <row r="13" spans="1:104" ht="14.25" customHeight="1">
      <c r="A13" s="8"/>
      <c r="B13" s="28" t="s">
        <v>105</v>
      </c>
      <c r="C13" s="29"/>
      <c r="D13" s="83">
        <v>194.601</v>
      </c>
      <c r="E13" s="84">
        <v>191.512</v>
      </c>
      <c r="F13" s="84">
        <v>142.27099999999999</v>
      </c>
      <c r="G13" s="85">
        <v>194.20500000000001</v>
      </c>
      <c r="H13" s="83">
        <v>152.214</v>
      </c>
      <c r="I13" s="84">
        <v>186.22399999999999</v>
      </c>
      <c r="J13" s="84">
        <v>147.71100000000001</v>
      </c>
      <c r="K13" s="85">
        <v>182.29499999999999</v>
      </c>
      <c r="L13" s="83">
        <v>208.392</v>
      </c>
      <c r="M13" s="84">
        <v>236.6</v>
      </c>
      <c r="N13" s="84">
        <v>229.29300000000001</v>
      </c>
      <c r="O13" s="85">
        <v>249.14699999999999</v>
      </c>
      <c r="P13" s="83">
        <v>205.48</v>
      </c>
      <c r="Q13" s="84">
        <v>234.078</v>
      </c>
      <c r="R13" s="84">
        <v>213.59</v>
      </c>
      <c r="S13" s="85">
        <v>216.39</v>
      </c>
      <c r="T13" s="83">
        <v>195.929</v>
      </c>
      <c r="U13" s="84">
        <v>226.673</v>
      </c>
      <c r="V13" s="84">
        <v>231.078</v>
      </c>
      <c r="W13" s="85">
        <v>262.73500000000001</v>
      </c>
      <c r="X13" s="84">
        <v>355.40600000000001</v>
      </c>
      <c r="Y13" s="84">
        <v>556.76599999999996</v>
      </c>
      <c r="Z13" s="84">
        <v>369.65699999999998</v>
      </c>
      <c r="AA13" s="85">
        <v>286.464</v>
      </c>
      <c r="AB13" s="84">
        <v>244.68299999999999</v>
      </c>
      <c r="AC13" s="84">
        <v>216.416</v>
      </c>
      <c r="AD13" s="84">
        <v>211.13200000000001</v>
      </c>
      <c r="AE13" s="85">
        <v>214.965</v>
      </c>
      <c r="AF13" s="84">
        <v>257.94400000000002</v>
      </c>
      <c r="AG13" s="84">
        <v>222.26900000000001</v>
      </c>
      <c r="AH13" s="84">
        <v>232.25700000000001</v>
      </c>
      <c r="AI13" s="85">
        <v>229.17500000000001</v>
      </c>
      <c r="AJ13" s="84">
        <v>268.15300000000002</v>
      </c>
      <c r="AK13" s="84">
        <v>277.53899999999999</v>
      </c>
      <c r="AL13" s="84">
        <v>207.24799999999999</v>
      </c>
      <c r="AM13" s="85">
        <v>267.83300000000003</v>
      </c>
      <c r="AN13" s="83">
        <v>281.33499999999998</v>
      </c>
      <c r="AO13" s="84">
        <v>290.62900000000002</v>
      </c>
      <c r="AP13" s="84">
        <v>187.49600000000001</v>
      </c>
      <c r="AQ13" s="85">
        <v>246.61500000000001</v>
      </c>
      <c r="AR13" s="83">
        <v>251.988</v>
      </c>
      <c r="AS13" s="84">
        <v>282.62700000000001</v>
      </c>
      <c r="AT13" s="84">
        <v>203.17599999999999</v>
      </c>
      <c r="AU13" s="85">
        <v>307.45800000000003</v>
      </c>
      <c r="AV13" s="83">
        <v>217.01400000000001</v>
      </c>
      <c r="AW13" s="84">
        <v>227.75800000000001</v>
      </c>
      <c r="AX13" s="84">
        <v>340.85199999999998</v>
      </c>
      <c r="AY13" s="85">
        <v>243.91499999999999</v>
      </c>
      <c r="AZ13" s="83">
        <v>268.25700000000001</v>
      </c>
      <c r="BA13" s="84">
        <v>286.85500000000002</v>
      </c>
      <c r="BB13" s="84">
        <v>348.464</v>
      </c>
      <c r="BC13" s="85">
        <v>372.14400000000001</v>
      </c>
      <c r="BD13" s="858">
        <f t="shared" ref="BD13:BK13" si="29">BD47/360*BD52*4</f>
        <v>337.74308089999994</v>
      </c>
      <c r="BE13" s="124">
        <f t="shared" si="29"/>
        <v>301.91901087066668</v>
      </c>
      <c r="BF13" s="124">
        <f t="shared" si="29"/>
        <v>301.31360552903988</v>
      </c>
      <c r="BG13" s="125">
        <f t="shared" si="29"/>
        <v>308.74486732458075</v>
      </c>
      <c r="BH13" s="858">
        <f t="shared" si="29"/>
        <v>287.15482997676247</v>
      </c>
      <c r="BI13" s="124">
        <f t="shared" si="29"/>
        <v>289.64545966171085</v>
      </c>
      <c r="BJ13" s="124">
        <f t="shared" si="29"/>
        <v>287.25535383849223</v>
      </c>
      <c r="BK13" s="125">
        <f t="shared" si="29"/>
        <v>292.25205375039275</v>
      </c>
      <c r="BL13" s="123"/>
      <c r="BM13" s="81">
        <f t="shared" si="0"/>
        <v>194.20500000000001</v>
      </c>
      <c r="BN13" s="81">
        <f t="shared" si="1"/>
        <v>182.29499999999999</v>
      </c>
      <c r="BO13" s="81">
        <f t="shared" si="2"/>
        <v>249.14699999999999</v>
      </c>
      <c r="BP13" s="81">
        <f t="shared" si="3"/>
        <v>216.39</v>
      </c>
      <c r="BQ13" s="81">
        <f t="shared" si="4"/>
        <v>262.73500000000001</v>
      </c>
      <c r="BR13" s="81">
        <f t="shared" si="5"/>
        <v>286.464</v>
      </c>
      <c r="BS13" s="81">
        <f t="shared" si="6"/>
        <v>214.965</v>
      </c>
      <c r="BT13" s="80">
        <f t="shared" si="7"/>
        <v>229.17500000000001</v>
      </c>
      <c r="BU13" s="81">
        <f t="shared" si="8"/>
        <v>267.83300000000003</v>
      </c>
      <c r="BV13" s="81">
        <f t="shared" si="9"/>
        <v>246.61500000000001</v>
      </c>
      <c r="BW13" s="81">
        <f t="shared" si="10"/>
        <v>307.45800000000003</v>
      </c>
      <c r="BX13" s="81">
        <f t="shared" si="11"/>
        <v>243.91499999999999</v>
      </c>
      <c r="BY13" s="81">
        <f t="shared" si="12"/>
        <v>372.14400000000001</v>
      </c>
      <c r="BZ13" s="81">
        <f t="shared" si="13"/>
        <v>308.74486732458075</v>
      </c>
      <c r="CA13" s="81">
        <f t="shared" si="14"/>
        <v>292.25205375039275</v>
      </c>
      <c r="CB13" s="963">
        <f>CB52*CB47/360</f>
        <v>312.70563222255532</v>
      </c>
      <c r="CC13" s="20"/>
      <c r="CD13" s="81">
        <f t="shared" si="15"/>
        <v>147.71100000000001</v>
      </c>
      <c r="CE13" s="81">
        <f t="shared" si="16"/>
        <v>229.29300000000001</v>
      </c>
      <c r="CF13" s="81">
        <f t="shared" si="17"/>
        <v>213.59</v>
      </c>
      <c r="CG13" s="81">
        <f t="shared" si="18"/>
        <v>231.078</v>
      </c>
      <c r="CH13" s="81">
        <f t="shared" si="19"/>
        <v>369.65699999999998</v>
      </c>
      <c r="CI13" s="81">
        <f t="shared" si="20"/>
        <v>211.13200000000001</v>
      </c>
      <c r="CJ13" s="81">
        <f t="shared" si="21"/>
        <v>232.25700000000001</v>
      </c>
      <c r="CK13" s="81">
        <f t="shared" si="22"/>
        <v>207.24799999999999</v>
      </c>
      <c r="CL13" s="81">
        <f t="shared" si="23"/>
        <v>187.49600000000001</v>
      </c>
      <c r="CM13" s="81">
        <f t="shared" si="24"/>
        <v>203.17599999999999</v>
      </c>
      <c r="CN13" s="81">
        <f t="shared" si="25"/>
        <v>340.85199999999998</v>
      </c>
      <c r="CO13" s="81">
        <f t="shared" si="26"/>
        <v>348.464</v>
      </c>
      <c r="CP13" s="124">
        <f t="shared" si="27"/>
        <v>301.31360552903988</v>
      </c>
      <c r="CQ13" s="125">
        <f t="shared" si="28"/>
        <v>287.25535383849223</v>
      </c>
      <c r="CR13" s="808"/>
      <c r="CS13" s="808"/>
      <c r="CZ13" s="11"/>
    </row>
    <row r="14" spans="1:104" ht="14.25" customHeight="1">
      <c r="A14" s="8"/>
      <c r="B14" s="28" t="s">
        <v>148</v>
      </c>
      <c r="C14" s="29"/>
      <c r="D14" s="83">
        <v>181.99600000000001</v>
      </c>
      <c r="E14" s="84">
        <v>199.667</v>
      </c>
      <c r="F14" s="84">
        <v>211.88200000000001</v>
      </c>
      <c r="G14" s="85">
        <v>201.029</v>
      </c>
      <c r="H14" s="83">
        <v>194.64</v>
      </c>
      <c r="I14" s="84">
        <v>198.958</v>
      </c>
      <c r="J14" s="84">
        <v>185.232</v>
      </c>
      <c r="K14" s="85">
        <v>174.572</v>
      </c>
      <c r="L14" s="83">
        <v>145.62299999999999</v>
      </c>
      <c r="M14" s="84">
        <v>128.95400000000001</v>
      </c>
      <c r="N14" s="84">
        <v>132.054</v>
      </c>
      <c r="O14" s="85">
        <v>130.25</v>
      </c>
      <c r="P14" s="83">
        <v>140.37200000000001</v>
      </c>
      <c r="Q14" s="84">
        <v>141.70400000000001</v>
      </c>
      <c r="R14" s="84">
        <v>149.42099999999999</v>
      </c>
      <c r="S14" s="85">
        <v>119.83199999999999</v>
      </c>
      <c r="T14" s="83">
        <v>101.166</v>
      </c>
      <c r="U14" s="84">
        <v>100.95699999999999</v>
      </c>
      <c r="V14" s="84">
        <v>128.935</v>
      </c>
      <c r="W14" s="85">
        <v>130.62799999999999</v>
      </c>
      <c r="X14" s="84">
        <v>151.63</v>
      </c>
      <c r="Y14" s="84">
        <v>170.18</v>
      </c>
      <c r="Z14" s="84">
        <v>242.53200000000001</v>
      </c>
      <c r="AA14" s="85">
        <v>264.745</v>
      </c>
      <c r="AB14" s="84">
        <v>250.15799999999999</v>
      </c>
      <c r="AC14" s="84">
        <v>247.65199999999999</v>
      </c>
      <c r="AD14" s="84">
        <v>245.476</v>
      </c>
      <c r="AE14" s="85">
        <v>204.86600000000001</v>
      </c>
      <c r="AF14" s="84">
        <v>193.316</v>
      </c>
      <c r="AG14" s="84">
        <v>204.06700000000001</v>
      </c>
      <c r="AH14" s="84">
        <v>225.98500000000001</v>
      </c>
      <c r="AI14" s="85">
        <v>201.25</v>
      </c>
      <c r="AJ14" s="84">
        <v>186.8</v>
      </c>
      <c r="AK14" s="84">
        <v>183.708</v>
      </c>
      <c r="AL14" s="84">
        <v>206.72800000000001</v>
      </c>
      <c r="AM14" s="85">
        <v>233.999</v>
      </c>
      <c r="AN14" s="83">
        <v>256.791</v>
      </c>
      <c r="AO14" s="84">
        <v>262.66899999999998</v>
      </c>
      <c r="AP14" s="84">
        <v>246.66399999999999</v>
      </c>
      <c r="AQ14" s="85">
        <v>231.328</v>
      </c>
      <c r="AR14" s="83">
        <v>222.01300000000001</v>
      </c>
      <c r="AS14" s="84">
        <v>212.97300000000001</v>
      </c>
      <c r="AT14" s="84">
        <v>195.96899999999999</v>
      </c>
      <c r="AU14" s="85">
        <v>178.55</v>
      </c>
      <c r="AV14" s="83">
        <v>195.28200000000001</v>
      </c>
      <c r="AW14" s="84">
        <v>196.922</v>
      </c>
      <c r="AX14" s="84">
        <v>205.92699999999999</v>
      </c>
      <c r="AY14" s="85">
        <v>227.03299999999999</v>
      </c>
      <c r="AZ14" s="83">
        <v>215.21</v>
      </c>
      <c r="BA14" s="84">
        <v>215.39699999999999</v>
      </c>
      <c r="BB14" s="84">
        <v>226.53299999999999</v>
      </c>
      <c r="BC14" s="85">
        <v>236.077</v>
      </c>
      <c r="BD14" s="858">
        <f t="shared" ref="BD14:BK14" si="30">BD49/360*BD53*4</f>
        <v>236.42015663000001</v>
      </c>
      <c r="BE14" s="124">
        <f t="shared" si="30"/>
        <v>237.76122106065006</v>
      </c>
      <c r="BF14" s="124">
        <f t="shared" si="30"/>
        <v>225.98520414677998</v>
      </c>
      <c r="BG14" s="125">
        <f t="shared" si="30"/>
        <v>231.55865049343561</v>
      </c>
      <c r="BH14" s="858">
        <f t="shared" si="30"/>
        <v>239.29569164730211</v>
      </c>
      <c r="BI14" s="124">
        <f t="shared" si="30"/>
        <v>241.37121638475907</v>
      </c>
      <c r="BJ14" s="124">
        <f t="shared" si="30"/>
        <v>239.3794615320769</v>
      </c>
      <c r="BK14" s="125">
        <f t="shared" si="30"/>
        <v>243.54337812532734</v>
      </c>
      <c r="BL14" s="123"/>
      <c r="BM14" s="81">
        <f t="shared" si="0"/>
        <v>201.029</v>
      </c>
      <c r="BN14" s="81">
        <f t="shared" si="1"/>
        <v>174.572</v>
      </c>
      <c r="BO14" s="81">
        <f t="shared" si="2"/>
        <v>130.25</v>
      </c>
      <c r="BP14" s="81">
        <f t="shared" si="3"/>
        <v>119.83199999999999</v>
      </c>
      <c r="BQ14" s="81">
        <f t="shared" si="4"/>
        <v>130.62799999999999</v>
      </c>
      <c r="BR14" s="81">
        <f t="shared" si="5"/>
        <v>264.745</v>
      </c>
      <c r="BS14" s="81">
        <f t="shared" si="6"/>
        <v>204.86600000000001</v>
      </c>
      <c r="BT14" s="80">
        <f t="shared" si="7"/>
        <v>201.25</v>
      </c>
      <c r="BU14" s="81">
        <f t="shared" si="8"/>
        <v>233.999</v>
      </c>
      <c r="BV14" s="81">
        <f t="shared" si="9"/>
        <v>231.328</v>
      </c>
      <c r="BW14" s="81">
        <f t="shared" si="10"/>
        <v>178.55</v>
      </c>
      <c r="BX14" s="81">
        <f t="shared" si="11"/>
        <v>227.03299999999999</v>
      </c>
      <c r="BY14" s="81">
        <f t="shared" si="12"/>
        <v>236.077</v>
      </c>
      <c r="BZ14" s="81">
        <f t="shared" si="13"/>
        <v>231.55865049343561</v>
      </c>
      <c r="CA14" s="81">
        <f t="shared" si="14"/>
        <v>243.54337812532734</v>
      </c>
      <c r="CB14" s="963">
        <f>CB49*CB53/360</f>
        <v>260.58802685212947</v>
      </c>
      <c r="CC14" s="20"/>
      <c r="CD14" s="81">
        <f t="shared" si="15"/>
        <v>185.232</v>
      </c>
      <c r="CE14" s="81">
        <f t="shared" si="16"/>
        <v>132.054</v>
      </c>
      <c r="CF14" s="81">
        <f t="shared" si="17"/>
        <v>149.42099999999999</v>
      </c>
      <c r="CG14" s="81">
        <f t="shared" si="18"/>
        <v>128.935</v>
      </c>
      <c r="CH14" s="81">
        <f t="shared" si="19"/>
        <v>242.53200000000001</v>
      </c>
      <c r="CI14" s="81">
        <f t="shared" si="20"/>
        <v>245.476</v>
      </c>
      <c r="CJ14" s="81">
        <f t="shared" si="21"/>
        <v>225.98500000000001</v>
      </c>
      <c r="CK14" s="81">
        <f t="shared" si="22"/>
        <v>206.72800000000001</v>
      </c>
      <c r="CL14" s="81">
        <f t="shared" si="23"/>
        <v>246.66399999999999</v>
      </c>
      <c r="CM14" s="81">
        <f t="shared" si="24"/>
        <v>195.96899999999999</v>
      </c>
      <c r="CN14" s="81">
        <f t="shared" si="25"/>
        <v>205.92699999999999</v>
      </c>
      <c r="CO14" s="81">
        <f t="shared" si="26"/>
        <v>226.53299999999999</v>
      </c>
      <c r="CP14" s="124">
        <f t="shared" si="27"/>
        <v>225.98520414677998</v>
      </c>
      <c r="CQ14" s="125">
        <f t="shared" si="28"/>
        <v>239.3794615320769</v>
      </c>
      <c r="CR14" s="808"/>
      <c r="CS14" s="808"/>
      <c r="CZ14" s="11"/>
    </row>
    <row r="15" spans="1:104" ht="14.25" customHeight="1">
      <c r="A15" s="8"/>
      <c r="B15" s="28" t="s">
        <v>234</v>
      </c>
      <c r="C15" s="29"/>
      <c r="D15" s="83">
        <v>68.224000000000004</v>
      </c>
      <c r="E15" s="84">
        <v>76.510999999999996</v>
      </c>
      <c r="F15" s="84">
        <v>74.492999999999995</v>
      </c>
      <c r="G15" s="85">
        <v>110.928</v>
      </c>
      <c r="H15" s="83">
        <v>111.22499999999999</v>
      </c>
      <c r="I15" s="84">
        <v>116.51</v>
      </c>
      <c r="J15" s="84">
        <v>116.45</v>
      </c>
      <c r="K15" s="85">
        <v>100.34399999999999</v>
      </c>
      <c r="L15" s="83">
        <v>91.59</v>
      </c>
      <c r="M15" s="84">
        <v>86.24</v>
      </c>
      <c r="N15" s="84">
        <v>84.087999999999994</v>
      </c>
      <c r="O15" s="85">
        <v>106.842</v>
      </c>
      <c r="P15" s="83">
        <v>95.861000000000004</v>
      </c>
      <c r="Q15" s="84">
        <v>85.831000000000003</v>
      </c>
      <c r="R15" s="84">
        <v>71.103999999999999</v>
      </c>
      <c r="S15" s="85">
        <v>63.709000000000003</v>
      </c>
      <c r="T15" s="83">
        <v>60.51</v>
      </c>
      <c r="U15" s="84">
        <v>73.935000000000002</v>
      </c>
      <c r="V15" s="84">
        <v>83.481999999999999</v>
      </c>
      <c r="W15" s="85">
        <v>101.126</v>
      </c>
      <c r="X15" s="84">
        <v>102.075</v>
      </c>
      <c r="Y15" s="84">
        <v>98.158000000000001</v>
      </c>
      <c r="Z15" s="84">
        <v>99.998000000000005</v>
      </c>
      <c r="AA15" s="85">
        <v>88.063999999999993</v>
      </c>
      <c r="AB15" s="84">
        <v>87.77</v>
      </c>
      <c r="AC15" s="84">
        <v>84.584000000000003</v>
      </c>
      <c r="AD15" s="84">
        <f>77.948</f>
        <v>77.947999999999993</v>
      </c>
      <c r="AE15" s="85">
        <v>64.822000000000003</v>
      </c>
      <c r="AF15" s="84">
        <v>60.192</v>
      </c>
      <c r="AG15" s="84">
        <v>62.838000000000001</v>
      </c>
      <c r="AH15" s="84">
        <v>59.546999999999997</v>
      </c>
      <c r="AI15" s="85">
        <v>60.709000000000003</v>
      </c>
      <c r="AJ15" s="84">
        <v>2.1</v>
      </c>
      <c r="AK15" s="84">
        <v>2.1379999999999999</v>
      </c>
      <c r="AL15" s="84">
        <v>2.0659999999999998</v>
      </c>
      <c r="AM15" s="85">
        <v>56.165999999999997</v>
      </c>
      <c r="AN15" s="83">
        <v>77.325000000000003</v>
      </c>
      <c r="AO15" s="84">
        <v>73.545000000000002</v>
      </c>
      <c r="AP15" s="84">
        <v>80.864000000000004</v>
      </c>
      <c r="AQ15" s="85">
        <v>79.519000000000005</v>
      </c>
      <c r="AR15" s="83">
        <v>90.715999999999994</v>
      </c>
      <c r="AS15" s="84">
        <f>100.294</f>
        <v>100.294</v>
      </c>
      <c r="AT15" s="84">
        <v>96.826999999999998</v>
      </c>
      <c r="AU15" s="85">
        <v>0</v>
      </c>
      <c r="AV15" s="83">
        <f>AU15</f>
        <v>0</v>
      </c>
      <c r="AW15" s="84">
        <v>0</v>
      </c>
      <c r="AX15" s="84">
        <v>0</v>
      </c>
      <c r="AY15" s="85">
        <v>0</v>
      </c>
      <c r="AZ15" s="83">
        <f>AY15</f>
        <v>0</v>
      </c>
      <c r="BA15" s="84">
        <v>0</v>
      </c>
      <c r="BB15" s="84">
        <v>0</v>
      </c>
      <c r="BC15" s="85">
        <v>0</v>
      </c>
      <c r="BD15" s="80">
        <f t="shared" ref="BD15:BG16" si="31">BC15</f>
        <v>0</v>
      </c>
      <c r="BE15" s="81">
        <f t="shared" si="31"/>
        <v>0</v>
      </c>
      <c r="BF15" s="81">
        <f t="shared" si="31"/>
        <v>0</v>
      </c>
      <c r="BG15" s="82">
        <f t="shared" si="31"/>
        <v>0</v>
      </c>
      <c r="BH15" s="80">
        <f t="shared" ref="BH15:BK16" si="32">BG15</f>
        <v>0</v>
      </c>
      <c r="BI15" s="81">
        <f t="shared" si="32"/>
        <v>0</v>
      </c>
      <c r="BJ15" s="81">
        <f t="shared" si="32"/>
        <v>0</v>
      </c>
      <c r="BK15" s="82">
        <f t="shared" si="32"/>
        <v>0</v>
      </c>
      <c r="BL15" s="123"/>
      <c r="BM15" s="81">
        <f t="shared" si="0"/>
        <v>110.928</v>
      </c>
      <c r="BN15" s="81">
        <f t="shared" si="1"/>
        <v>100.34399999999999</v>
      </c>
      <c r="BO15" s="81">
        <f t="shared" si="2"/>
        <v>106.842</v>
      </c>
      <c r="BP15" s="81">
        <f t="shared" si="3"/>
        <v>63.709000000000003</v>
      </c>
      <c r="BQ15" s="81">
        <f t="shared" si="4"/>
        <v>101.126</v>
      </c>
      <c r="BR15" s="81">
        <f t="shared" si="5"/>
        <v>88.063999999999993</v>
      </c>
      <c r="BS15" s="81">
        <f t="shared" si="6"/>
        <v>64.822000000000003</v>
      </c>
      <c r="BT15" s="80">
        <f t="shared" si="7"/>
        <v>60.709000000000003</v>
      </c>
      <c r="BU15" s="81">
        <f t="shared" si="8"/>
        <v>56.165999999999997</v>
      </c>
      <c r="BV15" s="81">
        <f t="shared" si="9"/>
        <v>79.519000000000005</v>
      </c>
      <c r="BW15" s="81">
        <f t="shared" si="10"/>
        <v>0</v>
      </c>
      <c r="BX15" s="81">
        <f t="shared" si="11"/>
        <v>0</v>
      </c>
      <c r="BY15" s="81">
        <f t="shared" si="12"/>
        <v>0</v>
      </c>
      <c r="BZ15" s="81">
        <f t="shared" si="13"/>
        <v>0</v>
      </c>
      <c r="CA15" s="81">
        <f t="shared" si="14"/>
        <v>0</v>
      </c>
      <c r="CB15" s="945">
        <f>CA15</f>
        <v>0</v>
      </c>
      <c r="CC15" s="20"/>
      <c r="CD15" s="81">
        <f t="shared" si="15"/>
        <v>116.45</v>
      </c>
      <c r="CE15" s="81">
        <f t="shared" si="16"/>
        <v>84.087999999999994</v>
      </c>
      <c r="CF15" s="81">
        <f t="shared" si="17"/>
        <v>71.103999999999999</v>
      </c>
      <c r="CG15" s="81">
        <f t="shared" si="18"/>
        <v>83.481999999999999</v>
      </c>
      <c r="CH15" s="81">
        <f t="shared" si="19"/>
        <v>99.998000000000005</v>
      </c>
      <c r="CI15" s="81">
        <f t="shared" si="20"/>
        <v>77.947999999999993</v>
      </c>
      <c r="CJ15" s="81">
        <f t="shared" si="21"/>
        <v>59.546999999999997</v>
      </c>
      <c r="CK15" s="81">
        <f t="shared" si="22"/>
        <v>2.0659999999999998</v>
      </c>
      <c r="CL15" s="81">
        <f t="shared" si="23"/>
        <v>80.864000000000004</v>
      </c>
      <c r="CM15" s="81">
        <f t="shared" si="24"/>
        <v>96.826999999999998</v>
      </c>
      <c r="CN15" s="81">
        <f t="shared" si="25"/>
        <v>0</v>
      </c>
      <c r="CO15" s="81">
        <f t="shared" si="26"/>
        <v>0</v>
      </c>
      <c r="CP15" s="81">
        <f t="shared" si="27"/>
        <v>0</v>
      </c>
      <c r="CQ15" s="82">
        <f t="shared" si="28"/>
        <v>0</v>
      </c>
      <c r="CR15" s="808"/>
      <c r="CS15" s="808"/>
      <c r="CZ15" s="11"/>
    </row>
    <row r="16" spans="1:104" ht="14.25" customHeight="1">
      <c r="A16" s="8"/>
      <c r="B16" s="126" t="s">
        <v>257</v>
      </c>
      <c r="C16" s="127"/>
      <c r="D16" s="83">
        <f>81.049+99.012</f>
        <v>180.06100000000001</v>
      </c>
      <c r="E16" s="84">
        <f>110.216+30</f>
        <v>140.21600000000001</v>
      </c>
      <c r="F16" s="84">
        <f>128.703+32.685</f>
        <v>161.38800000000001</v>
      </c>
      <c r="G16" s="85">
        <f>119.884+37.285</f>
        <v>157.16899999999998</v>
      </c>
      <c r="H16" s="83">
        <f>143.733+35.643</f>
        <v>179.376</v>
      </c>
      <c r="I16" s="84">
        <f>126.248+11.506</f>
        <v>137.75400000000002</v>
      </c>
      <c r="J16" s="84">
        <v>117.687</v>
      </c>
      <c r="K16" s="85">
        <v>104.976</v>
      </c>
      <c r="L16" s="83">
        <v>110.964</v>
      </c>
      <c r="M16" s="84">
        <v>99.055999999999997</v>
      </c>
      <c r="N16" s="84">
        <f>50.167+81.587</f>
        <v>131.75400000000002</v>
      </c>
      <c r="O16" s="85">
        <v>37.521999999999998</v>
      </c>
      <c r="P16" s="83">
        <v>52.072000000000003</v>
      </c>
      <c r="Q16" s="84">
        <v>60.064999999999998</v>
      </c>
      <c r="R16" s="84">
        <v>30.222999999999999</v>
      </c>
      <c r="S16" s="85">
        <v>27.603999999999999</v>
      </c>
      <c r="T16" s="83">
        <v>51.037999999999997</v>
      </c>
      <c r="U16" s="84">
        <v>25.257000000000001</v>
      </c>
      <c r="V16" s="84">
        <v>25.238</v>
      </c>
      <c r="W16" s="85">
        <v>25.972000000000001</v>
      </c>
      <c r="X16" s="84">
        <v>69.396000000000001</v>
      </c>
      <c r="Y16" s="84">
        <v>112.145</v>
      </c>
      <c r="Z16" s="84">
        <v>53.703000000000003</v>
      </c>
      <c r="AA16" s="85">
        <v>57.1</v>
      </c>
      <c r="AB16" s="84">
        <v>65.043000000000006</v>
      </c>
      <c r="AC16" s="84">
        <v>58.061</v>
      </c>
      <c r="AD16" s="84">
        <f>57.367</f>
        <v>57.366999999999997</v>
      </c>
      <c r="AE16" s="85">
        <v>48.029000000000003</v>
      </c>
      <c r="AF16" s="84">
        <v>47.600999999999999</v>
      </c>
      <c r="AG16" s="84">
        <v>54.427</v>
      </c>
      <c r="AH16" s="84">
        <v>59.151000000000003</v>
      </c>
      <c r="AI16" s="85">
        <v>91.76</v>
      </c>
      <c r="AJ16" s="84">
        <v>55.750999999999998</v>
      </c>
      <c r="AK16" s="84">
        <v>73.756</v>
      </c>
      <c r="AL16" s="84">
        <v>74.364999999999995</v>
      </c>
      <c r="AM16" s="85">
        <v>51.828000000000003</v>
      </c>
      <c r="AN16" s="83">
        <v>68.040999999999997</v>
      </c>
      <c r="AO16" s="84">
        <v>81.287999999999997</v>
      </c>
      <c r="AP16" s="84">
        <v>79.349000000000004</v>
      </c>
      <c r="AQ16" s="85">
        <v>74.528000000000006</v>
      </c>
      <c r="AR16" s="83">
        <v>82.584000000000003</v>
      </c>
      <c r="AS16" s="84">
        <f>89.483</f>
        <v>89.483000000000004</v>
      </c>
      <c r="AT16" s="84">
        <v>115.786</v>
      </c>
      <c r="AU16" s="85">
        <v>95.225999999999999</v>
      </c>
      <c r="AV16" s="83">
        <v>91.426000000000002</v>
      </c>
      <c r="AW16" s="84">
        <v>104.68600000000001</v>
      </c>
      <c r="AX16" s="84">
        <v>115.13800000000001</v>
      </c>
      <c r="AY16" s="85">
        <v>87.710999999999999</v>
      </c>
      <c r="AZ16" s="83">
        <v>96.879000000000005</v>
      </c>
      <c r="BA16" s="84">
        <v>109.758</v>
      </c>
      <c r="BB16" s="84">
        <v>81.31</v>
      </c>
      <c r="BC16" s="85">
        <v>88.694999999999993</v>
      </c>
      <c r="BD16" s="80">
        <f t="shared" si="31"/>
        <v>88.694999999999993</v>
      </c>
      <c r="BE16" s="81">
        <f t="shared" si="31"/>
        <v>88.694999999999993</v>
      </c>
      <c r="BF16" s="81">
        <f t="shared" si="31"/>
        <v>88.694999999999993</v>
      </c>
      <c r="BG16" s="82">
        <f t="shared" si="31"/>
        <v>88.694999999999993</v>
      </c>
      <c r="BH16" s="80">
        <f t="shared" si="32"/>
        <v>88.694999999999993</v>
      </c>
      <c r="BI16" s="81">
        <f t="shared" si="32"/>
        <v>88.694999999999993</v>
      </c>
      <c r="BJ16" s="81">
        <f t="shared" si="32"/>
        <v>88.694999999999993</v>
      </c>
      <c r="BK16" s="82">
        <f t="shared" si="32"/>
        <v>88.694999999999993</v>
      </c>
      <c r="BL16" s="123"/>
      <c r="BM16" s="128">
        <f t="shared" si="0"/>
        <v>157.16899999999998</v>
      </c>
      <c r="BN16" s="128">
        <f t="shared" si="1"/>
        <v>104.976</v>
      </c>
      <c r="BO16" s="128">
        <f t="shared" si="2"/>
        <v>37.521999999999998</v>
      </c>
      <c r="BP16" s="128">
        <f t="shared" si="3"/>
        <v>27.603999999999999</v>
      </c>
      <c r="BQ16" s="128">
        <f t="shared" si="4"/>
        <v>25.972000000000001</v>
      </c>
      <c r="BR16" s="128">
        <f t="shared" si="5"/>
        <v>57.1</v>
      </c>
      <c r="BS16" s="128">
        <f t="shared" si="6"/>
        <v>48.029000000000003</v>
      </c>
      <c r="BT16" s="413">
        <f t="shared" si="7"/>
        <v>91.76</v>
      </c>
      <c r="BU16" s="128">
        <f t="shared" si="8"/>
        <v>51.828000000000003</v>
      </c>
      <c r="BV16" s="128">
        <f t="shared" si="9"/>
        <v>74.528000000000006</v>
      </c>
      <c r="BW16" s="128">
        <f t="shared" si="10"/>
        <v>95.225999999999999</v>
      </c>
      <c r="BX16" s="128">
        <f t="shared" si="11"/>
        <v>87.710999999999999</v>
      </c>
      <c r="BY16" s="128">
        <f t="shared" si="12"/>
        <v>88.694999999999993</v>
      </c>
      <c r="BZ16" s="128">
        <f t="shared" si="13"/>
        <v>88.694999999999993</v>
      </c>
      <c r="CA16" s="128">
        <f t="shared" si="14"/>
        <v>88.694999999999993</v>
      </c>
      <c r="CB16" s="964">
        <f>CA16</f>
        <v>88.694999999999993</v>
      </c>
      <c r="CC16" s="20"/>
      <c r="CD16" s="128">
        <f t="shared" si="15"/>
        <v>117.687</v>
      </c>
      <c r="CE16" s="128">
        <f t="shared" si="16"/>
        <v>131.75400000000002</v>
      </c>
      <c r="CF16" s="128">
        <f t="shared" si="17"/>
        <v>30.222999999999999</v>
      </c>
      <c r="CG16" s="128">
        <f t="shared" si="18"/>
        <v>25.238</v>
      </c>
      <c r="CH16" s="128">
        <f t="shared" si="19"/>
        <v>53.703000000000003</v>
      </c>
      <c r="CI16" s="128">
        <f t="shared" si="20"/>
        <v>57.366999999999997</v>
      </c>
      <c r="CJ16" s="128">
        <f t="shared" si="21"/>
        <v>59.151000000000003</v>
      </c>
      <c r="CK16" s="128">
        <f t="shared" si="22"/>
        <v>74.364999999999995</v>
      </c>
      <c r="CL16" s="128">
        <f t="shared" si="23"/>
        <v>79.349000000000004</v>
      </c>
      <c r="CM16" s="128">
        <f t="shared" si="24"/>
        <v>115.786</v>
      </c>
      <c r="CN16" s="128">
        <f t="shared" si="25"/>
        <v>115.13800000000001</v>
      </c>
      <c r="CO16" s="128">
        <f t="shared" si="26"/>
        <v>81.31</v>
      </c>
      <c r="CP16" s="128">
        <f t="shared" si="27"/>
        <v>88.694999999999993</v>
      </c>
      <c r="CQ16" s="129">
        <f t="shared" si="28"/>
        <v>88.694999999999993</v>
      </c>
      <c r="CR16" s="808"/>
      <c r="CS16" s="808"/>
      <c r="CZ16" s="11"/>
    </row>
    <row r="17" spans="1:104" ht="14.25" customHeight="1">
      <c r="A17" s="8"/>
      <c r="B17" s="130" t="s">
        <v>106</v>
      </c>
      <c r="C17" s="131"/>
      <c r="D17" s="134">
        <f>SUM(D11:D16)</f>
        <v>1576.06</v>
      </c>
      <c r="E17" s="132">
        <f>SUM(E11:E16)</f>
        <v>1489.7909999999997</v>
      </c>
      <c r="F17" s="132">
        <f>SUM(F11:F16)</f>
        <v>1478.354</v>
      </c>
      <c r="G17" s="133">
        <f>SUM(G11:G16)</f>
        <v>1648.2479999999996</v>
      </c>
      <c r="H17" s="134">
        <f t="shared" ref="H17:AL17" si="33">SUM(H11:H16)</f>
        <v>1670.8329999999999</v>
      </c>
      <c r="I17" s="132">
        <f t="shared" si="33"/>
        <v>1866.7979999999998</v>
      </c>
      <c r="J17" s="132">
        <f t="shared" si="33"/>
        <v>1724.7329999999999</v>
      </c>
      <c r="K17" s="133">
        <f t="shared" si="33"/>
        <v>1700.1020000000003</v>
      </c>
      <c r="L17" s="134">
        <f t="shared" si="33"/>
        <v>1758.5700000000002</v>
      </c>
      <c r="M17" s="132">
        <f t="shared" si="33"/>
        <v>1772.1379999999999</v>
      </c>
      <c r="N17" s="132">
        <f t="shared" si="33"/>
        <v>1893.1360000000004</v>
      </c>
      <c r="O17" s="133">
        <f t="shared" si="33"/>
        <v>1820.1959999999999</v>
      </c>
      <c r="P17" s="134">
        <f t="shared" si="33"/>
        <v>1732.498</v>
      </c>
      <c r="Q17" s="132">
        <f t="shared" si="33"/>
        <v>1822.6909999999998</v>
      </c>
      <c r="R17" s="132">
        <f t="shared" si="33"/>
        <v>1754.268</v>
      </c>
      <c r="S17" s="133">
        <f t="shared" si="33"/>
        <v>1752.4679999999998</v>
      </c>
      <c r="T17" s="134">
        <f t="shared" si="33"/>
        <v>1833.19</v>
      </c>
      <c r="U17" s="132">
        <f t="shared" si="33"/>
        <v>1944.4319999999998</v>
      </c>
      <c r="V17" s="132">
        <f t="shared" si="33"/>
        <v>1958.7259999999999</v>
      </c>
      <c r="W17" s="133">
        <f t="shared" si="33"/>
        <v>1907.066</v>
      </c>
      <c r="X17" s="132">
        <f t="shared" si="33"/>
        <v>2222.172</v>
      </c>
      <c r="Y17" s="132">
        <f t="shared" si="33"/>
        <v>2343.9129999999996</v>
      </c>
      <c r="Z17" s="132">
        <f t="shared" si="33"/>
        <v>2530.6550000000002</v>
      </c>
      <c r="AA17" s="133">
        <f t="shared" si="33"/>
        <v>2622.7859999999996</v>
      </c>
      <c r="AB17" s="132">
        <f t="shared" si="33"/>
        <v>2621.04</v>
      </c>
      <c r="AC17" s="132">
        <f t="shared" si="33"/>
        <v>2414.2579999999998</v>
      </c>
      <c r="AD17" s="132">
        <f t="shared" si="33"/>
        <v>2352.5540000000001</v>
      </c>
      <c r="AE17" s="133">
        <f t="shared" si="33"/>
        <v>2450.3090000000002</v>
      </c>
      <c r="AF17" s="132">
        <f t="shared" si="33"/>
        <v>2302.1799999999998</v>
      </c>
      <c r="AG17" s="132">
        <f t="shared" si="33"/>
        <v>2250.058</v>
      </c>
      <c r="AH17" s="132">
        <f t="shared" si="33"/>
        <v>2263.5709999999999</v>
      </c>
      <c r="AI17" s="133">
        <f t="shared" si="33"/>
        <v>2297.6390000000001</v>
      </c>
      <c r="AJ17" s="132">
        <f t="shared" si="33"/>
        <v>2354.5840000000003</v>
      </c>
      <c r="AK17" s="132">
        <f t="shared" si="33"/>
        <v>2801.2060000000001</v>
      </c>
      <c r="AL17" s="132">
        <f t="shared" si="33"/>
        <v>2947.8259999999996</v>
      </c>
      <c r="AM17" s="133">
        <f t="shared" ref="AM17:AR17" si="34">SUM(AM11:AM16)</f>
        <v>3067.1469999999999</v>
      </c>
      <c r="AN17" s="134">
        <f t="shared" si="34"/>
        <v>3168.6990000000001</v>
      </c>
      <c r="AO17" s="132">
        <f t="shared" si="34"/>
        <v>3303.9769999999999</v>
      </c>
      <c r="AP17" s="132">
        <f t="shared" si="34"/>
        <v>3515.14</v>
      </c>
      <c r="AQ17" s="133">
        <f t="shared" si="34"/>
        <v>3935.0509999999999</v>
      </c>
      <c r="AR17" s="134">
        <f t="shared" si="34"/>
        <v>3979.7259999999997</v>
      </c>
      <c r="AS17" s="132">
        <f t="shared" ref="AS17:AY17" si="35">SUM(AS11:AS16)</f>
        <v>3981.1609999999996</v>
      </c>
      <c r="AT17" s="132">
        <f t="shared" si="35"/>
        <v>4008.2939999999999</v>
      </c>
      <c r="AU17" s="133">
        <f t="shared" si="35"/>
        <v>3918.933</v>
      </c>
      <c r="AV17" s="134">
        <f t="shared" si="35"/>
        <v>4021.7000000000003</v>
      </c>
      <c r="AW17" s="132">
        <f t="shared" si="35"/>
        <v>4019.1940000000004</v>
      </c>
      <c r="AX17" s="132">
        <f t="shared" si="35"/>
        <v>3916.0520000000001</v>
      </c>
      <c r="AY17" s="133">
        <f t="shared" si="35"/>
        <v>3880.116</v>
      </c>
      <c r="AZ17" s="134">
        <f t="shared" ref="AZ17:BK17" si="36">SUM(AZ11:AZ16)</f>
        <v>4227.9079999999994</v>
      </c>
      <c r="BA17" s="132">
        <f t="shared" si="36"/>
        <v>4172.2300000000005</v>
      </c>
      <c r="BB17" s="132">
        <f t="shared" si="36"/>
        <v>4197.8830000000007</v>
      </c>
      <c r="BC17" s="133">
        <f t="shared" si="36"/>
        <v>4144.4859999999999</v>
      </c>
      <c r="BD17" s="134">
        <f t="shared" si="36"/>
        <v>4139.9937039839597</v>
      </c>
      <c r="BE17" s="132">
        <f t="shared" si="36"/>
        <v>4203.7039702682932</v>
      </c>
      <c r="BF17" s="132">
        <f t="shared" si="36"/>
        <v>4265.1240183814698</v>
      </c>
      <c r="BG17" s="133">
        <f t="shared" si="36"/>
        <v>4334.7626157887171</v>
      </c>
      <c r="BH17" s="134">
        <f t="shared" si="36"/>
        <v>4403.1591207961264</v>
      </c>
      <c r="BI17" s="132">
        <f t="shared" si="36"/>
        <v>4483.8593966697317</v>
      </c>
      <c r="BJ17" s="132">
        <f t="shared" si="36"/>
        <v>4561.6754183212506</v>
      </c>
      <c r="BK17" s="133">
        <f t="shared" si="36"/>
        <v>4647.1428880735793</v>
      </c>
      <c r="BL17" s="123"/>
      <c r="BM17" s="135">
        <f t="shared" ref="BM17:BW17" si="37">SUM(BM11:BM16)</f>
        <v>1648.2479999999996</v>
      </c>
      <c r="BN17" s="135">
        <f t="shared" si="37"/>
        <v>1700.1020000000003</v>
      </c>
      <c r="BO17" s="135">
        <f t="shared" si="37"/>
        <v>1820.1959999999999</v>
      </c>
      <c r="BP17" s="135">
        <f t="shared" si="37"/>
        <v>1752.4679999999998</v>
      </c>
      <c r="BQ17" s="135">
        <f t="shared" si="37"/>
        <v>1907.066</v>
      </c>
      <c r="BR17" s="135">
        <f t="shared" si="37"/>
        <v>2622.7859999999996</v>
      </c>
      <c r="BS17" s="135">
        <f t="shared" si="37"/>
        <v>2450.3090000000002</v>
      </c>
      <c r="BT17" s="134">
        <f t="shared" si="37"/>
        <v>2297.6390000000001</v>
      </c>
      <c r="BU17" s="132">
        <f t="shared" si="37"/>
        <v>3067.1469999999999</v>
      </c>
      <c r="BV17" s="132">
        <f t="shared" si="37"/>
        <v>3935.0509999999999</v>
      </c>
      <c r="BW17" s="132">
        <f t="shared" si="37"/>
        <v>3918.933</v>
      </c>
      <c r="BX17" s="132">
        <f>SUM(BX11:BX16)</f>
        <v>3880.116</v>
      </c>
      <c r="BY17" s="132">
        <f>SUM(BY11:BY16)</f>
        <v>4144.4859999999999</v>
      </c>
      <c r="BZ17" s="132">
        <f>SUM(BZ11:BZ16)</f>
        <v>4334.7626157887171</v>
      </c>
      <c r="CA17" s="132">
        <f>SUM(CA11:CA16)</f>
        <v>4647.1428880735793</v>
      </c>
      <c r="CB17" s="965">
        <f>SUM(CB11:CB16)</f>
        <v>5085.1265457640966</v>
      </c>
      <c r="CC17" s="20"/>
      <c r="CD17" s="135">
        <f t="shared" ref="CD17:CM17" si="38">SUM(CD11:CD16)</f>
        <v>1724.7329999999999</v>
      </c>
      <c r="CE17" s="135">
        <f t="shared" si="38"/>
        <v>1893.1360000000004</v>
      </c>
      <c r="CF17" s="135">
        <f t="shared" si="38"/>
        <v>1754.268</v>
      </c>
      <c r="CG17" s="135">
        <f t="shared" si="38"/>
        <v>1958.7259999999999</v>
      </c>
      <c r="CH17" s="135">
        <f t="shared" si="38"/>
        <v>2530.6550000000002</v>
      </c>
      <c r="CI17" s="135">
        <f t="shared" si="38"/>
        <v>2352.5540000000001</v>
      </c>
      <c r="CJ17" s="135">
        <f t="shared" si="38"/>
        <v>2263.5709999999999</v>
      </c>
      <c r="CK17" s="135">
        <f t="shared" si="38"/>
        <v>2947.8259999999996</v>
      </c>
      <c r="CL17" s="135">
        <f t="shared" si="38"/>
        <v>3515.14</v>
      </c>
      <c r="CM17" s="135">
        <f t="shared" si="38"/>
        <v>4008.2939999999999</v>
      </c>
      <c r="CN17" s="135">
        <f>SUM(CN11:CN16)</f>
        <v>3916.0520000000001</v>
      </c>
      <c r="CO17" s="135">
        <f>SUM(CO11:CO16)</f>
        <v>4197.8830000000007</v>
      </c>
      <c r="CP17" s="132">
        <f>SUM(CP11:CP16)</f>
        <v>4265.1240183814698</v>
      </c>
      <c r="CQ17" s="133">
        <f>SUM(CQ11:CQ16)</f>
        <v>4561.6754183212506</v>
      </c>
      <c r="CR17" s="14"/>
      <c r="CS17" s="14"/>
      <c r="CZ17" s="11"/>
    </row>
    <row r="18" spans="1:104" ht="14.25" customHeight="1">
      <c r="A18" s="8"/>
      <c r="B18" s="23"/>
      <c r="C18" s="24"/>
      <c r="D18" s="83"/>
      <c r="E18" s="84"/>
      <c r="F18" s="84"/>
      <c r="G18" s="85"/>
      <c r="H18" s="83"/>
      <c r="I18" s="84"/>
      <c r="J18" s="84"/>
      <c r="K18" s="85"/>
      <c r="L18" s="83"/>
      <c r="M18" s="84"/>
      <c r="N18" s="84"/>
      <c r="O18" s="85"/>
      <c r="P18" s="83"/>
      <c r="Q18" s="84"/>
      <c r="R18" s="84"/>
      <c r="S18" s="85"/>
      <c r="T18" s="83"/>
      <c r="U18" s="84"/>
      <c r="V18" s="84"/>
      <c r="W18" s="85"/>
      <c r="X18" s="84"/>
      <c r="Y18" s="84"/>
      <c r="Z18" s="137"/>
      <c r="AA18" s="138"/>
      <c r="AB18" s="84"/>
      <c r="AC18" s="84"/>
      <c r="AD18" s="84"/>
      <c r="AE18" s="138"/>
      <c r="AF18" s="84"/>
      <c r="AG18" s="84"/>
      <c r="AH18" s="137"/>
      <c r="AI18" s="138"/>
      <c r="AJ18" s="84"/>
      <c r="AK18" s="84"/>
      <c r="AL18" s="137"/>
      <c r="AM18" s="138"/>
      <c r="AN18" s="83"/>
      <c r="AO18" s="84"/>
      <c r="AP18" s="137"/>
      <c r="AQ18" s="138"/>
      <c r="AR18" s="83"/>
      <c r="AS18" s="84"/>
      <c r="AT18" s="137"/>
      <c r="AU18" s="138"/>
      <c r="AV18" s="83"/>
      <c r="AW18" s="84"/>
      <c r="AX18" s="84"/>
      <c r="AY18" s="138"/>
      <c r="AZ18" s="83"/>
      <c r="BA18" s="84"/>
      <c r="BB18" s="84"/>
      <c r="BC18" s="138"/>
      <c r="BD18" s="859"/>
      <c r="BE18" s="137"/>
      <c r="BF18" s="137"/>
      <c r="BG18" s="138"/>
      <c r="BH18" s="859"/>
      <c r="BI18" s="137"/>
      <c r="BJ18" s="137"/>
      <c r="BK18" s="138"/>
      <c r="BL18" s="123"/>
      <c r="BM18" s="84"/>
      <c r="BN18" s="84"/>
      <c r="BO18" s="84"/>
      <c r="BP18" s="84"/>
      <c r="BQ18" s="84"/>
      <c r="BR18" s="84"/>
      <c r="BS18" s="84"/>
      <c r="BT18" s="83"/>
      <c r="BU18" s="84"/>
      <c r="BV18" s="84"/>
      <c r="BW18" s="84"/>
      <c r="BX18" s="84"/>
      <c r="BY18" s="84"/>
      <c r="BZ18" s="84"/>
      <c r="CA18" s="84"/>
      <c r="CB18" s="966"/>
      <c r="CC18" s="20"/>
      <c r="CD18" s="84"/>
      <c r="CE18" s="84"/>
      <c r="CF18" s="84"/>
      <c r="CG18" s="84"/>
      <c r="CH18" s="84"/>
      <c r="CI18" s="84"/>
      <c r="CJ18" s="84"/>
      <c r="CK18" s="84"/>
      <c r="CL18" s="84"/>
      <c r="CM18" s="84"/>
      <c r="CN18" s="84"/>
      <c r="CO18" s="84"/>
      <c r="CP18" s="84"/>
      <c r="CQ18" s="85"/>
      <c r="CR18" s="14"/>
      <c r="CS18" s="14"/>
      <c r="CZ18" s="11"/>
    </row>
    <row r="19" spans="1:104" ht="14.25" customHeight="1">
      <c r="A19" s="8"/>
      <c r="B19" s="28" t="s">
        <v>222</v>
      </c>
      <c r="C19" s="29"/>
      <c r="D19" s="83">
        <v>346.12900000000002</v>
      </c>
      <c r="E19" s="84">
        <v>348.79700000000003</v>
      </c>
      <c r="F19" s="84">
        <v>349.89499999999998</v>
      </c>
      <c r="G19" s="85">
        <v>358.25700000000001</v>
      </c>
      <c r="H19" s="83">
        <v>358.53100000000001</v>
      </c>
      <c r="I19" s="84">
        <v>359.73599999999999</v>
      </c>
      <c r="J19" s="84">
        <v>367.74799999999999</v>
      </c>
      <c r="K19" s="85">
        <v>413.036</v>
      </c>
      <c r="L19" s="83">
        <v>416.18900000000002</v>
      </c>
      <c r="M19" s="84">
        <v>414.827</v>
      </c>
      <c r="N19" s="84">
        <v>412.06799999999998</v>
      </c>
      <c r="O19" s="85">
        <v>404.43</v>
      </c>
      <c r="P19" s="83">
        <v>398.88200000000001</v>
      </c>
      <c r="Q19" s="84">
        <v>397.35</v>
      </c>
      <c r="R19" s="84">
        <v>394.97300000000001</v>
      </c>
      <c r="S19" s="85">
        <v>387.90699999999998</v>
      </c>
      <c r="T19" s="83">
        <v>379.61200000000002</v>
      </c>
      <c r="U19" s="84">
        <v>371.68900000000002</v>
      </c>
      <c r="V19" s="84">
        <v>367.51400000000001</v>
      </c>
      <c r="W19" s="85">
        <v>365.87799999999999</v>
      </c>
      <c r="X19" s="84">
        <v>371.95400000000001</v>
      </c>
      <c r="Y19" s="84">
        <v>374.38400000000001</v>
      </c>
      <c r="Z19" s="84">
        <v>376.76400000000001</v>
      </c>
      <c r="AA19" s="85">
        <v>380.57</v>
      </c>
      <c r="AB19" s="84">
        <v>380.661</v>
      </c>
      <c r="AC19" s="84">
        <v>384.89299999999997</v>
      </c>
      <c r="AD19" s="84">
        <v>390.01400000000001</v>
      </c>
      <c r="AE19" s="85">
        <v>394.98200000000003</v>
      </c>
      <c r="AF19" s="84">
        <v>388.721</v>
      </c>
      <c r="AG19" s="84">
        <v>382.20600000000002</v>
      </c>
      <c r="AH19" s="84">
        <v>373.36900000000003</v>
      </c>
      <c r="AI19" s="85">
        <v>365.68700000000001</v>
      </c>
      <c r="AJ19" s="84">
        <v>362.95600000000002</v>
      </c>
      <c r="AK19" s="84">
        <v>357.42</v>
      </c>
      <c r="AL19" s="84">
        <v>354.8</v>
      </c>
      <c r="AM19" s="85">
        <v>355.089</v>
      </c>
      <c r="AN19" s="83">
        <v>350.73599999999999</v>
      </c>
      <c r="AO19" s="84">
        <v>345.48500000000001</v>
      </c>
      <c r="AP19" s="84">
        <v>337.91399999999999</v>
      </c>
      <c r="AQ19" s="85">
        <v>301.03800000000001</v>
      </c>
      <c r="AR19" s="83">
        <v>294.48700000000002</v>
      </c>
      <c r="AS19" s="84">
        <v>287.37700000000001</v>
      </c>
      <c r="AT19" s="84">
        <v>280.24099999999999</v>
      </c>
      <c r="AU19" s="85">
        <v>283.346</v>
      </c>
      <c r="AV19" s="83">
        <v>292.358</v>
      </c>
      <c r="AW19" s="84">
        <v>292.488</v>
      </c>
      <c r="AX19" s="84">
        <v>301.50400000000002</v>
      </c>
      <c r="AY19" s="85">
        <v>303.82499999999999</v>
      </c>
      <c r="AZ19" s="83">
        <v>303.20999999999998</v>
      </c>
      <c r="BA19" s="84">
        <v>304.11799999999999</v>
      </c>
      <c r="BB19" s="84">
        <v>303.98399999999998</v>
      </c>
      <c r="BC19" s="85">
        <v>304.11700000000002</v>
      </c>
      <c r="BD19" s="80">
        <f>CFS!BD68</f>
        <v>289.09929242700014</v>
      </c>
      <c r="BE19" s="81">
        <f>CFS!BE68</f>
        <v>273.85190720707647</v>
      </c>
      <c r="BF19" s="81">
        <f>CFS!BF68</f>
        <v>258.29530888638101</v>
      </c>
      <c r="BG19" s="82">
        <f>CFS!BG68</f>
        <v>242.70131404125027</v>
      </c>
      <c r="BH19" s="80">
        <f>CFS!BH68</f>
        <v>227.16017655580652</v>
      </c>
      <c r="BI19" s="81">
        <f>CFS!BI68</f>
        <v>211.40726105100066</v>
      </c>
      <c r="BJ19" s="81">
        <f>CFS!BJ68</f>
        <v>195.2568930039721</v>
      </c>
      <c r="BK19" s="82">
        <f>CFS!BK68</f>
        <v>178.98861773836484</v>
      </c>
      <c r="BL19" s="123"/>
      <c r="BM19" s="81">
        <f>G19</f>
        <v>358.25700000000001</v>
      </c>
      <c r="BN19" s="81">
        <f>K19</f>
        <v>413.036</v>
      </c>
      <c r="BO19" s="81">
        <f>O19</f>
        <v>404.43</v>
      </c>
      <c r="BP19" s="81">
        <f>S19</f>
        <v>387.90699999999998</v>
      </c>
      <c r="BQ19" s="81">
        <f>W19</f>
        <v>365.87799999999999</v>
      </c>
      <c r="BR19" s="81">
        <f>AA19</f>
        <v>380.57</v>
      </c>
      <c r="BS19" s="81">
        <f>AE19</f>
        <v>394.98200000000003</v>
      </c>
      <c r="BT19" s="80">
        <f>AI19</f>
        <v>365.68700000000001</v>
      </c>
      <c r="BU19" s="81">
        <f>AM19</f>
        <v>355.089</v>
      </c>
      <c r="BV19" s="81">
        <f>AQ19</f>
        <v>301.03800000000001</v>
      </c>
      <c r="BW19" s="81">
        <f>AU19</f>
        <v>283.346</v>
      </c>
      <c r="BX19" s="81">
        <f>AY19</f>
        <v>303.82499999999999</v>
      </c>
      <c r="BY19" s="81">
        <f>BC19</f>
        <v>304.11700000000002</v>
      </c>
      <c r="BZ19" s="81">
        <f>BG19</f>
        <v>242.70131404125027</v>
      </c>
      <c r="CA19" s="81">
        <f>BK19</f>
        <v>178.98861773836484</v>
      </c>
      <c r="CB19" s="945">
        <f>CFS!CB68</f>
        <v>162.26660965660028</v>
      </c>
      <c r="CC19" s="20"/>
      <c r="CD19" s="81">
        <f>J19</f>
        <v>367.74799999999999</v>
      </c>
      <c r="CE19" s="81">
        <f>N19</f>
        <v>412.06799999999998</v>
      </c>
      <c r="CF19" s="81">
        <f>R19</f>
        <v>394.97300000000001</v>
      </c>
      <c r="CG19" s="81">
        <f>V19</f>
        <v>367.51400000000001</v>
      </c>
      <c r="CH19" s="81">
        <f>Z19</f>
        <v>376.76400000000001</v>
      </c>
      <c r="CI19" s="81">
        <f>AD19</f>
        <v>390.01400000000001</v>
      </c>
      <c r="CJ19" s="81">
        <f>AH19</f>
        <v>373.36900000000003</v>
      </c>
      <c r="CK19" s="81">
        <f>AL19</f>
        <v>354.8</v>
      </c>
      <c r="CL19" s="81">
        <f>AP19</f>
        <v>337.91399999999999</v>
      </c>
      <c r="CM19" s="81">
        <f>AT19</f>
        <v>280.24099999999999</v>
      </c>
      <c r="CN19" s="81">
        <f>AX19</f>
        <v>301.50400000000002</v>
      </c>
      <c r="CO19" s="81">
        <f>BB19</f>
        <v>303.98399999999998</v>
      </c>
      <c r="CP19" s="81">
        <f>BF19</f>
        <v>258.29530888638101</v>
      </c>
      <c r="CQ19" s="82">
        <f>BJ19</f>
        <v>195.2568930039721</v>
      </c>
      <c r="CR19" s="808"/>
      <c r="CS19" s="808"/>
      <c r="CZ19" s="11"/>
    </row>
    <row r="20" spans="1:104" ht="14.25" customHeight="1">
      <c r="A20" s="8"/>
      <c r="B20" s="28" t="s">
        <v>230</v>
      </c>
      <c r="C20" s="29"/>
      <c r="D20" s="83">
        <v>732.25800000000004</v>
      </c>
      <c r="E20" s="84">
        <v>760.94399999999996</v>
      </c>
      <c r="F20" s="84">
        <v>784.34400000000005</v>
      </c>
      <c r="G20" s="85">
        <v>616.29600000000005</v>
      </c>
      <c r="H20" s="83">
        <v>585.85299999999995</v>
      </c>
      <c r="I20" s="84">
        <v>552.26</v>
      </c>
      <c r="J20" s="84">
        <v>641.22299999999996</v>
      </c>
      <c r="K20" s="85">
        <v>675.71299999999997</v>
      </c>
      <c r="L20" s="83">
        <v>729.94500000000005</v>
      </c>
      <c r="M20" s="84">
        <v>687.35799999999995</v>
      </c>
      <c r="N20" s="84">
        <v>574.38599999999997</v>
      </c>
      <c r="O20" s="85">
        <v>564.26900000000001</v>
      </c>
      <c r="P20" s="83">
        <v>607.25300000000004</v>
      </c>
      <c r="Q20" s="84">
        <v>472.26799999999997</v>
      </c>
      <c r="R20" s="84">
        <v>388.97199999999998</v>
      </c>
      <c r="S20" s="85">
        <v>347.78699999999998</v>
      </c>
      <c r="T20" s="83">
        <v>350.053</v>
      </c>
      <c r="U20" s="84">
        <v>352.375</v>
      </c>
      <c r="V20" s="84">
        <v>503.10599999999999</v>
      </c>
      <c r="W20" s="85">
        <v>582.202</v>
      </c>
      <c r="X20" s="84">
        <v>580.38599999999997</v>
      </c>
      <c r="Y20" s="84">
        <v>704.58600000000001</v>
      </c>
      <c r="Z20" s="84">
        <v>660.16700000000003</v>
      </c>
      <c r="AA20" s="85">
        <v>766.452</v>
      </c>
      <c r="AB20" s="84">
        <v>899.57</v>
      </c>
      <c r="AC20" s="84">
        <v>1048.492</v>
      </c>
      <c r="AD20" s="84">
        <v>1190.8119999999999</v>
      </c>
      <c r="AE20" s="85">
        <v>1209.2280000000001</v>
      </c>
      <c r="AF20" s="84">
        <v>1399.684</v>
      </c>
      <c r="AG20" s="84">
        <v>1497.394</v>
      </c>
      <c r="AH20" s="84">
        <v>1560.1320000000001</v>
      </c>
      <c r="AI20" s="85">
        <v>1651.0329999999999</v>
      </c>
      <c r="AJ20" s="84">
        <v>1634.0309999999999</v>
      </c>
      <c r="AK20" s="84">
        <v>1436.7809999999999</v>
      </c>
      <c r="AL20" s="84">
        <v>1287.3920000000001</v>
      </c>
      <c r="AM20" s="85">
        <v>1190.7750000000001</v>
      </c>
      <c r="AN20" s="83">
        <v>1109.645</v>
      </c>
      <c r="AO20" s="84">
        <v>950.827</v>
      </c>
      <c r="AP20" s="84">
        <v>654.01300000000003</v>
      </c>
      <c r="AQ20" s="85">
        <v>266.90199999999999</v>
      </c>
      <c r="AR20" s="83">
        <v>248.43100000000001</v>
      </c>
      <c r="AS20" s="84">
        <v>235.922</v>
      </c>
      <c r="AT20" s="84">
        <v>224.614</v>
      </c>
      <c r="AU20" s="85">
        <v>220.80699999999999</v>
      </c>
      <c r="AV20" s="83">
        <v>209.01499999999999</v>
      </c>
      <c r="AW20" s="84">
        <v>198.54499999999999</v>
      </c>
      <c r="AX20" s="84">
        <v>183.08199999999999</v>
      </c>
      <c r="AY20" s="85">
        <v>116.288</v>
      </c>
      <c r="AZ20" s="83">
        <v>106.86199999999999</v>
      </c>
      <c r="BA20" s="84">
        <v>99.861999999999995</v>
      </c>
      <c r="BB20" s="84">
        <v>102.375</v>
      </c>
      <c r="BC20" s="85">
        <v>97.896000000000001</v>
      </c>
      <c r="BD20" s="80">
        <f t="shared" ref="BD20:BG21" si="39">BC20</f>
        <v>97.896000000000001</v>
      </c>
      <c r="BE20" s="81">
        <f t="shared" si="39"/>
        <v>97.896000000000001</v>
      </c>
      <c r="BF20" s="81">
        <f t="shared" si="39"/>
        <v>97.896000000000001</v>
      </c>
      <c r="BG20" s="82">
        <f t="shared" si="39"/>
        <v>97.896000000000001</v>
      </c>
      <c r="BH20" s="80">
        <f t="shared" ref="BH20:BK21" si="40">BG20</f>
        <v>97.896000000000001</v>
      </c>
      <c r="BI20" s="81">
        <f t="shared" si="40"/>
        <v>97.896000000000001</v>
      </c>
      <c r="BJ20" s="81">
        <f t="shared" si="40"/>
        <v>97.896000000000001</v>
      </c>
      <c r="BK20" s="82">
        <f t="shared" si="40"/>
        <v>97.896000000000001</v>
      </c>
      <c r="BL20" s="123"/>
      <c r="BM20" s="81">
        <f>G20</f>
        <v>616.29600000000005</v>
      </c>
      <c r="BN20" s="81">
        <f>K20</f>
        <v>675.71299999999997</v>
      </c>
      <c r="BO20" s="81">
        <f>O20</f>
        <v>564.26900000000001</v>
      </c>
      <c r="BP20" s="81">
        <f>S20</f>
        <v>347.78699999999998</v>
      </c>
      <c r="BQ20" s="81">
        <f>W20</f>
        <v>582.202</v>
      </c>
      <c r="BR20" s="81">
        <f>AA20</f>
        <v>766.452</v>
      </c>
      <c r="BS20" s="81">
        <f>AE20</f>
        <v>1209.2280000000001</v>
      </c>
      <c r="BT20" s="80">
        <f>AI20</f>
        <v>1651.0329999999999</v>
      </c>
      <c r="BU20" s="81">
        <f>AM20</f>
        <v>1190.7750000000001</v>
      </c>
      <c r="BV20" s="81">
        <f>AQ20</f>
        <v>266.90199999999999</v>
      </c>
      <c r="BW20" s="81">
        <f>AU20</f>
        <v>220.80699999999999</v>
      </c>
      <c r="BX20" s="81">
        <f>AY20</f>
        <v>116.288</v>
      </c>
      <c r="BY20" s="81">
        <f>BC20</f>
        <v>97.896000000000001</v>
      </c>
      <c r="BZ20" s="81">
        <f>BG20</f>
        <v>97.896000000000001</v>
      </c>
      <c r="CA20" s="81">
        <f>BK20</f>
        <v>97.896000000000001</v>
      </c>
      <c r="CB20" s="945">
        <f>CA20</f>
        <v>97.896000000000001</v>
      </c>
      <c r="CC20" s="20"/>
      <c r="CD20" s="81">
        <f>J20</f>
        <v>641.22299999999996</v>
      </c>
      <c r="CE20" s="81">
        <f>N20</f>
        <v>574.38599999999997</v>
      </c>
      <c r="CF20" s="81">
        <f>R20</f>
        <v>388.97199999999998</v>
      </c>
      <c r="CG20" s="81">
        <f>V20</f>
        <v>503.10599999999999</v>
      </c>
      <c r="CH20" s="81">
        <f>Z20</f>
        <v>660.16700000000003</v>
      </c>
      <c r="CI20" s="81">
        <f>AD20</f>
        <v>1190.8119999999999</v>
      </c>
      <c r="CJ20" s="81">
        <f>AH20</f>
        <v>1560.1320000000001</v>
      </c>
      <c r="CK20" s="81">
        <f>AL20</f>
        <v>1287.3920000000001</v>
      </c>
      <c r="CL20" s="81">
        <f>AP20</f>
        <v>654.01300000000003</v>
      </c>
      <c r="CM20" s="81">
        <f>AT20</f>
        <v>224.614</v>
      </c>
      <c r="CN20" s="81">
        <f>AX20</f>
        <v>183.08199999999999</v>
      </c>
      <c r="CO20" s="81">
        <f>BB20</f>
        <v>102.375</v>
      </c>
      <c r="CP20" s="81">
        <f>BF20</f>
        <v>97.896000000000001</v>
      </c>
      <c r="CQ20" s="82">
        <f>BJ20</f>
        <v>97.896000000000001</v>
      </c>
      <c r="CR20" s="808"/>
      <c r="CS20" s="808"/>
      <c r="CZ20" s="11"/>
    </row>
    <row r="21" spans="1:104" ht="14.25" customHeight="1">
      <c r="A21" s="8"/>
      <c r="B21" s="28" t="s">
        <v>254</v>
      </c>
      <c r="C21" s="29"/>
      <c r="D21" s="83">
        <v>198.024</v>
      </c>
      <c r="E21" s="84">
        <v>118.84699999999999</v>
      </c>
      <c r="F21" s="84">
        <v>118.84699999999999</v>
      </c>
      <c r="G21" s="85">
        <v>125.084</v>
      </c>
      <c r="H21" s="83">
        <v>125.084</v>
      </c>
      <c r="I21" s="84">
        <v>124.93899999999999</v>
      </c>
      <c r="J21" s="84">
        <v>124.898</v>
      </c>
      <c r="K21" s="85">
        <v>117.955</v>
      </c>
      <c r="L21" s="83">
        <v>117.955</v>
      </c>
      <c r="M21" s="84">
        <v>117.955</v>
      </c>
      <c r="N21" s="84">
        <v>117.955</v>
      </c>
      <c r="O21" s="85">
        <v>117.955</v>
      </c>
      <c r="P21" s="83">
        <v>117.955</v>
      </c>
      <c r="Q21" s="84">
        <v>117.955</v>
      </c>
      <c r="R21" s="84">
        <v>117.955</v>
      </c>
      <c r="S21" s="85">
        <v>117.955</v>
      </c>
      <c r="T21" s="83">
        <v>117.955</v>
      </c>
      <c r="U21" s="84">
        <v>117.955</v>
      </c>
      <c r="V21" s="84">
        <v>117.955</v>
      </c>
      <c r="W21" s="85">
        <v>117.955</v>
      </c>
      <c r="X21" s="84">
        <v>117.955</v>
      </c>
      <c r="Y21" s="84">
        <v>117.955</v>
      </c>
      <c r="Z21" s="84">
        <v>117.955</v>
      </c>
      <c r="AA21" s="85">
        <v>133.58000000000001</v>
      </c>
      <c r="AB21" s="84">
        <v>148.56399999999999</v>
      </c>
      <c r="AC21" s="84">
        <v>149.69300000000001</v>
      </c>
      <c r="AD21" s="84">
        <f>149.701</f>
        <v>149.70099999999999</v>
      </c>
      <c r="AE21" s="85">
        <v>149.53800000000001</v>
      </c>
      <c r="AF21" s="84">
        <v>149.53800000000001</v>
      </c>
      <c r="AG21" s="84">
        <v>158.99</v>
      </c>
      <c r="AH21" s="84">
        <v>158.99</v>
      </c>
      <c r="AI21" s="85">
        <v>158.99</v>
      </c>
      <c r="AJ21" s="84">
        <v>158.99</v>
      </c>
      <c r="AK21" s="84">
        <v>158.99</v>
      </c>
      <c r="AL21" s="84">
        <v>159.29599999999999</v>
      </c>
      <c r="AM21" s="85">
        <v>159.29599999999999</v>
      </c>
      <c r="AN21" s="83">
        <v>159.29599999999999</v>
      </c>
      <c r="AO21" s="84">
        <v>159.29599999999999</v>
      </c>
      <c r="AP21" s="84">
        <v>159.29599999999999</v>
      </c>
      <c r="AQ21" s="85">
        <v>159.29599999999999</v>
      </c>
      <c r="AR21" s="83">
        <v>159.29599999999999</v>
      </c>
      <c r="AS21" s="84">
        <v>159.29599999999999</v>
      </c>
      <c r="AT21" s="84">
        <v>159.29599999999999</v>
      </c>
      <c r="AU21" s="85">
        <v>159.29599999999999</v>
      </c>
      <c r="AV21" s="83">
        <f>AU21</f>
        <v>159.29599999999999</v>
      </c>
      <c r="AW21" s="84">
        <v>161.28700000000001</v>
      </c>
      <c r="AX21" s="84">
        <v>161.28700000000001</v>
      </c>
      <c r="AY21" s="85">
        <v>161.28700000000001</v>
      </c>
      <c r="AZ21" s="83">
        <v>161.28700000000001</v>
      </c>
      <c r="BA21" s="84">
        <v>161.28700000000001</v>
      </c>
      <c r="BB21" s="84">
        <v>162.42099999999999</v>
      </c>
      <c r="BC21" s="82">
        <f>BB21</f>
        <v>162.42099999999999</v>
      </c>
      <c r="BD21" s="80">
        <f t="shared" si="39"/>
        <v>162.42099999999999</v>
      </c>
      <c r="BE21" s="81">
        <f t="shared" si="39"/>
        <v>162.42099999999999</v>
      </c>
      <c r="BF21" s="81">
        <f t="shared" si="39"/>
        <v>162.42099999999999</v>
      </c>
      <c r="BG21" s="82">
        <f t="shared" si="39"/>
        <v>162.42099999999999</v>
      </c>
      <c r="BH21" s="80">
        <f t="shared" si="40"/>
        <v>162.42099999999999</v>
      </c>
      <c r="BI21" s="81">
        <f t="shared" si="40"/>
        <v>162.42099999999999</v>
      </c>
      <c r="BJ21" s="81">
        <f t="shared" si="40"/>
        <v>162.42099999999999</v>
      </c>
      <c r="BK21" s="82">
        <f t="shared" si="40"/>
        <v>162.42099999999999</v>
      </c>
      <c r="BL21" s="123"/>
      <c r="BM21" s="81">
        <f>G21</f>
        <v>125.084</v>
      </c>
      <c r="BN21" s="81">
        <f>K21</f>
        <v>117.955</v>
      </c>
      <c r="BO21" s="81">
        <f>O21</f>
        <v>117.955</v>
      </c>
      <c r="BP21" s="81">
        <f>S21</f>
        <v>117.955</v>
      </c>
      <c r="BQ21" s="81">
        <f>W21</f>
        <v>117.955</v>
      </c>
      <c r="BR21" s="81">
        <f>AA21</f>
        <v>133.58000000000001</v>
      </c>
      <c r="BS21" s="81">
        <f>AE21</f>
        <v>149.53800000000001</v>
      </c>
      <c r="BT21" s="80">
        <f>AI21</f>
        <v>158.99</v>
      </c>
      <c r="BU21" s="81">
        <f>AM21</f>
        <v>159.29599999999999</v>
      </c>
      <c r="BV21" s="81">
        <f>AQ21</f>
        <v>159.29599999999999</v>
      </c>
      <c r="BW21" s="81">
        <f>AU21</f>
        <v>159.29599999999999</v>
      </c>
      <c r="BX21" s="81">
        <f>AY21</f>
        <v>161.28700000000001</v>
      </c>
      <c r="BY21" s="81">
        <f>BC21</f>
        <v>162.42099999999999</v>
      </c>
      <c r="BZ21" s="81">
        <f>BG21</f>
        <v>162.42099999999999</v>
      </c>
      <c r="CA21" s="81">
        <f>BK21</f>
        <v>162.42099999999999</v>
      </c>
      <c r="CB21" s="945">
        <f>CA21</f>
        <v>162.42099999999999</v>
      </c>
      <c r="CC21" s="20"/>
      <c r="CD21" s="81">
        <f>J21</f>
        <v>124.898</v>
      </c>
      <c r="CE21" s="81">
        <f>N21</f>
        <v>117.955</v>
      </c>
      <c r="CF21" s="81">
        <f>R21</f>
        <v>117.955</v>
      </c>
      <c r="CG21" s="81">
        <f>V21</f>
        <v>117.955</v>
      </c>
      <c r="CH21" s="81">
        <f>Z21</f>
        <v>117.955</v>
      </c>
      <c r="CI21" s="81">
        <f>AD21</f>
        <v>149.70099999999999</v>
      </c>
      <c r="CJ21" s="81">
        <f>AH21</f>
        <v>158.99</v>
      </c>
      <c r="CK21" s="81">
        <f>AL21</f>
        <v>159.29599999999999</v>
      </c>
      <c r="CL21" s="81">
        <f>AP21</f>
        <v>159.29599999999999</v>
      </c>
      <c r="CM21" s="81">
        <f>AT21</f>
        <v>159.29599999999999</v>
      </c>
      <c r="CN21" s="81">
        <f>AX21</f>
        <v>161.28700000000001</v>
      </c>
      <c r="CO21" s="81">
        <f>BB21</f>
        <v>162.42099999999999</v>
      </c>
      <c r="CP21" s="81">
        <f>BF21</f>
        <v>162.42099999999999</v>
      </c>
      <c r="CQ21" s="82">
        <f>BJ21</f>
        <v>162.42099999999999</v>
      </c>
      <c r="CR21" s="808"/>
      <c r="CS21" s="808"/>
      <c r="CZ21" s="11"/>
    </row>
    <row r="22" spans="1:104" ht="14.25" customHeight="1">
      <c r="A22" s="8"/>
      <c r="B22" s="28" t="s">
        <v>210</v>
      </c>
      <c r="C22" s="29"/>
      <c r="D22" s="83">
        <v>18.204000000000001</v>
      </c>
      <c r="E22" s="84">
        <v>16.437999999999999</v>
      </c>
      <c r="F22" s="84">
        <v>14.891999999999999</v>
      </c>
      <c r="G22" s="85">
        <v>22.651</v>
      </c>
      <c r="H22" s="83">
        <v>20.61</v>
      </c>
      <c r="I22" s="84">
        <v>18.571999999999999</v>
      </c>
      <c r="J22" s="84">
        <v>16.565999999999999</v>
      </c>
      <c r="K22" s="85">
        <v>14.625999999999999</v>
      </c>
      <c r="L22" s="83">
        <v>12.728999999999999</v>
      </c>
      <c r="M22" s="84">
        <v>10.833</v>
      </c>
      <c r="N22" s="84">
        <v>9.25</v>
      </c>
      <c r="O22" s="85">
        <v>7.8250000000000002</v>
      </c>
      <c r="P22" s="83">
        <v>6.399</v>
      </c>
      <c r="Q22" s="84">
        <v>4.9740000000000002</v>
      </c>
      <c r="R22" s="84">
        <v>3.4990000000000001</v>
      </c>
      <c r="S22" s="85">
        <v>2.4929999999999999</v>
      </c>
      <c r="T22" s="83">
        <v>0</v>
      </c>
      <c r="U22" s="84">
        <v>0</v>
      </c>
      <c r="V22" s="84">
        <v>0</v>
      </c>
      <c r="W22" s="85">
        <v>0</v>
      </c>
      <c r="X22" s="84">
        <v>0</v>
      </c>
      <c r="Y22" s="84">
        <v>0</v>
      </c>
      <c r="Z22" s="84">
        <v>0</v>
      </c>
      <c r="AA22" s="85">
        <v>26.896000000000001</v>
      </c>
      <c r="AB22" s="84">
        <v>42.277999999999999</v>
      </c>
      <c r="AC22" s="84">
        <v>40.295999999999999</v>
      </c>
      <c r="AD22" s="84">
        <f>38.314</f>
        <v>38.314</v>
      </c>
      <c r="AE22" s="85">
        <v>36.332000000000001</v>
      </c>
      <c r="AF22" s="84">
        <v>34.183999999999997</v>
      </c>
      <c r="AG22" s="84">
        <v>41.095999999999997</v>
      </c>
      <c r="AH22" s="84">
        <v>38.540999999999997</v>
      </c>
      <c r="AI22" s="85">
        <v>36.054000000000002</v>
      </c>
      <c r="AJ22" s="84">
        <v>33.636000000000003</v>
      </c>
      <c r="AK22" s="84">
        <v>31.219000000000001</v>
      </c>
      <c r="AL22" s="84">
        <v>31.329000000000001</v>
      </c>
      <c r="AM22" s="85">
        <v>28.867000000000001</v>
      </c>
      <c r="AN22" s="83">
        <v>26.449000000000002</v>
      </c>
      <c r="AO22" s="84">
        <v>24.07</v>
      </c>
      <c r="AP22" s="84">
        <v>21.7</v>
      </c>
      <c r="AQ22" s="85">
        <v>12.752000000000001</v>
      </c>
      <c r="AR22" s="83">
        <v>10.983000000000001</v>
      </c>
      <c r="AS22" s="84">
        <v>9.2140000000000004</v>
      </c>
      <c r="AT22" s="84">
        <v>7.4459999999999997</v>
      </c>
      <c r="AU22" s="85">
        <v>6.202</v>
      </c>
      <c r="AV22" s="83">
        <f>AU22</f>
        <v>6.202</v>
      </c>
      <c r="AW22" s="84">
        <v>6.1230000000000002</v>
      </c>
      <c r="AX22" s="84">
        <v>4.7590000000000003</v>
      </c>
      <c r="AY22" s="85">
        <v>3.5760000000000001</v>
      </c>
      <c r="AZ22" s="83">
        <v>2.871</v>
      </c>
      <c r="BA22" s="84">
        <v>2.3610000000000002</v>
      </c>
      <c r="BB22" s="84">
        <v>4.7080000000000002</v>
      </c>
      <c r="BC22" s="82">
        <f>BB22</f>
        <v>4.7080000000000002</v>
      </c>
      <c r="BD22" s="80">
        <f>BC22-CFS!BD36-IS!BD17-IS!BD42</f>
        <v>4.7080000000000002</v>
      </c>
      <c r="BE22" s="81">
        <f>BD22-CFS!BE36-IS!BE17-IS!BE42</f>
        <v>4.7080000000000002</v>
      </c>
      <c r="BF22" s="81">
        <f>BE22-CFS!BF36-IS!BF17-IS!BF42</f>
        <v>4.7080000000000002</v>
      </c>
      <c r="BG22" s="82">
        <f>BF22-CFS!BG36-IS!BG17-IS!BG42</f>
        <v>4.7080000000000002</v>
      </c>
      <c r="BH22" s="80">
        <f>BG22-CFS!BH36-IS!BH17-IS!BH42</f>
        <v>4.7080000000000002</v>
      </c>
      <c r="BI22" s="81">
        <f>BH22-CFS!BI36-IS!BI17-IS!BI42</f>
        <v>4.7080000000000002</v>
      </c>
      <c r="BJ22" s="81">
        <f>BI22-CFS!BJ36-IS!BJ17-IS!BJ42</f>
        <v>4.7080000000000002</v>
      </c>
      <c r="BK22" s="82">
        <f>BJ22-CFS!BK36-IS!BK17-IS!BK42</f>
        <v>4.7080000000000002</v>
      </c>
      <c r="BL22" s="123"/>
      <c r="BM22" s="81">
        <f>G22</f>
        <v>22.651</v>
      </c>
      <c r="BN22" s="81">
        <f>K22</f>
        <v>14.625999999999999</v>
      </c>
      <c r="BO22" s="81">
        <f>O22</f>
        <v>7.8250000000000002</v>
      </c>
      <c r="BP22" s="81">
        <f>S22</f>
        <v>2.4929999999999999</v>
      </c>
      <c r="BQ22" s="81">
        <f>W22</f>
        <v>0</v>
      </c>
      <c r="BR22" s="81">
        <f>AA22</f>
        <v>26.896000000000001</v>
      </c>
      <c r="BS22" s="81">
        <f>AE22</f>
        <v>36.332000000000001</v>
      </c>
      <c r="BT22" s="80">
        <f>AI22</f>
        <v>36.054000000000002</v>
      </c>
      <c r="BU22" s="81">
        <f>AM22</f>
        <v>28.867000000000001</v>
      </c>
      <c r="BV22" s="81">
        <f>AQ22</f>
        <v>12.752000000000001</v>
      </c>
      <c r="BW22" s="81">
        <f>AU22</f>
        <v>6.202</v>
      </c>
      <c r="BX22" s="81">
        <f>AY22</f>
        <v>3.5760000000000001</v>
      </c>
      <c r="BY22" s="81">
        <f>BC22</f>
        <v>4.7080000000000002</v>
      </c>
      <c r="BZ22" s="81">
        <f>BG22</f>
        <v>4.7080000000000002</v>
      </c>
      <c r="CA22" s="81">
        <f>BK22</f>
        <v>4.7080000000000002</v>
      </c>
      <c r="CB22" s="945">
        <f>CA22-CFS!CB36-IS!CB17-IS!CB42</f>
        <v>4.7080000000000002</v>
      </c>
      <c r="CC22" s="20"/>
      <c r="CD22" s="81">
        <f>J22</f>
        <v>16.565999999999999</v>
      </c>
      <c r="CE22" s="81">
        <f>N22</f>
        <v>9.25</v>
      </c>
      <c r="CF22" s="81">
        <f>R22</f>
        <v>3.4990000000000001</v>
      </c>
      <c r="CG22" s="81">
        <f>V22</f>
        <v>0</v>
      </c>
      <c r="CH22" s="81">
        <f>Z22</f>
        <v>0</v>
      </c>
      <c r="CI22" s="81">
        <f>AD22</f>
        <v>38.314</v>
      </c>
      <c r="CJ22" s="81">
        <f>AH22</f>
        <v>38.540999999999997</v>
      </c>
      <c r="CK22" s="81">
        <f>AL22</f>
        <v>31.329000000000001</v>
      </c>
      <c r="CL22" s="81">
        <f>AP22</f>
        <v>21.7</v>
      </c>
      <c r="CM22" s="81">
        <f>AT22</f>
        <v>7.4459999999999997</v>
      </c>
      <c r="CN22" s="81">
        <f>AX22</f>
        <v>4.7590000000000003</v>
      </c>
      <c r="CO22" s="81">
        <f>BB22</f>
        <v>4.7080000000000002</v>
      </c>
      <c r="CP22" s="81">
        <f>BF22</f>
        <v>4.7080000000000002</v>
      </c>
      <c r="CQ22" s="82">
        <f>BJ22</f>
        <v>4.7080000000000002</v>
      </c>
      <c r="CR22" s="808"/>
      <c r="CS22" s="808"/>
      <c r="CZ22" s="11"/>
    </row>
    <row r="23" spans="1:104" ht="14.25" customHeight="1">
      <c r="A23" s="8"/>
      <c r="B23" s="28" t="s">
        <v>211</v>
      </c>
      <c r="C23" s="29"/>
      <c r="D23" s="83">
        <f>105.306+119.415</f>
        <v>224.721</v>
      </c>
      <c r="E23" s="84">
        <f>178.608+256.1</f>
        <v>434.70800000000003</v>
      </c>
      <c r="F23" s="84">
        <f>156.107+209.698</f>
        <v>365.80500000000001</v>
      </c>
      <c r="G23" s="85">
        <f>163.802+239.209</f>
        <v>403.01099999999997</v>
      </c>
      <c r="H23" s="83">
        <f>140.108+228.674</f>
        <v>368.78200000000004</v>
      </c>
      <c r="I23" s="84">
        <f>146.869+65.164</f>
        <v>212.03300000000002</v>
      </c>
      <c r="J23" s="84">
        <f>151.615+72.284</f>
        <v>223.899</v>
      </c>
      <c r="K23" s="85">
        <f>190.873+67.05</f>
        <v>257.923</v>
      </c>
      <c r="L23" s="83">
        <f>202.715+69.396</f>
        <v>272.11099999999999</v>
      </c>
      <c r="M23" s="84">
        <f>198.277+67.07</f>
        <v>265.34699999999998</v>
      </c>
      <c r="N23" s="84">
        <v>205.959</v>
      </c>
      <c r="O23" s="85">
        <v>222.43199999999999</v>
      </c>
      <c r="P23" s="83">
        <v>228.06800000000001</v>
      </c>
      <c r="Q23" s="84">
        <v>233.59</v>
      </c>
      <c r="R23" s="84">
        <v>221.79400000000001</v>
      </c>
      <c r="S23" s="85">
        <v>203.291</v>
      </c>
      <c r="T23" s="83">
        <v>164.37</v>
      </c>
      <c r="U23" s="84">
        <v>174.23400000000001</v>
      </c>
      <c r="V23" s="84">
        <v>174.65</v>
      </c>
      <c r="W23" s="85">
        <v>211.21700000000001</v>
      </c>
      <c r="X23" s="84">
        <v>180.53700000000001</v>
      </c>
      <c r="Y23" s="84">
        <v>175.01300000000001</v>
      </c>
      <c r="Z23" s="84">
        <v>172.892</v>
      </c>
      <c r="AA23" s="85">
        <v>210.566</v>
      </c>
      <c r="AB23" s="84">
        <v>239.059</v>
      </c>
      <c r="AC23" s="84">
        <v>230.167</v>
      </c>
      <c r="AD23" s="84">
        <f>223.705</f>
        <v>223.70500000000001</v>
      </c>
      <c r="AE23" s="85">
        <v>223.733</v>
      </c>
      <c r="AF23" s="84">
        <v>218.92400000000001</v>
      </c>
      <c r="AG23" s="84">
        <v>218.89</v>
      </c>
      <c r="AH23" s="84">
        <v>218.304</v>
      </c>
      <c r="AI23" s="85">
        <v>220.048</v>
      </c>
      <c r="AJ23" s="84">
        <v>216.726</v>
      </c>
      <c r="AK23" s="84">
        <v>214.43600000000001</v>
      </c>
      <c r="AL23" s="84">
        <v>221.15799999999999</v>
      </c>
      <c r="AM23" s="85">
        <v>236.17500000000001</v>
      </c>
      <c r="AN23" s="83">
        <v>239.39400000000001</v>
      </c>
      <c r="AO23" s="84">
        <v>233.64699999999999</v>
      </c>
      <c r="AP23" s="84">
        <v>227.14099999999999</v>
      </c>
      <c r="AQ23" s="85">
        <v>223.02600000000001</v>
      </c>
      <c r="AR23" s="83">
        <v>222.626</v>
      </c>
      <c r="AS23" s="84">
        <v>217.38</v>
      </c>
      <c r="AT23" s="84">
        <v>218.26599999999999</v>
      </c>
      <c r="AU23" s="85">
        <v>234.57</v>
      </c>
      <c r="AV23" s="83">
        <f>403.402-AV22-AV21</f>
        <v>237.904</v>
      </c>
      <c r="AW23" s="84">
        <v>268.08300000000003</v>
      </c>
      <c r="AX23" s="84">
        <v>269.60399999999998</v>
      </c>
      <c r="AY23" s="85">
        <v>275.44</v>
      </c>
      <c r="AZ23" s="83">
        <v>284.92399999999998</v>
      </c>
      <c r="BA23" s="84">
        <v>290.99200000000002</v>
      </c>
      <c r="BB23" s="84">
        <v>348.24799999999999</v>
      </c>
      <c r="BC23" s="82">
        <f>509.188-SUM(BC21:BC22)</f>
        <v>342.05899999999997</v>
      </c>
      <c r="BD23" s="80">
        <f t="shared" ref="BD23:BK23" si="41">BC23</f>
        <v>342.05899999999997</v>
      </c>
      <c r="BE23" s="81">
        <f t="shared" si="41"/>
        <v>342.05899999999997</v>
      </c>
      <c r="BF23" s="81">
        <f t="shared" si="41"/>
        <v>342.05899999999997</v>
      </c>
      <c r="BG23" s="82">
        <f t="shared" si="41"/>
        <v>342.05899999999997</v>
      </c>
      <c r="BH23" s="80">
        <f t="shared" si="41"/>
        <v>342.05899999999997</v>
      </c>
      <c r="BI23" s="81">
        <f t="shared" si="41"/>
        <v>342.05899999999997</v>
      </c>
      <c r="BJ23" s="81">
        <f t="shared" si="41"/>
        <v>342.05899999999997</v>
      </c>
      <c r="BK23" s="82">
        <f t="shared" si="41"/>
        <v>342.05899999999997</v>
      </c>
      <c r="BL23" s="123"/>
      <c r="BM23" s="81">
        <f>G23</f>
        <v>403.01099999999997</v>
      </c>
      <c r="BN23" s="81">
        <f>K23</f>
        <v>257.923</v>
      </c>
      <c r="BO23" s="81">
        <f>O23</f>
        <v>222.43199999999999</v>
      </c>
      <c r="BP23" s="81">
        <f>S23</f>
        <v>203.291</v>
      </c>
      <c r="BQ23" s="81">
        <f>W23</f>
        <v>211.21700000000001</v>
      </c>
      <c r="BR23" s="81">
        <f>AA23</f>
        <v>210.566</v>
      </c>
      <c r="BS23" s="81">
        <f>AE23</f>
        <v>223.733</v>
      </c>
      <c r="BT23" s="80">
        <f>AI23</f>
        <v>220.048</v>
      </c>
      <c r="BU23" s="81">
        <f>AM23</f>
        <v>236.17500000000001</v>
      </c>
      <c r="BV23" s="81">
        <f>AQ23</f>
        <v>223.02600000000001</v>
      </c>
      <c r="BW23" s="81">
        <f>AU23</f>
        <v>234.57</v>
      </c>
      <c r="BX23" s="81">
        <f>AY23</f>
        <v>275.44</v>
      </c>
      <c r="BY23" s="81">
        <f>BC23</f>
        <v>342.05899999999997</v>
      </c>
      <c r="BZ23" s="81">
        <f>BG23</f>
        <v>342.05899999999997</v>
      </c>
      <c r="CA23" s="81">
        <f>BK23</f>
        <v>342.05899999999997</v>
      </c>
      <c r="CB23" s="945">
        <f>CA23</f>
        <v>342.05899999999997</v>
      </c>
      <c r="CC23" s="20"/>
      <c r="CD23" s="81">
        <f>J23</f>
        <v>223.899</v>
      </c>
      <c r="CE23" s="81">
        <f>N23</f>
        <v>205.959</v>
      </c>
      <c r="CF23" s="81">
        <f>R23</f>
        <v>221.79400000000001</v>
      </c>
      <c r="CG23" s="81">
        <f>V23</f>
        <v>174.65</v>
      </c>
      <c r="CH23" s="81">
        <f>Z23</f>
        <v>172.892</v>
      </c>
      <c r="CI23" s="81">
        <f>AD23</f>
        <v>223.70500000000001</v>
      </c>
      <c r="CJ23" s="81">
        <f>AH23</f>
        <v>218.304</v>
      </c>
      <c r="CK23" s="81">
        <f>AL23</f>
        <v>221.15799999999999</v>
      </c>
      <c r="CL23" s="81">
        <f>AP23</f>
        <v>227.14099999999999</v>
      </c>
      <c r="CM23" s="81">
        <f>AT23</f>
        <v>218.26599999999999</v>
      </c>
      <c r="CN23" s="81">
        <f>AX23</f>
        <v>269.60399999999998</v>
      </c>
      <c r="CO23" s="81">
        <f>BB23</f>
        <v>348.24799999999999</v>
      </c>
      <c r="CP23" s="81">
        <f>BF23</f>
        <v>342.05899999999997</v>
      </c>
      <c r="CQ23" s="82">
        <f>BJ23</f>
        <v>342.05899999999997</v>
      </c>
      <c r="CR23" s="808"/>
      <c r="CS23" s="808"/>
      <c r="CZ23" s="11"/>
    </row>
    <row r="24" spans="1:104" ht="14.25" customHeight="1">
      <c r="A24" s="8"/>
      <c r="B24" s="139" t="s">
        <v>107</v>
      </c>
      <c r="C24" s="140"/>
      <c r="D24" s="143">
        <f>SUM(D19:D23)+D17</f>
        <v>3095.3959999999997</v>
      </c>
      <c r="E24" s="141">
        <f>SUM(E19:E23)+E17</f>
        <v>3169.5249999999996</v>
      </c>
      <c r="F24" s="141">
        <f>SUM(F19:F23)+F17</f>
        <v>3112.1370000000002</v>
      </c>
      <c r="G24" s="142">
        <f>SUM(G19:G23)+G17</f>
        <v>3173.5469999999996</v>
      </c>
      <c r="H24" s="143">
        <f t="shared" ref="H24:AL24" si="42">SUM(H19:H23)+H17</f>
        <v>3129.6930000000002</v>
      </c>
      <c r="I24" s="141">
        <f t="shared" si="42"/>
        <v>3134.3379999999997</v>
      </c>
      <c r="J24" s="141">
        <f t="shared" si="42"/>
        <v>3099.067</v>
      </c>
      <c r="K24" s="142">
        <f t="shared" si="42"/>
        <v>3179.3550000000005</v>
      </c>
      <c r="L24" s="143">
        <f t="shared" si="42"/>
        <v>3307.4990000000003</v>
      </c>
      <c r="M24" s="141">
        <f t="shared" si="42"/>
        <v>3268.4579999999996</v>
      </c>
      <c r="N24" s="141">
        <f t="shared" si="42"/>
        <v>3212.7540000000004</v>
      </c>
      <c r="O24" s="142">
        <f t="shared" si="42"/>
        <v>3137.107</v>
      </c>
      <c r="P24" s="143">
        <f t="shared" si="42"/>
        <v>3091.0549999999998</v>
      </c>
      <c r="Q24" s="141">
        <f t="shared" si="42"/>
        <v>3048.8279999999995</v>
      </c>
      <c r="R24" s="141">
        <f t="shared" si="42"/>
        <v>2881.4610000000002</v>
      </c>
      <c r="S24" s="142">
        <f t="shared" si="42"/>
        <v>2811.9009999999998</v>
      </c>
      <c r="T24" s="143">
        <f t="shared" si="42"/>
        <v>2845.1800000000003</v>
      </c>
      <c r="U24" s="141">
        <f t="shared" si="42"/>
        <v>2960.6849999999999</v>
      </c>
      <c r="V24" s="141">
        <f t="shared" si="42"/>
        <v>3121.951</v>
      </c>
      <c r="W24" s="142">
        <f t="shared" si="42"/>
        <v>3184.3180000000002</v>
      </c>
      <c r="X24" s="141">
        <f t="shared" si="42"/>
        <v>3473.0039999999999</v>
      </c>
      <c r="Y24" s="141">
        <f t="shared" si="42"/>
        <v>3715.8509999999997</v>
      </c>
      <c r="Z24" s="141">
        <f t="shared" si="42"/>
        <v>3858.433</v>
      </c>
      <c r="AA24" s="142">
        <f t="shared" si="42"/>
        <v>4140.8499999999995</v>
      </c>
      <c r="AB24" s="141">
        <f t="shared" si="42"/>
        <v>4331.1720000000005</v>
      </c>
      <c r="AC24" s="141">
        <f t="shared" si="42"/>
        <v>4267.799</v>
      </c>
      <c r="AD24" s="141">
        <f t="shared" si="42"/>
        <v>4345.1000000000004</v>
      </c>
      <c r="AE24" s="142">
        <f t="shared" si="42"/>
        <v>4464.1220000000003</v>
      </c>
      <c r="AF24" s="141">
        <f t="shared" si="42"/>
        <v>4493.2309999999998</v>
      </c>
      <c r="AG24" s="141">
        <f t="shared" si="42"/>
        <v>4548.634</v>
      </c>
      <c r="AH24" s="141">
        <f t="shared" si="42"/>
        <v>4612.9070000000002</v>
      </c>
      <c r="AI24" s="142">
        <f t="shared" si="42"/>
        <v>4729.451</v>
      </c>
      <c r="AJ24" s="141">
        <f t="shared" si="42"/>
        <v>4760.9230000000007</v>
      </c>
      <c r="AK24" s="141">
        <f t="shared" si="42"/>
        <v>5000.0519999999997</v>
      </c>
      <c r="AL24" s="141">
        <f t="shared" si="42"/>
        <v>5001.8009999999995</v>
      </c>
      <c r="AM24" s="142">
        <f t="shared" ref="AM24:AR24" si="43">SUM(AM19:AM23)+AM17</f>
        <v>5037.3490000000002</v>
      </c>
      <c r="AN24" s="143">
        <f t="shared" si="43"/>
        <v>5054.2190000000001</v>
      </c>
      <c r="AO24" s="141">
        <f t="shared" si="43"/>
        <v>5017.3019999999997</v>
      </c>
      <c r="AP24" s="141">
        <f t="shared" si="43"/>
        <v>4915.2039999999997</v>
      </c>
      <c r="AQ24" s="142">
        <f t="shared" si="43"/>
        <v>4898.0650000000005</v>
      </c>
      <c r="AR24" s="143">
        <f t="shared" si="43"/>
        <v>4915.5489999999991</v>
      </c>
      <c r="AS24" s="141">
        <f t="shared" ref="AS24:AY24" si="44">SUM(AS19:AS23)+AS17</f>
        <v>4890.3499999999995</v>
      </c>
      <c r="AT24" s="141">
        <f t="shared" si="44"/>
        <v>4898.1570000000002</v>
      </c>
      <c r="AU24" s="142">
        <f t="shared" si="44"/>
        <v>4823.1540000000005</v>
      </c>
      <c r="AV24" s="143">
        <f t="shared" si="44"/>
        <v>4926.4750000000004</v>
      </c>
      <c r="AW24" s="141">
        <f t="shared" si="44"/>
        <v>4945.72</v>
      </c>
      <c r="AX24" s="141">
        <f t="shared" si="44"/>
        <v>4836.2880000000005</v>
      </c>
      <c r="AY24" s="142">
        <f t="shared" si="44"/>
        <v>4740.5320000000002</v>
      </c>
      <c r="AZ24" s="143">
        <f t="shared" ref="AZ24:BK24" si="45">SUM(AZ19:AZ23)+AZ17</f>
        <v>5087.0619999999999</v>
      </c>
      <c r="BA24" s="141">
        <f t="shared" si="45"/>
        <v>5030.8500000000004</v>
      </c>
      <c r="BB24" s="141">
        <f t="shared" si="45"/>
        <v>5119.6190000000006</v>
      </c>
      <c r="BC24" s="142">
        <f t="shared" si="45"/>
        <v>5055.6869999999999</v>
      </c>
      <c r="BD24" s="143">
        <f t="shared" si="45"/>
        <v>5036.1769964109599</v>
      </c>
      <c r="BE24" s="141">
        <f t="shared" si="45"/>
        <v>5084.6398774753698</v>
      </c>
      <c r="BF24" s="141">
        <f t="shared" si="45"/>
        <v>5130.5033272678511</v>
      </c>
      <c r="BG24" s="142">
        <f t="shared" si="45"/>
        <v>5184.547929829967</v>
      </c>
      <c r="BH24" s="143">
        <f t="shared" si="45"/>
        <v>5237.4032973519334</v>
      </c>
      <c r="BI24" s="141">
        <f t="shared" si="45"/>
        <v>5302.3506577207327</v>
      </c>
      <c r="BJ24" s="141">
        <f t="shared" si="45"/>
        <v>5364.0163113252229</v>
      </c>
      <c r="BK24" s="142">
        <f t="shared" si="45"/>
        <v>5433.2155058119442</v>
      </c>
      <c r="BL24" s="123"/>
      <c r="BM24" s="141">
        <f t="shared" ref="BM24:BW24" si="46">SUM(BM19:BM23)+BM17</f>
        <v>3173.5469999999996</v>
      </c>
      <c r="BN24" s="141">
        <f t="shared" si="46"/>
        <v>3179.3550000000005</v>
      </c>
      <c r="BO24" s="141">
        <f t="shared" si="46"/>
        <v>3137.107</v>
      </c>
      <c r="BP24" s="141">
        <f t="shared" si="46"/>
        <v>2811.9009999999998</v>
      </c>
      <c r="BQ24" s="141">
        <f t="shared" si="46"/>
        <v>3184.3180000000002</v>
      </c>
      <c r="BR24" s="141">
        <f t="shared" si="46"/>
        <v>4140.8499999999995</v>
      </c>
      <c r="BS24" s="141">
        <f t="shared" si="46"/>
        <v>4464.1220000000003</v>
      </c>
      <c r="BT24" s="143">
        <f t="shared" si="46"/>
        <v>4729.451</v>
      </c>
      <c r="BU24" s="141">
        <f t="shared" si="46"/>
        <v>5037.3490000000002</v>
      </c>
      <c r="BV24" s="141">
        <f t="shared" si="46"/>
        <v>4898.0650000000005</v>
      </c>
      <c r="BW24" s="141">
        <f t="shared" si="46"/>
        <v>4823.1540000000005</v>
      </c>
      <c r="BX24" s="141">
        <f>SUM(BX19:BX23)+BX17</f>
        <v>4740.5320000000002</v>
      </c>
      <c r="BY24" s="141">
        <f>SUM(BY19:BY23)+BY17</f>
        <v>5055.6869999999999</v>
      </c>
      <c r="BZ24" s="141">
        <f>SUM(BZ19:BZ23)+BZ17</f>
        <v>5184.547929829967</v>
      </c>
      <c r="CA24" s="141">
        <f>SUM(CA19:CA23)+CA17</f>
        <v>5433.2155058119442</v>
      </c>
      <c r="CB24" s="967">
        <f>SUM(CB19:CB23)+CB17</f>
        <v>5854.4771554206964</v>
      </c>
      <c r="CC24" s="20"/>
      <c r="CD24" s="141">
        <f t="shared" ref="CD24:CM24" si="47">SUM(CD19:CD23)+CD17</f>
        <v>3099.067</v>
      </c>
      <c r="CE24" s="141">
        <f t="shared" si="47"/>
        <v>3212.7540000000004</v>
      </c>
      <c r="CF24" s="141">
        <f t="shared" si="47"/>
        <v>2881.4610000000002</v>
      </c>
      <c r="CG24" s="141">
        <f t="shared" si="47"/>
        <v>3121.951</v>
      </c>
      <c r="CH24" s="141">
        <f t="shared" si="47"/>
        <v>3858.433</v>
      </c>
      <c r="CI24" s="141">
        <f t="shared" si="47"/>
        <v>4345.1000000000004</v>
      </c>
      <c r="CJ24" s="141">
        <f t="shared" si="47"/>
        <v>4612.9070000000002</v>
      </c>
      <c r="CK24" s="141">
        <f t="shared" si="47"/>
        <v>5001.8009999999995</v>
      </c>
      <c r="CL24" s="141">
        <f t="shared" si="47"/>
        <v>4915.2039999999997</v>
      </c>
      <c r="CM24" s="141">
        <f t="shared" si="47"/>
        <v>4898.1570000000002</v>
      </c>
      <c r="CN24" s="141">
        <f>SUM(CN19:CN23)+CN17</f>
        <v>4836.2880000000005</v>
      </c>
      <c r="CO24" s="141">
        <f>SUM(CO19:CO23)+CO17</f>
        <v>5119.6190000000006</v>
      </c>
      <c r="CP24" s="141">
        <f>SUM(CP19:CP23)+CP17</f>
        <v>5130.5033272678511</v>
      </c>
      <c r="CQ24" s="142">
        <f>SUM(CQ19:CQ23)+CQ17</f>
        <v>5364.0163113252229</v>
      </c>
      <c r="CR24" s="14"/>
      <c r="CS24" s="14"/>
      <c r="CZ24" s="11"/>
    </row>
    <row r="25" spans="1:104" ht="14.25" customHeight="1">
      <c r="A25" s="8"/>
      <c r="B25" s="23"/>
      <c r="C25" s="24"/>
      <c r="D25" s="83"/>
      <c r="E25" s="84"/>
      <c r="F25" s="84"/>
      <c r="G25" s="85"/>
      <c r="H25" s="83"/>
      <c r="I25" s="84"/>
      <c r="J25" s="84"/>
      <c r="K25" s="85"/>
      <c r="L25" s="83"/>
      <c r="M25" s="84"/>
      <c r="N25" s="84"/>
      <c r="O25" s="85"/>
      <c r="P25" s="83"/>
      <c r="Q25" s="84"/>
      <c r="R25" s="84"/>
      <c r="S25" s="85"/>
      <c r="T25" s="83"/>
      <c r="U25" s="84"/>
      <c r="V25" s="84"/>
      <c r="W25" s="85"/>
      <c r="X25" s="84"/>
      <c r="Y25" s="84"/>
      <c r="Z25" s="84"/>
      <c r="AA25" s="85"/>
      <c r="AB25" s="84"/>
      <c r="AC25" s="84"/>
      <c r="AD25" s="84"/>
      <c r="AE25" s="85"/>
      <c r="AF25" s="84"/>
      <c r="AG25" s="84"/>
      <c r="AH25" s="84"/>
      <c r="AI25" s="85"/>
      <c r="AJ25" s="84"/>
      <c r="AK25" s="84"/>
      <c r="AL25" s="84"/>
      <c r="AM25" s="85"/>
      <c r="AN25" s="83"/>
      <c r="AO25" s="84"/>
      <c r="AP25" s="84"/>
      <c r="AQ25" s="85"/>
      <c r="AR25" s="83"/>
      <c r="AS25" s="84"/>
      <c r="AT25" s="84"/>
      <c r="AU25" s="85"/>
      <c r="AV25" s="83"/>
      <c r="AW25" s="84"/>
      <c r="AX25" s="84"/>
      <c r="AY25" s="85"/>
      <c r="AZ25" s="83"/>
      <c r="BA25" s="84"/>
      <c r="BB25" s="84"/>
      <c r="BC25" s="85"/>
      <c r="BD25" s="83"/>
      <c r="BE25" s="84"/>
      <c r="BF25" s="84"/>
      <c r="BG25" s="85"/>
      <c r="BH25" s="83"/>
      <c r="BI25" s="84"/>
      <c r="BJ25" s="84"/>
      <c r="BK25" s="85"/>
      <c r="BL25" s="123"/>
      <c r="BM25" s="84"/>
      <c r="BN25" s="84"/>
      <c r="BO25" s="84"/>
      <c r="BP25" s="84"/>
      <c r="BQ25" s="84"/>
      <c r="BR25" s="84"/>
      <c r="BS25" s="84"/>
      <c r="BT25" s="83"/>
      <c r="BU25" s="84"/>
      <c r="BV25" s="84"/>
      <c r="BW25" s="84"/>
      <c r="BX25" s="84"/>
      <c r="BY25" s="84"/>
      <c r="BZ25" s="84"/>
      <c r="CA25" s="84"/>
      <c r="CB25" s="966"/>
      <c r="CC25" s="20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5"/>
      <c r="CR25" s="14"/>
      <c r="CS25" s="14"/>
      <c r="CZ25" s="11"/>
    </row>
    <row r="26" spans="1:104" ht="14.25" customHeight="1">
      <c r="A26" s="8"/>
      <c r="B26" s="116" t="s">
        <v>108</v>
      </c>
      <c r="C26" s="117"/>
      <c r="D26" s="83"/>
      <c r="E26" s="84"/>
      <c r="F26" s="84"/>
      <c r="G26" s="85"/>
      <c r="H26" s="83"/>
      <c r="I26" s="84"/>
      <c r="J26" s="84"/>
      <c r="K26" s="85"/>
      <c r="L26" s="83"/>
      <c r="M26" s="84"/>
      <c r="N26" s="84"/>
      <c r="O26" s="85"/>
      <c r="P26" s="83"/>
      <c r="Q26" s="84"/>
      <c r="R26" s="84"/>
      <c r="S26" s="85"/>
      <c r="T26" s="83"/>
      <c r="U26" s="84"/>
      <c r="V26" s="84"/>
      <c r="W26" s="85"/>
      <c r="X26" s="84"/>
      <c r="Y26" s="84"/>
      <c r="Z26" s="84"/>
      <c r="AA26" s="85"/>
      <c r="AB26" s="84"/>
      <c r="AC26" s="84"/>
      <c r="AD26" s="84"/>
      <c r="AE26" s="85"/>
      <c r="AF26" s="84"/>
      <c r="AG26" s="84"/>
      <c r="AH26" s="84"/>
      <c r="AI26" s="85"/>
      <c r="AJ26" s="84"/>
      <c r="AK26" s="84"/>
      <c r="AL26" s="84"/>
      <c r="AM26" s="85"/>
      <c r="AN26" s="83"/>
      <c r="AO26" s="84"/>
      <c r="AP26" s="84"/>
      <c r="AQ26" s="85"/>
      <c r="AR26" s="83"/>
      <c r="AS26" s="84"/>
      <c r="AT26" s="84"/>
      <c r="AU26" s="85"/>
      <c r="AV26" s="83"/>
      <c r="AW26" s="84"/>
      <c r="AX26" s="84"/>
      <c r="AY26" s="85"/>
      <c r="AZ26" s="83"/>
      <c r="BA26" s="84"/>
      <c r="BB26" s="84"/>
      <c r="BC26" s="85"/>
      <c r="BD26" s="83"/>
      <c r="BE26" s="84"/>
      <c r="BF26" s="84"/>
      <c r="BG26" s="85"/>
      <c r="BH26" s="83"/>
      <c r="BI26" s="84"/>
      <c r="BJ26" s="84"/>
      <c r="BK26" s="85"/>
      <c r="BL26" s="123"/>
      <c r="BM26" s="84"/>
      <c r="BN26" s="84"/>
      <c r="BO26" s="84"/>
      <c r="BP26" s="84"/>
      <c r="BQ26" s="84"/>
      <c r="BR26" s="84"/>
      <c r="BS26" s="84"/>
      <c r="BT26" s="83"/>
      <c r="BU26" s="84"/>
      <c r="BV26" s="84"/>
      <c r="BW26" s="84"/>
      <c r="BX26" s="84"/>
      <c r="BY26" s="84"/>
      <c r="BZ26" s="84"/>
      <c r="CA26" s="84"/>
      <c r="CB26" s="966"/>
      <c r="CC26" s="20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5"/>
      <c r="CR26" s="14"/>
      <c r="CS26" s="14"/>
      <c r="CZ26" s="11"/>
    </row>
    <row r="27" spans="1:104" ht="14.25" customHeight="1">
      <c r="A27" s="8"/>
      <c r="B27" s="28" t="s">
        <v>231</v>
      </c>
      <c r="C27" s="29"/>
      <c r="D27" s="84">
        <v>0</v>
      </c>
      <c r="E27" s="84">
        <v>0</v>
      </c>
      <c r="F27" s="84">
        <v>0</v>
      </c>
      <c r="G27" s="85">
        <v>0</v>
      </c>
      <c r="H27" s="84">
        <v>0</v>
      </c>
      <c r="I27" s="84">
        <v>0</v>
      </c>
      <c r="J27" s="84">
        <v>0</v>
      </c>
      <c r="K27" s="85">
        <v>0</v>
      </c>
      <c r="L27" s="84">
        <v>0</v>
      </c>
      <c r="M27" s="84">
        <v>0</v>
      </c>
      <c r="N27" s="84">
        <v>0</v>
      </c>
      <c r="O27" s="85">
        <v>0</v>
      </c>
      <c r="P27" s="84">
        <v>0</v>
      </c>
      <c r="Q27" s="84">
        <v>0</v>
      </c>
      <c r="R27" s="84">
        <v>0</v>
      </c>
      <c r="S27" s="85">
        <v>0</v>
      </c>
      <c r="T27" s="84">
        <v>0</v>
      </c>
      <c r="U27" s="84">
        <v>0</v>
      </c>
      <c r="V27" s="84">
        <v>0</v>
      </c>
      <c r="W27" s="85">
        <v>0</v>
      </c>
      <c r="X27" s="84">
        <v>0</v>
      </c>
      <c r="Y27" s="84">
        <v>0</v>
      </c>
      <c r="Z27" s="84">
        <v>0</v>
      </c>
      <c r="AA27" s="85">
        <v>0</v>
      </c>
      <c r="AB27" s="84">
        <v>0</v>
      </c>
      <c r="AC27" s="84">
        <v>0</v>
      </c>
      <c r="AD27" s="84">
        <v>0</v>
      </c>
      <c r="AE27" s="85">
        <v>0</v>
      </c>
      <c r="AF27" s="84">
        <v>0</v>
      </c>
      <c r="AG27" s="84">
        <v>0</v>
      </c>
      <c r="AH27" s="81">
        <f>AG27</f>
        <v>0</v>
      </c>
      <c r="AI27" s="85">
        <f>AH27</f>
        <v>0</v>
      </c>
      <c r="AJ27" s="84">
        <v>0</v>
      </c>
      <c r="AK27" s="84">
        <v>0</v>
      </c>
      <c r="AL27" s="81">
        <v>0</v>
      </c>
      <c r="AM27" s="85">
        <v>0</v>
      </c>
      <c r="AN27" s="83">
        <v>0</v>
      </c>
      <c r="AO27" s="84">
        <v>0</v>
      </c>
      <c r="AP27" s="81">
        <v>0</v>
      </c>
      <c r="AQ27" s="85">
        <v>0</v>
      </c>
      <c r="AR27" s="83">
        <v>0</v>
      </c>
      <c r="AS27" s="84">
        <v>0</v>
      </c>
      <c r="AT27" s="81">
        <v>0</v>
      </c>
      <c r="AU27" s="85">
        <v>0</v>
      </c>
      <c r="AV27" s="83">
        <v>0</v>
      </c>
      <c r="AW27" s="84">
        <v>0</v>
      </c>
      <c r="AX27" s="84">
        <v>0</v>
      </c>
      <c r="AY27" s="85">
        <v>0</v>
      </c>
      <c r="AZ27" s="83">
        <v>0</v>
      </c>
      <c r="BA27" s="84">
        <v>0</v>
      </c>
      <c r="BB27" s="84">
        <v>0</v>
      </c>
      <c r="BC27" s="85">
        <v>0</v>
      </c>
      <c r="BD27" s="80">
        <f t="shared" ref="BD27:BK27" si="48">BC27</f>
        <v>0</v>
      </c>
      <c r="BE27" s="81">
        <f t="shared" si="48"/>
        <v>0</v>
      </c>
      <c r="BF27" s="81">
        <f t="shared" si="48"/>
        <v>0</v>
      </c>
      <c r="BG27" s="82">
        <f t="shared" si="48"/>
        <v>0</v>
      </c>
      <c r="BH27" s="80">
        <f t="shared" si="48"/>
        <v>0</v>
      </c>
      <c r="BI27" s="81">
        <f t="shared" si="48"/>
        <v>0</v>
      </c>
      <c r="BJ27" s="81">
        <f t="shared" si="48"/>
        <v>0</v>
      </c>
      <c r="BK27" s="82">
        <f t="shared" si="48"/>
        <v>0</v>
      </c>
      <c r="BL27" s="123"/>
      <c r="BM27" s="81">
        <f t="shared" ref="BM27:BM32" si="49">G27</f>
        <v>0</v>
      </c>
      <c r="BN27" s="81">
        <f t="shared" ref="BN27:BN32" si="50">K27</f>
        <v>0</v>
      </c>
      <c r="BO27" s="81">
        <f t="shared" ref="BO27:BO32" si="51">O27</f>
        <v>0</v>
      </c>
      <c r="BP27" s="81">
        <f t="shared" ref="BP27:BP32" si="52">S27</f>
        <v>0</v>
      </c>
      <c r="BQ27" s="81">
        <f t="shared" ref="BQ27:BQ32" si="53">W27</f>
        <v>0</v>
      </c>
      <c r="BR27" s="81">
        <f t="shared" ref="BR27:BR32" si="54">AA27</f>
        <v>0</v>
      </c>
      <c r="BS27" s="81">
        <f t="shared" ref="BS27:BS32" si="55">AE27</f>
        <v>0</v>
      </c>
      <c r="BT27" s="80">
        <f t="shared" ref="BT27:BT32" si="56">AI27</f>
        <v>0</v>
      </c>
      <c r="BU27" s="81">
        <f t="shared" ref="BU27:BU32" si="57">AM27</f>
        <v>0</v>
      </c>
      <c r="BV27" s="81">
        <f t="shared" ref="BV27:BV32" si="58">AQ27</f>
        <v>0</v>
      </c>
      <c r="BW27" s="81">
        <f t="shared" ref="BW27:BW32" si="59">AU27</f>
        <v>0</v>
      </c>
      <c r="BX27" s="81">
        <f t="shared" ref="BX27:BX32" si="60">AY27</f>
        <v>0</v>
      </c>
      <c r="BY27" s="81">
        <f t="shared" ref="BY27:BY32" si="61">BC27</f>
        <v>0</v>
      </c>
      <c r="BZ27" s="81">
        <f t="shared" ref="BZ27:BZ32" si="62">BG27</f>
        <v>0</v>
      </c>
      <c r="CA27" s="81">
        <f t="shared" ref="CA27:CA32" si="63">BK27</f>
        <v>0</v>
      </c>
      <c r="CB27" s="945">
        <f>CA27</f>
        <v>0</v>
      </c>
      <c r="CC27" s="20"/>
      <c r="CD27" s="81">
        <f t="shared" ref="CD27:CD32" si="64">J27</f>
        <v>0</v>
      </c>
      <c r="CE27" s="81">
        <f t="shared" ref="CE27:CE32" si="65">N27</f>
        <v>0</v>
      </c>
      <c r="CF27" s="81">
        <f t="shared" ref="CF27:CF32" si="66">R27</f>
        <v>0</v>
      </c>
      <c r="CG27" s="81">
        <f t="shared" ref="CG27:CG32" si="67">V27</f>
        <v>0</v>
      </c>
      <c r="CH27" s="81">
        <f t="shared" ref="CH27:CH32" si="68">Z27</f>
        <v>0</v>
      </c>
      <c r="CI27" s="81">
        <f t="shared" ref="CI27:CI32" si="69">AD27</f>
        <v>0</v>
      </c>
      <c r="CJ27" s="81">
        <f t="shared" ref="CJ27:CJ32" si="70">AH27</f>
        <v>0</v>
      </c>
      <c r="CK27" s="81">
        <f t="shared" ref="CK27:CK32" si="71">AL27</f>
        <v>0</v>
      </c>
      <c r="CL27" s="81">
        <f t="shared" ref="CL27:CL32" si="72">AP27</f>
        <v>0</v>
      </c>
      <c r="CM27" s="81">
        <f t="shared" ref="CM27:CM32" si="73">AT27</f>
        <v>0</v>
      </c>
      <c r="CN27" s="81">
        <f t="shared" ref="CN27:CN32" si="74">AX27</f>
        <v>0</v>
      </c>
      <c r="CO27" s="81">
        <f t="shared" ref="CO27:CO32" si="75">BB27</f>
        <v>0</v>
      </c>
      <c r="CP27" s="81">
        <f t="shared" ref="CP27:CP32" si="76">BF27</f>
        <v>0</v>
      </c>
      <c r="CQ27" s="82">
        <f t="shared" ref="CQ27:CQ32" si="77">BJ27</f>
        <v>0</v>
      </c>
      <c r="CR27" s="808"/>
      <c r="CS27" s="808"/>
      <c r="CZ27" s="11"/>
    </row>
    <row r="28" spans="1:104" ht="14.25" customHeight="1">
      <c r="A28" s="8"/>
      <c r="B28" s="28" t="s">
        <v>109</v>
      </c>
      <c r="C28" s="29"/>
      <c r="D28" s="83">
        <v>76.432000000000002</v>
      </c>
      <c r="E28" s="84">
        <v>90.213999999999999</v>
      </c>
      <c r="F28" s="84">
        <v>78.81</v>
      </c>
      <c r="G28" s="85">
        <v>71.004000000000005</v>
      </c>
      <c r="H28" s="83">
        <v>72.533000000000001</v>
      </c>
      <c r="I28" s="84">
        <v>73.83</v>
      </c>
      <c r="J28" s="84">
        <v>60.070999999999998</v>
      </c>
      <c r="K28" s="85">
        <v>78.912000000000006</v>
      </c>
      <c r="L28" s="83">
        <v>59.869</v>
      </c>
      <c r="M28" s="84">
        <v>78.215999999999994</v>
      </c>
      <c r="N28" s="84">
        <v>77.733999999999995</v>
      </c>
      <c r="O28" s="85">
        <v>59.402000000000001</v>
      </c>
      <c r="P28" s="83">
        <v>63.866999999999997</v>
      </c>
      <c r="Q28" s="84">
        <v>82.887</v>
      </c>
      <c r="R28" s="84">
        <v>53.406999999999996</v>
      </c>
      <c r="S28" s="85">
        <v>48.201000000000001</v>
      </c>
      <c r="T28" s="83">
        <v>68.448999999999998</v>
      </c>
      <c r="U28" s="84">
        <v>92.165999999999997</v>
      </c>
      <c r="V28" s="84">
        <v>108.452</v>
      </c>
      <c r="W28" s="85">
        <v>96.168999999999997</v>
      </c>
      <c r="X28" s="84">
        <v>122.36199999999999</v>
      </c>
      <c r="Y28" s="84">
        <v>131.00800000000001</v>
      </c>
      <c r="Z28" s="84">
        <v>147.16</v>
      </c>
      <c r="AA28" s="85">
        <v>99.251999999999995</v>
      </c>
      <c r="AB28" s="84">
        <v>86.409000000000006</v>
      </c>
      <c r="AC28" s="84">
        <v>84.186000000000007</v>
      </c>
      <c r="AD28" s="84">
        <f>98.853</f>
        <v>98.852999999999994</v>
      </c>
      <c r="AE28" s="85">
        <v>78.613</v>
      </c>
      <c r="AF28" s="84">
        <v>101.678</v>
      </c>
      <c r="AG28" s="84">
        <v>96.477999999999994</v>
      </c>
      <c r="AH28" s="84">
        <v>98.564999999999998</v>
      </c>
      <c r="AI28" s="85">
        <v>72.766000000000005</v>
      </c>
      <c r="AJ28" s="84">
        <v>69.241</v>
      </c>
      <c r="AK28" s="84">
        <v>88.947000000000003</v>
      </c>
      <c r="AL28" s="84">
        <v>90.123000000000005</v>
      </c>
      <c r="AM28" s="85">
        <v>149.69499999999999</v>
      </c>
      <c r="AN28" s="83">
        <v>99.572000000000003</v>
      </c>
      <c r="AO28" s="84">
        <v>105.68899999999999</v>
      </c>
      <c r="AP28" s="84">
        <v>58.231000000000002</v>
      </c>
      <c r="AQ28" s="85">
        <v>80.113</v>
      </c>
      <c r="AR28" s="83">
        <v>81.897000000000006</v>
      </c>
      <c r="AS28" s="84">
        <v>75.278999999999996</v>
      </c>
      <c r="AT28" s="84">
        <v>74.602000000000004</v>
      </c>
      <c r="AU28" s="85">
        <v>101.53400000000001</v>
      </c>
      <c r="AV28" s="83">
        <f>AU28</f>
        <v>101.53400000000001</v>
      </c>
      <c r="AW28" s="84">
        <v>103.236</v>
      </c>
      <c r="AX28" s="84">
        <v>118.629</v>
      </c>
      <c r="AY28" s="85">
        <v>108.29300000000001</v>
      </c>
      <c r="AZ28" s="83">
        <v>106.23399999999999</v>
      </c>
      <c r="BA28" s="84">
        <v>88.340999999999994</v>
      </c>
      <c r="BB28" s="84">
        <v>94.587999999999994</v>
      </c>
      <c r="BC28" s="82">
        <f>412.851-BC29</f>
        <v>203.79599999999999</v>
      </c>
      <c r="BD28" s="858">
        <f t="shared" ref="BD28:BK28" si="78">BD50/360*BD53*4</f>
        <v>135.09723235999999</v>
      </c>
      <c r="BE28" s="124">
        <f t="shared" si="78"/>
        <v>135.86355489180002</v>
      </c>
      <c r="BF28" s="124">
        <f t="shared" si="78"/>
        <v>135.59112248806798</v>
      </c>
      <c r="BG28" s="125">
        <f t="shared" si="78"/>
        <v>138.93519029606136</v>
      </c>
      <c r="BH28" s="858">
        <f t="shared" si="78"/>
        <v>131.61263040601617</v>
      </c>
      <c r="BI28" s="124">
        <f t="shared" si="78"/>
        <v>132.75416901161748</v>
      </c>
      <c r="BJ28" s="124">
        <f t="shared" si="78"/>
        <v>131.6587038426423</v>
      </c>
      <c r="BK28" s="125">
        <f t="shared" si="78"/>
        <v>133.94885796893004</v>
      </c>
      <c r="BL28" s="123"/>
      <c r="BM28" s="81">
        <f t="shared" si="49"/>
        <v>71.004000000000005</v>
      </c>
      <c r="BN28" s="81">
        <f t="shared" si="50"/>
        <v>78.912000000000006</v>
      </c>
      <c r="BO28" s="81">
        <f t="shared" si="51"/>
        <v>59.402000000000001</v>
      </c>
      <c r="BP28" s="81">
        <f t="shared" si="52"/>
        <v>48.201000000000001</v>
      </c>
      <c r="BQ28" s="81">
        <f t="shared" si="53"/>
        <v>96.168999999999997</v>
      </c>
      <c r="BR28" s="81">
        <f t="shared" si="54"/>
        <v>99.251999999999995</v>
      </c>
      <c r="BS28" s="81">
        <f t="shared" si="55"/>
        <v>78.613</v>
      </c>
      <c r="BT28" s="80">
        <f t="shared" si="56"/>
        <v>72.766000000000005</v>
      </c>
      <c r="BU28" s="81">
        <f t="shared" si="57"/>
        <v>149.69499999999999</v>
      </c>
      <c r="BV28" s="81">
        <f t="shared" si="58"/>
        <v>80.113</v>
      </c>
      <c r="BW28" s="81">
        <f t="shared" si="59"/>
        <v>101.53400000000001</v>
      </c>
      <c r="BX28" s="81">
        <f t="shared" si="60"/>
        <v>108.29300000000001</v>
      </c>
      <c r="BY28" s="81">
        <f t="shared" si="61"/>
        <v>203.79599999999999</v>
      </c>
      <c r="BZ28" s="81">
        <f t="shared" si="62"/>
        <v>138.93519029606136</v>
      </c>
      <c r="CA28" s="81">
        <f t="shared" si="63"/>
        <v>133.94885796893004</v>
      </c>
      <c r="CB28" s="963">
        <f>CB50/360*CB53</f>
        <v>143.32341476867123</v>
      </c>
      <c r="CC28" s="20"/>
      <c r="CD28" s="81">
        <f t="shared" si="64"/>
        <v>60.070999999999998</v>
      </c>
      <c r="CE28" s="81">
        <f t="shared" si="65"/>
        <v>77.733999999999995</v>
      </c>
      <c r="CF28" s="81">
        <f t="shared" si="66"/>
        <v>53.406999999999996</v>
      </c>
      <c r="CG28" s="81">
        <f t="shared" si="67"/>
        <v>108.452</v>
      </c>
      <c r="CH28" s="81">
        <f t="shared" si="68"/>
        <v>147.16</v>
      </c>
      <c r="CI28" s="81">
        <f t="shared" si="69"/>
        <v>98.852999999999994</v>
      </c>
      <c r="CJ28" s="81">
        <f t="shared" si="70"/>
        <v>98.564999999999998</v>
      </c>
      <c r="CK28" s="81">
        <f t="shared" si="71"/>
        <v>90.123000000000005</v>
      </c>
      <c r="CL28" s="81">
        <f t="shared" si="72"/>
        <v>58.231000000000002</v>
      </c>
      <c r="CM28" s="81">
        <f t="shared" si="73"/>
        <v>74.602000000000004</v>
      </c>
      <c r="CN28" s="81">
        <f t="shared" si="74"/>
        <v>118.629</v>
      </c>
      <c r="CO28" s="81">
        <f t="shared" si="75"/>
        <v>94.587999999999994</v>
      </c>
      <c r="CP28" s="124">
        <f t="shared" si="76"/>
        <v>135.59112248806798</v>
      </c>
      <c r="CQ28" s="125">
        <f t="shared" si="77"/>
        <v>131.6587038426423</v>
      </c>
      <c r="CR28" s="808"/>
      <c r="CS28" s="808"/>
      <c r="CZ28" s="11"/>
    </row>
    <row r="29" spans="1:104" ht="14.25" customHeight="1">
      <c r="A29" s="8"/>
      <c r="B29" s="28" t="s">
        <v>239</v>
      </c>
      <c r="C29" s="29"/>
      <c r="D29" s="84">
        <v>72.013999999999996</v>
      </c>
      <c r="E29" s="84">
        <v>67.323999999999998</v>
      </c>
      <c r="F29" s="84">
        <v>85.236000000000004</v>
      </c>
      <c r="G29" s="85">
        <v>79.260000000000005</v>
      </c>
      <c r="H29" s="84">
        <v>89.168999999999997</v>
      </c>
      <c r="I29" s="84">
        <v>84.712999999999994</v>
      </c>
      <c r="J29" s="84">
        <v>92.831999999999994</v>
      </c>
      <c r="K29" s="85">
        <v>83.948999999999998</v>
      </c>
      <c r="L29" s="84">
        <v>102.227</v>
      </c>
      <c r="M29" s="84">
        <v>95.206999999999994</v>
      </c>
      <c r="N29" s="84">
        <v>111.249</v>
      </c>
      <c r="O29" s="85">
        <v>100.73</v>
      </c>
      <c r="P29" s="84">
        <v>114.029</v>
      </c>
      <c r="Q29" s="84">
        <v>96.99</v>
      </c>
      <c r="R29" s="84">
        <v>96.706000000000003</v>
      </c>
      <c r="S29" s="85">
        <v>89.918000000000006</v>
      </c>
      <c r="T29" s="84">
        <v>90.531999999999996</v>
      </c>
      <c r="U29" s="84">
        <v>94.460999999999999</v>
      </c>
      <c r="V29" s="84">
        <v>115.26900000000001</v>
      </c>
      <c r="W29" s="85">
        <v>114.663</v>
      </c>
      <c r="X29" s="84">
        <v>111.066</v>
      </c>
      <c r="Y29" s="84">
        <v>123.898</v>
      </c>
      <c r="Z29" s="84">
        <v>119.07299999999999</v>
      </c>
      <c r="AA29" s="85">
        <v>125.58199999999999</v>
      </c>
      <c r="AB29" s="84">
        <v>126.29900000000001</v>
      </c>
      <c r="AC29" s="84">
        <v>116.571</v>
      </c>
      <c r="AD29" s="84">
        <f>115.563</f>
        <v>115.563</v>
      </c>
      <c r="AE29" s="85">
        <v>121.309</v>
      </c>
      <c r="AF29" s="84">
        <v>113.842</v>
      </c>
      <c r="AG29" s="84">
        <v>124.04</v>
      </c>
      <c r="AH29" s="84">
        <v>123.32599999999999</v>
      </c>
      <c r="AI29" s="85">
        <v>124.19499999999999</v>
      </c>
      <c r="AJ29" s="84">
        <v>128.428</v>
      </c>
      <c r="AK29" s="84">
        <v>153.279</v>
      </c>
      <c r="AL29" s="84">
        <v>152.39699999999999</v>
      </c>
      <c r="AM29" s="85">
        <v>157.37299999999999</v>
      </c>
      <c r="AN29" s="83">
        <v>147.27199999999999</v>
      </c>
      <c r="AO29" s="84">
        <v>162.85400000000001</v>
      </c>
      <c r="AP29" s="84">
        <v>160.16800000000001</v>
      </c>
      <c r="AQ29" s="85">
        <v>156.6</v>
      </c>
      <c r="AR29" s="83">
        <v>140.184</v>
      </c>
      <c r="AS29" s="84">
        <v>154.876</v>
      </c>
      <c r="AT29" s="84">
        <v>156.316</v>
      </c>
      <c r="AU29" s="85">
        <v>154.29400000000001</v>
      </c>
      <c r="AV29" s="83">
        <f>391.286-AV28-AV30</f>
        <v>283.46600000000001</v>
      </c>
      <c r="AW29" s="84">
        <v>171.38800000000001</v>
      </c>
      <c r="AX29" s="84">
        <v>171.846</v>
      </c>
      <c r="AY29" s="85">
        <v>176.601</v>
      </c>
      <c r="AZ29" s="83">
        <v>202.23</v>
      </c>
      <c r="BA29" s="84">
        <v>192.12</v>
      </c>
      <c r="BB29" s="84">
        <v>209.05500000000001</v>
      </c>
      <c r="BC29" s="82">
        <f>BB29</f>
        <v>209.05500000000001</v>
      </c>
      <c r="BD29" s="80">
        <f t="shared" ref="BD29:BG32" si="79">BC29</f>
        <v>209.05500000000001</v>
      </c>
      <c r="BE29" s="81">
        <f t="shared" si="79"/>
        <v>209.05500000000001</v>
      </c>
      <c r="BF29" s="81">
        <f t="shared" si="79"/>
        <v>209.05500000000001</v>
      </c>
      <c r="BG29" s="82">
        <f t="shared" si="79"/>
        <v>209.05500000000001</v>
      </c>
      <c r="BH29" s="80">
        <f t="shared" ref="BH29:BK32" si="80">BG29</f>
        <v>209.05500000000001</v>
      </c>
      <c r="BI29" s="81">
        <f t="shared" si="80"/>
        <v>209.05500000000001</v>
      </c>
      <c r="BJ29" s="81">
        <f t="shared" si="80"/>
        <v>209.05500000000001</v>
      </c>
      <c r="BK29" s="82">
        <f t="shared" si="80"/>
        <v>209.05500000000001</v>
      </c>
      <c r="BL29" s="123"/>
      <c r="BM29" s="81">
        <f t="shared" si="49"/>
        <v>79.260000000000005</v>
      </c>
      <c r="BN29" s="81">
        <f t="shared" si="50"/>
        <v>83.948999999999998</v>
      </c>
      <c r="BO29" s="81">
        <f t="shared" si="51"/>
        <v>100.73</v>
      </c>
      <c r="BP29" s="81">
        <f t="shared" si="52"/>
        <v>89.918000000000006</v>
      </c>
      <c r="BQ29" s="81">
        <f t="shared" si="53"/>
        <v>114.663</v>
      </c>
      <c r="BR29" s="81">
        <f t="shared" si="54"/>
        <v>125.58199999999999</v>
      </c>
      <c r="BS29" s="81">
        <f t="shared" si="55"/>
        <v>121.309</v>
      </c>
      <c r="BT29" s="80">
        <f t="shared" si="56"/>
        <v>124.19499999999999</v>
      </c>
      <c r="BU29" s="81">
        <f t="shared" si="57"/>
        <v>157.37299999999999</v>
      </c>
      <c r="BV29" s="81">
        <f t="shared" si="58"/>
        <v>156.6</v>
      </c>
      <c r="BW29" s="81">
        <f t="shared" si="59"/>
        <v>154.29400000000001</v>
      </c>
      <c r="BX29" s="81">
        <f t="shared" si="60"/>
        <v>176.601</v>
      </c>
      <c r="BY29" s="81">
        <f t="shared" si="61"/>
        <v>209.05500000000001</v>
      </c>
      <c r="BZ29" s="81">
        <f t="shared" si="62"/>
        <v>209.05500000000001</v>
      </c>
      <c r="CA29" s="81">
        <f t="shared" si="63"/>
        <v>209.05500000000001</v>
      </c>
      <c r="CB29" s="945">
        <f>CA29</f>
        <v>209.05500000000001</v>
      </c>
      <c r="CC29" s="20"/>
      <c r="CD29" s="81">
        <f t="shared" si="64"/>
        <v>92.831999999999994</v>
      </c>
      <c r="CE29" s="81">
        <f t="shared" si="65"/>
        <v>111.249</v>
      </c>
      <c r="CF29" s="81">
        <f t="shared" si="66"/>
        <v>96.706000000000003</v>
      </c>
      <c r="CG29" s="81">
        <f t="shared" si="67"/>
        <v>115.26900000000001</v>
      </c>
      <c r="CH29" s="81">
        <f t="shared" si="68"/>
        <v>119.07299999999999</v>
      </c>
      <c r="CI29" s="81">
        <f t="shared" si="69"/>
        <v>115.563</v>
      </c>
      <c r="CJ29" s="81">
        <f t="shared" si="70"/>
        <v>123.32599999999999</v>
      </c>
      <c r="CK29" s="81">
        <f t="shared" si="71"/>
        <v>152.39699999999999</v>
      </c>
      <c r="CL29" s="81">
        <f t="shared" si="72"/>
        <v>160.16800000000001</v>
      </c>
      <c r="CM29" s="81">
        <f t="shared" si="73"/>
        <v>156.316</v>
      </c>
      <c r="CN29" s="81">
        <f t="shared" si="74"/>
        <v>171.846</v>
      </c>
      <c r="CO29" s="81">
        <f t="shared" si="75"/>
        <v>209.05500000000001</v>
      </c>
      <c r="CP29" s="81">
        <f t="shared" si="76"/>
        <v>209.05500000000001</v>
      </c>
      <c r="CQ29" s="82">
        <f t="shared" si="77"/>
        <v>209.05500000000001</v>
      </c>
      <c r="CR29" s="808"/>
      <c r="CS29" s="808"/>
      <c r="CZ29" s="11"/>
    </row>
    <row r="30" spans="1:104" ht="14.25" customHeight="1">
      <c r="A30" s="8"/>
      <c r="B30" s="28" t="s">
        <v>233</v>
      </c>
      <c r="C30" s="29"/>
      <c r="D30" s="84">
        <v>45.968000000000004</v>
      </c>
      <c r="E30" s="84">
        <v>22.204000000000001</v>
      </c>
      <c r="F30" s="84">
        <v>65.513999999999996</v>
      </c>
      <c r="G30" s="85">
        <v>30.047999999999998</v>
      </c>
      <c r="H30" s="84">
        <v>18.143999999999998</v>
      </c>
      <c r="I30" s="84">
        <v>55.579000000000001</v>
      </c>
      <c r="J30" s="84">
        <v>46.682000000000002</v>
      </c>
      <c r="K30" s="85">
        <v>24.21</v>
      </c>
      <c r="L30" s="84">
        <v>0</v>
      </c>
      <c r="M30" s="84">
        <v>0</v>
      </c>
      <c r="N30" s="84">
        <v>14.044</v>
      </c>
      <c r="O30" s="85">
        <v>39.258000000000003</v>
      </c>
      <c r="P30" s="84">
        <v>6.7869999999999999</v>
      </c>
      <c r="Q30" s="84">
        <v>9.1720000000000006</v>
      </c>
      <c r="R30" s="84">
        <v>2.8119999999999998</v>
      </c>
      <c r="S30" s="85">
        <v>10.170999999999999</v>
      </c>
      <c r="T30" s="84">
        <v>0</v>
      </c>
      <c r="U30" s="84">
        <v>0.91900000000000004</v>
      </c>
      <c r="V30" s="84">
        <v>4.0279999999999996</v>
      </c>
      <c r="W30" s="85">
        <v>14.452</v>
      </c>
      <c r="X30" s="84">
        <v>8.0120000000000005</v>
      </c>
      <c r="Y30" s="84">
        <v>1.393</v>
      </c>
      <c r="Z30" s="84">
        <v>0.81399999999999995</v>
      </c>
      <c r="AA30" s="85">
        <v>0</v>
      </c>
      <c r="AB30" s="84">
        <v>0</v>
      </c>
      <c r="AC30" s="84">
        <v>0</v>
      </c>
      <c r="AD30" s="84">
        <v>0</v>
      </c>
      <c r="AE30" s="85">
        <v>0</v>
      </c>
      <c r="AF30" s="84">
        <v>0</v>
      </c>
      <c r="AG30" s="84">
        <v>0</v>
      </c>
      <c r="AH30" s="84">
        <f>AG30</f>
        <v>0</v>
      </c>
      <c r="AI30" s="85">
        <v>60.631999999999998</v>
      </c>
      <c r="AJ30" s="84">
        <v>1.587</v>
      </c>
      <c r="AK30" s="84">
        <v>4.1440000000000001</v>
      </c>
      <c r="AL30" s="84">
        <v>4.5949999999999998</v>
      </c>
      <c r="AM30" s="85">
        <v>12.936</v>
      </c>
      <c r="AN30" s="83">
        <v>17.577999999999999</v>
      </c>
      <c r="AO30" s="84">
        <v>2.17</v>
      </c>
      <c r="AP30" s="84">
        <v>15.37</v>
      </c>
      <c r="AQ30" s="85">
        <v>19.693000000000001</v>
      </c>
      <c r="AR30" s="83">
        <v>17.916</v>
      </c>
      <c r="AS30" s="84">
        <v>6.657</v>
      </c>
      <c r="AT30" s="84">
        <v>7.782</v>
      </c>
      <c r="AU30" s="85">
        <v>6.2859999999999996</v>
      </c>
      <c r="AV30" s="83">
        <f>AU30</f>
        <v>6.2859999999999996</v>
      </c>
      <c r="AW30" s="84">
        <v>8.2330000000000005</v>
      </c>
      <c r="AX30" s="84">
        <v>6.3339999999999996</v>
      </c>
      <c r="AY30" s="85">
        <v>6.3090000000000002</v>
      </c>
      <c r="AZ30" s="83">
        <v>8.282</v>
      </c>
      <c r="BA30" s="84">
        <v>6.766</v>
      </c>
      <c r="BB30" s="84">
        <v>37.280999999999999</v>
      </c>
      <c r="BC30" s="85">
        <v>0</v>
      </c>
      <c r="BD30" s="80">
        <f t="shared" si="79"/>
        <v>0</v>
      </c>
      <c r="BE30" s="81">
        <f t="shared" si="79"/>
        <v>0</v>
      </c>
      <c r="BF30" s="81">
        <f t="shared" si="79"/>
        <v>0</v>
      </c>
      <c r="BG30" s="82">
        <f t="shared" si="79"/>
        <v>0</v>
      </c>
      <c r="BH30" s="80">
        <f t="shared" si="80"/>
        <v>0</v>
      </c>
      <c r="BI30" s="81">
        <f t="shared" si="80"/>
        <v>0</v>
      </c>
      <c r="BJ30" s="81">
        <f t="shared" si="80"/>
        <v>0</v>
      </c>
      <c r="BK30" s="82">
        <f t="shared" si="80"/>
        <v>0</v>
      </c>
      <c r="BL30" s="123"/>
      <c r="BM30" s="81">
        <f t="shared" si="49"/>
        <v>30.047999999999998</v>
      </c>
      <c r="BN30" s="81">
        <f t="shared" si="50"/>
        <v>24.21</v>
      </c>
      <c r="BO30" s="81">
        <f t="shared" si="51"/>
        <v>39.258000000000003</v>
      </c>
      <c r="BP30" s="81">
        <f t="shared" si="52"/>
        <v>10.170999999999999</v>
      </c>
      <c r="BQ30" s="81">
        <f t="shared" si="53"/>
        <v>14.452</v>
      </c>
      <c r="BR30" s="81">
        <f t="shared" si="54"/>
        <v>0</v>
      </c>
      <c r="BS30" s="81">
        <f t="shared" si="55"/>
        <v>0</v>
      </c>
      <c r="BT30" s="80">
        <f t="shared" si="56"/>
        <v>60.631999999999998</v>
      </c>
      <c r="BU30" s="81">
        <f t="shared" si="57"/>
        <v>12.936</v>
      </c>
      <c r="BV30" s="81">
        <f t="shared" si="58"/>
        <v>19.693000000000001</v>
      </c>
      <c r="BW30" s="81">
        <f t="shared" si="59"/>
        <v>6.2859999999999996</v>
      </c>
      <c r="BX30" s="81">
        <f t="shared" si="60"/>
        <v>6.3090000000000002</v>
      </c>
      <c r="BY30" s="81">
        <f t="shared" si="61"/>
        <v>0</v>
      </c>
      <c r="BZ30" s="81">
        <f t="shared" si="62"/>
        <v>0</v>
      </c>
      <c r="CA30" s="81">
        <f t="shared" si="63"/>
        <v>0</v>
      </c>
      <c r="CB30" s="945">
        <f>CA30</f>
        <v>0</v>
      </c>
      <c r="CC30" s="20"/>
      <c r="CD30" s="81">
        <f t="shared" si="64"/>
        <v>46.682000000000002</v>
      </c>
      <c r="CE30" s="81">
        <f t="shared" si="65"/>
        <v>14.044</v>
      </c>
      <c r="CF30" s="81">
        <f t="shared" si="66"/>
        <v>2.8119999999999998</v>
      </c>
      <c r="CG30" s="81">
        <f t="shared" si="67"/>
        <v>4.0279999999999996</v>
      </c>
      <c r="CH30" s="81">
        <f t="shared" si="68"/>
        <v>0.81399999999999995</v>
      </c>
      <c r="CI30" s="81">
        <f t="shared" si="69"/>
        <v>0</v>
      </c>
      <c r="CJ30" s="81">
        <f t="shared" si="70"/>
        <v>0</v>
      </c>
      <c r="CK30" s="81">
        <f t="shared" si="71"/>
        <v>4.5949999999999998</v>
      </c>
      <c r="CL30" s="81">
        <f t="shared" si="72"/>
        <v>15.37</v>
      </c>
      <c r="CM30" s="81">
        <f t="shared" si="73"/>
        <v>7.782</v>
      </c>
      <c r="CN30" s="81">
        <f t="shared" si="74"/>
        <v>6.3339999999999996</v>
      </c>
      <c r="CO30" s="81">
        <f t="shared" si="75"/>
        <v>37.280999999999999</v>
      </c>
      <c r="CP30" s="81">
        <f t="shared" si="76"/>
        <v>0</v>
      </c>
      <c r="CQ30" s="82">
        <f t="shared" si="77"/>
        <v>0</v>
      </c>
      <c r="CR30" s="808"/>
      <c r="CS30" s="808"/>
      <c r="CZ30" s="11"/>
    </row>
    <row r="31" spans="1:104" ht="14.25" customHeight="1">
      <c r="A31" s="8"/>
      <c r="B31" s="28" t="s">
        <v>232</v>
      </c>
      <c r="C31" s="29"/>
      <c r="D31" s="84">
        <v>110.79900000000001</v>
      </c>
      <c r="E31" s="84">
        <v>109.81699999999999</v>
      </c>
      <c r="F31" s="84">
        <v>111.717</v>
      </c>
      <c r="G31" s="85">
        <v>126.55800000000001</v>
      </c>
      <c r="H31" s="84">
        <v>103.14100000000001</v>
      </c>
      <c r="I31" s="84">
        <v>109.77500000000001</v>
      </c>
      <c r="J31" s="84">
        <v>96.144000000000005</v>
      </c>
      <c r="K31" s="85">
        <v>89.052000000000007</v>
      </c>
      <c r="L31" s="84">
        <v>98.18</v>
      </c>
      <c r="M31" s="84">
        <v>101.943</v>
      </c>
      <c r="N31" s="84">
        <v>105.645</v>
      </c>
      <c r="O31" s="85">
        <v>111.678</v>
      </c>
      <c r="P31" s="84">
        <v>99.789000000000001</v>
      </c>
      <c r="Q31" s="84">
        <v>94.141000000000005</v>
      </c>
      <c r="R31" s="84">
        <v>71.510000000000005</v>
      </c>
      <c r="S31" s="85">
        <v>62.363999999999997</v>
      </c>
      <c r="T31" s="84">
        <v>49.731999999999999</v>
      </c>
      <c r="U31" s="84">
        <v>75.754999999999995</v>
      </c>
      <c r="V31" s="84">
        <v>77.394999999999996</v>
      </c>
      <c r="W31" s="85">
        <v>80.132000000000005</v>
      </c>
      <c r="X31" s="84">
        <v>74.206999999999994</v>
      </c>
      <c r="Y31" s="84">
        <v>93.608000000000004</v>
      </c>
      <c r="Z31" s="84">
        <v>80.536000000000001</v>
      </c>
      <c r="AA31" s="85">
        <v>99.763000000000005</v>
      </c>
      <c r="AB31" s="84">
        <v>92.125</v>
      </c>
      <c r="AC31" s="84">
        <v>72.504000000000005</v>
      </c>
      <c r="AD31" s="84">
        <v>63.225000000000001</v>
      </c>
      <c r="AE31" s="85">
        <v>67.001999999999995</v>
      </c>
      <c r="AF31" s="84">
        <v>56.7</v>
      </c>
      <c r="AG31" s="84">
        <v>47.966999999999999</v>
      </c>
      <c r="AH31" s="84">
        <v>50.017000000000003</v>
      </c>
      <c r="AI31" s="85">
        <v>53.357999999999997</v>
      </c>
      <c r="AJ31" s="84">
        <v>57.938000000000002</v>
      </c>
      <c r="AK31" s="84">
        <v>68.813999999999993</v>
      </c>
      <c r="AL31" s="84">
        <v>48.075000000000003</v>
      </c>
      <c r="AM31" s="85">
        <v>55.098999999999997</v>
      </c>
      <c r="AN31" s="83">
        <v>69.257999999999996</v>
      </c>
      <c r="AO31" s="84">
        <v>60.85</v>
      </c>
      <c r="AP31" s="84">
        <v>51.485999999999997</v>
      </c>
      <c r="AQ31" s="85">
        <v>66.070999999999998</v>
      </c>
      <c r="AR31" s="83">
        <v>55.731000000000002</v>
      </c>
      <c r="AS31" s="84">
        <v>81.706999999999994</v>
      </c>
      <c r="AT31" s="84">
        <v>47.015999999999998</v>
      </c>
      <c r="AU31" s="85">
        <v>51.758000000000003</v>
      </c>
      <c r="AV31" s="83">
        <v>71.536000000000001</v>
      </c>
      <c r="AW31" s="84">
        <v>57.404000000000003</v>
      </c>
      <c r="AX31" s="84">
        <v>53.625999999999998</v>
      </c>
      <c r="AY31" s="85">
        <v>54.567</v>
      </c>
      <c r="AZ31" s="83">
        <v>43.75</v>
      </c>
      <c r="BA31" s="84">
        <v>50.966000000000001</v>
      </c>
      <c r="BB31" s="84">
        <v>32.973999999999997</v>
      </c>
      <c r="BC31" s="85">
        <v>25.166</v>
      </c>
      <c r="BD31" s="80">
        <f t="shared" si="79"/>
        <v>25.166</v>
      </c>
      <c r="BE31" s="81">
        <f t="shared" si="79"/>
        <v>25.166</v>
      </c>
      <c r="BF31" s="81">
        <f t="shared" si="79"/>
        <v>25.166</v>
      </c>
      <c r="BG31" s="82">
        <f t="shared" si="79"/>
        <v>25.166</v>
      </c>
      <c r="BH31" s="80">
        <f t="shared" si="80"/>
        <v>25.166</v>
      </c>
      <c r="BI31" s="81">
        <f t="shared" si="80"/>
        <v>25.166</v>
      </c>
      <c r="BJ31" s="81">
        <f t="shared" si="80"/>
        <v>25.166</v>
      </c>
      <c r="BK31" s="82">
        <f t="shared" si="80"/>
        <v>25.166</v>
      </c>
      <c r="BL31" s="123"/>
      <c r="BM31" s="81">
        <f t="shared" si="49"/>
        <v>126.55800000000001</v>
      </c>
      <c r="BN31" s="81">
        <f t="shared" si="50"/>
        <v>89.052000000000007</v>
      </c>
      <c r="BO31" s="81">
        <f t="shared" si="51"/>
        <v>111.678</v>
      </c>
      <c r="BP31" s="81">
        <f t="shared" si="52"/>
        <v>62.363999999999997</v>
      </c>
      <c r="BQ31" s="81">
        <f t="shared" si="53"/>
        <v>80.132000000000005</v>
      </c>
      <c r="BR31" s="81">
        <f t="shared" si="54"/>
        <v>99.763000000000005</v>
      </c>
      <c r="BS31" s="81">
        <f t="shared" si="55"/>
        <v>67.001999999999995</v>
      </c>
      <c r="BT31" s="80">
        <f t="shared" si="56"/>
        <v>53.357999999999997</v>
      </c>
      <c r="BU31" s="81">
        <f t="shared" si="57"/>
        <v>55.098999999999997</v>
      </c>
      <c r="BV31" s="81">
        <f t="shared" si="58"/>
        <v>66.070999999999998</v>
      </c>
      <c r="BW31" s="81">
        <f t="shared" si="59"/>
        <v>51.758000000000003</v>
      </c>
      <c r="BX31" s="81">
        <f t="shared" si="60"/>
        <v>54.567</v>
      </c>
      <c r="BY31" s="81">
        <f t="shared" si="61"/>
        <v>25.166</v>
      </c>
      <c r="BZ31" s="81">
        <f t="shared" si="62"/>
        <v>25.166</v>
      </c>
      <c r="CA31" s="81">
        <f t="shared" si="63"/>
        <v>25.166</v>
      </c>
      <c r="CB31" s="945">
        <f>CA31</f>
        <v>25.166</v>
      </c>
      <c r="CC31" s="20"/>
      <c r="CD31" s="81">
        <f t="shared" si="64"/>
        <v>96.144000000000005</v>
      </c>
      <c r="CE31" s="81">
        <f t="shared" si="65"/>
        <v>105.645</v>
      </c>
      <c r="CF31" s="81">
        <f t="shared" si="66"/>
        <v>71.510000000000005</v>
      </c>
      <c r="CG31" s="81">
        <f t="shared" si="67"/>
        <v>77.394999999999996</v>
      </c>
      <c r="CH31" s="81">
        <f t="shared" si="68"/>
        <v>80.536000000000001</v>
      </c>
      <c r="CI31" s="81">
        <f t="shared" si="69"/>
        <v>63.225000000000001</v>
      </c>
      <c r="CJ31" s="81">
        <f t="shared" si="70"/>
        <v>50.017000000000003</v>
      </c>
      <c r="CK31" s="81">
        <f t="shared" si="71"/>
        <v>48.075000000000003</v>
      </c>
      <c r="CL31" s="81">
        <f t="shared" si="72"/>
        <v>51.485999999999997</v>
      </c>
      <c r="CM31" s="81">
        <f t="shared" si="73"/>
        <v>47.015999999999998</v>
      </c>
      <c r="CN31" s="81">
        <f t="shared" si="74"/>
        <v>53.625999999999998</v>
      </c>
      <c r="CO31" s="81">
        <f t="shared" si="75"/>
        <v>32.973999999999997</v>
      </c>
      <c r="CP31" s="81">
        <f t="shared" si="76"/>
        <v>25.166</v>
      </c>
      <c r="CQ31" s="82">
        <f t="shared" si="77"/>
        <v>25.166</v>
      </c>
      <c r="CR31" s="808"/>
      <c r="CS31" s="808"/>
      <c r="CZ31" s="11"/>
    </row>
    <row r="32" spans="1:104" ht="14.25" customHeight="1">
      <c r="A32" s="14"/>
      <c r="B32" s="126" t="s">
        <v>221</v>
      </c>
      <c r="C32" s="127"/>
      <c r="D32" s="411">
        <v>27.335000000000001</v>
      </c>
      <c r="E32" s="412">
        <v>44.956000000000003</v>
      </c>
      <c r="F32" s="412">
        <v>35.631</v>
      </c>
      <c r="G32" s="185">
        <v>38.154000000000003</v>
      </c>
      <c r="H32" s="412">
        <v>25.526</v>
      </c>
      <c r="I32" s="412">
        <v>23.635000000000002</v>
      </c>
      <c r="J32" s="412">
        <v>28.777999999999999</v>
      </c>
      <c r="K32" s="185">
        <v>27.245999999999999</v>
      </c>
      <c r="L32" s="412">
        <v>28.530999999999999</v>
      </c>
      <c r="M32" s="412">
        <v>20.238</v>
      </c>
      <c r="N32" s="412">
        <v>29.401</v>
      </c>
      <c r="O32" s="185">
        <v>29.597999999999999</v>
      </c>
      <c r="P32" s="412">
        <v>52.997999999999998</v>
      </c>
      <c r="Q32" s="412">
        <v>35.773000000000003</v>
      </c>
      <c r="R32" s="412">
        <v>54.860999999999997</v>
      </c>
      <c r="S32" s="185">
        <v>22.411999999999999</v>
      </c>
      <c r="T32" s="412">
        <v>36.600999999999999</v>
      </c>
      <c r="U32" s="412">
        <v>29.155000000000001</v>
      </c>
      <c r="V32" s="412">
        <v>56.823999999999998</v>
      </c>
      <c r="W32" s="185">
        <v>51.744999999999997</v>
      </c>
      <c r="X32" s="412">
        <v>57.445</v>
      </c>
      <c r="Y32" s="412">
        <v>40.927</v>
      </c>
      <c r="Z32" s="412">
        <v>27.436</v>
      </c>
      <c r="AA32" s="185">
        <v>43.542999999999999</v>
      </c>
      <c r="AB32" s="411">
        <v>129.29300000000001</v>
      </c>
      <c r="AC32" s="412">
        <v>94.188000000000002</v>
      </c>
      <c r="AD32" s="412">
        <f>104.796</f>
        <v>104.79600000000001</v>
      </c>
      <c r="AE32" s="185">
        <v>75.852000000000004</v>
      </c>
      <c r="AF32" s="411">
        <v>87.94</v>
      </c>
      <c r="AG32" s="412">
        <v>74.171000000000006</v>
      </c>
      <c r="AH32" s="412">
        <v>63.634</v>
      </c>
      <c r="AI32" s="185">
        <v>75.837000000000003</v>
      </c>
      <c r="AJ32" s="411">
        <f>146.397+72.104</f>
        <v>218.50099999999998</v>
      </c>
      <c r="AK32" s="412">
        <f>126.211+930.085+110.69</f>
        <v>1166.9860000000001</v>
      </c>
      <c r="AL32" s="412">
        <f>140.601+61.894+934.392</f>
        <v>1136.8870000000002</v>
      </c>
      <c r="AM32" s="185">
        <f>565.001+49.256</f>
        <v>614.25699999999995</v>
      </c>
      <c r="AN32" s="411">
        <f>567.764+32.404</f>
        <v>600.16800000000001</v>
      </c>
      <c r="AO32" s="412">
        <f>570.527+68.559</f>
        <v>639.08600000000001</v>
      </c>
      <c r="AP32" s="412">
        <f>573.29+54.47</f>
        <v>627.76</v>
      </c>
      <c r="AQ32" s="185">
        <f>576.053+64.676</f>
        <v>640.72900000000004</v>
      </c>
      <c r="AR32" s="411">
        <f>578.816+82.619</f>
        <v>661.43500000000006</v>
      </c>
      <c r="AS32" s="412">
        <f>50.243+581.58</f>
        <v>631.82300000000009</v>
      </c>
      <c r="AT32" s="412">
        <f>584.343+62.85</f>
        <v>647.19299999999998</v>
      </c>
      <c r="AU32" s="185">
        <f>587.106+45.108</f>
        <v>632.21399999999994</v>
      </c>
      <c r="AV32" s="411">
        <v>588.54200000000003</v>
      </c>
      <c r="AW32" s="412">
        <f>65.891+591.667</f>
        <v>657.55799999999999</v>
      </c>
      <c r="AX32" s="412">
        <f>64.815+594.792</f>
        <v>659.60699999999997</v>
      </c>
      <c r="AY32" s="185">
        <f>95.098+456.328</f>
        <v>551.42599999999993</v>
      </c>
      <c r="AZ32" s="411">
        <v>79.337000000000003</v>
      </c>
      <c r="BA32" s="412">
        <v>85.028000000000006</v>
      </c>
      <c r="BB32" s="412">
        <v>88.497</v>
      </c>
      <c r="BC32" s="185">
        <v>499.18599999999998</v>
      </c>
      <c r="BD32" s="80">
        <f t="shared" si="79"/>
        <v>499.18599999999998</v>
      </c>
      <c r="BE32" s="81">
        <f t="shared" si="79"/>
        <v>499.18599999999998</v>
      </c>
      <c r="BF32" s="81">
        <f t="shared" si="79"/>
        <v>499.18599999999998</v>
      </c>
      <c r="BG32" s="82">
        <f t="shared" si="79"/>
        <v>499.18599999999998</v>
      </c>
      <c r="BH32" s="80">
        <f t="shared" si="80"/>
        <v>499.18599999999998</v>
      </c>
      <c r="BI32" s="81">
        <f t="shared" si="80"/>
        <v>499.18599999999998</v>
      </c>
      <c r="BJ32" s="81">
        <f t="shared" si="80"/>
        <v>499.18599999999998</v>
      </c>
      <c r="BK32" s="82">
        <f t="shared" si="80"/>
        <v>499.18599999999998</v>
      </c>
      <c r="BL32" s="123"/>
      <c r="BM32" s="413">
        <f t="shared" si="49"/>
        <v>38.154000000000003</v>
      </c>
      <c r="BN32" s="128">
        <f t="shared" si="50"/>
        <v>27.245999999999999</v>
      </c>
      <c r="BO32" s="128">
        <f t="shared" si="51"/>
        <v>29.597999999999999</v>
      </c>
      <c r="BP32" s="128">
        <f t="shared" si="52"/>
        <v>22.411999999999999</v>
      </c>
      <c r="BQ32" s="128">
        <f t="shared" si="53"/>
        <v>51.744999999999997</v>
      </c>
      <c r="BR32" s="128">
        <f t="shared" si="54"/>
        <v>43.542999999999999</v>
      </c>
      <c r="BS32" s="128">
        <f t="shared" si="55"/>
        <v>75.852000000000004</v>
      </c>
      <c r="BT32" s="413">
        <f t="shared" si="56"/>
        <v>75.837000000000003</v>
      </c>
      <c r="BU32" s="128">
        <f t="shared" si="57"/>
        <v>614.25699999999995</v>
      </c>
      <c r="BV32" s="128">
        <f t="shared" si="58"/>
        <v>640.72900000000004</v>
      </c>
      <c r="BW32" s="128">
        <f t="shared" si="59"/>
        <v>632.21399999999994</v>
      </c>
      <c r="BX32" s="128">
        <f t="shared" si="60"/>
        <v>551.42599999999993</v>
      </c>
      <c r="BY32" s="128">
        <f t="shared" si="61"/>
        <v>499.18599999999998</v>
      </c>
      <c r="BZ32" s="128">
        <f t="shared" si="62"/>
        <v>499.18599999999998</v>
      </c>
      <c r="CA32" s="128">
        <f t="shared" si="63"/>
        <v>499.18599999999998</v>
      </c>
      <c r="CB32" s="964">
        <f>CA32</f>
        <v>499.18599999999998</v>
      </c>
      <c r="CC32" s="20"/>
      <c r="CD32" s="413">
        <f t="shared" si="64"/>
        <v>28.777999999999999</v>
      </c>
      <c r="CE32" s="128">
        <f t="shared" si="65"/>
        <v>29.401</v>
      </c>
      <c r="CF32" s="128">
        <f t="shared" si="66"/>
        <v>54.860999999999997</v>
      </c>
      <c r="CG32" s="128">
        <f t="shared" si="67"/>
        <v>56.823999999999998</v>
      </c>
      <c r="CH32" s="128">
        <f t="shared" si="68"/>
        <v>27.436</v>
      </c>
      <c r="CI32" s="128">
        <f t="shared" si="69"/>
        <v>104.79600000000001</v>
      </c>
      <c r="CJ32" s="128">
        <f t="shared" si="70"/>
        <v>63.634</v>
      </c>
      <c r="CK32" s="128">
        <f t="shared" si="71"/>
        <v>1136.8870000000002</v>
      </c>
      <c r="CL32" s="128">
        <f t="shared" si="72"/>
        <v>627.76</v>
      </c>
      <c r="CM32" s="128">
        <f t="shared" si="73"/>
        <v>647.19299999999998</v>
      </c>
      <c r="CN32" s="128">
        <f t="shared" si="74"/>
        <v>659.60699999999997</v>
      </c>
      <c r="CO32" s="128">
        <f t="shared" si="75"/>
        <v>88.497</v>
      </c>
      <c r="CP32" s="128">
        <f t="shared" si="76"/>
        <v>499.18599999999998</v>
      </c>
      <c r="CQ32" s="129">
        <f t="shared" si="77"/>
        <v>499.18599999999998</v>
      </c>
      <c r="CR32" s="808"/>
      <c r="CS32" s="808"/>
      <c r="CZ32" s="11"/>
    </row>
    <row r="33" spans="1:104" ht="14.25" customHeight="1">
      <c r="A33" s="8"/>
      <c r="B33" s="144" t="s">
        <v>110</v>
      </c>
      <c r="C33" s="145"/>
      <c r="D33" s="149">
        <f t="shared" ref="D33:Y33" si="81">SUM(D27:D32)</f>
        <v>332.54799999999994</v>
      </c>
      <c r="E33" s="135">
        <f t="shared" si="81"/>
        <v>334.51500000000004</v>
      </c>
      <c r="F33" s="135">
        <f t="shared" si="81"/>
        <v>376.90800000000002</v>
      </c>
      <c r="G33" s="136">
        <f t="shared" si="81"/>
        <v>345.024</v>
      </c>
      <c r="H33" s="149">
        <f t="shared" si="81"/>
        <v>308.51300000000003</v>
      </c>
      <c r="I33" s="135">
        <f t="shared" si="81"/>
        <v>347.53200000000004</v>
      </c>
      <c r="J33" s="135">
        <f t="shared" si="81"/>
        <v>324.50700000000001</v>
      </c>
      <c r="K33" s="136">
        <f t="shared" si="81"/>
        <v>303.36899999999997</v>
      </c>
      <c r="L33" s="149">
        <f t="shared" si="81"/>
        <v>288.80700000000002</v>
      </c>
      <c r="M33" s="135">
        <f t="shared" si="81"/>
        <v>295.60399999999998</v>
      </c>
      <c r="N33" s="135">
        <f t="shared" si="81"/>
        <v>338.07300000000004</v>
      </c>
      <c r="O33" s="136">
        <f t="shared" si="81"/>
        <v>340.666</v>
      </c>
      <c r="P33" s="149">
        <f t="shared" si="81"/>
        <v>337.46999999999997</v>
      </c>
      <c r="Q33" s="135">
        <f t="shared" si="81"/>
        <v>318.96300000000002</v>
      </c>
      <c r="R33" s="135">
        <f t="shared" si="81"/>
        <v>279.29599999999999</v>
      </c>
      <c r="S33" s="136">
        <f t="shared" si="81"/>
        <v>233.066</v>
      </c>
      <c r="T33" s="149">
        <f t="shared" si="81"/>
        <v>245.31399999999999</v>
      </c>
      <c r="U33" s="135">
        <f t="shared" si="81"/>
        <v>292.45600000000002</v>
      </c>
      <c r="V33" s="135">
        <f t="shared" si="81"/>
        <v>361.96800000000002</v>
      </c>
      <c r="W33" s="136">
        <f t="shared" si="81"/>
        <v>357.161</v>
      </c>
      <c r="X33" s="135">
        <f t="shared" si="81"/>
        <v>373.09199999999998</v>
      </c>
      <c r="Y33" s="135">
        <f t="shared" si="81"/>
        <v>390.834</v>
      </c>
      <c r="Z33" s="135">
        <f>SUM(Z27:Z32)</f>
        <v>375.01900000000001</v>
      </c>
      <c r="AA33" s="136">
        <f t="shared" ref="AA33:AL33" si="82">SUM(AA27:AA32)</f>
        <v>368.14</v>
      </c>
      <c r="AB33" s="135">
        <f t="shared" si="82"/>
        <v>434.12600000000003</v>
      </c>
      <c r="AC33" s="135">
        <f t="shared" si="82"/>
        <v>367.44900000000001</v>
      </c>
      <c r="AD33" s="135">
        <f t="shared" si="82"/>
        <v>382.43700000000001</v>
      </c>
      <c r="AE33" s="136">
        <f t="shared" si="82"/>
        <v>342.77599999999995</v>
      </c>
      <c r="AF33" s="135">
        <f t="shared" si="82"/>
        <v>360.15999999999997</v>
      </c>
      <c r="AG33" s="135">
        <f t="shared" si="82"/>
        <v>342.65600000000001</v>
      </c>
      <c r="AH33" s="135">
        <f t="shared" si="82"/>
        <v>335.54200000000003</v>
      </c>
      <c r="AI33" s="136">
        <f t="shared" si="82"/>
        <v>386.78800000000001</v>
      </c>
      <c r="AJ33" s="135">
        <f t="shared" si="82"/>
        <v>475.69499999999994</v>
      </c>
      <c r="AK33" s="135">
        <f t="shared" si="82"/>
        <v>1482.17</v>
      </c>
      <c r="AL33" s="135">
        <f t="shared" si="82"/>
        <v>1432.0770000000002</v>
      </c>
      <c r="AM33" s="136">
        <f t="shared" ref="AM33:AR33" si="83">SUM(AM27:AM32)</f>
        <v>989.3599999999999</v>
      </c>
      <c r="AN33" s="149">
        <f t="shared" si="83"/>
        <v>933.84799999999996</v>
      </c>
      <c r="AO33" s="135">
        <f t="shared" si="83"/>
        <v>970.64900000000011</v>
      </c>
      <c r="AP33" s="135">
        <f t="shared" si="83"/>
        <v>913.01499999999999</v>
      </c>
      <c r="AQ33" s="136">
        <f t="shared" si="83"/>
        <v>963.20600000000002</v>
      </c>
      <c r="AR33" s="149">
        <f t="shared" si="83"/>
        <v>957.16300000000001</v>
      </c>
      <c r="AS33" s="135">
        <f t="shared" ref="AS33:AY33" si="84">SUM(AS27:AS32)</f>
        <v>950.3420000000001</v>
      </c>
      <c r="AT33" s="135">
        <f t="shared" si="84"/>
        <v>932.90899999999999</v>
      </c>
      <c r="AU33" s="136">
        <f t="shared" si="84"/>
        <v>946.08600000000001</v>
      </c>
      <c r="AV33" s="149">
        <f t="shared" si="84"/>
        <v>1051.364</v>
      </c>
      <c r="AW33" s="855">
        <f t="shared" si="84"/>
        <v>997.81899999999996</v>
      </c>
      <c r="AX33" s="135">
        <f t="shared" si="84"/>
        <v>1010.0419999999999</v>
      </c>
      <c r="AY33" s="136">
        <f t="shared" si="84"/>
        <v>897.19599999999991</v>
      </c>
      <c r="AZ33" s="149">
        <f t="shared" ref="AZ33:BK33" si="85">SUM(AZ27:AZ32)</f>
        <v>439.83299999999997</v>
      </c>
      <c r="BA33" s="855">
        <f t="shared" si="85"/>
        <v>423.22100000000006</v>
      </c>
      <c r="BB33" s="135">
        <f t="shared" si="85"/>
        <v>462.39500000000004</v>
      </c>
      <c r="BC33" s="136">
        <f t="shared" si="85"/>
        <v>937.20299999999997</v>
      </c>
      <c r="BD33" s="134">
        <f t="shared" si="85"/>
        <v>868.50423235999995</v>
      </c>
      <c r="BE33" s="132">
        <f t="shared" si="85"/>
        <v>869.27055489179997</v>
      </c>
      <c r="BF33" s="132">
        <f t="shared" si="85"/>
        <v>868.99812248806802</v>
      </c>
      <c r="BG33" s="133">
        <f t="shared" si="85"/>
        <v>872.34219029606129</v>
      </c>
      <c r="BH33" s="134">
        <f t="shared" si="85"/>
        <v>865.01963040601618</v>
      </c>
      <c r="BI33" s="132">
        <f t="shared" si="85"/>
        <v>866.1611690116174</v>
      </c>
      <c r="BJ33" s="132">
        <f t="shared" si="85"/>
        <v>865.06570384264228</v>
      </c>
      <c r="BK33" s="133">
        <f t="shared" si="85"/>
        <v>867.35585796892997</v>
      </c>
      <c r="BL33" s="123"/>
      <c r="BM33" s="135">
        <f t="shared" ref="BM33:BW33" si="86">SUM(BM27:BM32)</f>
        <v>345.024</v>
      </c>
      <c r="BN33" s="135">
        <f t="shared" si="86"/>
        <v>303.36899999999997</v>
      </c>
      <c r="BO33" s="135">
        <f t="shared" si="86"/>
        <v>340.666</v>
      </c>
      <c r="BP33" s="135">
        <f t="shared" si="86"/>
        <v>233.066</v>
      </c>
      <c r="BQ33" s="135">
        <f t="shared" si="86"/>
        <v>357.161</v>
      </c>
      <c r="BR33" s="135">
        <f t="shared" si="86"/>
        <v>368.14</v>
      </c>
      <c r="BS33" s="135">
        <f t="shared" si="86"/>
        <v>342.77599999999995</v>
      </c>
      <c r="BT33" s="134">
        <f t="shared" si="86"/>
        <v>386.78800000000001</v>
      </c>
      <c r="BU33" s="132">
        <f t="shared" si="86"/>
        <v>989.3599999999999</v>
      </c>
      <c r="BV33" s="132">
        <f t="shared" si="86"/>
        <v>963.20600000000002</v>
      </c>
      <c r="BW33" s="132">
        <f t="shared" si="86"/>
        <v>946.08600000000001</v>
      </c>
      <c r="BX33" s="132">
        <f>SUM(BX27:BX32)</f>
        <v>897.19599999999991</v>
      </c>
      <c r="BY33" s="132">
        <f>SUM(BY27:BY32)</f>
        <v>937.20299999999997</v>
      </c>
      <c r="BZ33" s="132">
        <f>SUM(BZ27:BZ32)</f>
        <v>872.34219029606129</v>
      </c>
      <c r="CA33" s="132">
        <f>SUM(CA27:CA32)</f>
        <v>867.35585796892997</v>
      </c>
      <c r="CB33" s="965">
        <f>SUM(CB27:CB32)</f>
        <v>876.73041476867115</v>
      </c>
      <c r="CC33" s="20"/>
      <c r="CD33" s="135">
        <f t="shared" ref="CD33:CM33" si="87">SUM(CD27:CD32)</f>
        <v>324.50700000000001</v>
      </c>
      <c r="CE33" s="135">
        <f t="shared" si="87"/>
        <v>338.07300000000004</v>
      </c>
      <c r="CF33" s="135">
        <f t="shared" si="87"/>
        <v>279.29599999999999</v>
      </c>
      <c r="CG33" s="135">
        <f t="shared" si="87"/>
        <v>361.96800000000002</v>
      </c>
      <c r="CH33" s="135">
        <f t="shared" si="87"/>
        <v>375.01900000000001</v>
      </c>
      <c r="CI33" s="135">
        <f t="shared" si="87"/>
        <v>382.43700000000001</v>
      </c>
      <c r="CJ33" s="135">
        <f t="shared" si="87"/>
        <v>335.54200000000003</v>
      </c>
      <c r="CK33" s="135">
        <f t="shared" si="87"/>
        <v>1432.0770000000002</v>
      </c>
      <c r="CL33" s="135">
        <f t="shared" si="87"/>
        <v>913.01499999999999</v>
      </c>
      <c r="CM33" s="135">
        <f t="shared" si="87"/>
        <v>932.90899999999999</v>
      </c>
      <c r="CN33" s="135">
        <f>SUM(CN27:CN32)</f>
        <v>1010.0419999999999</v>
      </c>
      <c r="CO33" s="135">
        <f>SUM(CO27:CO32)</f>
        <v>462.39500000000004</v>
      </c>
      <c r="CP33" s="132">
        <f>SUM(CP27:CP32)</f>
        <v>868.99812248806802</v>
      </c>
      <c r="CQ33" s="133">
        <f>SUM(CQ27:CQ32)</f>
        <v>865.06570384264228</v>
      </c>
      <c r="CR33" s="14"/>
      <c r="CS33" s="14"/>
      <c r="CZ33" s="8"/>
    </row>
    <row r="34" spans="1:104" ht="14.25" customHeight="1">
      <c r="A34" s="8"/>
      <c r="B34" s="23"/>
      <c r="C34" s="24"/>
      <c r="D34" s="83"/>
      <c r="E34" s="84"/>
      <c r="F34" s="84"/>
      <c r="G34" s="85"/>
      <c r="H34" s="83"/>
      <c r="I34" s="84"/>
      <c r="J34" s="84"/>
      <c r="K34" s="85"/>
      <c r="L34" s="83"/>
      <c r="M34" s="84"/>
      <c r="N34" s="84"/>
      <c r="O34" s="85"/>
      <c r="P34" s="83"/>
      <c r="Q34" s="84"/>
      <c r="R34" s="84"/>
      <c r="S34" s="85"/>
      <c r="T34" s="83"/>
      <c r="U34" s="84"/>
      <c r="V34" s="84"/>
      <c r="W34" s="85"/>
      <c r="X34" s="84"/>
      <c r="Y34" s="84"/>
      <c r="Z34" s="84"/>
      <c r="AA34" s="85"/>
      <c r="AB34" s="84"/>
      <c r="AC34" s="84"/>
      <c r="AD34" s="84"/>
      <c r="AE34" s="85"/>
      <c r="AF34" s="84"/>
      <c r="AG34" s="84"/>
      <c r="AH34" s="84"/>
      <c r="AI34" s="85"/>
      <c r="AJ34" s="84"/>
      <c r="AK34" s="84"/>
      <c r="AL34" s="84"/>
      <c r="AM34" s="85"/>
      <c r="AN34" s="83"/>
      <c r="AO34" s="84"/>
      <c r="AP34" s="84"/>
      <c r="AQ34" s="85"/>
      <c r="AR34" s="83"/>
      <c r="AS34" s="84"/>
      <c r="AT34" s="84"/>
      <c r="AU34" s="85"/>
      <c r="AV34" s="83"/>
      <c r="AW34" s="84"/>
      <c r="AX34" s="84"/>
      <c r="AY34" s="85"/>
      <c r="AZ34" s="83"/>
      <c r="BA34" s="84"/>
      <c r="BB34" s="84"/>
      <c r="BC34" s="85"/>
      <c r="BD34" s="83"/>
      <c r="BE34" s="84"/>
      <c r="BF34" s="84"/>
      <c r="BG34" s="85"/>
      <c r="BH34" s="83"/>
      <c r="BI34" s="84"/>
      <c r="BJ34" s="84"/>
      <c r="BK34" s="85"/>
      <c r="BL34" s="123"/>
      <c r="BM34" s="84"/>
      <c r="BN34" s="84"/>
      <c r="BO34" s="84"/>
      <c r="BP34" s="84"/>
      <c r="BQ34" s="84"/>
      <c r="BR34" s="84"/>
      <c r="BS34" s="84"/>
      <c r="BT34" s="83"/>
      <c r="BU34" s="84"/>
      <c r="BV34" s="84"/>
      <c r="BW34" s="84"/>
      <c r="BX34" s="84"/>
      <c r="BY34" s="84"/>
      <c r="BZ34" s="84"/>
      <c r="CA34" s="84"/>
      <c r="CB34" s="966"/>
      <c r="CC34" s="20"/>
      <c r="CD34" s="84"/>
      <c r="CE34" s="84"/>
      <c r="CF34" s="84"/>
      <c r="CG34" s="84"/>
      <c r="CH34" s="84"/>
      <c r="CI34" s="84"/>
      <c r="CJ34" s="84"/>
      <c r="CK34" s="84"/>
      <c r="CL34" s="84"/>
      <c r="CM34" s="84"/>
      <c r="CN34" s="84"/>
      <c r="CO34" s="84"/>
      <c r="CP34" s="84"/>
      <c r="CQ34" s="85"/>
      <c r="CR34" s="14"/>
      <c r="CS34" s="14"/>
      <c r="CZ34" s="8"/>
    </row>
    <row r="35" spans="1:104" ht="14.25" customHeight="1">
      <c r="A35" s="8"/>
      <c r="B35" s="28" t="s">
        <v>255</v>
      </c>
      <c r="C35" s="29"/>
      <c r="D35" s="83">
        <v>0</v>
      </c>
      <c r="E35" s="84">
        <v>0</v>
      </c>
      <c r="F35" s="84">
        <v>0</v>
      </c>
      <c r="G35" s="85">
        <v>0</v>
      </c>
      <c r="H35" s="83">
        <v>0</v>
      </c>
      <c r="I35" s="84">
        <v>0</v>
      </c>
      <c r="J35" s="84">
        <v>0</v>
      </c>
      <c r="K35" s="85">
        <v>999.59699999999998</v>
      </c>
      <c r="L35" s="83">
        <v>998.798</v>
      </c>
      <c r="M35" s="84">
        <v>999.11900000000003</v>
      </c>
      <c r="N35" s="84">
        <v>999.81</v>
      </c>
      <c r="O35" s="85">
        <v>999.851</v>
      </c>
      <c r="P35" s="83">
        <v>999.55200000000002</v>
      </c>
      <c r="Q35" s="84">
        <v>999.56299999999999</v>
      </c>
      <c r="R35" s="84">
        <v>760.10699999999997</v>
      </c>
      <c r="S35" s="85">
        <v>352.11</v>
      </c>
      <c r="T35" s="83">
        <v>352.33300000000003</v>
      </c>
      <c r="U35" s="84">
        <v>353.471</v>
      </c>
      <c r="V35" s="84">
        <v>354.46</v>
      </c>
      <c r="W35" s="85">
        <v>354.798</v>
      </c>
      <c r="X35" s="84">
        <v>849.505</v>
      </c>
      <c r="Y35" s="84">
        <v>884.39</v>
      </c>
      <c r="Z35" s="84">
        <v>887.197</v>
      </c>
      <c r="AA35" s="85">
        <v>890.98</v>
      </c>
      <c r="AB35" s="84">
        <v>894.47799999999995</v>
      </c>
      <c r="AC35" s="84">
        <v>899.803</v>
      </c>
      <c r="AD35" s="84">
        <v>903.05899999999997</v>
      </c>
      <c r="AE35" s="85">
        <v>906.56899999999996</v>
      </c>
      <c r="AF35" s="84">
        <v>911.13499999999999</v>
      </c>
      <c r="AG35" s="84">
        <v>915.10900000000004</v>
      </c>
      <c r="AH35" s="84">
        <v>918.88300000000004</v>
      </c>
      <c r="AI35" s="85">
        <v>922.66600000000005</v>
      </c>
      <c r="AJ35" s="84">
        <v>926.78099999999995</v>
      </c>
      <c r="AK35" s="84">
        <v>0</v>
      </c>
      <c r="AL35" s="84">
        <v>0</v>
      </c>
      <c r="AM35" s="85">
        <v>993.87</v>
      </c>
      <c r="AN35" s="83">
        <v>994.11</v>
      </c>
      <c r="AO35" s="84">
        <v>994.35199999999998</v>
      </c>
      <c r="AP35" s="84">
        <v>994.59500000000003</v>
      </c>
      <c r="AQ35" s="85">
        <v>994.83900000000006</v>
      </c>
      <c r="AR35" s="83">
        <v>995.08600000000001</v>
      </c>
      <c r="AS35" s="84">
        <v>995.33299999999997</v>
      </c>
      <c r="AT35" s="84">
        <v>995.58399999999995</v>
      </c>
      <c r="AU35" s="85">
        <v>995.83500000000004</v>
      </c>
      <c r="AV35" s="83">
        <v>994.03899999999999</v>
      </c>
      <c r="AW35" s="84">
        <v>994.43899999999996</v>
      </c>
      <c r="AX35" s="84">
        <v>994.84199999999998</v>
      </c>
      <c r="AY35" s="85">
        <v>995.24699999999996</v>
      </c>
      <c r="AZ35" s="83">
        <v>1737.41</v>
      </c>
      <c r="BA35" s="84">
        <v>1738.6659999999999</v>
      </c>
      <c r="BB35" s="84">
        <v>1730.211</v>
      </c>
      <c r="BC35" s="85">
        <v>1214.44</v>
      </c>
      <c r="BD35" s="80">
        <f>+BC35+CFS!BD41</f>
        <v>1214.44</v>
      </c>
      <c r="BE35" s="81">
        <f>+BD35+CFS!BE41</f>
        <v>1214.44</v>
      </c>
      <c r="BF35" s="81">
        <f>+BE35+CFS!BF41</f>
        <v>1214.44</v>
      </c>
      <c r="BG35" s="82">
        <f>+BF35+CFS!BG41</f>
        <v>1214.44</v>
      </c>
      <c r="BH35" s="80">
        <f>+BG35+CFS!BH41</f>
        <v>1214.44</v>
      </c>
      <c r="BI35" s="81">
        <f>+BH35+CFS!BI41</f>
        <v>1214.44</v>
      </c>
      <c r="BJ35" s="81">
        <f>+BI35+CFS!BJ41</f>
        <v>1214.44</v>
      </c>
      <c r="BK35" s="82">
        <f>+BJ35+CFS!BK41</f>
        <v>1214.44</v>
      </c>
      <c r="BL35" s="123"/>
      <c r="BM35" s="81">
        <f>G35</f>
        <v>0</v>
      </c>
      <c r="BN35" s="81">
        <f>K35</f>
        <v>999.59699999999998</v>
      </c>
      <c r="BO35" s="81">
        <f>O35</f>
        <v>999.851</v>
      </c>
      <c r="BP35" s="81">
        <f>S35</f>
        <v>352.11</v>
      </c>
      <c r="BQ35" s="81">
        <f>W35</f>
        <v>354.798</v>
      </c>
      <c r="BR35" s="81">
        <f>AA35</f>
        <v>890.98</v>
      </c>
      <c r="BS35" s="81">
        <f>AE35</f>
        <v>906.56899999999996</v>
      </c>
      <c r="BT35" s="80">
        <f>AI35</f>
        <v>922.66600000000005</v>
      </c>
      <c r="BU35" s="81">
        <f>AM35</f>
        <v>993.87</v>
      </c>
      <c r="BV35" s="81">
        <f>AQ35</f>
        <v>994.83900000000006</v>
      </c>
      <c r="BW35" s="81">
        <f>AU35</f>
        <v>995.83500000000004</v>
      </c>
      <c r="BX35" s="81">
        <f>AY35</f>
        <v>995.24699999999996</v>
      </c>
      <c r="BY35" s="81">
        <f>BC35</f>
        <v>1214.44</v>
      </c>
      <c r="BZ35" s="81">
        <f>BG35</f>
        <v>1214.44</v>
      </c>
      <c r="CA35" s="81">
        <f>BK35</f>
        <v>1214.44</v>
      </c>
      <c r="CB35" s="945">
        <f>+CA35</f>
        <v>1214.44</v>
      </c>
      <c r="CC35" s="20"/>
      <c r="CD35" s="81">
        <f>J35</f>
        <v>0</v>
      </c>
      <c r="CE35" s="81">
        <f>N35</f>
        <v>999.81</v>
      </c>
      <c r="CF35" s="81">
        <f>R35</f>
        <v>760.10699999999997</v>
      </c>
      <c r="CG35" s="81">
        <f>V35</f>
        <v>354.46</v>
      </c>
      <c r="CH35" s="81">
        <f>Z35</f>
        <v>887.197</v>
      </c>
      <c r="CI35" s="81">
        <f>AD35</f>
        <v>903.05899999999997</v>
      </c>
      <c r="CJ35" s="81">
        <f>AH35</f>
        <v>918.88300000000004</v>
      </c>
      <c r="CK35" s="81">
        <f>AL35</f>
        <v>0</v>
      </c>
      <c r="CL35" s="81">
        <f>AP35</f>
        <v>994.59500000000003</v>
      </c>
      <c r="CM35" s="81">
        <f>AT35</f>
        <v>995.58399999999995</v>
      </c>
      <c r="CN35" s="81">
        <f>AX35</f>
        <v>994.84199999999998</v>
      </c>
      <c r="CO35" s="81">
        <f>BB35</f>
        <v>1730.211</v>
      </c>
      <c r="CP35" s="81">
        <f>BF35</f>
        <v>1214.44</v>
      </c>
      <c r="CQ35" s="82">
        <f>BJ35</f>
        <v>1214.44</v>
      </c>
      <c r="CR35" s="808"/>
      <c r="CS35" s="808"/>
      <c r="CZ35" s="8"/>
    </row>
    <row r="36" spans="1:104" ht="14.25" customHeight="1">
      <c r="A36" s="8"/>
      <c r="B36" s="28" t="s">
        <v>256</v>
      </c>
      <c r="C36" s="29"/>
      <c r="D36" s="83">
        <v>52.131999999999998</v>
      </c>
      <c r="E36" s="84">
        <v>59.633000000000003</v>
      </c>
      <c r="F36" s="84">
        <v>35.551000000000002</v>
      </c>
      <c r="G36" s="85">
        <v>92.153000000000006</v>
      </c>
      <c r="H36" s="83">
        <v>97.238</v>
      </c>
      <c r="I36" s="84">
        <v>83.596000000000004</v>
      </c>
      <c r="J36" s="84">
        <v>105.425</v>
      </c>
      <c r="K36" s="85">
        <v>102.32899999999999</v>
      </c>
      <c r="L36" s="83">
        <f>88.551+35.377</f>
        <v>123.928</v>
      </c>
      <c r="M36" s="84">
        <f>90.175+40.305</f>
        <v>130.47999999999999</v>
      </c>
      <c r="N36" s="84">
        <f>107.428+31.538</f>
        <v>138.96600000000001</v>
      </c>
      <c r="O36" s="85">
        <f>84.486+39.122</f>
        <v>123.608</v>
      </c>
      <c r="P36" s="83">
        <f>100.548+42.756</f>
        <v>143.304</v>
      </c>
      <c r="Q36" s="84">
        <f>95.659+73.631</f>
        <v>169.29000000000002</v>
      </c>
      <c r="R36" s="84">
        <f>102.425+70.052</f>
        <v>172.477</v>
      </c>
      <c r="S36" s="85">
        <f>196.189+80.699</f>
        <v>276.88799999999998</v>
      </c>
      <c r="T36" s="83">
        <f>196.955+137.442</f>
        <v>334.39700000000005</v>
      </c>
      <c r="U36" s="84">
        <f>206.714+140.428</f>
        <v>347.142</v>
      </c>
      <c r="V36" s="84">
        <f>247.822+122.287</f>
        <v>370.10900000000004</v>
      </c>
      <c r="W36" s="85">
        <f>294.149+56.248</f>
        <v>350.39699999999999</v>
      </c>
      <c r="X36" s="84">
        <f>322.664+59.141</f>
        <v>381.80500000000001</v>
      </c>
      <c r="Y36" s="84">
        <f>350.702+61.478</f>
        <v>412.18</v>
      </c>
      <c r="Z36" s="84">
        <f>368.521+52.889</f>
        <v>421.41</v>
      </c>
      <c r="AA36" s="85">
        <f>403.99+45.306</f>
        <v>449.29599999999999</v>
      </c>
      <c r="AB36" s="84">
        <v>420.58100000000002</v>
      </c>
      <c r="AC36" s="84">
        <v>433.49099999999999</v>
      </c>
      <c r="AD36" s="84">
        <v>449.17</v>
      </c>
      <c r="AE36" s="85">
        <v>463.04500000000002</v>
      </c>
      <c r="AF36" s="84">
        <v>477.62200000000001</v>
      </c>
      <c r="AG36" s="84">
        <f>499.709+15.704</f>
        <v>515.41300000000001</v>
      </c>
      <c r="AH36" s="84">
        <v>506.995</v>
      </c>
      <c r="AI36" s="85">
        <v>415.44200000000001</v>
      </c>
      <c r="AJ36" s="84">
        <v>228.21899999999999</v>
      </c>
      <c r="AK36" s="84">
        <v>269.25</v>
      </c>
      <c r="AL36" s="84">
        <v>279.69600000000003</v>
      </c>
      <c r="AM36" s="85">
        <v>253.43299999999999</v>
      </c>
      <c r="AN36" s="83">
        <v>283.49200000000002</v>
      </c>
      <c r="AO36" s="84">
        <v>295.64100000000002</v>
      </c>
      <c r="AP36" s="84">
        <v>293.13799999999998</v>
      </c>
      <c r="AQ36" s="85">
        <v>289.86799999999999</v>
      </c>
      <c r="AR36" s="83">
        <v>301.13</v>
      </c>
      <c r="AS36" s="84">
        <v>308.66199999999998</v>
      </c>
      <c r="AT36" s="84">
        <v>347.995</v>
      </c>
      <c r="AU36" s="85">
        <v>261.46699999999998</v>
      </c>
      <c r="AV36" s="83">
        <v>263.41300000000001</v>
      </c>
      <c r="AW36" s="84">
        <v>294.875</v>
      </c>
      <c r="AX36" s="84">
        <v>323.77699999999999</v>
      </c>
      <c r="AY36" s="85">
        <v>317.63900000000001</v>
      </c>
      <c r="AZ36" s="83">
        <v>346.56599999999997</v>
      </c>
      <c r="BA36" s="84">
        <v>359.32299999999998</v>
      </c>
      <c r="BB36" s="84">
        <v>0.11</v>
      </c>
      <c r="BC36" s="85">
        <v>7.4999999999999997E-2</v>
      </c>
      <c r="BD36" s="80">
        <f t="shared" ref="BD36:BG37" si="88">BC36</f>
        <v>7.4999999999999997E-2</v>
      </c>
      <c r="BE36" s="81">
        <f t="shared" si="88"/>
        <v>7.4999999999999997E-2</v>
      </c>
      <c r="BF36" s="81">
        <f t="shared" si="88"/>
        <v>7.4999999999999997E-2</v>
      </c>
      <c r="BG36" s="82">
        <f t="shared" si="88"/>
        <v>7.4999999999999997E-2</v>
      </c>
      <c r="BH36" s="80">
        <f t="shared" ref="BH36:BK37" si="89">BG36</f>
        <v>7.4999999999999997E-2</v>
      </c>
      <c r="BI36" s="81">
        <f t="shared" si="89"/>
        <v>7.4999999999999997E-2</v>
      </c>
      <c r="BJ36" s="81">
        <f t="shared" si="89"/>
        <v>7.4999999999999997E-2</v>
      </c>
      <c r="BK36" s="82">
        <f t="shared" si="89"/>
        <v>7.4999999999999997E-2</v>
      </c>
      <c r="BL36" s="123"/>
      <c r="BM36" s="81">
        <f>G36</f>
        <v>92.153000000000006</v>
      </c>
      <c r="BN36" s="81">
        <f>K36</f>
        <v>102.32899999999999</v>
      </c>
      <c r="BO36" s="81">
        <f>O36</f>
        <v>123.608</v>
      </c>
      <c r="BP36" s="81">
        <f>S36</f>
        <v>276.88799999999998</v>
      </c>
      <c r="BQ36" s="81">
        <f>W36</f>
        <v>350.39699999999999</v>
      </c>
      <c r="BR36" s="81">
        <f>AA36</f>
        <v>449.29599999999999</v>
      </c>
      <c r="BS36" s="81">
        <f>AE36</f>
        <v>463.04500000000002</v>
      </c>
      <c r="BT36" s="80">
        <f>AI36</f>
        <v>415.44200000000001</v>
      </c>
      <c r="BU36" s="81">
        <f>AM36</f>
        <v>253.43299999999999</v>
      </c>
      <c r="BV36" s="81">
        <f>AQ36</f>
        <v>289.86799999999999</v>
      </c>
      <c r="BW36" s="81">
        <f>AU36</f>
        <v>261.46699999999998</v>
      </c>
      <c r="BX36" s="81">
        <f>AY36</f>
        <v>317.63900000000001</v>
      </c>
      <c r="BY36" s="81">
        <f>BC36</f>
        <v>7.4999999999999997E-2</v>
      </c>
      <c r="BZ36" s="81">
        <f>BG36</f>
        <v>7.4999999999999997E-2</v>
      </c>
      <c r="CA36" s="81">
        <f>BK36</f>
        <v>7.4999999999999997E-2</v>
      </c>
      <c r="CB36" s="945">
        <f>CA36</f>
        <v>7.4999999999999997E-2</v>
      </c>
      <c r="CC36" s="20"/>
      <c r="CD36" s="81">
        <f>J36</f>
        <v>105.425</v>
      </c>
      <c r="CE36" s="81">
        <f>N36</f>
        <v>138.96600000000001</v>
      </c>
      <c r="CF36" s="81">
        <f>R36</f>
        <v>172.477</v>
      </c>
      <c r="CG36" s="81">
        <f>V36</f>
        <v>370.10900000000004</v>
      </c>
      <c r="CH36" s="81">
        <f>Z36</f>
        <v>421.41</v>
      </c>
      <c r="CI36" s="81">
        <f>AD36</f>
        <v>449.17</v>
      </c>
      <c r="CJ36" s="81">
        <f>AH36</f>
        <v>506.995</v>
      </c>
      <c r="CK36" s="81">
        <f>AL36</f>
        <v>279.69600000000003</v>
      </c>
      <c r="CL36" s="81">
        <f>AP36</f>
        <v>293.13799999999998</v>
      </c>
      <c r="CM36" s="81">
        <f>AT36</f>
        <v>347.995</v>
      </c>
      <c r="CN36" s="81">
        <f>AX36</f>
        <v>323.77699999999999</v>
      </c>
      <c r="CO36" s="81">
        <f>BB36</f>
        <v>0.11</v>
      </c>
      <c r="CP36" s="81">
        <f>BF36</f>
        <v>7.4999999999999997E-2</v>
      </c>
      <c r="CQ36" s="82">
        <f>BJ36</f>
        <v>7.4999999999999997E-2</v>
      </c>
      <c r="CR36" s="808"/>
      <c r="CS36" s="808"/>
      <c r="CZ36" s="8"/>
    </row>
    <row r="37" spans="1:104" ht="14.25" customHeight="1">
      <c r="A37" s="8"/>
      <c r="B37" s="28" t="s">
        <v>212</v>
      </c>
      <c r="C37" s="29"/>
      <c r="D37" s="83">
        <v>0</v>
      </c>
      <c r="E37" s="84">
        <v>7.6349999999999998</v>
      </c>
      <c r="F37" s="84">
        <v>7.4850000000000003</v>
      </c>
      <c r="G37" s="85">
        <v>7.4850000000000003</v>
      </c>
      <c r="H37" s="83">
        <v>8.8059999999999992</v>
      </c>
      <c r="I37" s="84">
        <v>5.0430000000000001</v>
      </c>
      <c r="J37" s="84">
        <v>1.321</v>
      </c>
      <c r="K37" s="85">
        <v>1.32</v>
      </c>
      <c r="L37" s="83">
        <v>0</v>
      </c>
      <c r="M37" s="84">
        <v>1.1990000000000001</v>
      </c>
      <c r="N37" s="84">
        <v>1.179</v>
      </c>
      <c r="O37" s="85">
        <v>1.159</v>
      </c>
      <c r="P37" s="83">
        <v>1.1379999999999999</v>
      </c>
      <c r="Q37" s="84">
        <v>1.1180000000000001</v>
      </c>
      <c r="R37" s="84">
        <v>1.0980000000000001</v>
      </c>
      <c r="S37" s="85">
        <v>1.077</v>
      </c>
      <c r="T37" s="83">
        <v>1.0580000000000001</v>
      </c>
      <c r="U37" s="84">
        <v>1.478</v>
      </c>
      <c r="V37" s="84">
        <v>1.506</v>
      </c>
      <c r="W37" s="85">
        <v>1.492</v>
      </c>
      <c r="X37" s="84">
        <v>1.4790000000000001</v>
      </c>
      <c r="Y37" s="84">
        <v>1.216</v>
      </c>
      <c r="Z37" s="84">
        <v>1.2010000000000001</v>
      </c>
      <c r="AA37" s="85">
        <v>17.817</v>
      </c>
      <c r="AB37" s="84">
        <f>47.568+34.351</f>
        <v>81.918999999999997</v>
      </c>
      <c r="AC37" s="84">
        <f>48.874+25.768</f>
        <v>74.641999999999996</v>
      </c>
      <c r="AD37" s="84">
        <v>49.457999999999998</v>
      </c>
      <c r="AE37" s="85">
        <f>14.479+29.568</f>
        <v>44.046999999999997</v>
      </c>
      <c r="AF37" s="84">
        <f>15.296+24.938</f>
        <v>40.233999999999995</v>
      </c>
      <c r="AG37" s="84">
        <v>23.765000000000001</v>
      </c>
      <c r="AH37" s="84">
        <v>35.362000000000002</v>
      </c>
      <c r="AI37" s="85">
        <f>37.579+3.68</f>
        <v>41.259</v>
      </c>
      <c r="AJ37" s="84">
        <f>37.777+2.599</f>
        <v>40.376000000000005</v>
      </c>
      <c r="AK37" s="84">
        <f>14.545+2.211</f>
        <v>16.756</v>
      </c>
      <c r="AL37" s="84">
        <f>10.576+2.481+355.243</f>
        <v>368.3</v>
      </c>
      <c r="AM37" s="85">
        <f>11.47+1.535</f>
        <v>13.005000000000001</v>
      </c>
      <c r="AN37" s="83">
        <f>11.581+1.588</f>
        <v>13.169</v>
      </c>
      <c r="AO37" s="84">
        <f>13.226+29.473</f>
        <v>42.698999999999998</v>
      </c>
      <c r="AP37" s="84">
        <f>12.688+1.579</f>
        <v>14.267000000000001</v>
      </c>
      <c r="AQ37" s="85">
        <f>13.245+1.366</f>
        <v>14.610999999999999</v>
      </c>
      <c r="AR37" s="83">
        <f>1.335+21.183+13.022</f>
        <v>35.54</v>
      </c>
      <c r="AS37" s="84">
        <f>13.033+18.42+1.311</f>
        <v>32.764000000000003</v>
      </c>
      <c r="AT37" s="84">
        <f>15.198+1.11+15.657</f>
        <v>31.965</v>
      </c>
      <c r="AU37" s="85">
        <f>16.979+12.894</f>
        <v>29.872999999999998</v>
      </c>
      <c r="AV37" s="83">
        <f>17.856+10.131</f>
        <v>27.987000000000002</v>
      </c>
      <c r="AW37" s="84">
        <f>7.778+18.294+7.368</f>
        <v>33.44</v>
      </c>
      <c r="AX37" s="84">
        <f>23.419+4.605</f>
        <v>28.024000000000001</v>
      </c>
      <c r="AY37" s="85">
        <f>21.411+1.406</f>
        <v>22.817</v>
      </c>
      <c r="AZ37" s="83">
        <v>24.986000000000001</v>
      </c>
      <c r="BA37" s="84">
        <v>23.556999999999999</v>
      </c>
      <c r="BB37" s="84">
        <f>531.522+30.747</f>
        <v>562.26900000000001</v>
      </c>
      <c r="BC37" s="85">
        <v>573.73400000000004</v>
      </c>
      <c r="BD37" s="80">
        <f t="shared" si="88"/>
        <v>573.73400000000004</v>
      </c>
      <c r="BE37" s="81">
        <f t="shared" si="88"/>
        <v>573.73400000000004</v>
      </c>
      <c r="BF37" s="81">
        <f t="shared" si="88"/>
        <v>573.73400000000004</v>
      </c>
      <c r="BG37" s="82">
        <f t="shared" si="88"/>
        <v>573.73400000000004</v>
      </c>
      <c r="BH37" s="80">
        <f t="shared" si="89"/>
        <v>573.73400000000004</v>
      </c>
      <c r="BI37" s="81">
        <f t="shared" si="89"/>
        <v>573.73400000000004</v>
      </c>
      <c r="BJ37" s="81">
        <f t="shared" si="89"/>
        <v>573.73400000000004</v>
      </c>
      <c r="BK37" s="82">
        <f t="shared" si="89"/>
        <v>573.73400000000004</v>
      </c>
      <c r="BL37" s="123"/>
      <c r="BM37" s="81">
        <f>G37</f>
        <v>7.4850000000000003</v>
      </c>
      <c r="BN37" s="81">
        <f>K37</f>
        <v>1.32</v>
      </c>
      <c r="BO37" s="81">
        <f>O37</f>
        <v>1.159</v>
      </c>
      <c r="BP37" s="81">
        <f>S37</f>
        <v>1.077</v>
      </c>
      <c r="BQ37" s="81">
        <f>W37</f>
        <v>1.492</v>
      </c>
      <c r="BR37" s="81">
        <f>AA37</f>
        <v>17.817</v>
      </c>
      <c r="BS37" s="81">
        <f>AE37</f>
        <v>44.046999999999997</v>
      </c>
      <c r="BT37" s="80">
        <f>AI37</f>
        <v>41.259</v>
      </c>
      <c r="BU37" s="81">
        <f>AM37</f>
        <v>13.005000000000001</v>
      </c>
      <c r="BV37" s="81">
        <f>AQ37</f>
        <v>14.610999999999999</v>
      </c>
      <c r="BW37" s="81">
        <f>AU37</f>
        <v>29.872999999999998</v>
      </c>
      <c r="BX37" s="81">
        <f>AY37</f>
        <v>22.817</v>
      </c>
      <c r="BY37" s="81">
        <f>BC37</f>
        <v>573.73400000000004</v>
      </c>
      <c r="BZ37" s="81">
        <f>BG37</f>
        <v>573.73400000000004</v>
      </c>
      <c r="CA37" s="81">
        <f>BK37</f>
        <v>573.73400000000004</v>
      </c>
      <c r="CB37" s="945">
        <f>CA37</f>
        <v>573.73400000000004</v>
      </c>
      <c r="CC37" s="20"/>
      <c r="CD37" s="81">
        <f>J37</f>
        <v>1.321</v>
      </c>
      <c r="CE37" s="81">
        <f>N37</f>
        <v>1.179</v>
      </c>
      <c r="CF37" s="81">
        <f>R37</f>
        <v>1.0980000000000001</v>
      </c>
      <c r="CG37" s="81">
        <f>V37</f>
        <v>1.506</v>
      </c>
      <c r="CH37" s="81">
        <f>Z37</f>
        <v>1.2010000000000001</v>
      </c>
      <c r="CI37" s="81">
        <f>AD37</f>
        <v>49.457999999999998</v>
      </c>
      <c r="CJ37" s="81">
        <f>AH37</f>
        <v>35.362000000000002</v>
      </c>
      <c r="CK37" s="81">
        <f>AL37</f>
        <v>368.3</v>
      </c>
      <c r="CL37" s="81">
        <f>AP37</f>
        <v>14.267000000000001</v>
      </c>
      <c r="CM37" s="81">
        <f>AT37</f>
        <v>31.965</v>
      </c>
      <c r="CN37" s="81">
        <f>AX37</f>
        <v>28.024000000000001</v>
      </c>
      <c r="CO37" s="81">
        <f>BB37</f>
        <v>562.26900000000001</v>
      </c>
      <c r="CP37" s="81">
        <f>BF37</f>
        <v>573.73400000000004</v>
      </c>
      <c r="CQ37" s="82">
        <f>BJ37</f>
        <v>573.73400000000004</v>
      </c>
      <c r="CR37" s="808"/>
      <c r="CS37" s="808"/>
      <c r="CZ37" s="8"/>
    </row>
    <row r="38" spans="1:104" ht="14.25" customHeight="1">
      <c r="A38" s="8"/>
      <c r="B38" s="23"/>
      <c r="C38" s="24"/>
      <c r="D38" s="83"/>
      <c r="E38" s="84"/>
      <c r="F38" s="84"/>
      <c r="G38" s="85"/>
      <c r="H38" s="83"/>
      <c r="I38" s="84"/>
      <c r="J38" s="84"/>
      <c r="K38" s="85"/>
      <c r="L38" s="83"/>
      <c r="M38" s="84"/>
      <c r="N38" s="84"/>
      <c r="O38" s="85"/>
      <c r="P38" s="83"/>
      <c r="Q38" s="84"/>
      <c r="R38" s="84"/>
      <c r="S38" s="85"/>
      <c r="T38" s="83"/>
      <c r="U38" s="84"/>
      <c r="V38" s="84"/>
      <c r="W38" s="85"/>
      <c r="X38" s="84"/>
      <c r="Y38" s="84"/>
      <c r="Z38" s="84"/>
      <c r="AA38" s="85"/>
      <c r="AB38" s="84"/>
      <c r="AC38" s="84"/>
      <c r="AD38" s="84"/>
      <c r="AE38" s="85"/>
      <c r="AF38" s="84"/>
      <c r="AG38" s="84"/>
      <c r="AH38" s="84"/>
      <c r="AI38" s="85"/>
      <c r="AJ38" s="84"/>
      <c r="AK38" s="84"/>
      <c r="AL38" s="84"/>
      <c r="AM38" s="85"/>
      <c r="AN38" s="83"/>
      <c r="AO38" s="84"/>
      <c r="AP38" s="84"/>
      <c r="AQ38" s="85"/>
      <c r="AR38" s="83"/>
      <c r="AS38" s="84"/>
      <c r="AT38" s="84"/>
      <c r="AU38" s="85"/>
      <c r="AV38" s="83"/>
      <c r="AW38" s="84"/>
      <c r="AX38" s="84"/>
      <c r="AY38" s="85"/>
      <c r="AZ38" s="83"/>
      <c r="BA38" s="84"/>
      <c r="BB38" s="84"/>
      <c r="BC38" s="85"/>
      <c r="BD38" s="83"/>
      <c r="BE38" s="84"/>
      <c r="BF38" s="84"/>
      <c r="BG38" s="85"/>
      <c r="BH38" s="83"/>
      <c r="BI38" s="84"/>
      <c r="BJ38" s="84"/>
      <c r="BK38" s="85"/>
      <c r="BL38" s="123"/>
      <c r="BM38" s="84"/>
      <c r="BN38" s="84"/>
      <c r="BO38" s="84"/>
      <c r="BP38" s="84"/>
      <c r="BQ38" s="84"/>
      <c r="BR38" s="84"/>
      <c r="BS38" s="84"/>
      <c r="BT38" s="83"/>
      <c r="BU38" s="84"/>
      <c r="BV38" s="84"/>
      <c r="BW38" s="84"/>
      <c r="BX38" s="84"/>
      <c r="BY38" s="84"/>
      <c r="BZ38" s="84"/>
      <c r="CA38" s="84"/>
      <c r="CB38" s="966"/>
      <c r="CC38" s="20"/>
      <c r="CD38" s="84"/>
      <c r="CE38" s="84"/>
      <c r="CF38" s="84"/>
      <c r="CG38" s="84"/>
      <c r="CH38" s="84"/>
      <c r="CI38" s="84"/>
      <c r="CJ38" s="84"/>
      <c r="CK38" s="84"/>
      <c r="CL38" s="84"/>
      <c r="CM38" s="84"/>
      <c r="CN38" s="84"/>
      <c r="CO38" s="84"/>
      <c r="CP38" s="84"/>
      <c r="CQ38" s="85"/>
      <c r="CR38" s="14"/>
      <c r="CS38" s="14"/>
      <c r="CZ38" s="8"/>
    </row>
    <row r="39" spans="1:104" ht="14.25" customHeight="1">
      <c r="A39" s="8"/>
      <c r="B39" s="144" t="s">
        <v>111</v>
      </c>
      <c r="C39" s="145"/>
      <c r="D39" s="148">
        <v>2710.7159999999999</v>
      </c>
      <c r="E39" s="146">
        <v>2767.7420000000002</v>
      </c>
      <c r="F39" s="146">
        <v>2692.1930000000002</v>
      </c>
      <c r="G39" s="147">
        <v>2728.8850000000002</v>
      </c>
      <c r="H39" s="148">
        <v>2715.136</v>
      </c>
      <c r="I39" s="146">
        <v>2698.1669999999999</v>
      </c>
      <c r="J39" s="146">
        <v>2667.8139999999999</v>
      </c>
      <c r="K39" s="147">
        <v>1772.74</v>
      </c>
      <c r="L39" s="148">
        <v>1895.9659999999999</v>
      </c>
      <c r="M39" s="146">
        <v>1842.056</v>
      </c>
      <c r="N39" s="146">
        <v>1734.7260000000001</v>
      </c>
      <c r="O39" s="147">
        <v>1671.8230000000001</v>
      </c>
      <c r="P39" s="148">
        <v>1609.5909999999999</v>
      </c>
      <c r="Q39" s="146">
        <v>1559.894</v>
      </c>
      <c r="R39" s="146">
        <v>1668.4829999999999</v>
      </c>
      <c r="S39" s="147">
        <v>1948.76</v>
      </c>
      <c r="T39" s="148">
        <v>1912.078</v>
      </c>
      <c r="U39" s="146">
        <v>1966.1379999999999</v>
      </c>
      <c r="V39" s="146">
        <v>2033.9079999999999</v>
      </c>
      <c r="W39" s="147">
        <v>2120.4699999999998</v>
      </c>
      <c r="X39" s="146">
        <v>1867.123</v>
      </c>
      <c r="Y39" s="146">
        <v>2027.231</v>
      </c>
      <c r="Z39" s="146">
        <v>2173.6060000000002</v>
      </c>
      <c r="AA39" s="147">
        <v>2414.6170000000002</v>
      </c>
      <c r="AB39" s="146">
        <v>2500.0680000000002</v>
      </c>
      <c r="AC39" s="146">
        <v>2492.4140000000002</v>
      </c>
      <c r="AD39" s="146">
        <v>2560.9760000000001</v>
      </c>
      <c r="AE39" s="147">
        <v>2707.6849999999999</v>
      </c>
      <c r="AF39" s="146">
        <v>2704.08</v>
      </c>
      <c r="AG39" s="146">
        <v>2751.6909999999998</v>
      </c>
      <c r="AH39" s="146">
        <v>2816.125</v>
      </c>
      <c r="AI39" s="147">
        <v>2963.2959999999998</v>
      </c>
      <c r="AJ39" s="146">
        <f>362.854+2726.998</f>
        <v>3089.8519999999999</v>
      </c>
      <c r="AK39" s="146">
        <f>2872.327+359.549</f>
        <v>3231.8760000000002</v>
      </c>
      <c r="AL39" s="146">
        <v>2921.7280000000001</v>
      </c>
      <c r="AM39" s="147">
        <f>2752.682+34.999</f>
        <v>2787.6809999999996</v>
      </c>
      <c r="AN39" s="148">
        <f>2797.364+32.236</f>
        <v>2829.6</v>
      </c>
      <c r="AO39" s="146">
        <v>2713.9609999999998</v>
      </c>
      <c r="AP39" s="146">
        <f>2673.479+26.71</f>
        <v>2700.1889999999999</v>
      </c>
      <c r="AQ39" s="147">
        <f>2611.594+23.947</f>
        <v>2635.5410000000002</v>
      </c>
      <c r="AR39" s="148">
        <v>2626.63</v>
      </c>
      <c r="AS39" s="146">
        <v>2603.2489999999998</v>
      </c>
      <c r="AT39" s="146">
        <v>2589.7040000000002</v>
      </c>
      <c r="AU39" s="147">
        <v>2589.893</v>
      </c>
      <c r="AV39" s="148">
        <v>2589.672</v>
      </c>
      <c r="AW39" s="146">
        <v>2625.1469999999999</v>
      </c>
      <c r="AX39" s="146">
        <v>2479.6030000000001</v>
      </c>
      <c r="AY39" s="147">
        <v>2507.6329999999998</v>
      </c>
      <c r="AZ39" s="148">
        <v>2538.2669999999998</v>
      </c>
      <c r="BA39" s="146">
        <v>2486.0830000000001</v>
      </c>
      <c r="BB39" s="146">
        <v>2364.634</v>
      </c>
      <c r="BC39" s="147">
        <v>2330.2350000000001</v>
      </c>
      <c r="BD39" s="149">
        <f t="shared" ref="BD39:BK39" si="90">BD66</f>
        <v>2379.42376405096</v>
      </c>
      <c r="BE39" s="135">
        <f t="shared" si="90"/>
        <v>2427.1203225835702</v>
      </c>
      <c r="BF39" s="135">
        <f t="shared" si="90"/>
        <v>2473.2562047797828</v>
      </c>
      <c r="BG39" s="136">
        <f t="shared" si="90"/>
        <v>2523.9567395339063</v>
      </c>
      <c r="BH39" s="149">
        <f t="shared" si="90"/>
        <v>2584.1346669459176</v>
      </c>
      <c r="BI39" s="135">
        <f t="shared" si="90"/>
        <v>2647.940488709115</v>
      </c>
      <c r="BJ39" s="135">
        <f t="shared" si="90"/>
        <v>2710.7016074825819</v>
      </c>
      <c r="BK39" s="136">
        <f t="shared" si="90"/>
        <v>2777.6106478430138</v>
      </c>
      <c r="BL39" s="123"/>
      <c r="BM39" s="81">
        <f>G39</f>
        <v>2728.8850000000002</v>
      </c>
      <c r="BN39" s="81">
        <f>K39</f>
        <v>1772.74</v>
      </c>
      <c r="BO39" s="81">
        <f>O39</f>
        <v>1671.8230000000001</v>
      </c>
      <c r="BP39" s="81">
        <f>S39</f>
        <v>1948.76</v>
      </c>
      <c r="BQ39" s="81">
        <f>W39</f>
        <v>2120.4699999999998</v>
      </c>
      <c r="BR39" s="81">
        <f>AA39</f>
        <v>2414.6170000000002</v>
      </c>
      <c r="BS39" s="81">
        <f>AE39</f>
        <v>2707.6849999999999</v>
      </c>
      <c r="BT39" s="80">
        <f>AI39</f>
        <v>2963.2959999999998</v>
      </c>
      <c r="BU39" s="81">
        <f>AM39</f>
        <v>2787.6809999999996</v>
      </c>
      <c r="BV39" s="81">
        <f>AQ39</f>
        <v>2635.5410000000002</v>
      </c>
      <c r="BW39" s="81">
        <f>AU39</f>
        <v>2589.893</v>
      </c>
      <c r="BX39" s="81">
        <f>AY39</f>
        <v>2507.6329999999998</v>
      </c>
      <c r="BY39" s="81">
        <f>BC39</f>
        <v>2330.2350000000001</v>
      </c>
      <c r="BZ39" s="81">
        <f>BG39</f>
        <v>2523.9567395339063</v>
      </c>
      <c r="CA39" s="81">
        <f>BK39</f>
        <v>2777.6106478430138</v>
      </c>
      <c r="CB39" s="945">
        <f>CB66</f>
        <v>3189.4977406520256</v>
      </c>
      <c r="CC39" s="20"/>
      <c r="CD39" s="81">
        <f>J39</f>
        <v>2667.8139999999999</v>
      </c>
      <c r="CE39" s="81">
        <f>N39</f>
        <v>1734.7260000000001</v>
      </c>
      <c r="CF39" s="81">
        <f>R39</f>
        <v>1668.4829999999999</v>
      </c>
      <c r="CG39" s="81">
        <f>V39</f>
        <v>2033.9079999999999</v>
      </c>
      <c r="CH39" s="81">
        <f>Z39</f>
        <v>2173.6060000000002</v>
      </c>
      <c r="CI39" s="81">
        <f>AD39</f>
        <v>2560.9760000000001</v>
      </c>
      <c r="CJ39" s="81">
        <f>AH39</f>
        <v>2816.125</v>
      </c>
      <c r="CK39" s="81">
        <f>AL39</f>
        <v>2921.7280000000001</v>
      </c>
      <c r="CL39" s="81">
        <f>AP39</f>
        <v>2700.1889999999999</v>
      </c>
      <c r="CM39" s="81">
        <f>AT39</f>
        <v>2589.7040000000002</v>
      </c>
      <c r="CN39" s="81">
        <f>AX39</f>
        <v>2479.6030000000001</v>
      </c>
      <c r="CO39" s="81">
        <f>BB39</f>
        <v>2364.634</v>
      </c>
      <c r="CP39" s="81">
        <f>BF39</f>
        <v>2473.2562047797828</v>
      </c>
      <c r="CQ39" s="82">
        <f>BJ39</f>
        <v>2710.7016074825819</v>
      </c>
      <c r="CR39" s="808"/>
      <c r="CS39" s="808"/>
      <c r="CZ39" s="8"/>
    </row>
    <row r="40" spans="1:104" ht="14.25" customHeight="1">
      <c r="A40" s="8"/>
      <c r="B40" s="68"/>
      <c r="C40" s="24"/>
      <c r="D40" s="83"/>
      <c r="E40" s="84"/>
      <c r="F40" s="84"/>
      <c r="G40" s="84"/>
      <c r="H40" s="83"/>
      <c r="I40" s="84"/>
      <c r="J40" s="84"/>
      <c r="K40" s="84"/>
      <c r="L40" s="83"/>
      <c r="M40" s="84"/>
      <c r="N40" s="84"/>
      <c r="O40" s="84"/>
      <c r="P40" s="83"/>
      <c r="Q40" s="84"/>
      <c r="R40" s="84"/>
      <c r="S40" s="84"/>
      <c r="T40" s="83"/>
      <c r="U40" s="84"/>
      <c r="V40" s="84"/>
      <c r="W40" s="84"/>
      <c r="X40" s="83"/>
      <c r="Y40" s="84"/>
      <c r="Z40" s="84"/>
      <c r="AA40" s="85"/>
      <c r="AB40" s="84"/>
      <c r="AC40" s="84"/>
      <c r="AD40" s="84"/>
      <c r="AE40" s="85"/>
      <c r="AF40" s="84"/>
      <c r="AG40" s="84"/>
      <c r="AH40" s="84"/>
      <c r="AI40" s="85"/>
      <c r="AJ40" s="84"/>
      <c r="AK40" s="84"/>
      <c r="AL40" s="84"/>
      <c r="AM40" s="85"/>
      <c r="AN40" s="83"/>
      <c r="AO40" s="84"/>
      <c r="AP40" s="84"/>
      <c r="AQ40" s="85"/>
      <c r="AR40" s="83"/>
      <c r="AS40" s="84"/>
      <c r="AT40" s="84"/>
      <c r="AU40" s="85"/>
      <c r="AV40" s="83"/>
      <c r="AW40" s="84"/>
      <c r="AX40" s="84"/>
      <c r="AY40" s="85"/>
      <c r="AZ40" s="83"/>
      <c r="BA40" s="84"/>
      <c r="BB40" s="84"/>
      <c r="BC40" s="185"/>
      <c r="BD40" s="411"/>
      <c r="BE40" s="412"/>
      <c r="BF40" s="412"/>
      <c r="BG40" s="185"/>
      <c r="BH40" s="411"/>
      <c r="BI40" s="412"/>
      <c r="BJ40" s="412"/>
      <c r="BK40" s="185"/>
      <c r="BL40" s="123"/>
      <c r="BM40" s="84"/>
      <c r="BN40" s="84"/>
      <c r="BO40" s="84"/>
      <c r="BP40" s="84"/>
      <c r="BQ40" s="84"/>
      <c r="BR40" s="84"/>
      <c r="BS40" s="84"/>
      <c r="BT40" s="411"/>
      <c r="BU40" s="412"/>
      <c r="BV40" s="412"/>
      <c r="BW40" s="412"/>
      <c r="BX40" s="412"/>
      <c r="BY40" s="412"/>
      <c r="BZ40" s="412"/>
      <c r="CA40" s="412"/>
      <c r="CB40" s="968"/>
      <c r="CC40" s="20"/>
      <c r="CD40" s="84"/>
      <c r="CE40" s="84"/>
      <c r="CF40" s="84"/>
      <c r="CG40" s="84"/>
      <c r="CH40" s="84"/>
      <c r="CI40" s="84"/>
      <c r="CJ40" s="84"/>
      <c r="CK40" s="84"/>
      <c r="CL40" s="84"/>
      <c r="CM40" s="84"/>
      <c r="CN40" s="84"/>
      <c r="CO40" s="84"/>
      <c r="CP40" s="412"/>
      <c r="CQ40" s="185"/>
      <c r="CR40" s="14"/>
      <c r="CS40" s="14"/>
      <c r="CZ40" s="8"/>
    </row>
    <row r="41" spans="1:104" ht="14.25" customHeight="1">
      <c r="A41" s="8"/>
      <c r="B41" s="150" t="s">
        <v>112</v>
      </c>
      <c r="C41" s="151"/>
      <c r="D41" s="143">
        <f t="shared" ref="D41:AL41" si="91">D39+D33+SUM(D35:D37)</f>
        <v>3095.3959999999997</v>
      </c>
      <c r="E41" s="141">
        <f t="shared" si="91"/>
        <v>3169.5250000000001</v>
      </c>
      <c r="F41" s="141">
        <f t="shared" si="91"/>
        <v>3112.1370000000002</v>
      </c>
      <c r="G41" s="142">
        <f t="shared" si="91"/>
        <v>3173.547</v>
      </c>
      <c r="H41" s="143">
        <f t="shared" si="91"/>
        <v>3129.6929999999998</v>
      </c>
      <c r="I41" s="141">
        <f t="shared" si="91"/>
        <v>3134.3380000000002</v>
      </c>
      <c r="J41" s="141">
        <f t="shared" si="91"/>
        <v>3099.067</v>
      </c>
      <c r="K41" s="142">
        <f t="shared" si="91"/>
        <v>3179.3549999999996</v>
      </c>
      <c r="L41" s="143">
        <f t="shared" si="91"/>
        <v>3307.4990000000003</v>
      </c>
      <c r="M41" s="141">
        <f t="shared" si="91"/>
        <v>3268.4579999999996</v>
      </c>
      <c r="N41" s="141">
        <f t="shared" si="91"/>
        <v>3212.7539999999999</v>
      </c>
      <c r="O41" s="142">
        <f t="shared" si="91"/>
        <v>3137.107</v>
      </c>
      <c r="P41" s="143">
        <f t="shared" si="91"/>
        <v>3091.0549999999998</v>
      </c>
      <c r="Q41" s="141">
        <f t="shared" si="91"/>
        <v>3048.828</v>
      </c>
      <c r="R41" s="141">
        <f t="shared" si="91"/>
        <v>2881.4609999999998</v>
      </c>
      <c r="S41" s="142">
        <f t="shared" si="91"/>
        <v>2811.9009999999998</v>
      </c>
      <c r="T41" s="143">
        <f t="shared" si="91"/>
        <v>2845.18</v>
      </c>
      <c r="U41" s="141">
        <f t="shared" si="91"/>
        <v>2960.6849999999999</v>
      </c>
      <c r="V41" s="141">
        <f t="shared" si="91"/>
        <v>3121.9509999999996</v>
      </c>
      <c r="W41" s="142">
        <f t="shared" si="91"/>
        <v>3184.3179999999998</v>
      </c>
      <c r="X41" s="141">
        <f t="shared" si="91"/>
        <v>3473.0039999999999</v>
      </c>
      <c r="Y41" s="141">
        <f t="shared" si="91"/>
        <v>3715.8509999999997</v>
      </c>
      <c r="Z41" s="141">
        <f t="shared" si="91"/>
        <v>3858.433</v>
      </c>
      <c r="AA41" s="142">
        <f t="shared" si="91"/>
        <v>4140.8500000000004</v>
      </c>
      <c r="AB41" s="141">
        <f t="shared" ref="AB41:AG41" si="92">AB39+AB33+SUM(AB35:AB37)</f>
        <v>4331.1720000000005</v>
      </c>
      <c r="AC41" s="141">
        <f t="shared" si="92"/>
        <v>4267.799</v>
      </c>
      <c r="AD41" s="141">
        <f t="shared" si="92"/>
        <v>4345.1000000000004</v>
      </c>
      <c r="AE41" s="142">
        <f t="shared" si="92"/>
        <v>4464.1219999999994</v>
      </c>
      <c r="AF41" s="141">
        <f t="shared" si="92"/>
        <v>4493.2309999999998</v>
      </c>
      <c r="AG41" s="141">
        <f t="shared" si="92"/>
        <v>4548.634</v>
      </c>
      <c r="AH41" s="141">
        <f t="shared" si="91"/>
        <v>4612.9070000000002</v>
      </c>
      <c r="AI41" s="142">
        <f t="shared" si="91"/>
        <v>4729.451</v>
      </c>
      <c r="AJ41" s="141">
        <f t="shared" si="91"/>
        <v>4760.9229999999998</v>
      </c>
      <c r="AK41" s="141">
        <f t="shared" si="91"/>
        <v>5000.0520000000006</v>
      </c>
      <c r="AL41" s="141">
        <f t="shared" si="91"/>
        <v>5001.8010000000004</v>
      </c>
      <c r="AM41" s="142">
        <f t="shared" ref="AM41:AR41" si="93">AM39+AM33+SUM(AM35:AM37)</f>
        <v>5037.3489999999993</v>
      </c>
      <c r="AN41" s="143">
        <f t="shared" si="93"/>
        <v>5054.2190000000001</v>
      </c>
      <c r="AO41" s="141">
        <f t="shared" si="93"/>
        <v>5017.3019999999997</v>
      </c>
      <c r="AP41" s="141">
        <f t="shared" si="93"/>
        <v>4915.2039999999997</v>
      </c>
      <c r="AQ41" s="142">
        <f t="shared" si="93"/>
        <v>4898.0650000000005</v>
      </c>
      <c r="AR41" s="143">
        <f t="shared" si="93"/>
        <v>4915.549</v>
      </c>
      <c r="AS41" s="141">
        <f t="shared" ref="AS41:AY41" si="94">AS39+AS33+SUM(AS35:AS37)</f>
        <v>4890.3499999999995</v>
      </c>
      <c r="AT41" s="141">
        <f t="shared" si="94"/>
        <v>4898.1570000000002</v>
      </c>
      <c r="AU41" s="142">
        <f t="shared" si="94"/>
        <v>4823.1540000000005</v>
      </c>
      <c r="AV41" s="143">
        <f t="shared" si="94"/>
        <v>4926.4750000000004</v>
      </c>
      <c r="AW41" s="141">
        <f t="shared" si="94"/>
        <v>4945.7199999999993</v>
      </c>
      <c r="AX41" s="141">
        <f t="shared" si="94"/>
        <v>4836.2880000000005</v>
      </c>
      <c r="AY41" s="142">
        <f t="shared" si="94"/>
        <v>4740.5319999999992</v>
      </c>
      <c r="AZ41" s="143">
        <f t="shared" ref="AZ41:BK41" si="95">AZ39+AZ33+SUM(AZ35:AZ37)</f>
        <v>5087.0619999999999</v>
      </c>
      <c r="BA41" s="141">
        <f t="shared" si="95"/>
        <v>5030.8500000000004</v>
      </c>
      <c r="BB41" s="141">
        <f t="shared" si="95"/>
        <v>5119.6190000000006</v>
      </c>
      <c r="BC41" s="142">
        <f t="shared" si="95"/>
        <v>5055.6869999999999</v>
      </c>
      <c r="BD41" s="143">
        <f t="shared" si="95"/>
        <v>5036.1769964109608</v>
      </c>
      <c r="BE41" s="141">
        <f t="shared" si="95"/>
        <v>5084.6398774753707</v>
      </c>
      <c r="BF41" s="141">
        <f t="shared" si="95"/>
        <v>5130.5033272678511</v>
      </c>
      <c r="BG41" s="142">
        <f t="shared" si="95"/>
        <v>5184.5479298299679</v>
      </c>
      <c r="BH41" s="143">
        <f t="shared" si="95"/>
        <v>5237.4032973519334</v>
      </c>
      <c r="BI41" s="141">
        <f t="shared" si="95"/>
        <v>5302.3506577207327</v>
      </c>
      <c r="BJ41" s="141">
        <f t="shared" si="95"/>
        <v>5364.0163113252238</v>
      </c>
      <c r="BK41" s="142">
        <f t="shared" si="95"/>
        <v>5433.2155058119442</v>
      </c>
      <c r="BL41" s="123"/>
      <c r="BM41" s="141">
        <f t="shared" ref="BM41:BV41" si="96">BM39+BM33+SUM(BM35:BM37)</f>
        <v>3173.547</v>
      </c>
      <c r="BN41" s="141">
        <f t="shared" si="96"/>
        <v>3179.3549999999996</v>
      </c>
      <c r="BO41" s="141">
        <f t="shared" si="96"/>
        <v>3137.107</v>
      </c>
      <c r="BP41" s="141">
        <f t="shared" si="96"/>
        <v>2811.9009999999998</v>
      </c>
      <c r="BQ41" s="141">
        <f t="shared" si="96"/>
        <v>3184.3179999999998</v>
      </c>
      <c r="BR41" s="141">
        <f t="shared" si="96"/>
        <v>4140.8500000000004</v>
      </c>
      <c r="BS41" s="141">
        <f t="shared" si="96"/>
        <v>4464.1219999999994</v>
      </c>
      <c r="BT41" s="143">
        <f t="shared" si="96"/>
        <v>4729.451</v>
      </c>
      <c r="BU41" s="141">
        <f t="shared" si="96"/>
        <v>5037.3489999999993</v>
      </c>
      <c r="BV41" s="141">
        <f t="shared" si="96"/>
        <v>4898.0650000000005</v>
      </c>
      <c r="BW41" s="141">
        <f t="shared" ref="BW41:CB41" si="97">BW39+BW33+SUM(BW35:BW37)</f>
        <v>4823.1540000000005</v>
      </c>
      <c r="BX41" s="141">
        <f t="shared" si="97"/>
        <v>4740.5319999999992</v>
      </c>
      <c r="BY41" s="141">
        <f t="shared" si="97"/>
        <v>5055.6869999999999</v>
      </c>
      <c r="BZ41" s="141">
        <f t="shared" si="97"/>
        <v>5184.5479298299679</v>
      </c>
      <c r="CA41" s="141">
        <f t="shared" si="97"/>
        <v>5433.2155058119442</v>
      </c>
      <c r="CB41" s="967">
        <f t="shared" si="97"/>
        <v>5854.4771554206964</v>
      </c>
      <c r="CC41" s="20"/>
      <c r="CD41" s="141">
        <f t="shared" ref="CD41:CL41" si="98">CD39+CD33+SUM(CD35:CD37)</f>
        <v>3099.067</v>
      </c>
      <c r="CE41" s="141">
        <f t="shared" si="98"/>
        <v>3212.7539999999999</v>
      </c>
      <c r="CF41" s="141">
        <f t="shared" si="98"/>
        <v>2881.4609999999998</v>
      </c>
      <c r="CG41" s="141">
        <f t="shared" si="98"/>
        <v>3121.9509999999996</v>
      </c>
      <c r="CH41" s="141">
        <f t="shared" si="98"/>
        <v>3858.433</v>
      </c>
      <c r="CI41" s="141">
        <f t="shared" si="98"/>
        <v>4345.1000000000004</v>
      </c>
      <c r="CJ41" s="141">
        <f t="shared" si="98"/>
        <v>4612.9070000000002</v>
      </c>
      <c r="CK41" s="141">
        <f t="shared" si="98"/>
        <v>5001.8010000000004</v>
      </c>
      <c r="CL41" s="141">
        <f t="shared" si="98"/>
        <v>4915.2039999999997</v>
      </c>
      <c r="CM41" s="141">
        <f>CM39+CM33+SUM(CM35:CM37)</f>
        <v>4898.1570000000002</v>
      </c>
      <c r="CN41" s="141">
        <f>CN39+CN33+SUM(CN35:CN37)</f>
        <v>4836.2880000000005</v>
      </c>
      <c r="CO41" s="141">
        <f>CO39+CO33+SUM(CO35:CO37)</f>
        <v>5119.6190000000006</v>
      </c>
      <c r="CP41" s="141">
        <f>CP39+CP33+SUM(CP35:CP37)</f>
        <v>5130.5033272678511</v>
      </c>
      <c r="CQ41" s="142">
        <f>CQ39+CQ33+SUM(CQ35:CQ37)</f>
        <v>5364.0163113252238</v>
      </c>
      <c r="CR41" s="14"/>
      <c r="CS41" s="14"/>
      <c r="CZ41" s="8"/>
    </row>
    <row r="42" spans="1:104" ht="14.25" customHeight="1">
      <c r="A42" s="8"/>
      <c r="B42" s="152"/>
      <c r="C42" s="71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72"/>
      <c r="Y42" s="118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153"/>
      <c r="AW42" s="72"/>
      <c r="AX42" s="72"/>
      <c r="AY42" s="72"/>
      <c r="AZ42" s="153"/>
      <c r="BA42" s="72"/>
      <c r="BB42" s="72"/>
      <c r="BC42" s="153"/>
      <c r="BD42" s="72"/>
      <c r="BE42" s="153"/>
      <c r="BF42" s="72"/>
      <c r="BG42" s="153"/>
      <c r="BH42" s="72"/>
      <c r="BI42" s="153"/>
      <c r="BJ42" s="72"/>
      <c r="BK42" s="153"/>
      <c r="BL42" s="14"/>
      <c r="BM42" s="118"/>
      <c r="BN42" s="118"/>
      <c r="BO42" s="118"/>
      <c r="BP42" s="118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969"/>
      <c r="CC42" s="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8"/>
      <c r="CS42" s="8"/>
      <c r="CZ42" s="8"/>
    </row>
    <row r="43" spans="1:104" ht="14.25" customHeight="1">
      <c r="A43" s="8"/>
      <c r="B43" s="154" t="s">
        <v>113</v>
      </c>
      <c r="C43" s="155"/>
      <c r="D43" s="158">
        <f t="shared" ref="D43:AO43" si="99">IF(ROUND(D41,4)=ROUND(D24,4),0,D41-D24)</f>
        <v>0</v>
      </c>
      <c r="E43" s="156">
        <f t="shared" si="99"/>
        <v>0</v>
      </c>
      <c r="F43" s="156">
        <f t="shared" si="99"/>
        <v>0</v>
      </c>
      <c r="G43" s="157">
        <f t="shared" si="99"/>
        <v>0</v>
      </c>
      <c r="H43" s="158">
        <f t="shared" si="99"/>
        <v>0</v>
      </c>
      <c r="I43" s="156">
        <f t="shared" si="99"/>
        <v>0</v>
      </c>
      <c r="J43" s="156">
        <f t="shared" si="99"/>
        <v>0</v>
      </c>
      <c r="K43" s="157">
        <f t="shared" si="99"/>
        <v>0</v>
      </c>
      <c r="L43" s="158">
        <f t="shared" si="99"/>
        <v>0</v>
      </c>
      <c r="M43" s="156">
        <f t="shared" si="99"/>
        <v>0</v>
      </c>
      <c r="N43" s="156">
        <f t="shared" si="99"/>
        <v>0</v>
      </c>
      <c r="O43" s="157">
        <f t="shared" si="99"/>
        <v>0</v>
      </c>
      <c r="P43" s="158">
        <f t="shared" si="99"/>
        <v>0</v>
      </c>
      <c r="Q43" s="156">
        <f t="shared" si="99"/>
        <v>0</v>
      </c>
      <c r="R43" s="156">
        <f t="shared" si="99"/>
        <v>0</v>
      </c>
      <c r="S43" s="157">
        <f t="shared" si="99"/>
        <v>0</v>
      </c>
      <c r="T43" s="158">
        <f t="shared" si="99"/>
        <v>0</v>
      </c>
      <c r="U43" s="156">
        <f t="shared" si="99"/>
        <v>0</v>
      </c>
      <c r="V43" s="156">
        <f t="shared" si="99"/>
        <v>0</v>
      </c>
      <c r="W43" s="157">
        <f t="shared" si="99"/>
        <v>0</v>
      </c>
      <c r="X43" s="156">
        <f t="shared" si="99"/>
        <v>0</v>
      </c>
      <c r="Y43" s="156">
        <f t="shared" si="99"/>
        <v>0</v>
      </c>
      <c r="Z43" s="156">
        <f t="shared" si="99"/>
        <v>0</v>
      </c>
      <c r="AA43" s="157">
        <f t="shared" si="99"/>
        <v>0</v>
      </c>
      <c r="AB43" s="156">
        <f t="shared" ref="AB43:AG43" si="100">IF(ROUND(AB41,4)=ROUND(AB24,4),0,AB41-AB24)</f>
        <v>0</v>
      </c>
      <c r="AC43" s="156">
        <f t="shared" si="100"/>
        <v>0</v>
      </c>
      <c r="AD43" s="156">
        <f t="shared" si="100"/>
        <v>0</v>
      </c>
      <c r="AE43" s="157">
        <f t="shared" si="100"/>
        <v>0</v>
      </c>
      <c r="AF43" s="156">
        <f t="shared" si="100"/>
        <v>0</v>
      </c>
      <c r="AG43" s="156">
        <f t="shared" si="100"/>
        <v>0</v>
      </c>
      <c r="AH43" s="156">
        <f t="shared" si="99"/>
        <v>0</v>
      </c>
      <c r="AI43" s="157">
        <f t="shared" si="99"/>
        <v>0</v>
      </c>
      <c r="AJ43" s="156">
        <f t="shared" si="99"/>
        <v>0</v>
      </c>
      <c r="AK43" s="156">
        <f t="shared" si="99"/>
        <v>0</v>
      </c>
      <c r="AL43" s="156">
        <f t="shared" si="99"/>
        <v>0</v>
      </c>
      <c r="AM43" s="157">
        <f>IF(ROUND(AM41,4)=ROUND(AM24,4),0,AM41-AM24)</f>
        <v>0</v>
      </c>
      <c r="AN43" s="776">
        <f>IF(ROUND(AN41,4)=ROUND(AN24,4),0,AN41-AN24)</f>
        <v>0</v>
      </c>
      <c r="AO43" s="775">
        <f t="shared" si="99"/>
        <v>0</v>
      </c>
      <c r="AP43" s="156">
        <f t="shared" ref="AP43:AV43" si="101">IF(ROUND(AP41,4)=ROUND(AP24,4),0,AP41-AP24)</f>
        <v>0</v>
      </c>
      <c r="AQ43" s="157">
        <f t="shared" si="101"/>
        <v>0</v>
      </c>
      <c r="AR43" s="776">
        <f t="shared" si="101"/>
        <v>0</v>
      </c>
      <c r="AS43" s="775">
        <f t="shared" si="101"/>
        <v>0</v>
      </c>
      <c r="AT43" s="156">
        <f t="shared" si="101"/>
        <v>0</v>
      </c>
      <c r="AU43" s="157">
        <f>IF(ROUND(AU41,4)=ROUND(AU24,4),0,AU41-AU24)</f>
        <v>0</v>
      </c>
      <c r="AV43" s="776">
        <f t="shared" si="101"/>
        <v>0</v>
      </c>
      <c r="AW43" s="775">
        <f t="shared" ref="AW43:BB43" si="102">IF(ROUND(AW41,4)=ROUND(AW24,4),0,AW41-AW24)</f>
        <v>0</v>
      </c>
      <c r="AX43" s="775">
        <f t="shared" si="102"/>
        <v>0</v>
      </c>
      <c r="AY43" s="157">
        <f t="shared" si="102"/>
        <v>0</v>
      </c>
      <c r="AZ43" s="776">
        <f t="shared" si="102"/>
        <v>0</v>
      </c>
      <c r="BA43" s="775">
        <f t="shared" si="102"/>
        <v>0</v>
      </c>
      <c r="BB43" s="775">
        <f t="shared" si="102"/>
        <v>0</v>
      </c>
      <c r="BC43" s="157">
        <f t="shared" ref="BC43:BK43" si="103">IF(ROUND(BC41,4)=ROUND(BC24,4),0,BC41-BC24)</f>
        <v>0</v>
      </c>
      <c r="BD43" s="156">
        <f t="shared" si="103"/>
        <v>0</v>
      </c>
      <c r="BE43" s="156">
        <f t="shared" si="103"/>
        <v>0</v>
      </c>
      <c r="BF43" s="156">
        <f t="shared" si="103"/>
        <v>0</v>
      </c>
      <c r="BG43" s="157">
        <f t="shared" si="103"/>
        <v>0</v>
      </c>
      <c r="BH43" s="156">
        <f t="shared" si="103"/>
        <v>0</v>
      </c>
      <c r="BI43" s="156">
        <f t="shared" si="103"/>
        <v>0</v>
      </c>
      <c r="BJ43" s="156">
        <f t="shared" si="103"/>
        <v>0</v>
      </c>
      <c r="BK43" s="157">
        <f t="shared" si="103"/>
        <v>0</v>
      </c>
      <c r="BL43" s="20"/>
      <c r="BM43" s="156">
        <f t="shared" ref="BM43:BV43" si="104">IF(ROUND(BM41,4)=ROUND(BM24,4),0,BM41-BM24)</f>
        <v>0</v>
      </c>
      <c r="BN43" s="156">
        <f t="shared" si="104"/>
        <v>0</v>
      </c>
      <c r="BO43" s="156">
        <f t="shared" si="104"/>
        <v>0</v>
      </c>
      <c r="BP43" s="156">
        <f t="shared" si="104"/>
        <v>0</v>
      </c>
      <c r="BQ43" s="156">
        <f t="shared" si="104"/>
        <v>0</v>
      </c>
      <c r="BR43" s="156">
        <f t="shared" si="104"/>
        <v>0</v>
      </c>
      <c r="BS43" s="156">
        <f t="shared" si="104"/>
        <v>0</v>
      </c>
      <c r="BT43" s="156">
        <f t="shared" si="104"/>
        <v>0</v>
      </c>
      <c r="BU43" s="156">
        <f t="shared" si="104"/>
        <v>0</v>
      </c>
      <c r="BV43" s="156">
        <f t="shared" si="104"/>
        <v>0</v>
      </c>
      <c r="BW43" s="156">
        <f t="shared" ref="BW43:CB43" si="105">IF(ROUND(BW41,4)=ROUND(BW24,4),0,BW41-BW24)</f>
        <v>0</v>
      </c>
      <c r="BX43" s="156">
        <f t="shared" si="105"/>
        <v>0</v>
      </c>
      <c r="BY43" s="156">
        <f t="shared" si="105"/>
        <v>0</v>
      </c>
      <c r="BZ43" s="156">
        <f t="shared" si="105"/>
        <v>0</v>
      </c>
      <c r="CA43" s="156">
        <f t="shared" si="105"/>
        <v>0</v>
      </c>
      <c r="CB43" s="970">
        <f t="shared" si="105"/>
        <v>0</v>
      </c>
      <c r="CC43" s="20"/>
      <c r="CD43" s="156">
        <f t="shared" ref="CD43:CL43" si="106">IF(ROUND(CD41,4)=ROUND(CD24,4),0,CD41-CD24)</f>
        <v>0</v>
      </c>
      <c r="CE43" s="156">
        <f t="shared" si="106"/>
        <v>0</v>
      </c>
      <c r="CF43" s="156">
        <f t="shared" si="106"/>
        <v>0</v>
      </c>
      <c r="CG43" s="156">
        <f t="shared" si="106"/>
        <v>0</v>
      </c>
      <c r="CH43" s="156">
        <f t="shared" si="106"/>
        <v>0</v>
      </c>
      <c r="CI43" s="156">
        <f t="shared" si="106"/>
        <v>0</v>
      </c>
      <c r="CJ43" s="156">
        <f t="shared" si="106"/>
        <v>0</v>
      </c>
      <c r="CK43" s="156">
        <f t="shared" si="106"/>
        <v>0</v>
      </c>
      <c r="CL43" s="156">
        <f t="shared" si="106"/>
        <v>0</v>
      </c>
      <c r="CM43" s="156">
        <f>IF(ROUND(CM41,4)=ROUND(CM24,4),0,CM41-CM24)</f>
        <v>0</v>
      </c>
      <c r="CN43" s="156">
        <f>IF(ROUND(CN41,4)=ROUND(CN24,4),0,CN41-CN24)</f>
        <v>0</v>
      </c>
      <c r="CO43" s="156">
        <f>IF(ROUND(CO41,4)=ROUND(CO24,4),0,CO41-CO24)</f>
        <v>0</v>
      </c>
      <c r="CP43" s="156">
        <f>IF(ROUND(CP41,4)=ROUND(CP24,4),0,CP41-CP24)</f>
        <v>0</v>
      </c>
      <c r="CQ43" s="156">
        <f>IF(ROUND(CQ41,4)=ROUND(CQ24,4),0,CQ41-CQ24)</f>
        <v>0</v>
      </c>
      <c r="CR43" s="22"/>
      <c r="CS43" s="14"/>
      <c r="CZ43" s="8"/>
    </row>
    <row r="44" spans="1:104" ht="14.25" customHeight="1">
      <c r="A44" s="8"/>
      <c r="B44" s="70"/>
      <c r="C44" s="71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159"/>
      <c r="AI44" s="160"/>
      <c r="AJ44" s="159"/>
      <c r="AK44" s="159"/>
      <c r="AL44" s="159"/>
      <c r="AM44" s="160"/>
      <c r="AN44" s="159"/>
      <c r="AO44" s="159"/>
      <c r="AP44" s="159"/>
      <c r="AQ44" s="160"/>
      <c r="AR44" s="159"/>
      <c r="AS44" s="159"/>
      <c r="AT44" s="159"/>
      <c r="AU44" s="160"/>
      <c r="AV44" s="159"/>
      <c r="AW44" s="159"/>
      <c r="AX44" s="159"/>
      <c r="AY44" s="160"/>
      <c r="AZ44" s="159"/>
      <c r="BA44" s="159"/>
      <c r="BB44" s="159"/>
      <c r="BC44" s="160"/>
      <c r="BD44" s="159"/>
      <c r="BE44" s="160"/>
      <c r="BF44" s="159"/>
      <c r="BG44" s="160"/>
      <c r="BH44" s="159"/>
      <c r="BI44" s="160"/>
      <c r="BJ44" s="159"/>
      <c r="BK44" s="160"/>
      <c r="BL44" s="14"/>
      <c r="BM44" s="118"/>
      <c r="BN44" s="118"/>
      <c r="BO44" s="118"/>
      <c r="BP44" s="118"/>
      <c r="BQ44" s="118"/>
      <c r="BR44" s="118"/>
      <c r="BS44" s="118"/>
      <c r="BT44" s="161"/>
      <c r="BU44" s="161"/>
      <c r="BV44" s="161"/>
      <c r="BW44" s="161"/>
      <c r="BX44" s="161"/>
      <c r="BY44" s="161"/>
      <c r="BZ44" s="161"/>
      <c r="CA44" s="161"/>
      <c r="CB44" s="971"/>
      <c r="CC44" s="8"/>
      <c r="CD44" s="118"/>
      <c r="CE44" s="118"/>
      <c r="CF44" s="118"/>
      <c r="CG44" s="118"/>
      <c r="CH44" s="118"/>
      <c r="CI44" s="118"/>
      <c r="CJ44" s="118"/>
      <c r="CK44" s="161"/>
      <c r="CL44" s="161"/>
      <c r="CM44" s="161"/>
      <c r="CN44" s="161"/>
      <c r="CO44" s="161"/>
      <c r="CP44" s="161"/>
      <c r="CQ44" s="161"/>
      <c r="CR44" s="8"/>
      <c r="CS44" s="8"/>
      <c r="CZ44" s="8"/>
    </row>
    <row r="45" spans="1:104" ht="14.25" customHeight="1">
      <c r="A45" s="8"/>
      <c r="B45" s="73"/>
      <c r="C45" s="71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159"/>
      <c r="AB45" s="72"/>
      <c r="AC45" s="72"/>
      <c r="AD45" s="72"/>
      <c r="AE45" s="159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162"/>
      <c r="AZ45" s="72"/>
      <c r="BA45" s="72"/>
      <c r="BB45" s="72"/>
      <c r="BC45" s="162"/>
      <c r="BD45" s="72"/>
      <c r="BE45" s="162"/>
      <c r="BF45" s="72"/>
      <c r="BG45" s="162"/>
      <c r="BH45" s="72"/>
      <c r="BI45" s="162"/>
      <c r="BJ45" s="72"/>
      <c r="BK45" s="162"/>
      <c r="BL45" s="14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412"/>
      <c r="BY45" s="412"/>
      <c r="BZ45" s="412"/>
      <c r="CA45" s="412"/>
      <c r="CB45" s="969"/>
      <c r="CC45" s="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63"/>
      <c r="CO45" s="163"/>
      <c r="CP45" s="163"/>
      <c r="CQ45" s="163"/>
      <c r="CR45" s="8"/>
      <c r="CS45" s="8"/>
      <c r="CZ45" s="8"/>
    </row>
    <row r="46" spans="1:104" ht="14.25" customHeight="1">
      <c r="A46" s="8"/>
      <c r="B46" s="164" t="s">
        <v>114</v>
      </c>
      <c r="C46" s="165"/>
      <c r="D46" s="17" t="str">
        <f>D9</f>
        <v>F1Q06A</v>
      </c>
      <c r="E46" s="18" t="str">
        <f>E9</f>
        <v>F2Q06A</v>
      </c>
      <c r="F46" s="18" t="str">
        <f>F9</f>
        <v>F3Q06A</v>
      </c>
      <c r="G46" s="19" t="str">
        <f>G9</f>
        <v>F4Q06A</v>
      </c>
      <c r="H46" s="17" t="str">
        <f t="shared" ref="H46:AA46" si="107">H9</f>
        <v>F1Q07A</v>
      </c>
      <c r="I46" s="18" t="str">
        <f t="shared" si="107"/>
        <v>F2Q07A</v>
      </c>
      <c r="J46" s="18" t="str">
        <f t="shared" si="107"/>
        <v>F3Q07A</v>
      </c>
      <c r="K46" s="19" t="str">
        <f t="shared" si="107"/>
        <v>F4Q07A</v>
      </c>
      <c r="L46" s="17" t="str">
        <f t="shared" si="107"/>
        <v>F1Q08A</v>
      </c>
      <c r="M46" s="18" t="str">
        <f t="shared" si="107"/>
        <v>F2Q08A</v>
      </c>
      <c r="N46" s="18" t="str">
        <f t="shared" si="107"/>
        <v>F3Q08A</v>
      </c>
      <c r="O46" s="19" t="str">
        <f t="shared" si="107"/>
        <v>F4Q08A</v>
      </c>
      <c r="P46" s="17" t="str">
        <f t="shared" si="107"/>
        <v>F1Q09A</v>
      </c>
      <c r="Q46" s="18" t="str">
        <f t="shared" si="107"/>
        <v>F2Q09A</v>
      </c>
      <c r="R46" s="18" t="str">
        <f t="shared" si="107"/>
        <v>F3Q09A</v>
      </c>
      <c r="S46" s="19" t="str">
        <f t="shared" si="107"/>
        <v>F4Q09A</v>
      </c>
      <c r="T46" s="17" t="str">
        <f t="shared" si="107"/>
        <v>F1Q10A</v>
      </c>
      <c r="U46" s="18" t="str">
        <f t="shared" si="107"/>
        <v>F2Q10A</v>
      </c>
      <c r="V46" s="18" t="str">
        <f t="shared" si="107"/>
        <v>F3Q10A</v>
      </c>
      <c r="W46" s="19" t="str">
        <f t="shared" si="107"/>
        <v>F4Q10A</v>
      </c>
      <c r="X46" s="17" t="str">
        <f t="shared" si="107"/>
        <v>F1Q11A</v>
      </c>
      <c r="Y46" s="18" t="str">
        <f t="shared" si="107"/>
        <v>F2Q11A</v>
      </c>
      <c r="Z46" s="18" t="str">
        <f t="shared" si="107"/>
        <v>F3Q11A</v>
      </c>
      <c r="AA46" s="19" t="str">
        <f t="shared" si="107"/>
        <v>F4Q11A</v>
      </c>
      <c r="AB46" s="17" t="str">
        <f>AB9</f>
        <v>F1Q12A</v>
      </c>
      <c r="AC46" s="18" t="str">
        <f>AC9</f>
        <v>F2Q12A</v>
      </c>
      <c r="AD46" s="18" t="str">
        <f t="shared" ref="AD46:AQ46" si="108">AD9</f>
        <v>F3Q12A</v>
      </c>
      <c r="AE46" s="19" t="str">
        <f t="shared" si="108"/>
        <v>F4Q12A</v>
      </c>
      <c r="AF46" s="17" t="str">
        <f t="shared" si="108"/>
        <v>F1Q13A</v>
      </c>
      <c r="AG46" s="18" t="str">
        <f>AG9</f>
        <v>F2Q13A</v>
      </c>
      <c r="AH46" s="18" t="str">
        <f>AH9</f>
        <v>F3Q13A</v>
      </c>
      <c r="AI46" s="18" t="str">
        <f t="shared" si="108"/>
        <v>F4Q13A</v>
      </c>
      <c r="AJ46" s="17" t="str">
        <f t="shared" si="108"/>
        <v>F1Q14A</v>
      </c>
      <c r="AK46" s="18" t="str">
        <f t="shared" si="108"/>
        <v>F2Q14A</v>
      </c>
      <c r="AL46" s="18" t="str">
        <f t="shared" si="108"/>
        <v>F3Q14A</v>
      </c>
      <c r="AM46" s="18" t="str">
        <f>AM9</f>
        <v>F4Q14A</v>
      </c>
      <c r="AN46" s="17" t="str">
        <f t="shared" si="108"/>
        <v>F1Q15A</v>
      </c>
      <c r="AO46" s="18" t="str">
        <f t="shared" si="108"/>
        <v>F2Q15A</v>
      </c>
      <c r="AP46" s="18" t="str">
        <f t="shared" si="108"/>
        <v>F3Q15A</v>
      </c>
      <c r="AQ46" s="18" t="str">
        <f t="shared" si="108"/>
        <v>F4Q15A</v>
      </c>
      <c r="AR46" s="17" t="str">
        <f t="shared" ref="AR46:AY46" si="109">AR9</f>
        <v>F1Q16A</v>
      </c>
      <c r="AS46" s="18" t="str">
        <f t="shared" si="109"/>
        <v>F2Q16A</v>
      </c>
      <c r="AT46" s="18" t="str">
        <f t="shared" si="109"/>
        <v>F3Q16A</v>
      </c>
      <c r="AU46" s="18" t="str">
        <f t="shared" si="109"/>
        <v>F4Q16A</v>
      </c>
      <c r="AV46" s="17" t="str">
        <f t="shared" si="109"/>
        <v>F1Q17A</v>
      </c>
      <c r="AW46" s="18" t="str">
        <f>AW9</f>
        <v>F2Q17A</v>
      </c>
      <c r="AX46" s="18" t="str">
        <f>AX9</f>
        <v>F3Q17A</v>
      </c>
      <c r="AY46" s="19" t="str">
        <f t="shared" si="109"/>
        <v>F4Q17A</v>
      </c>
      <c r="AZ46" s="17" t="str">
        <f>AZ9</f>
        <v>F1Q18A</v>
      </c>
      <c r="BA46" s="18" t="str">
        <f>BA9</f>
        <v>F2Q18A</v>
      </c>
      <c r="BB46" s="18" t="str">
        <f t="shared" ref="BB46:BG46" si="110">BB9</f>
        <v>F3Q18A</v>
      </c>
      <c r="BC46" s="19" t="str">
        <f t="shared" si="110"/>
        <v>F4Q18A</v>
      </c>
      <c r="BD46" s="18" t="str">
        <f t="shared" si="110"/>
        <v>F1Q19E</v>
      </c>
      <c r="BE46" s="18" t="str">
        <f t="shared" si="110"/>
        <v>F2Q19E</v>
      </c>
      <c r="BF46" s="18" t="str">
        <f t="shared" si="110"/>
        <v>F3Q19E</v>
      </c>
      <c r="BG46" s="19" t="str">
        <f t="shared" si="110"/>
        <v>F4Q19E</v>
      </c>
      <c r="BH46" s="18" t="str">
        <f>BH9</f>
        <v>F1Q20E</v>
      </c>
      <c r="BI46" s="18" t="str">
        <f>BI9</f>
        <v>F2Q20E</v>
      </c>
      <c r="BJ46" s="18" t="str">
        <f>BJ9</f>
        <v>F3Q20E</v>
      </c>
      <c r="BK46" s="19" t="str">
        <f>BK9</f>
        <v>F4Q20E</v>
      </c>
      <c r="BL46" s="20"/>
      <c r="BM46" s="351" t="str">
        <f>BM9</f>
        <v>FY2006A</v>
      </c>
      <c r="BN46" s="18" t="str">
        <f>BN9</f>
        <v>FY2007A</v>
      </c>
      <c r="BO46" s="18" t="str">
        <f>BO9</f>
        <v>FY2008A</v>
      </c>
      <c r="BP46" s="18" t="str">
        <f>BP9</f>
        <v>FY2009A</v>
      </c>
      <c r="BQ46" s="18" t="str">
        <f t="shared" ref="BQ46:BV46" si="111">BQ9</f>
        <v>FY2010A</v>
      </c>
      <c r="BR46" s="18" t="str">
        <f t="shared" si="111"/>
        <v>FY2011A</v>
      </c>
      <c r="BS46" s="18" t="str">
        <f t="shared" si="111"/>
        <v>FY2012A</v>
      </c>
      <c r="BT46" s="18" t="str">
        <f t="shared" si="111"/>
        <v>FY2013A</v>
      </c>
      <c r="BU46" s="18" t="str">
        <f t="shared" si="111"/>
        <v>FY2014</v>
      </c>
      <c r="BV46" s="18" t="str">
        <f t="shared" si="111"/>
        <v>FY2015</v>
      </c>
      <c r="BW46" s="18" t="str">
        <f t="shared" ref="BW46:CB46" si="112">BW9</f>
        <v>FY2016</v>
      </c>
      <c r="BX46" s="511" t="str">
        <f t="shared" si="112"/>
        <v>FY2017</v>
      </c>
      <c r="BY46" s="511" t="str">
        <f t="shared" si="112"/>
        <v>FY2018A</v>
      </c>
      <c r="BZ46" s="511" t="str">
        <f t="shared" si="112"/>
        <v>FY2019E</v>
      </c>
      <c r="CA46" s="511" t="str">
        <f t="shared" si="112"/>
        <v>FY2020E</v>
      </c>
      <c r="CB46" s="19" t="str">
        <f t="shared" si="112"/>
        <v>FY2021E</v>
      </c>
      <c r="CC46" s="20"/>
      <c r="CD46" s="511" t="str">
        <f>CD7</f>
        <v>CY2006</v>
      </c>
      <c r="CE46" s="18" t="str">
        <f t="shared" ref="CE46:CL46" si="113">CE7</f>
        <v>CY2007</v>
      </c>
      <c r="CF46" s="18" t="str">
        <f t="shared" si="113"/>
        <v>CY2008</v>
      </c>
      <c r="CG46" s="18" t="str">
        <f t="shared" si="113"/>
        <v>CY2009</v>
      </c>
      <c r="CH46" s="18" t="str">
        <f t="shared" si="113"/>
        <v>CY2010</v>
      </c>
      <c r="CI46" s="18" t="str">
        <f t="shared" si="113"/>
        <v>CY2011</v>
      </c>
      <c r="CJ46" s="18" t="str">
        <f t="shared" si="113"/>
        <v>CY2012</v>
      </c>
      <c r="CK46" s="18" t="str">
        <f t="shared" si="113"/>
        <v>CY2013</v>
      </c>
      <c r="CL46" s="18" t="str">
        <f t="shared" si="113"/>
        <v>CY2014</v>
      </c>
      <c r="CM46" s="18" t="str">
        <f>CM7</f>
        <v>CY2015</v>
      </c>
      <c r="CN46" s="18" t="str">
        <f>CN7</f>
        <v>CY2016</v>
      </c>
      <c r="CO46" s="18" t="str">
        <f>CO7</f>
        <v>CY2017</v>
      </c>
      <c r="CP46" s="18" t="str">
        <f>CP7</f>
        <v>CY2018</v>
      </c>
      <c r="CQ46" s="21" t="str">
        <f>CQ7</f>
        <v>CY2019</v>
      </c>
      <c r="CR46" s="22"/>
      <c r="CS46" s="14"/>
      <c r="CZ46" s="8"/>
    </row>
    <row r="47" spans="1:104" ht="14.25" customHeight="1">
      <c r="A47" s="8"/>
      <c r="B47" s="23" t="s">
        <v>115</v>
      </c>
      <c r="C47" s="24"/>
      <c r="D47" s="80">
        <f t="shared" ref="D47:AA47" si="114">D13/(D52*4)*365</f>
        <v>43.804294869739181</v>
      </c>
      <c r="E47" s="81">
        <f t="shared" si="114"/>
        <v>43.805965472552764</v>
      </c>
      <c r="F47" s="81">
        <f t="shared" si="114"/>
        <v>28.874742829817283</v>
      </c>
      <c r="G47" s="82">
        <f t="shared" si="114"/>
        <v>37.518141178861704</v>
      </c>
      <c r="H47" s="80">
        <f t="shared" si="114"/>
        <v>28.854640582347585</v>
      </c>
      <c r="I47" s="81">
        <f t="shared" si="114"/>
        <v>36.373432081852819</v>
      </c>
      <c r="J47" s="81">
        <f t="shared" si="114"/>
        <v>29.904329136391372</v>
      </c>
      <c r="K47" s="82">
        <f t="shared" si="114"/>
        <v>37.509513001948257</v>
      </c>
      <c r="L47" s="80">
        <f t="shared" si="114"/>
        <v>42.644669800319349</v>
      </c>
      <c r="M47" s="81">
        <f t="shared" si="114"/>
        <v>48.527851578128718</v>
      </c>
      <c r="N47" s="81">
        <f t="shared" si="114"/>
        <v>44.06638974654912</v>
      </c>
      <c r="O47" s="82">
        <f t="shared" si="114"/>
        <v>47.78599241214058</v>
      </c>
      <c r="P47" s="80">
        <f t="shared" si="114"/>
        <v>38.402874780336141</v>
      </c>
      <c r="Q47" s="81">
        <f t="shared" si="114"/>
        <v>44.173698186488316</v>
      </c>
      <c r="R47" s="81">
        <f t="shared" si="114"/>
        <v>42.518848702079246</v>
      </c>
      <c r="S47" s="82">
        <f t="shared" si="114"/>
        <v>49.987057420749643</v>
      </c>
      <c r="T47" s="80">
        <f t="shared" si="114"/>
        <v>47.519558919292464</v>
      </c>
      <c r="U47" s="81">
        <f t="shared" si="114"/>
        <v>49.846755633208822</v>
      </c>
      <c r="V47" s="81">
        <f t="shared" si="114"/>
        <v>41.075111668669848</v>
      </c>
      <c r="W47" s="82">
        <f t="shared" si="114"/>
        <v>45.318832463800995</v>
      </c>
      <c r="X47" s="80">
        <f t="shared" si="114"/>
        <v>54.529645036377424</v>
      </c>
      <c r="Y47" s="81">
        <f t="shared" si="114"/>
        <v>81.987550551426082</v>
      </c>
      <c r="Z47" s="81">
        <f t="shared" si="114"/>
        <v>59.470726299828968</v>
      </c>
      <c r="AA47" s="82">
        <f t="shared" si="114"/>
        <v>44.466702503351186</v>
      </c>
      <c r="AB47" s="80">
        <f t="shared" ref="AB47:AI47" si="115">AB13/(AB52*4)*365</f>
        <v>36.277280275174952</v>
      </c>
      <c r="AC47" s="81">
        <f t="shared" si="115"/>
        <v>35.568515640056269</v>
      </c>
      <c r="AD47" s="81">
        <f t="shared" si="115"/>
        <v>37.69542997235326</v>
      </c>
      <c r="AE47" s="82">
        <f t="shared" si="115"/>
        <v>35.092135487760594</v>
      </c>
      <c r="AF47" s="80">
        <f t="shared" si="115"/>
        <v>40.387845239402594</v>
      </c>
      <c r="AG47" s="81">
        <f t="shared" si="115"/>
        <v>37.287765680699643</v>
      </c>
      <c r="AH47" s="81">
        <f t="shared" si="115"/>
        <v>41.574780733158484</v>
      </c>
      <c r="AI47" s="81">
        <f t="shared" si="115"/>
        <v>39.296272511688045</v>
      </c>
      <c r="AJ47" s="80">
        <f t="shared" ref="AJ47:AO47" si="116">AJ13/(AJ52*4)*365</f>
        <v>42.264012315292206</v>
      </c>
      <c r="AK47" s="81">
        <f t="shared" si="116"/>
        <v>42.283969349030031</v>
      </c>
      <c r="AL47" s="81">
        <f t="shared" si="116"/>
        <v>32.227103555458612</v>
      </c>
      <c r="AM47" s="81">
        <f t="shared" si="116"/>
        <v>39.557868920386589</v>
      </c>
      <c r="AN47" s="80">
        <f t="shared" si="116"/>
        <v>41.904074298968546</v>
      </c>
      <c r="AO47" s="168">
        <f t="shared" si="116"/>
        <v>43.888075454024914</v>
      </c>
      <c r="AP47" s="81">
        <f t="shared" ref="AP47:AU47" si="117">AP13/(AP52*4)*365</f>
        <v>28.824932735123809</v>
      </c>
      <c r="AQ47" s="81">
        <f t="shared" si="117"/>
        <v>39.695923002293171</v>
      </c>
      <c r="AR47" s="728">
        <f t="shared" si="117"/>
        <v>41.882641054410861</v>
      </c>
      <c r="AS47" s="81">
        <f t="shared" si="117"/>
        <v>48.883780318136672</v>
      </c>
      <c r="AT47" s="81">
        <f t="shared" si="117"/>
        <v>32.742253657933539</v>
      </c>
      <c r="AU47" s="81">
        <f t="shared" si="117"/>
        <v>49.128371326606732</v>
      </c>
      <c r="AV47" s="728">
        <f t="shared" ref="AV47:BA47" si="118">AV13/(AV52*4)*365</f>
        <v>34.440316288712154</v>
      </c>
      <c r="AW47" s="81">
        <f t="shared" si="118"/>
        <v>35.881551391639292</v>
      </c>
      <c r="AX47" s="81">
        <f t="shared" si="118"/>
        <v>53.104630793186807</v>
      </c>
      <c r="AY47" s="82">
        <f t="shared" si="118"/>
        <v>36.520093050806295</v>
      </c>
      <c r="AZ47" s="728">
        <f t="shared" si="118"/>
        <v>39.77351587304166</v>
      </c>
      <c r="BA47" s="81">
        <f t="shared" si="118"/>
        <v>42.252448737132831</v>
      </c>
      <c r="BB47" s="81">
        <f>BB13/(BB52*4)*365</f>
        <v>50.37657261725019</v>
      </c>
      <c r="BC47" s="82">
        <f>BC13/(BC52*4)*365</f>
        <v>50.468208934372875</v>
      </c>
      <c r="BD47" s="166">
        <v>45</v>
      </c>
      <c r="BE47" s="166">
        <v>40</v>
      </c>
      <c r="BF47" s="166">
        <f>BE47</f>
        <v>40</v>
      </c>
      <c r="BG47" s="167">
        <f>BF47</f>
        <v>40</v>
      </c>
      <c r="BH47" s="166">
        <v>36</v>
      </c>
      <c r="BI47" s="166">
        <f>BH47</f>
        <v>36</v>
      </c>
      <c r="BJ47" s="166">
        <f>BI47</f>
        <v>36</v>
      </c>
      <c r="BK47" s="167">
        <f>BJ47</f>
        <v>36</v>
      </c>
      <c r="BL47" s="123"/>
      <c r="BM47" s="168">
        <f t="shared" ref="BM47:BV47" si="119">BM13/BM52*365</f>
        <v>41.062896451846491</v>
      </c>
      <c r="BN47" s="81">
        <f t="shared" si="119"/>
        <v>36.108029948896721</v>
      </c>
      <c r="BO47" s="81">
        <f t="shared" si="119"/>
        <v>49.386357020743226</v>
      </c>
      <c r="BP47" s="81">
        <f t="shared" si="119"/>
        <v>43.273637068920181</v>
      </c>
      <c r="BQ47" s="81">
        <f t="shared" si="119"/>
        <v>52.301854758572702</v>
      </c>
      <c r="BR47" s="81">
        <f t="shared" si="119"/>
        <v>44.128207238403924</v>
      </c>
      <c r="BS47" s="81">
        <f t="shared" si="119"/>
        <v>35.016273670793886</v>
      </c>
      <c r="BT47" s="81">
        <f t="shared" si="119"/>
        <v>38.571829412925638</v>
      </c>
      <c r="BU47" s="81">
        <f t="shared" si="119"/>
        <v>41.031594132458302</v>
      </c>
      <c r="BV47" s="81">
        <f t="shared" si="119"/>
        <v>37.863462334437088</v>
      </c>
      <c r="BW47" s="81">
        <f>BW13/BW52*365</f>
        <v>50.690244868626635</v>
      </c>
      <c r="BX47" s="168">
        <f>BX13/BX52*365</f>
        <v>37.895474454418917</v>
      </c>
      <c r="BY47" s="168">
        <f>BY13/BY52*365</f>
        <v>53.498363925381767</v>
      </c>
      <c r="BZ47" s="168">
        <f>BZ13/BZ52*365</f>
        <v>41.317888751557781</v>
      </c>
      <c r="CA47" s="168">
        <f>CA13/CA52*365</f>
        <v>36.90090444772644</v>
      </c>
      <c r="CB47" s="972">
        <f>CA47</f>
        <v>36.90090444772644</v>
      </c>
      <c r="CC47" s="20"/>
      <c r="CD47" s="168">
        <f t="shared" ref="CD47:CL47" si="120">CD13/CD52*365</f>
        <v>28.806582482191747</v>
      </c>
      <c r="CE47" s="81">
        <f t="shared" si="120"/>
        <v>46.262055824936816</v>
      </c>
      <c r="CF47" s="81">
        <f t="shared" si="120"/>
        <v>40.904099311097475</v>
      </c>
      <c r="CG47" s="81">
        <f t="shared" si="120"/>
        <v>49.627000826101998</v>
      </c>
      <c r="CH47" s="81">
        <f t="shared" si="120"/>
        <v>58.393510726374338</v>
      </c>
      <c r="CI47" s="81">
        <f t="shared" si="120"/>
        <v>33.954296213234407</v>
      </c>
      <c r="CJ47" s="81">
        <f t="shared" si="120"/>
        <v>38.613284159061195</v>
      </c>
      <c r="CK47" s="81">
        <f t="shared" si="120"/>
        <v>32.934089606926968</v>
      </c>
      <c r="CL47" s="81">
        <f t="shared" si="120"/>
        <v>28.183078714161173</v>
      </c>
      <c r="CM47" s="81">
        <f>CM13/CM52*365</f>
        <v>33.560545138173921</v>
      </c>
      <c r="CN47" s="168">
        <f>CN13/CN52*365</f>
        <v>53.835566764058321</v>
      </c>
      <c r="CO47" s="168">
        <f>CO13/CO52*365</f>
        <v>51.377309849676479</v>
      </c>
      <c r="CP47" s="168">
        <f>CP13/CP52*365</f>
        <v>40.648503140052767</v>
      </c>
      <c r="CQ47" s="168">
        <f>CQ13/CQ52*365</f>
        <v>36.726793834661287</v>
      </c>
      <c r="CR47" s="22"/>
      <c r="CS47" s="14"/>
      <c r="CZ47" s="8"/>
    </row>
    <row r="48" spans="1:104" ht="14.25" customHeight="1">
      <c r="A48" s="8"/>
      <c r="B48" s="23" t="s">
        <v>116</v>
      </c>
      <c r="C48" s="24"/>
      <c r="D48" s="80">
        <f>365/D49</f>
        <v>3.4927666566274005</v>
      </c>
      <c r="E48" s="81">
        <f>365/E49</f>
        <v>3.0929695745614252</v>
      </c>
      <c r="F48" s="81">
        <f>365/F49</f>
        <v>3.1514399835446452</v>
      </c>
      <c r="G48" s="82">
        <f>365/G49</f>
        <v>3.555358504669301</v>
      </c>
      <c r="H48" s="80">
        <f t="shared" ref="H48:AG48" si="121">365/H49</f>
        <v>3.9578017800120144</v>
      </c>
      <c r="I48" s="81">
        <f t="shared" si="121"/>
        <v>3.6404889253229107</v>
      </c>
      <c r="J48" s="81">
        <f t="shared" si="121"/>
        <v>3.8535870549507498</v>
      </c>
      <c r="K48" s="82">
        <f t="shared" si="121"/>
        <v>3.8609319042893726</v>
      </c>
      <c r="L48" s="80">
        <f t="shared" si="121"/>
        <v>4.6404991422605404</v>
      </c>
      <c r="M48" s="81">
        <f t="shared" si="121"/>
        <v>5.2914796945226401</v>
      </c>
      <c r="N48" s="81">
        <f t="shared" si="121"/>
        <v>5.2976254968621728</v>
      </c>
      <c r="O48" s="82">
        <f t="shared" si="121"/>
        <v>5.3574495370272714</v>
      </c>
      <c r="P48" s="80">
        <f t="shared" si="121"/>
        <v>5.0434817939021057</v>
      </c>
      <c r="Q48" s="81">
        <f t="shared" si="121"/>
        <v>5.0215768607274844</v>
      </c>
      <c r="R48" s="81">
        <f t="shared" si="121"/>
        <v>4.4380697771787379</v>
      </c>
      <c r="S48" s="82">
        <f t="shared" si="121"/>
        <v>5.0176524606977253</v>
      </c>
      <c r="T48" s="80">
        <f t="shared" si="121"/>
        <v>5.7021969983834646</v>
      </c>
      <c r="U48" s="81">
        <f t="shared" si="121"/>
        <v>6.2843211346534549</v>
      </c>
      <c r="V48" s="81">
        <f t="shared" si="121"/>
        <v>5.7339395393453643</v>
      </c>
      <c r="W48" s="82">
        <f t="shared" si="121"/>
        <v>5.6953661214615989</v>
      </c>
      <c r="X48" s="80">
        <f t="shared" si="121"/>
        <v>5.5067707468947322</v>
      </c>
      <c r="Y48" s="81">
        <f t="shared" si="121"/>
        <v>5.0263457308938566</v>
      </c>
      <c r="Z48" s="81">
        <f t="shared" si="121"/>
        <v>3.2152972495483998</v>
      </c>
      <c r="AA48" s="82">
        <f t="shared" si="121"/>
        <v>3.0861791327711363</v>
      </c>
      <c r="AB48" s="80">
        <f t="shared" si="121"/>
        <v>3.5776589195628365</v>
      </c>
      <c r="AC48" s="81">
        <f t="shared" si="121"/>
        <v>3.2483484890087699</v>
      </c>
      <c r="AD48" s="81">
        <f t="shared" si="121"/>
        <v>2.8562504443038592</v>
      </c>
      <c r="AE48" s="82">
        <f t="shared" si="121"/>
        <v>3.6724946341232103</v>
      </c>
      <c r="AF48" s="80">
        <f t="shared" si="121"/>
        <v>4.1167018801306705</v>
      </c>
      <c r="AG48" s="81">
        <f t="shared" si="121"/>
        <v>3.6895469635942124</v>
      </c>
      <c r="AH48" s="81">
        <f t="shared" ref="AH48:BK48" si="122">365/AH49</f>
        <v>3.0260661081512019</v>
      </c>
      <c r="AI48" s="82">
        <f t="shared" si="122"/>
        <v>3.5992074261142584</v>
      </c>
      <c r="AJ48" s="80">
        <f t="shared" si="122"/>
        <v>3.8585370732051665</v>
      </c>
      <c r="AK48" s="81">
        <f t="shared" si="122"/>
        <v>3.9915135270808411</v>
      </c>
      <c r="AL48" s="81">
        <f t="shared" si="122"/>
        <v>3.5077721705561182</v>
      </c>
      <c r="AM48" s="82">
        <f t="shared" si="122"/>
        <v>3.4272676285035311</v>
      </c>
      <c r="AN48" s="80">
        <f t="shared" si="122"/>
        <v>2.9550685187564985</v>
      </c>
      <c r="AO48" s="81">
        <f t="shared" si="122"/>
        <v>2.5900731455821702</v>
      </c>
      <c r="AP48" s="81">
        <f t="shared" si="122"/>
        <v>2.9210831088283822</v>
      </c>
      <c r="AQ48" s="82">
        <f t="shared" si="122"/>
        <v>2.9541961920013859</v>
      </c>
      <c r="AR48" s="80">
        <f t="shared" si="122"/>
        <v>2.8898025622992178</v>
      </c>
      <c r="AS48" s="81">
        <f t="shared" si="122"/>
        <v>2.9688848243312886</v>
      </c>
      <c r="AT48" s="81">
        <f t="shared" si="122"/>
        <v>3.65372937713461</v>
      </c>
      <c r="AU48" s="82">
        <f t="shared" si="122"/>
        <v>3.9491899027883344</v>
      </c>
      <c r="AV48" s="80">
        <f t="shared" si="122"/>
        <v>3.4567313811944653</v>
      </c>
      <c r="AW48" s="81">
        <f t="shared" si="122"/>
        <v>3.5822949813006795</v>
      </c>
      <c r="AX48" s="81">
        <f t="shared" si="122"/>
        <v>3.4715729573858916</v>
      </c>
      <c r="AY48" s="82">
        <f t="shared" si="122"/>
        <v>3.2827204816959612</v>
      </c>
      <c r="AZ48" s="80">
        <f t="shared" si="122"/>
        <v>3.5801818412988902</v>
      </c>
      <c r="BA48" s="81">
        <f t="shared" si="122"/>
        <v>3.4409700013677784</v>
      </c>
      <c r="BB48" s="81">
        <f t="shared" si="122"/>
        <v>3.2252506887990462</v>
      </c>
      <c r="BC48" s="82">
        <f t="shared" si="122"/>
        <v>3.3526877778329629</v>
      </c>
      <c r="BD48" s="81">
        <f t="shared" si="122"/>
        <v>3.4761904761904763</v>
      </c>
      <c r="BE48" s="81">
        <f t="shared" si="122"/>
        <v>3.4761904761904763</v>
      </c>
      <c r="BF48" s="81">
        <f t="shared" si="122"/>
        <v>3.65</v>
      </c>
      <c r="BG48" s="82">
        <f t="shared" si="122"/>
        <v>3.65</v>
      </c>
      <c r="BH48" s="81">
        <f t="shared" si="122"/>
        <v>3.65</v>
      </c>
      <c r="BI48" s="81">
        <f t="shared" si="122"/>
        <v>3.65</v>
      </c>
      <c r="BJ48" s="81">
        <f t="shared" si="122"/>
        <v>3.65</v>
      </c>
      <c r="BK48" s="82">
        <f t="shared" si="122"/>
        <v>3.65</v>
      </c>
      <c r="BL48" s="123"/>
      <c r="BM48" s="81">
        <f>365/BM49</f>
        <v>3.2687771416064351</v>
      </c>
      <c r="BN48" s="81">
        <f>365/BN49</f>
        <v>4.116599454666269</v>
      </c>
      <c r="BO48" s="81">
        <f>365/BO49</f>
        <v>5.2743800383877169</v>
      </c>
      <c r="BP48" s="81">
        <f>365/BP49</f>
        <v>5.5840760397890392</v>
      </c>
      <c r="BQ48" s="81">
        <f t="shared" ref="BQ48:CA48" si="123">365/BQ49</f>
        <v>5.1428713598922133</v>
      </c>
      <c r="BR48" s="81">
        <f t="shared" si="123"/>
        <v>3.0956505316436571</v>
      </c>
      <c r="BS48" s="81">
        <f t="shared" si="123"/>
        <v>3.8370349399119421</v>
      </c>
      <c r="BT48" s="81">
        <f t="shared" si="123"/>
        <v>3.6631354037267072</v>
      </c>
      <c r="BU48" s="81">
        <f t="shared" si="123"/>
        <v>3.1763084457625888</v>
      </c>
      <c r="BV48" s="81">
        <f t="shared" si="123"/>
        <v>3.0641470120348595</v>
      </c>
      <c r="BW48" s="81">
        <f t="shared" si="123"/>
        <v>3.7631307756930834</v>
      </c>
      <c r="BX48" s="81">
        <f t="shared" si="123"/>
        <v>3.1194407861412214</v>
      </c>
      <c r="BY48" s="81">
        <f t="shared" si="123"/>
        <v>3.203903811044702</v>
      </c>
      <c r="BZ48" s="81">
        <f t="shared" si="123"/>
        <v>3.5335784187302028</v>
      </c>
      <c r="CA48" s="81">
        <f t="shared" si="123"/>
        <v>3.5608883296110072</v>
      </c>
      <c r="CB48" s="973">
        <f>CA48</f>
        <v>3.5608883296110072</v>
      </c>
      <c r="CC48" s="20"/>
      <c r="CD48" s="81">
        <f t="shared" ref="CD48:CQ48" si="124">365/CD49</f>
        <v>3.9344983588148912</v>
      </c>
      <c r="CE48" s="81">
        <f t="shared" si="124"/>
        <v>5.1573977312311641</v>
      </c>
      <c r="CF48" s="81">
        <f t="shared" si="124"/>
        <v>4.6393612678271463</v>
      </c>
      <c r="CG48" s="81">
        <f t="shared" si="124"/>
        <v>4.9344708574087726</v>
      </c>
      <c r="CH48" s="81">
        <f t="shared" si="124"/>
        <v>3.3040547226757697</v>
      </c>
      <c r="CI48" s="81">
        <f t="shared" si="124"/>
        <v>3.267952875230165</v>
      </c>
      <c r="CJ48" s="81">
        <f t="shared" si="124"/>
        <v>3.2931123747151361</v>
      </c>
      <c r="CK48" s="81">
        <f t="shared" si="124"/>
        <v>3.501688208660656</v>
      </c>
      <c r="CL48" s="81">
        <f t="shared" si="124"/>
        <v>2.9935012810949311</v>
      </c>
      <c r="CM48" s="81">
        <f t="shared" si="124"/>
        <v>3.400981787935847</v>
      </c>
      <c r="CN48" s="81">
        <f t="shared" si="124"/>
        <v>3.3905413083277076</v>
      </c>
      <c r="CO48" s="81">
        <f t="shared" si="124"/>
        <v>3.2880330901016626</v>
      </c>
      <c r="CP48" s="81">
        <f t="shared" si="124"/>
        <v>3.5717332365066836</v>
      </c>
      <c r="CQ48" s="81">
        <f t="shared" si="124"/>
        <v>3.5777694233682307</v>
      </c>
      <c r="CR48" s="22"/>
      <c r="CS48" s="14"/>
      <c r="CZ48" s="8"/>
    </row>
    <row r="49" spans="1:104" ht="14.25" customHeight="1">
      <c r="A49" s="8"/>
      <c r="B49" s="23" t="s">
        <v>117</v>
      </c>
      <c r="C49" s="24"/>
      <c r="D49" s="80">
        <f t="shared" ref="D49:AA49" si="125">(D14/D53)*91</f>
        <v>104.50168473391301</v>
      </c>
      <c r="E49" s="81">
        <f t="shared" si="125"/>
        <v>118.00956692299698</v>
      </c>
      <c r="F49" s="81">
        <f t="shared" si="125"/>
        <v>115.82007016026336</v>
      </c>
      <c r="G49" s="82">
        <f t="shared" si="125"/>
        <v>102.66193958236293</v>
      </c>
      <c r="H49" s="80">
        <f t="shared" si="125"/>
        <v>92.222910668075954</v>
      </c>
      <c r="I49" s="81">
        <f t="shared" si="125"/>
        <v>100.26125816812493</v>
      </c>
      <c r="J49" s="81">
        <f t="shared" si="125"/>
        <v>94.71694678107248</v>
      </c>
      <c r="K49" s="82">
        <f t="shared" si="125"/>
        <v>94.536761861688518</v>
      </c>
      <c r="L49" s="80">
        <f t="shared" si="125"/>
        <v>78.655331853417053</v>
      </c>
      <c r="M49" s="81">
        <f t="shared" si="125"/>
        <v>68.978815203207105</v>
      </c>
      <c r="N49" s="81">
        <f t="shared" si="125"/>
        <v>68.89879252812274</v>
      </c>
      <c r="O49" s="82">
        <f t="shared" si="125"/>
        <v>68.129433133686646</v>
      </c>
      <c r="P49" s="80">
        <f t="shared" si="125"/>
        <v>72.370638958449007</v>
      </c>
      <c r="Q49" s="81">
        <f t="shared" si="125"/>
        <v>72.68633142998867</v>
      </c>
      <c r="R49" s="81">
        <f t="shared" si="125"/>
        <v>82.242961090176678</v>
      </c>
      <c r="S49" s="82">
        <f t="shared" si="125"/>
        <v>72.743180772078674</v>
      </c>
      <c r="T49" s="80">
        <f t="shared" si="125"/>
        <v>64.010415652681786</v>
      </c>
      <c r="U49" s="81">
        <f t="shared" si="125"/>
        <v>58.081054767760165</v>
      </c>
      <c r="V49" s="81">
        <f t="shared" si="125"/>
        <v>63.656060112847221</v>
      </c>
      <c r="W49" s="82">
        <f t="shared" si="125"/>
        <v>64.087188113260439</v>
      </c>
      <c r="X49" s="80">
        <f t="shared" si="125"/>
        <v>66.282040196756597</v>
      </c>
      <c r="Y49" s="81">
        <f t="shared" si="125"/>
        <v>72.617368470411705</v>
      </c>
      <c r="Z49" s="81">
        <f t="shared" si="125"/>
        <v>113.51983088072669</v>
      </c>
      <c r="AA49" s="82">
        <f t="shared" si="125"/>
        <v>118.26922038457951</v>
      </c>
      <c r="AB49" s="80">
        <f t="shared" ref="AB49:AH49" si="126">(AB14/AB53)*91</f>
        <v>102.02202283849918</v>
      </c>
      <c r="AC49" s="81">
        <f t="shared" si="126"/>
        <v>112.36479128856625</v>
      </c>
      <c r="AD49" s="81">
        <f t="shared" si="126"/>
        <v>127.78991447613053</v>
      </c>
      <c r="AE49" s="82">
        <f t="shared" si="126"/>
        <v>99.387483540092887</v>
      </c>
      <c r="AF49" s="80">
        <f t="shared" si="126"/>
        <v>88.663209197070728</v>
      </c>
      <c r="AG49" s="81">
        <f t="shared" si="126"/>
        <v>98.92813497200514</v>
      </c>
      <c r="AH49" s="81">
        <f t="shared" si="126"/>
        <v>120.61864709988095</v>
      </c>
      <c r="AI49" s="81">
        <f t="shared" ref="AI49:AO49" si="127">(AI14/AI53)*91</f>
        <v>101.41121552254013</v>
      </c>
      <c r="AJ49" s="80">
        <f t="shared" si="127"/>
        <v>94.595436839176429</v>
      </c>
      <c r="AK49" s="81">
        <f t="shared" si="127"/>
        <v>91.444009277087332</v>
      </c>
      <c r="AL49" s="81">
        <f t="shared" si="127"/>
        <v>104.0546484357715</v>
      </c>
      <c r="AM49" s="81">
        <f t="shared" si="127"/>
        <v>106.49883217884918</v>
      </c>
      <c r="AN49" s="80">
        <f t="shared" si="127"/>
        <v>123.51659451659452</v>
      </c>
      <c r="AO49" s="81">
        <f t="shared" si="127"/>
        <v>140.92266105402172</v>
      </c>
      <c r="AP49" s="81">
        <f t="shared" ref="AP49:AU49" si="128">(AP14/AP53)*91</f>
        <v>124.95365123192197</v>
      </c>
      <c r="AQ49" s="81">
        <f t="shared" si="128"/>
        <v>123.55306698595486</v>
      </c>
      <c r="AR49" s="80">
        <f t="shared" si="128"/>
        <v>126.30620678445052</v>
      </c>
      <c r="AS49" s="81">
        <f t="shared" si="128"/>
        <v>122.94178507992898</v>
      </c>
      <c r="AT49" s="81">
        <f t="shared" si="128"/>
        <v>99.897929574151036</v>
      </c>
      <c r="AU49" s="81">
        <f t="shared" si="128"/>
        <v>92.424018339125936</v>
      </c>
      <c r="AV49" s="80">
        <f t="shared" ref="AV49:BA49" si="129">(AV14/AV53)*91</f>
        <v>105.59108005490295</v>
      </c>
      <c r="AW49" s="81">
        <f t="shared" si="129"/>
        <v>101.88999004975123</v>
      </c>
      <c r="AX49" s="81">
        <f t="shared" si="129"/>
        <v>105.13965988341103</v>
      </c>
      <c r="AY49" s="82">
        <f t="shared" si="129"/>
        <v>111.18826657194676</v>
      </c>
      <c r="AZ49" s="80">
        <f t="shared" si="129"/>
        <v>101.95012884249979</v>
      </c>
      <c r="BA49" s="81">
        <f t="shared" si="129"/>
        <v>106.07474051064474</v>
      </c>
      <c r="BB49" s="81">
        <f>(BB14/BB53)*91</f>
        <v>113.16949757350841</v>
      </c>
      <c r="BC49" s="82">
        <f>(BC14/BC53)*91</f>
        <v>108.86787681611102</v>
      </c>
      <c r="BD49" s="166">
        <v>105</v>
      </c>
      <c r="BE49" s="166">
        <f>BD49</f>
        <v>105</v>
      </c>
      <c r="BF49" s="166">
        <v>100</v>
      </c>
      <c r="BG49" s="167">
        <f>BF49</f>
        <v>100</v>
      </c>
      <c r="BH49" s="166">
        <v>100</v>
      </c>
      <c r="BI49" s="166">
        <f>BH49</f>
        <v>100</v>
      </c>
      <c r="BJ49" s="166">
        <v>100</v>
      </c>
      <c r="BK49" s="167">
        <f>BJ49</f>
        <v>100</v>
      </c>
      <c r="BL49" s="123"/>
      <c r="BM49" s="81">
        <f t="shared" ref="BM49:BV49" si="130">(BM14/BM53)*365</f>
        <v>111.66255274919763</v>
      </c>
      <c r="BN49" s="81">
        <f t="shared" si="130"/>
        <v>88.66541523398962</v>
      </c>
      <c r="BO49" s="81">
        <f t="shared" si="130"/>
        <v>69.202446039814362</v>
      </c>
      <c r="BP49" s="81">
        <f t="shared" si="130"/>
        <v>65.364439416514344</v>
      </c>
      <c r="BQ49" s="81">
        <f t="shared" si="130"/>
        <v>70.972026025486628</v>
      </c>
      <c r="BR49" s="81">
        <f t="shared" si="130"/>
        <v>117.90736592163093</v>
      </c>
      <c r="BS49" s="81">
        <f t="shared" si="130"/>
        <v>95.125534616157694</v>
      </c>
      <c r="BT49" s="81">
        <f t="shared" si="130"/>
        <v>99.641416374798922</v>
      </c>
      <c r="BU49" s="81">
        <f t="shared" si="130"/>
        <v>114.91327313848717</v>
      </c>
      <c r="BV49" s="81">
        <f t="shared" si="130"/>
        <v>119.11961096070529</v>
      </c>
      <c r="BW49" s="81">
        <f>(BW14/BW53)*365</f>
        <v>96.993705974189879</v>
      </c>
      <c r="BX49" s="81">
        <f>(BX14/BX53)*365</f>
        <v>117.00815146791375</v>
      </c>
      <c r="BY49" s="81">
        <f>(BY14/BY53)*365</f>
        <v>113.92352003257672</v>
      </c>
      <c r="BZ49" s="81">
        <f>(BZ14/BZ53)*365</f>
        <v>103.29472187889446</v>
      </c>
      <c r="CA49" s="81">
        <f>(CA14/CA53)*365</f>
        <v>102.50251235479567</v>
      </c>
      <c r="CB49" s="973">
        <f>CA49</f>
        <v>102.50251235479567</v>
      </c>
      <c r="CC49" s="20"/>
      <c r="CD49" s="81">
        <f t="shared" ref="CD49:CL49" si="131">(CD14/CD53)*365</f>
        <v>92.76913260930715</v>
      </c>
      <c r="CE49" s="81">
        <f t="shared" si="131"/>
        <v>70.772125599254082</v>
      </c>
      <c r="CF49" s="81">
        <f t="shared" si="131"/>
        <v>78.674623278680002</v>
      </c>
      <c r="CG49" s="81">
        <f t="shared" si="131"/>
        <v>73.969430674005764</v>
      </c>
      <c r="CH49" s="81">
        <f t="shared" si="131"/>
        <v>110.4703252930408</v>
      </c>
      <c r="CI49" s="81">
        <f t="shared" si="131"/>
        <v>111.69071707445987</v>
      </c>
      <c r="CJ49" s="81">
        <f t="shared" si="131"/>
        <v>110.83739589408138</v>
      </c>
      <c r="CK49" s="81">
        <f t="shared" si="131"/>
        <v>104.23543680938033</v>
      </c>
      <c r="CL49" s="81">
        <f t="shared" si="131"/>
        <v>121.93079799401127</v>
      </c>
      <c r="CM49" s="81">
        <f>(CM14/CM53)*365</f>
        <v>107.32195076573136</v>
      </c>
      <c r="CN49" s="81">
        <f>(CN14/CN53)*365</f>
        <v>107.65242679789863</v>
      </c>
      <c r="CO49" s="81">
        <f>(CO14/CO53)*365</f>
        <v>111.00861518054691</v>
      </c>
      <c r="CP49" s="81">
        <f>(CP14/CP53)*365</f>
        <v>102.19128244778618</v>
      </c>
      <c r="CQ49" s="81">
        <f>(CQ14/CQ53)*365</f>
        <v>102.01887176294802</v>
      </c>
      <c r="CR49" s="22"/>
      <c r="CS49" s="14"/>
      <c r="CZ49" s="8"/>
    </row>
    <row r="50" spans="1:104" ht="14.25" customHeight="1">
      <c r="A50" s="8"/>
      <c r="B50" s="23" t="s">
        <v>118</v>
      </c>
      <c r="C50" s="24"/>
      <c r="D50" s="80">
        <f t="shared" ref="D50:AA50" si="132">(D28/D53)*91</f>
        <v>43.887078658775131</v>
      </c>
      <c r="E50" s="81">
        <f t="shared" si="132"/>
        <v>53.319352073158065</v>
      </c>
      <c r="F50" s="81">
        <f t="shared" si="132"/>
        <v>43.079542997188788</v>
      </c>
      <c r="G50" s="82">
        <f t="shared" si="132"/>
        <v>36.260481612633491</v>
      </c>
      <c r="H50" s="80">
        <f t="shared" si="132"/>
        <v>34.367059080803301</v>
      </c>
      <c r="I50" s="81">
        <f t="shared" si="132"/>
        <v>37.205282977073871</v>
      </c>
      <c r="J50" s="81">
        <f t="shared" si="132"/>
        <v>30.716840017306968</v>
      </c>
      <c r="K50" s="82">
        <f t="shared" si="132"/>
        <v>42.73357097375046</v>
      </c>
      <c r="L50" s="80">
        <f t="shared" si="132"/>
        <v>32.337035102505965</v>
      </c>
      <c r="M50" s="81">
        <f t="shared" si="132"/>
        <v>41.838539401135648</v>
      </c>
      <c r="N50" s="81">
        <f t="shared" si="132"/>
        <v>40.557489651060123</v>
      </c>
      <c r="O50" s="82">
        <f t="shared" si="132"/>
        <v>31.071206042282181</v>
      </c>
      <c r="P50" s="80">
        <f t="shared" si="132"/>
        <v>32.927475553238978</v>
      </c>
      <c r="Q50" s="81">
        <f t="shared" si="132"/>
        <v>42.516456509607849</v>
      </c>
      <c r="R50" s="81">
        <f t="shared" si="132"/>
        <v>29.39579994072497</v>
      </c>
      <c r="S50" s="82">
        <f t="shared" si="132"/>
        <v>29.260081250375229</v>
      </c>
      <c r="T50" s="80">
        <f t="shared" si="132"/>
        <v>43.309500632726561</v>
      </c>
      <c r="U50" s="81">
        <f t="shared" si="132"/>
        <v>53.023549567889141</v>
      </c>
      <c r="V50" s="81">
        <f t="shared" si="132"/>
        <v>53.543467881944451</v>
      </c>
      <c r="W50" s="82">
        <f t="shared" si="132"/>
        <v>47.181314830389681</v>
      </c>
      <c r="X50" s="80">
        <f t="shared" si="132"/>
        <v>53.488115825071098</v>
      </c>
      <c r="Y50" s="81">
        <f t="shared" si="132"/>
        <v>55.902316421269816</v>
      </c>
      <c r="Z50" s="81">
        <f t="shared" si="132"/>
        <v>68.879893426054025</v>
      </c>
      <c r="AA50" s="82">
        <f t="shared" si="132"/>
        <v>44.338728442880068</v>
      </c>
      <c r="AB50" s="80">
        <f t="shared" ref="AB50:AH50" si="133">(AB28/AB53)*91</f>
        <v>35.240212071778139</v>
      </c>
      <c r="AC50" s="81">
        <f t="shared" si="133"/>
        <v>38.196914700544468</v>
      </c>
      <c r="AD50" s="81">
        <f t="shared" si="133"/>
        <v>51.460902148107884</v>
      </c>
      <c r="AE50" s="82">
        <f t="shared" si="133"/>
        <v>38.137847390671567</v>
      </c>
      <c r="AF50" s="80">
        <f t="shared" si="133"/>
        <v>46.633997107015233</v>
      </c>
      <c r="AG50" s="81">
        <f t="shared" si="133"/>
        <v>46.770857639055365</v>
      </c>
      <c r="AH50" s="81">
        <f t="shared" si="133"/>
        <v>52.608699477397899</v>
      </c>
      <c r="AI50" s="81">
        <f t="shared" ref="AI50:AO50" si="134">(AI28/AI53)*91</f>
        <v>36.667272092984625</v>
      </c>
      <c r="AJ50" s="80">
        <f t="shared" si="134"/>
        <v>35.063611574846966</v>
      </c>
      <c r="AK50" s="81">
        <f t="shared" si="134"/>
        <v>44.274992342026955</v>
      </c>
      <c r="AL50" s="81">
        <f t="shared" si="134"/>
        <v>45.36258794636931</v>
      </c>
      <c r="AM50" s="81">
        <f t="shared" si="134"/>
        <v>68.129960739203284</v>
      </c>
      <c r="AN50" s="80">
        <f t="shared" si="134"/>
        <v>47.894179894179899</v>
      </c>
      <c r="AO50" s="81">
        <f t="shared" si="134"/>
        <v>56.702447278279884</v>
      </c>
      <c r="AP50" s="81">
        <f t="shared" ref="AP50:AU50" si="135">(AP28/AP53)*91</f>
        <v>29.498329974726953</v>
      </c>
      <c r="AQ50" s="81">
        <f t="shared" si="135"/>
        <v>42.788624184905423</v>
      </c>
      <c r="AR50" s="80">
        <f t="shared" si="135"/>
        <v>46.592314040286581</v>
      </c>
      <c r="AS50" s="81">
        <f t="shared" si="135"/>
        <v>43.455905861456486</v>
      </c>
      <c r="AT50" s="81">
        <f t="shared" si="135"/>
        <v>38.029409458081716</v>
      </c>
      <c r="AU50" s="81">
        <f t="shared" si="135"/>
        <v>52.557716483028912</v>
      </c>
      <c r="AV50" s="80">
        <f t="shared" ref="AV50:BA50" si="136">(AV28/AV53)*91</f>
        <v>54.900527044451181</v>
      </c>
      <c r="AW50" s="81">
        <f t="shared" si="136"/>
        <v>53.415641791044777</v>
      </c>
      <c r="AX50" s="81">
        <f t="shared" si="136"/>
        <v>60.568127114507419</v>
      </c>
      <c r="AY50" s="82">
        <f t="shared" si="136"/>
        <v>53.035950508850398</v>
      </c>
      <c r="AZ50" s="80">
        <f t="shared" si="136"/>
        <v>50.325588901324871</v>
      </c>
      <c r="BA50" s="81">
        <f t="shared" si="136"/>
        <v>43.504545798924156</v>
      </c>
      <c r="BB50" s="81">
        <f>(BB28/BB53)*91</f>
        <v>47.253497002569226</v>
      </c>
      <c r="BC50" s="82">
        <f>(BC28/BC53)*91</f>
        <v>93.981361266096044</v>
      </c>
      <c r="BD50" s="166">
        <v>60</v>
      </c>
      <c r="BE50" s="166">
        <f>BD50</f>
        <v>60</v>
      </c>
      <c r="BF50" s="166">
        <f>BE50</f>
        <v>60</v>
      </c>
      <c r="BG50" s="167">
        <f>BF50</f>
        <v>60</v>
      </c>
      <c r="BH50" s="166">
        <v>55</v>
      </c>
      <c r="BI50" s="166">
        <f>BH50</f>
        <v>55</v>
      </c>
      <c r="BJ50" s="166">
        <f>BI50</f>
        <v>55</v>
      </c>
      <c r="BK50" s="167">
        <f>BJ50</f>
        <v>55</v>
      </c>
      <c r="BL50" s="123"/>
      <c r="BM50" s="81">
        <f t="shared" ref="BM50:BV50" si="137">(BM28/BM53)*365</f>
        <v>39.439523130513656</v>
      </c>
      <c r="BN50" s="81">
        <f t="shared" si="137"/>
        <v>40.079538797427929</v>
      </c>
      <c r="BO50" s="81">
        <f t="shared" si="137"/>
        <v>31.560565832299837</v>
      </c>
      <c r="BP50" s="81">
        <f t="shared" si="137"/>
        <v>26.292070100769479</v>
      </c>
      <c r="BQ50" s="81">
        <f t="shared" si="137"/>
        <v>52.249967624437517</v>
      </c>
      <c r="BR50" s="81">
        <f t="shared" si="137"/>
        <v>44.203070435527444</v>
      </c>
      <c r="BS50" s="81">
        <f t="shared" si="137"/>
        <v>36.502414518660999</v>
      </c>
      <c r="BT50" s="81">
        <f t="shared" si="137"/>
        <v>36.027365485359596</v>
      </c>
      <c r="BU50" s="81">
        <f t="shared" si="137"/>
        <v>73.512888612625858</v>
      </c>
      <c r="BV50" s="81">
        <f t="shared" si="137"/>
        <v>41.253239525241135</v>
      </c>
      <c r="BW50" s="81">
        <f>(BW28/BW53)*365</f>
        <v>55.156308834407149</v>
      </c>
      <c r="BX50" s="81">
        <f>(BX28/BX53)*365</f>
        <v>55.811990974504958</v>
      </c>
      <c r="BY50" s="81">
        <f>(BY28/BY53)*365</f>
        <v>98.345699447887796</v>
      </c>
      <c r="BZ50" s="81">
        <f>(BZ28/BZ53)*365</f>
        <v>61.976833127336668</v>
      </c>
      <c r="CA50" s="81">
        <f>(CA28/CA53)*365</f>
        <v>56.376381795137625</v>
      </c>
      <c r="CB50" s="973">
        <f>CA50</f>
        <v>56.376381795137625</v>
      </c>
      <c r="CC50" s="20"/>
      <c r="CD50" s="81">
        <f t="shared" ref="CD50:CL50" si="138">(CD28/CD53)*365</f>
        <v>30.085161122126248</v>
      </c>
      <c r="CE50" s="81">
        <f t="shared" si="138"/>
        <v>41.660233020827974</v>
      </c>
      <c r="CF50" s="81">
        <f t="shared" si="138"/>
        <v>28.120382044320831</v>
      </c>
      <c r="CG50" s="81">
        <f t="shared" si="138"/>
        <v>62.218425528035624</v>
      </c>
      <c r="CH50" s="81">
        <f t="shared" si="138"/>
        <v>67.029559275163194</v>
      </c>
      <c r="CI50" s="81">
        <f t="shared" si="138"/>
        <v>44.977767500536025</v>
      </c>
      <c r="CJ50" s="81">
        <f t="shared" si="138"/>
        <v>48.342535682899893</v>
      </c>
      <c r="CK50" s="81">
        <f t="shared" si="138"/>
        <v>45.441402575228246</v>
      </c>
      <c r="CL50" s="81">
        <f t="shared" si="138"/>
        <v>28.784712394144549</v>
      </c>
      <c r="CM50" s="81">
        <f>(CM28/CM53)*365</f>
        <v>40.855605585705355</v>
      </c>
      <c r="CN50" s="81">
        <f>(CN28/CN53)*365</f>
        <v>62.015664476284876</v>
      </c>
      <c r="CO50" s="81">
        <f>(CO28/CO53)*365</f>
        <v>46.351228707065069</v>
      </c>
      <c r="CP50" s="81">
        <f>(CP28/CP53)*365</f>
        <v>61.314769468671713</v>
      </c>
      <c r="CQ50" s="81">
        <f>(CQ28/CQ53)*365</f>
        <v>56.110379469621414</v>
      </c>
      <c r="CR50" s="22"/>
      <c r="CS50" s="14"/>
      <c r="CZ50" s="8"/>
    </row>
    <row r="51" spans="1:104" ht="14.25" customHeight="1">
      <c r="A51" s="8"/>
      <c r="B51" s="23"/>
      <c r="C51" s="24"/>
      <c r="D51" s="120"/>
      <c r="E51" s="118"/>
      <c r="F51" s="118"/>
      <c r="G51" s="119"/>
      <c r="H51" s="120"/>
      <c r="I51" s="118"/>
      <c r="J51" s="118"/>
      <c r="K51" s="119"/>
      <c r="L51" s="120"/>
      <c r="M51" s="118"/>
      <c r="N51" s="118"/>
      <c r="O51" s="119"/>
      <c r="P51" s="120"/>
      <c r="Q51" s="118"/>
      <c r="R51" s="118"/>
      <c r="S51" s="119"/>
      <c r="T51" s="120"/>
      <c r="U51" s="118"/>
      <c r="V51" s="118"/>
      <c r="W51" s="119"/>
      <c r="X51" s="120"/>
      <c r="Y51" s="118"/>
      <c r="Z51" s="118"/>
      <c r="AA51" s="118"/>
      <c r="AB51" s="120"/>
      <c r="AC51" s="118"/>
      <c r="AD51" s="118"/>
      <c r="AE51" s="118"/>
      <c r="AF51" s="120"/>
      <c r="AG51" s="118"/>
      <c r="AH51" s="118"/>
      <c r="AI51" s="119"/>
      <c r="AJ51" s="120"/>
      <c r="AK51" s="118"/>
      <c r="AL51" s="118"/>
      <c r="AM51" s="119"/>
      <c r="AN51" s="120"/>
      <c r="AO51" s="118"/>
      <c r="AP51" s="118"/>
      <c r="AQ51" s="119"/>
      <c r="AR51" s="120"/>
      <c r="AS51" s="118"/>
      <c r="AT51" s="118"/>
      <c r="AU51" s="119"/>
      <c r="AV51" s="120"/>
      <c r="AW51" s="118"/>
      <c r="AX51" s="118"/>
      <c r="AY51" s="119"/>
      <c r="AZ51" s="120"/>
      <c r="BA51" s="118"/>
      <c r="BB51" s="118"/>
      <c r="BC51" s="119"/>
      <c r="BD51" s="118"/>
      <c r="BE51" s="118"/>
      <c r="BF51" s="118"/>
      <c r="BG51" s="119"/>
      <c r="BH51" s="118"/>
      <c r="BI51" s="118"/>
      <c r="BJ51" s="118"/>
      <c r="BK51" s="119"/>
      <c r="BL51" s="20"/>
      <c r="BM51" s="118"/>
      <c r="BN51" s="118"/>
      <c r="BO51" s="118"/>
      <c r="BP51" s="118"/>
      <c r="BQ51" s="118"/>
      <c r="BR51" s="118"/>
      <c r="BS51" s="118"/>
      <c r="BT51" s="118"/>
      <c r="BU51" s="118"/>
      <c r="BV51" s="118"/>
      <c r="BW51" s="118"/>
      <c r="BX51" s="118"/>
      <c r="BY51" s="118"/>
      <c r="BZ51" s="118"/>
      <c r="CA51" s="118"/>
      <c r="CB51" s="961"/>
      <c r="CC51" s="20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22"/>
      <c r="CS51" s="14"/>
      <c r="CZ51" s="8"/>
    </row>
    <row r="52" spans="1:104" ht="14.25" customHeight="1">
      <c r="A52" s="8"/>
      <c r="B52" s="23" t="s">
        <v>119</v>
      </c>
      <c r="C52" s="24"/>
      <c r="D52" s="173">
        <f>IS!D10</f>
        <v>405.37900000000002</v>
      </c>
      <c r="E52" s="171">
        <f>IS!E10</f>
        <v>398.92899999999997</v>
      </c>
      <c r="F52" s="171">
        <f>IS!F10</f>
        <v>449.60500000000002</v>
      </c>
      <c r="G52" s="172">
        <f>IS!G10</f>
        <v>472.33699999999999</v>
      </c>
      <c r="H52" s="173">
        <f>IS!H10</f>
        <v>481.36200000000002</v>
      </c>
      <c r="I52" s="171">
        <f>IS!I10</f>
        <v>467.18</v>
      </c>
      <c r="J52" s="171">
        <f>IS!J10</f>
        <v>450.72500000000002</v>
      </c>
      <c r="K52" s="172">
        <f>IS!K10</f>
        <v>443.47199999999998</v>
      </c>
      <c r="L52" s="173">
        <f>IS!L10</f>
        <v>445.91199999999998</v>
      </c>
      <c r="M52" s="171">
        <f>IS!M10</f>
        <v>444.89400000000001</v>
      </c>
      <c r="N52" s="171">
        <f>IS!N10</f>
        <v>474.80599999999998</v>
      </c>
      <c r="O52" s="172">
        <f>IS!O10</f>
        <v>475.76</v>
      </c>
      <c r="P52" s="173">
        <f>IS!P10</f>
        <v>488.24599999999998</v>
      </c>
      <c r="Q52" s="171">
        <f>IS!Q10</f>
        <v>483.53699999999998</v>
      </c>
      <c r="R52" s="171">
        <f>IS!R10</f>
        <v>458.387</v>
      </c>
      <c r="S52" s="172">
        <f>IS!S10</f>
        <v>395.01400000000001</v>
      </c>
      <c r="T52" s="173">
        <f>IS!T10</f>
        <v>376.23500000000001</v>
      </c>
      <c r="U52" s="171">
        <f>IS!U10</f>
        <v>414.95</v>
      </c>
      <c r="V52" s="171">
        <f>IS!V10</f>
        <v>513.34900000000005</v>
      </c>
      <c r="W52" s="172">
        <f>IS!W10</f>
        <v>529.02</v>
      </c>
      <c r="X52" s="173">
        <f>IS!X10</f>
        <v>594.73699999999997</v>
      </c>
      <c r="Y52" s="171">
        <f>IS!Y10</f>
        <v>619.66600000000005</v>
      </c>
      <c r="Z52" s="171">
        <f>IS!Z10</f>
        <v>567.19000000000005</v>
      </c>
      <c r="AA52" s="171">
        <f>IS!AA10</f>
        <v>587.85199999999998</v>
      </c>
      <c r="AB52" s="173">
        <f>IS!AB10</f>
        <v>615.46299999999997</v>
      </c>
      <c r="AC52" s="171">
        <f>IS!AC10</f>
        <v>555.20899999999995</v>
      </c>
      <c r="AD52" s="171">
        <f>IS!AD10</f>
        <v>511.09100000000001</v>
      </c>
      <c r="AE52" s="171">
        <f>IS!AE10</f>
        <v>558.97299999999996</v>
      </c>
      <c r="AF52" s="173">
        <f>IS!AF10</f>
        <v>582.78399999999999</v>
      </c>
      <c r="AG52" s="171">
        <f>IS!AG10</f>
        <v>543.93299999999999</v>
      </c>
      <c r="AH52" s="171">
        <f>IS!AH10</f>
        <v>509.767</v>
      </c>
      <c r="AI52" s="172">
        <f>IS!AI10</f>
        <v>532.16800000000001</v>
      </c>
      <c r="AJ52" s="173">
        <f>IS!AJ10</f>
        <v>578.95500000000004</v>
      </c>
      <c r="AK52" s="171">
        <f>IS!AK10</f>
        <v>598.93700000000001</v>
      </c>
      <c r="AL52" s="171">
        <f>IS!AL10</f>
        <v>586.81600000000003</v>
      </c>
      <c r="AM52" s="172">
        <f>IS!AM10</f>
        <v>617.82299999999998</v>
      </c>
      <c r="AN52" s="173">
        <f>IS!AN10</f>
        <v>612.63300000000004</v>
      </c>
      <c r="AO52" s="171">
        <f>IS!AO10</f>
        <v>604.26199999999994</v>
      </c>
      <c r="AP52" s="171">
        <f>IS!AP10</f>
        <v>593.54899999999998</v>
      </c>
      <c r="AQ52" s="172">
        <f>IS!AQ10</f>
        <v>566.9</v>
      </c>
      <c r="AR52" s="173">
        <f>IS!AR10</f>
        <v>549.00800000000004</v>
      </c>
      <c r="AS52" s="171">
        <f>IS!AS10</f>
        <v>527.572</v>
      </c>
      <c r="AT52" s="171">
        <f>IS!AT10</f>
        <v>566.23500000000001</v>
      </c>
      <c r="AU52" s="172">
        <f>IS!AU10</f>
        <v>571.06600000000003</v>
      </c>
      <c r="AV52" s="173">
        <f>IS!AV10</f>
        <v>574.98099999999999</v>
      </c>
      <c r="AW52" s="171">
        <f>IS!AW10</f>
        <v>579.20899999999995</v>
      </c>
      <c r="AX52" s="171">
        <f>IS!AX10</f>
        <v>585.68799999999999</v>
      </c>
      <c r="AY52" s="172">
        <f>IS!AY10</f>
        <v>609.452</v>
      </c>
      <c r="AZ52" s="173">
        <f>IS!AZ10</f>
        <v>615.44600000000003</v>
      </c>
      <c r="BA52" s="171">
        <f>IS!BA10</f>
        <v>619.50300000000004</v>
      </c>
      <c r="BB52" s="171">
        <f>IS!BB10</f>
        <v>631.19299999999998</v>
      </c>
      <c r="BC52" s="172">
        <f>IS!BC10</f>
        <v>672.86199999999997</v>
      </c>
      <c r="BD52" s="171">
        <f>IS!BD10</f>
        <v>675.48616179999988</v>
      </c>
      <c r="BE52" s="171">
        <f>IS!BE10</f>
        <v>679.31777445900002</v>
      </c>
      <c r="BF52" s="171">
        <f>IS!BF10</f>
        <v>677.95561244033979</v>
      </c>
      <c r="BG52" s="172">
        <f>IS!BG10</f>
        <v>694.67595148030671</v>
      </c>
      <c r="BH52" s="171">
        <f>IS!BH10</f>
        <v>717.88707494190612</v>
      </c>
      <c r="BI52" s="171">
        <f>IS!BI10</f>
        <v>724.11364915427703</v>
      </c>
      <c r="BJ52" s="171">
        <f>IS!BJ10</f>
        <v>718.13838459623059</v>
      </c>
      <c r="BK52" s="172">
        <f>IS!BK10</f>
        <v>730.63013437598181</v>
      </c>
      <c r="BL52" s="20"/>
      <c r="BM52" s="171">
        <f>IS!BM10</f>
        <v>1726.25</v>
      </c>
      <c r="BN52" s="171">
        <f>IS!BN10</f>
        <v>1842.739</v>
      </c>
      <c r="BO52" s="171">
        <f>IS!BO10</f>
        <v>1841.3720000000001</v>
      </c>
      <c r="BP52" s="171">
        <f>IS!BP10</f>
        <v>1825.1839999999997</v>
      </c>
      <c r="BQ52" s="171">
        <f>IS!BQ10</f>
        <v>1833.5540000000001</v>
      </c>
      <c r="BR52" s="171">
        <f>IS!BR10</f>
        <v>2369.4450000000002</v>
      </c>
      <c r="BS52" s="171">
        <f>IS!BS10</f>
        <v>2240.7359999999999</v>
      </c>
      <c r="BT52" s="171">
        <f>IS!BT10</f>
        <v>2168.652</v>
      </c>
      <c r="BU52" s="171">
        <f>IS!BU10</f>
        <v>2382.5309999999999</v>
      </c>
      <c r="BV52" s="171">
        <f>IS!BV10</f>
        <v>2377.3440000000001</v>
      </c>
      <c r="BW52" s="171">
        <f>IS!BW10</f>
        <v>2213.8810000000003</v>
      </c>
      <c r="BX52" s="171">
        <f>IS!BX10</f>
        <v>2349.33</v>
      </c>
      <c r="BY52" s="171">
        <f>IS!BY10</f>
        <v>2539.0039999999999</v>
      </c>
      <c r="BZ52" s="171">
        <f>IS!BZ10</f>
        <v>2727.4355001796462</v>
      </c>
      <c r="CA52" s="171">
        <f>IS!CA10</f>
        <v>2890.7692430683956</v>
      </c>
      <c r="CB52" s="974">
        <f>IS!CB10</f>
        <v>3050.7118805066548</v>
      </c>
      <c r="CC52" s="20"/>
      <c r="CD52" s="171">
        <f>IS!CD10</f>
        <v>1871.6040000000003</v>
      </c>
      <c r="CE52" s="171">
        <f>IS!CE10</f>
        <v>1809.0840000000001</v>
      </c>
      <c r="CF52" s="171">
        <f>IS!CF10</f>
        <v>1905.9299999999998</v>
      </c>
      <c r="CG52" s="171">
        <f>IS!CG10</f>
        <v>1699.5480000000002</v>
      </c>
      <c r="CH52" s="171">
        <f>IS!CH10</f>
        <v>2310.6130000000003</v>
      </c>
      <c r="CI52" s="171">
        <f>IS!CI10</f>
        <v>2269.6149999999998</v>
      </c>
      <c r="CJ52" s="171">
        <f>IS!CJ10</f>
        <v>2195.4569999999999</v>
      </c>
      <c r="CK52" s="171">
        <f>IS!CK10</f>
        <v>2296.8760000000002</v>
      </c>
      <c r="CL52" s="171">
        <f>IS!CL10</f>
        <v>2428.2669999999998</v>
      </c>
      <c r="CM52" s="171">
        <f>IS!CM10</f>
        <v>2209.7150000000001</v>
      </c>
      <c r="CN52" s="171">
        <f>IS!CN10</f>
        <v>2310.944</v>
      </c>
      <c r="CO52" s="171">
        <f>IS!CO10</f>
        <v>2475.5940000000001</v>
      </c>
      <c r="CP52" s="171">
        <f>IS!CP10</f>
        <v>2705.6215486993397</v>
      </c>
      <c r="CQ52" s="171">
        <f>IS!CQ10</f>
        <v>2854.8150601727202</v>
      </c>
      <c r="CR52" s="22"/>
      <c r="CS52" s="14"/>
      <c r="CZ52" s="8"/>
    </row>
    <row r="53" spans="1:104" ht="14.25" customHeight="1">
      <c r="A53" s="8"/>
      <c r="B53" s="68" t="s">
        <v>120</v>
      </c>
      <c r="C53" s="69"/>
      <c r="D53" s="176">
        <f>IS!D14</f>
        <v>158.482</v>
      </c>
      <c r="E53" s="174">
        <f>IS!E14</f>
        <v>153.96799999999999</v>
      </c>
      <c r="F53" s="174">
        <f>IS!F14</f>
        <v>166.476</v>
      </c>
      <c r="G53" s="175">
        <f>IS!G14</f>
        <v>178.19300000000001</v>
      </c>
      <c r="H53" s="176">
        <f>IS!H14</f>
        <v>192.059</v>
      </c>
      <c r="I53" s="174">
        <f>IS!I14</f>
        <v>180.58</v>
      </c>
      <c r="J53" s="174">
        <f>IS!J14</f>
        <v>177.96299999999999</v>
      </c>
      <c r="K53" s="175">
        <f>IS!K14</f>
        <v>168.041</v>
      </c>
      <c r="L53" s="176">
        <f>IS!L14</f>
        <v>168.47800000000001</v>
      </c>
      <c r="M53" s="174">
        <f>IS!M14</f>
        <v>170.12200000000001</v>
      </c>
      <c r="N53" s="174">
        <f>IS!N14</f>
        <v>174.41399999999999</v>
      </c>
      <c r="O53" s="175">
        <f>IS!O14</f>
        <v>173.97399999999999</v>
      </c>
      <c r="P53" s="176">
        <f>IS!P14</f>
        <v>176.506</v>
      </c>
      <c r="Q53" s="174">
        <f>IS!Q14</f>
        <v>177.40700000000001</v>
      </c>
      <c r="R53" s="174">
        <f>IS!R14</f>
        <v>165.33099999999999</v>
      </c>
      <c r="S53" s="175">
        <f>IS!S14</f>
        <v>149.90700000000001</v>
      </c>
      <c r="T53" s="176">
        <f>IS!T14</f>
        <v>143.822</v>
      </c>
      <c r="U53" s="174">
        <f>IS!U14</f>
        <v>158.17699999999999</v>
      </c>
      <c r="V53" s="174">
        <f>IS!V14</f>
        <v>184.32</v>
      </c>
      <c r="W53" s="175">
        <f>IS!W14</f>
        <v>185.48400000000001</v>
      </c>
      <c r="X53" s="176">
        <f>IS!X14</f>
        <v>208.17599999999999</v>
      </c>
      <c r="Y53" s="174">
        <f>IS!Y14</f>
        <v>213.26</v>
      </c>
      <c r="Z53" s="174">
        <f>IS!Z14</f>
        <v>194.41900000000001</v>
      </c>
      <c r="AA53" s="174">
        <f>IS!AA14</f>
        <v>203.703</v>
      </c>
      <c r="AB53" s="176">
        <f>IS!AB14</f>
        <v>223.13200000000001</v>
      </c>
      <c r="AC53" s="174">
        <f>IS!AC14</f>
        <v>200.56399999999999</v>
      </c>
      <c r="AD53" s="174">
        <f>IS!AD14</f>
        <v>174.80500000000001</v>
      </c>
      <c r="AE53" s="174">
        <f>IS!AE14</f>
        <v>187.577</v>
      </c>
      <c r="AF53" s="176">
        <f>IS!AF14</f>
        <v>198.411</v>
      </c>
      <c r="AG53" s="174">
        <f>IS!AG14</f>
        <v>187.71299999999999</v>
      </c>
      <c r="AH53" s="174">
        <f>IS!AH14</f>
        <v>170.49299999999999</v>
      </c>
      <c r="AI53" s="175">
        <f>IS!AI14</f>
        <v>180.589</v>
      </c>
      <c r="AJ53" s="176">
        <f>IS!AJ14</f>
        <v>179.7</v>
      </c>
      <c r="AK53" s="174">
        <f>IS!AK14</f>
        <v>182.816</v>
      </c>
      <c r="AL53" s="174">
        <f>IS!AL14</f>
        <v>180.792</v>
      </c>
      <c r="AM53" s="175">
        <f>IS!AM14</f>
        <v>199.94499999999999</v>
      </c>
      <c r="AN53" s="176">
        <f>IS!AN14</f>
        <v>189.18899999999999</v>
      </c>
      <c r="AO53" s="174">
        <f>IS!AO14</f>
        <v>169.61699999999999</v>
      </c>
      <c r="AP53" s="174">
        <f>IS!AP14</f>
        <v>179.63800000000001</v>
      </c>
      <c r="AQ53" s="175">
        <f>IS!AQ14</f>
        <v>170.37899999999999</v>
      </c>
      <c r="AR53" s="176">
        <f>IS!AR14</f>
        <v>159.95400000000001</v>
      </c>
      <c r="AS53" s="174">
        <f>IS!AS14</f>
        <v>157.63999999999999</v>
      </c>
      <c r="AT53" s="174">
        <f>IS!AT14</f>
        <v>178.51400000000001</v>
      </c>
      <c r="AU53" s="175">
        <f>IS!AU14</f>
        <v>175.79900000000001</v>
      </c>
      <c r="AV53" s="176">
        <f>IS!AV14</f>
        <v>168.297</v>
      </c>
      <c r="AW53" s="174">
        <f>IS!AW14</f>
        <v>175.875</v>
      </c>
      <c r="AX53" s="174">
        <f>IS!AX14</f>
        <v>178.233</v>
      </c>
      <c r="AY53" s="175">
        <f>IS!AY14</f>
        <v>185.81100000000001</v>
      </c>
      <c r="AZ53" s="176">
        <f>IS!AZ14</f>
        <v>192.095</v>
      </c>
      <c r="BA53" s="174">
        <f>IS!BA14</f>
        <v>184.786</v>
      </c>
      <c r="BB53" s="174">
        <f>IS!BB14</f>
        <v>182.15600000000001</v>
      </c>
      <c r="BC53" s="175">
        <f>IS!BC14</f>
        <v>197.33099999999999</v>
      </c>
      <c r="BD53" s="174">
        <f>IS!BD14</f>
        <v>202.64584854</v>
      </c>
      <c r="BE53" s="174">
        <f>IS!BE14</f>
        <v>203.79533233770005</v>
      </c>
      <c r="BF53" s="174">
        <f>IS!BF14</f>
        <v>203.38668373210197</v>
      </c>
      <c r="BG53" s="175">
        <f>IS!BG14</f>
        <v>208.40278544409205</v>
      </c>
      <c r="BH53" s="174">
        <f>IS!BH14</f>
        <v>215.36612248257188</v>
      </c>
      <c r="BI53" s="174">
        <f>IS!BI14</f>
        <v>217.23409474628315</v>
      </c>
      <c r="BJ53" s="174">
        <f>IS!BJ14</f>
        <v>215.44151537886921</v>
      </c>
      <c r="BK53" s="175">
        <f>IS!BK14</f>
        <v>219.18904031279459</v>
      </c>
      <c r="BL53" s="20"/>
      <c r="BM53" s="174">
        <f>IS!BM14</f>
        <v>657.11900000000003</v>
      </c>
      <c r="BN53" s="174">
        <f>IS!BN14</f>
        <v>718.64300000000003</v>
      </c>
      <c r="BO53" s="174">
        <f>IS!BO14</f>
        <v>686.98800000000006</v>
      </c>
      <c r="BP53" s="174">
        <f>IS!BP14</f>
        <v>669.15100000000007</v>
      </c>
      <c r="BQ53" s="174">
        <f>IS!BQ14</f>
        <v>671.803</v>
      </c>
      <c r="BR53" s="174">
        <f>IS!BR14</f>
        <v>819.55799999999999</v>
      </c>
      <c r="BS53" s="174">
        <f>IS!BS14</f>
        <v>786.07799999999997</v>
      </c>
      <c r="BT53" s="174">
        <f>IS!BT14</f>
        <v>737.2059999999999</v>
      </c>
      <c r="BU53" s="174">
        <f>IS!BU14</f>
        <v>743.25299999999993</v>
      </c>
      <c r="BV53" s="174">
        <f>IS!BV14</f>
        <v>708.82299999999998</v>
      </c>
      <c r="BW53" s="174">
        <f>IS!BW14</f>
        <v>671.90700000000004</v>
      </c>
      <c r="BX53" s="174">
        <f>IS!BX14</f>
        <v>708.21600000000001</v>
      </c>
      <c r="BY53" s="174">
        <f>IS!BY14</f>
        <v>756.36800000000005</v>
      </c>
      <c r="BZ53" s="174">
        <f>IS!BZ14</f>
        <v>818.23065005389401</v>
      </c>
      <c r="CA53" s="174">
        <f>IS!CA14</f>
        <v>867.2307729205188</v>
      </c>
      <c r="CB53" s="975">
        <f>IS!CB14</f>
        <v>915.21356415199659</v>
      </c>
      <c r="CC53" s="20"/>
      <c r="CD53" s="174">
        <f>IS!CD14</f>
        <v>728.79499999999996</v>
      </c>
      <c r="CE53" s="174">
        <f>IS!CE14</f>
        <v>681.05500000000006</v>
      </c>
      <c r="CF53" s="174">
        <f>IS!CF14</f>
        <v>693.21800000000007</v>
      </c>
      <c r="CG53" s="174">
        <f>IS!CG14</f>
        <v>636.22600000000011</v>
      </c>
      <c r="CH53" s="174">
        <f>IS!CH14</f>
        <v>801.33899999999994</v>
      </c>
      <c r="CI53" s="174">
        <f>IS!CI14</f>
        <v>802.20399999999995</v>
      </c>
      <c r="CJ53" s="174">
        <f>IS!CJ14</f>
        <v>744.19399999999996</v>
      </c>
      <c r="CK53" s="174">
        <f>IS!CK14</f>
        <v>723.89700000000005</v>
      </c>
      <c r="CL53" s="174">
        <f>IS!CL14</f>
        <v>738.38900000000001</v>
      </c>
      <c r="CM53" s="174">
        <f>IS!CM14</f>
        <v>666.48699999999997</v>
      </c>
      <c r="CN53" s="174">
        <f>IS!CN14</f>
        <v>698.20399999999995</v>
      </c>
      <c r="CO53" s="174">
        <f>IS!CO14</f>
        <v>744.84799999999996</v>
      </c>
      <c r="CP53" s="171">
        <f>IS!CP14</f>
        <v>807.15886460980209</v>
      </c>
      <c r="CQ53" s="171">
        <f>IS!CQ14</f>
        <v>856.44451805181632</v>
      </c>
      <c r="CR53" s="22"/>
      <c r="CS53" s="14"/>
      <c r="CZ53" s="8"/>
    </row>
    <row r="54" spans="1:104" ht="14.25" customHeight="1">
      <c r="A54" s="8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  <c r="AY54" s="71"/>
      <c r="AZ54" s="71"/>
      <c r="BA54" s="71"/>
      <c r="BB54" s="71"/>
      <c r="BC54" s="71"/>
      <c r="BD54" s="71"/>
      <c r="BE54" s="71"/>
      <c r="BF54" s="71"/>
      <c r="BG54" s="71"/>
      <c r="BH54" s="71"/>
      <c r="BI54" s="71"/>
      <c r="BJ54" s="71"/>
      <c r="BK54" s="71"/>
      <c r="BL54" s="14"/>
      <c r="BM54" s="71"/>
      <c r="BN54" s="71"/>
      <c r="BO54" s="71"/>
      <c r="BP54" s="71"/>
      <c r="BQ54" s="71"/>
      <c r="BR54" s="71"/>
      <c r="BS54" s="71"/>
      <c r="BT54" s="71"/>
      <c r="BU54" s="71"/>
      <c r="BV54" s="71"/>
      <c r="BW54" s="71"/>
      <c r="BX54" s="71"/>
      <c r="BY54" s="71"/>
      <c r="BZ54" s="71"/>
      <c r="CA54" s="71"/>
      <c r="CB54" s="976"/>
      <c r="CC54" s="8"/>
      <c r="CD54" s="71"/>
      <c r="CE54" s="71"/>
      <c r="CF54" s="71"/>
      <c r="CG54" s="71"/>
      <c r="CH54" s="71"/>
      <c r="CI54" s="71"/>
      <c r="CJ54" s="71"/>
      <c r="CK54" s="71"/>
      <c r="CL54" s="71"/>
      <c r="CM54" s="71"/>
      <c r="CN54" s="71"/>
      <c r="CO54" s="71"/>
      <c r="CP54" s="177"/>
      <c r="CQ54" s="177"/>
      <c r="CR54" s="8"/>
      <c r="CS54" s="8"/>
      <c r="CZ54" s="8"/>
    </row>
    <row r="55" spans="1:104" ht="14.25" customHeight="1">
      <c r="A55" s="8"/>
      <c r="B55" s="73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81"/>
      <c r="AC55" s="81"/>
      <c r="AD55" s="81"/>
      <c r="AE55" s="71"/>
      <c r="AF55" s="71"/>
      <c r="AG55" s="81"/>
      <c r="AH55" s="71"/>
      <c r="AI55" s="73"/>
      <c r="AJ55" s="71"/>
      <c r="AK55" s="71"/>
      <c r="AL55" s="71"/>
      <c r="AM55" s="73"/>
      <c r="AN55" s="71"/>
      <c r="AO55" s="71"/>
      <c r="AP55" s="71"/>
      <c r="AQ55" s="73"/>
      <c r="AR55" s="71"/>
      <c r="AS55" s="71"/>
      <c r="AT55" s="71"/>
      <c r="AU55" s="73"/>
      <c r="AV55" s="71"/>
      <c r="AW55" s="71"/>
      <c r="AX55" s="71"/>
      <c r="AY55" s="73"/>
      <c r="AZ55" s="71"/>
      <c r="BA55" s="71"/>
      <c r="BB55" s="71"/>
      <c r="BC55" s="73"/>
      <c r="BD55" s="71"/>
      <c r="BE55" s="73"/>
      <c r="BF55" s="71"/>
      <c r="BG55" s="73"/>
      <c r="BH55" s="71"/>
      <c r="BI55" s="73"/>
      <c r="BJ55" s="71"/>
      <c r="BK55" s="73"/>
      <c r="BL55" s="14"/>
      <c r="BM55" s="71"/>
      <c r="BN55" s="71"/>
      <c r="BO55" s="71"/>
      <c r="BP55" s="71"/>
      <c r="BQ55" s="71"/>
      <c r="BR55" s="71"/>
      <c r="BS55" s="71"/>
      <c r="BT55" s="71"/>
      <c r="BU55" s="71"/>
      <c r="BV55" s="71"/>
      <c r="BW55" s="71"/>
      <c r="BX55" s="71"/>
      <c r="BY55" s="71"/>
      <c r="BZ55" s="71"/>
      <c r="CA55" s="71"/>
      <c r="CB55" s="977"/>
      <c r="CC55" s="8"/>
      <c r="CD55" s="71"/>
      <c r="CE55" s="71"/>
      <c r="CF55" s="71"/>
      <c r="CG55" s="71"/>
      <c r="CH55" s="71"/>
      <c r="CI55" s="71"/>
      <c r="CJ55" s="71"/>
      <c r="CK55" s="71"/>
      <c r="CL55" s="71"/>
      <c r="CM55" s="71"/>
      <c r="CN55" s="71"/>
      <c r="CO55" s="71"/>
      <c r="CP55" s="727"/>
      <c r="CQ55" s="727"/>
      <c r="CR55" s="8"/>
      <c r="CS55" s="8"/>
      <c r="CZ55" s="8"/>
    </row>
    <row r="56" spans="1:104" ht="14.25" customHeight="1">
      <c r="A56" s="8"/>
      <c r="B56" s="164" t="s">
        <v>121</v>
      </c>
      <c r="C56" s="165"/>
      <c r="D56" s="17" t="str">
        <f>D46</f>
        <v>F1Q06A</v>
      </c>
      <c r="E56" s="18" t="str">
        <f>E46</f>
        <v>F2Q06A</v>
      </c>
      <c r="F56" s="18" t="str">
        <f>F46</f>
        <v>F3Q06A</v>
      </c>
      <c r="G56" s="19" t="str">
        <f>G46</f>
        <v>F4Q06A</v>
      </c>
      <c r="H56" s="17" t="str">
        <f t="shared" ref="H56:AA56" si="139">H46</f>
        <v>F1Q07A</v>
      </c>
      <c r="I56" s="18" t="str">
        <f t="shared" si="139"/>
        <v>F2Q07A</v>
      </c>
      <c r="J56" s="18" t="str">
        <f t="shared" si="139"/>
        <v>F3Q07A</v>
      </c>
      <c r="K56" s="19" t="str">
        <f t="shared" si="139"/>
        <v>F4Q07A</v>
      </c>
      <c r="L56" s="17" t="str">
        <f t="shared" si="139"/>
        <v>F1Q08A</v>
      </c>
      <c r="M56" s="18" t="str">
        <f t="shared" si="139"/>
        <v>F2Q08A</v>
      </c>
      <c r="N56" s="18" t="str">
        <f t="shared" si="139"/>
        <v>F3Q08A</v>
      </c>
      <c r="O56" s="19" t="str">
        <f t="shared" si="139"/>
        <v>F4Q08A</v>
      </c>
      <c r="P56" s="17" t="str">
        <f t="shared" si="139"/>
        <v>F1Q09A</v>
      </c>
      <c r="Q56" s="18" t="str">
        <f t="shared" si="139"/>
        <v>F2Q09A</v>
      </c>
      <c r="R56" s="18" t="str">
        <f t="shared" si="139"/>
        <v>F3Q09A</v>
      </c>
      <c r="S56" s="19" t="str">
        <f t="shared" si="139"/>
        <v>F4Q09A</v>
      </c>
      <c r="T56" s="17" t="str">
        <f t="shared" si="139"/>
        <v>F1Q10A</v>
      </c>
      <c r="U56" s="18" t="str">
        <f t="shared" si="139"/>
        <v>F2Q10A</v>
      </c>
      <c r="V56" s="18" t="str">
        <f t="shared" si="139"/>
        <v>F3Q10A</v>
      </c>
      <c r="W56" s="19" t="str">
        <f t="shared" si="139"/>
        <v>F4Q10A</v>
      </c>
      <c r="X56" s="17" t="str">
        <f t="shared" si="139"/>
        <v>F1Q11A</v>
      </c>
      <c r="Y56" s="18" t="str">
        <f t="shared" si="139"/>
        <v>F2Q11A</v>
      </c>
      <c r="Z56" s="18" t="str">
        <f t="shared" si="139"/>
        <v>F3Q11A</v>
      </c>
      <c r="AA56" s="19" t="str">
        <f t="shared" si="139"/>
        <v>F4Q11A</v>
      </c>
      <c r="AB56" s="18" t="str">
        <f t="shared" ref="AB56:AQ56" si="140">AB46</f>
        <v>F1Q12A</v>
      </c>
      <c r="AC56" s="18" t="str">
        <f>AC46</f>
        <v>F2Q12A</v>
      </c>
      <c r="AD56" s="18" t="str">
        <f t="shared" si="140"/>
        <v>F3Q12A</v>
      </c>
      <c r="AE56" s="19" t="str">
        <f t="shared" si="140"/>
        <v>F4Q12A</v>
      </c>
      <c r="AF56" s="17" t="str">
        <f t="shared" si="140"/>
        <v>F1Q13A</v>
      </c>
      <c r="AG56" s="18" t="str">
        <f>AG46</f>
        <v>F2Q13A</v>
      </c>
      <c r="AH56" s="18" t="str">
        <f t="shared" si="140"/>
        <v>F3Q13A</v>
      </c>
      <c r="AI56" s="19" t="str">
        <f t="shared" si="140"/>
        <v>F4Q13A</v>
      </c>
      <c r="AJ56" s="17" t="str">
        <f t="shared" si="140"/>
        <v>F1Q14A</v>
      </c>
      <c r="AK56" s="18" t="str">
        <f t="shared" si="140"/>
        <v>F2Q14A</v>
      </c>
      <c r="AL56" s="18" t="str">
        <f t="shared" si="140"/>
        <v>F3Q14A</v>
      </c>
      <c r="AM56" s="19" t="str">
        <f>AM46</f>
        <v>F4Q14A</v>
      </c>
      <c r="AN56" s="17" t="str">
        <f t="shared" si="140"/>
        <v>F1Q15A</v>
      </c>
      <c r="AO56" s="18" t="str">
        <f t="shared" si="140"/>
        <v>F2Q15A</v>
      </c>
      <c r="AP56" s="18" t="str">
        <f t="shared" si="140"/>
        <v>F3Q15A</v>
      </c>
      <c r="AQ56" s="19" t="str">
        <f t="shared" si="140"/>
        <v>F4Q15A</v>
      </c>
      <c r="AR56" s="17" t="str">
        <f t="shared" ref="AR56:AY56" si="141">AR46</f>
        <v>F1Q16A</v>
      </c>
      <c r="AS56" s="17" t="str">
        <f t="shared" si="141"/>
        <v>F2Q16A</v>
      </c>
      <c r="AT56" s="18" t="str">
        <f t="shared" si="141"/>
        <v>F3Q16A</v>
      </c>
      <c r="AU56" s="19" t="str">
        <f t="shared" si="141"/>
        <v>F4Q16A</v>
      </c>
      <c r="AV56" s="17" t="str">
        <f>AV46</f>
        <v>F1Q17A</v>
      </c>
      <c r="AW56" s="18" t="str">
        <f>AW46</f>
        <v>F2Q17A</v>
      </c>
      <c r="AX56" s="18" t="str">
        <f>AX46</f>
        <v>F3Q17A</v>
      </c>
      <c r="AY56" s="19" t="str">
        <f t="shared" si="141"/>
        <v>F4Q17A</v>
      </c>
      <c r="AZ56" s="17" t="str">
        <f>AZ46</f>
        <v>F1Q18A</v>
      </c>
      <c r="BA56" s="18" t="str">
        <f>BA46</f>
        <v>F2Q18A</v>
      </c>
      <c r="BB56" s="18" t="str">
        <f t="shared" ref="BB56:BG56" si="142">BB46</f>
        <v>F3Q18A</v>
      </c>
      <c r="BC56" s="19" t="str">
        <f t="shared" si="142"/>
        <v>F4Q18A</v>
      </c>
      <c r="BD56" s="18" t="str">
        <f t="shared" si="142"/>
        <v>F1Q19E</v>
      </c>
      <c r="BE56" s="18" t="str">
        <f t="shared" si="142"/>
        <v>F2Q19E</v>
      </c>
      <c r="BF56" s="18" t="str">
        <f t="shared" si="142"/>
        <v>F3Q19E</v>
      </c>
      <c r="BG56" s="19" t="str">
        <f t="shared" si="142"/>
        <v>F4Q19E</v>
      </c>
      <c r="BH56" s="18" t="str">
        <f>BH46</f>
        <v>F1Q20E</v>
      </c>
      <c r="BI56" s="18" t="str">
        <f>BI46</f>
        <v>F2Q20E</v>
      </c>
      <c r="BJ56" s="18" t="str">
        <f>BJ46</f>
        <v>F3Q20E</v>
      </c>
      <c r="BK56" s="19" t="str">
        <f>BK46</f>
        <v>F4Q20E</v>
      </c>
      <c r="BL56" s="20"/>
      <c r="BM56" s="351" t="str">
        <f>BM46</f>
        <v>FY2006A</v>
      </c>
      <c r="BN56" s="18" t="str">
        <f>BN46</f>
        <v>FY2007A</v>
      </c>
      <c r="BO56" s="18" t="str">
        <f>BO46</f>
        <v>FY2008A</v>
      </c>
      <c r="BP56" s="18" t="str">
        <f>BP46</f>
        <v>FY2009A</v>
      </c>
      <c r="BQ56" s="18" t="str">
        <f t="shared" ref="BQ56:BV56" si="143">BQ46</f>
        <v>FY2010A</v>
      </c>
      <c r="BR56" s="18" t="str">
        <f t="shared" si="143"/>
        <v>FY2011A</v>
      </c>
      <c r="BS56" s="18" t="str">
        <f t="shared" si="143"/>
        <v>FY2012A</v>
      </c>
      <c r="BT56" s="18" t="str">
        <f t="shared" si="143"/>
        <v>FY2013A</v>
      </c>
      <c r="BU56" s="18" t="str">
        <f t="shared" si="143"/>
        <v>FY2014</v>
      </c>
      <c r="BV56" s="18" t="str">
        <f t="shared" si="143"/>
        <v>FY2015</v>
      </c>
      <c r="BW56" s="18" t="str">
        <f t="shared" ref="BW56:CB56" si="144">BW46</f>
        <v>FY2016</v>
      </c>
      <c r="BX56" s="18" t="str">
        <f t="shared" si="144"/>
        <v>FY2017</v>
      </c>
      <c r="BY56" s="18" t="str">
        <f t="shared" si="144"/>
        <v>FY2018A</v>
      </c>
      <c r="BZ56" s="18" t="str">
        <f t="shared" si="144"/>
        <v>FY2019E</v>
      </c>
      <c r="CA56" s="18" t="str">
        <f t="shared" si="144"/>
        <v>FY2020E</v>
      </c>
      <c r="CB56" s="19" t="str">
        <f t="shared" si="144"/>
        <v>FY2021E</v>
      </c>
      <c r="CC56" s="20"/>
      <c r="CD56" s="511" t="str">
        <f t="shared" ref="CD56:CL56" si="145">CD46</f>
        <v>CY2006</v>
      </c>
      <c r="CE56" s="18" t="str">
        <f t="shared" si="145"/>
        <v>CY2007</v>
      </c>
      <c r="CF56" s="18" t="str">
        <f t="shared" si="145"/>
        <v>CY2008</v>
      </c>
      <c r="CG56" s="18" t="str">
        <f t="shared" si="145"/>
        <v>CY2009</v>
      </c>
      <c r="CH56" s="18" t="str">
        <f t="shared" si="145"/>
        <v>CY2010</v>
      </c>
      <c r="CI56" s="18" t="str">
        <f t="shared" si="145"/>
        <v>CY2011</v>
      </c>
      <c r="CJ56" s="18" t="str">
        <f t="shared" si="145"/>
        <v>CY2012</v>
      </c>
      <c r="CK56" s="18" t="str">
        <f t="shared" si="145"/>
        <v>CY2013</v>
      </c>
      <c r="CL56" s="18" t="str">
        <f t="shared" si="145"/>
        <v>CY2014</v>
      </c>
      <c r="CM56" s="18" t="str">
        <f>CM46</f>
        <v>CY2015</v>
      </c>
      <c r="CN56" s="18" t="str">
        <f>CN46</f>
        <v>CY2016</v>
      </c>
      <c r="CO56" s="18" t="str">
        <f>CO46</f>
        <v>CY2017</v>
      </c>
      <c r="CP56" s="18" t="str">
        <f>CP46</f>
        <v>CY2018</v>
      </c>
      <c r="CQ56" s="19" t="str">
        <f>CQ46</f>
        <v>CY2019</v>
      </c>
      <c r="CR56" s="22"/>
      <c r="CS56" s="14"/>
      <c r="CZ56" s="8"/>
    </row>
    <row r="57" spans="1:104" ht="14.25" customHeight="1">
      <c r="A57" s="8"/>
      <c r="B57" s="346" t="s">
        <v>122</v>
      </c>
      <c r="C57" s="178"/>
      <c r="D57" s="76">
        <v>0</v>
      </c>
      <c r="E57" s="77">
        <v>0</v>
      </c>
      <c r="F57" s="77">
        <v>0</v>
      </c>
      <c r="G57" s="78">
        <v>0</v>
      </c>
      <c r="H57" s="76">
        <v>0</v>
      </c>
      <c r="I57" s="77">
        <v>0</v>
      </c>
      <c r="J57" s="77">
        <v>0</v>
      </c>
      <c r="K57" s="78">
        <v>0</v>
      </c>
      <c r="L57" s="76">
        <v>0</v>
      </c>
      <c r="M57" s="77">
        <v>0</v>
      </c>
      <c r="N57" s="77">
        <v>0</v>
      </c>
      <c r="O57" s="78">
        <v>0</v>
      </c>
      <c r="P57" s="76">
        <v>0</v>
      </c>
      <c r="Q57" s="77">
        <v>0</v>
      </c>
      <c r="R57" s="77">
        <v>0</v>
      </c>
      <c r="S57" s="78">
        <v>0</v>
      </c>
      <c r="T57" s="76">
        <v>0</v>
      </c>
      <c r="U57" s="77">
        <v>0</v>
      </c>
      <c r="V57" s="77">
        <v>0</v>
      </c>
      <c r="W57" s="78">
        <v>0</v>
      </c>
      <c r="X57" s="77">
        <v>0</v>
      </c>
      <c r="Y57" s="77">
        <v>0</v>
      </c>
      <c r="Z57" s="77">
        <v>0</v>
      </c>
      <c r="AA57" s="78">
        <v>0</v>
      </c>
      <c r="AB57" s="84">
        <v>0</v>
      </c>
      <c r="AC57" s="84">
        <v>0</v>
      </c>
      <c r="AD57" s="84">
        <v>0</v>
      </c>
      <c r="AE57" s="78">
        <v>0</v>
      </c>
      <c r="AF57" s="84">
        <v>0</v>
      </c>
      <c r="AG57" s="84">
        <v>0</v>
      </c>
      <c r="AH57" s="84">
        <v>0</v>
      </c>
      <c r="AI57" s="78">
        <v>0</v>
      </c>
      <c r="AJ57" s="81">
        <f>AI57</f>
        <v>0</v>
      </c>
      <c r="AK57" s="84">
        <v>0</v>
      </c>
      <c r="AL57" s="84">
        <f>AK57</f>
        <v>0</v>
      </c>
      <c r="AM57" s="78">
        <v>0</v>
      </c>
      <c r="AN57" s="81">
        <v>0</v>
      </c>
      <c r="AO57" s="84">
        <f>AN57</f>
        <v>0</v>
      </c>
      <c r="AP57" s="84">
        <f>AO57</f>
        <v>0</v>
      </c>
      <c r="AQ57" s="78">
        <v>0</v>
      </c>
      <c r="AR57" s="81">
        <v>0</v>
      </c>
      <c r="AS57" s="81">
        <v>0</v>
      </c>
      <c r="AT57" s="84">
        <f>AS57</f>
        <v>0</v>
      </c>
      <c r="AU57" s="78">
        <v>0</v>
      </c>
      <c r="AV57" s="81">
        <v>0</v>
      </c>
      <c r="AW57" s="81">
        <v>0</v>
      </c>
      <c r="AX57" s="84">
        <f>AW57</f>
        <v>0</v>
      </c>
      <c r="AY57" s="179">
        <f>AX57</f>
        <v>0</v>
      </c>
      <c r="AZ57" s="81">
        <v>0</v>
      </c>
      <c r="BA57" s="81">
        <v>0</v>
      </c>
      <c r="BB57" s="81">
        <v>0</v>
      </c>
      <c r="BC57" s="179">
        <f t="shared" ref="BC57:BK57" si="146">BB57</f>
        <v>0</v>
      </c>
      <c r="BD57" s="81">
        <f t="shared" si="146"/>
        <v>0</v>
      </c>
      <c r="BE57" s="168">
        <f t="shared" si="146"/>
        <v>0</v>
      </c>
      <c r="BF57" s="81">
        <f t="shared" si="146"/>
        <v>0</v>
      </c>
      <c r="BG57" s="179">
        <f t="shared" si="146"/>
        <v>0</v>
      </c>
      <c r="BH57" s="81">
        <f t="shared" si="146"/>
        <v>0</v>
      </c>
      <c r="BI57" s="168">
        <f t="shared" si="146"/>
        <v>0</v>
      </c>
      <c r="BJ57" s="81">
        <f t="shared" si="146"/>
        <v>0</v>
      </c>
      <c r="BK57" s="179">
        <f t="shared" si="146"/>
        <v>0</v>
      </c>
      <c r="BL57" s="20"/>
      <c r="BM57" s="168">
        <f>G57</f>
        <v>0</v>
      </c>
      <c r="BN57" s="81">
        <f>K57</f>
        <v>0</v>
      </c>
      <c r="BO57" s="81">
        <f>O57</f>
        <v>0</v>
      </c>
      <c r="BP57" s="81">
        <f>S57</f>
        <v>0</v>
      </c>
      <c r="BQ57" s="81">
        <f>W57</f>
        <v>0</v>
      </c>
      <c r="BR57" s="81">
        <f>AA57</f>
        <v>0</v>
      </c>
      <c r="BS57" s="81">
        <f>AE57</f>
        <v>0</v>
      </c>
      <c r="BT57" s="81">
        <f>AI57</f>
        <v>0</v>
      </c>
      <c r="BU57" s="81">
        <f>AM57</f>
        <v>0</v>
      </c>
      <c r="BV57" s="81">
        <f>AQ57</f>
        <v>0</v>
      </c>
      <c r="BW57" s="81">
        <f>AU57</f>
        <v>0</v>
      </c>
      <c r="BX57" s="168">
        <f>AY57</f>
        <v>0</v>
      </c>
      <c r="BY57" s="81">
        <f>BC57</f>
        <v>0</v>
      </c>
      <c r="BZ57" s="81">
        <f>BG57</f>
        <v>0</v>
      </c>
      <c r="CA57" s="81">
        <f>BK57</f>
        <v>0</v>
      </c>
      <c r="CB57" s="945">
        <f>CA57</f>
        <v>0</v>
      </c>
      <c r="CC57" s="20"/>
      <c r="CD57" s="168">
        <f>J57</f>
        <v>0</v>
      </c>
      <c r="CE57" s="81">
        <f>N57</f>
        <v>0</v>
      </c>
      <c r="CF57" s="81">
        <f>R57</f>
        <v>0</v>
      </c>
      <c r="CG57" s="81">
        <f>V57</f>
        <v>0</v>
      </c>
      <c r="CH57" s="81">
        <f>Z57</f>
        <v>0</v>
      </c>
      <c r="CI57" s="81">
        <f>AD57</f>
        <v>0</v>
      </c>
      <c r="CJ57" s="81">
        <f>AH57</f>
        <v>0</v>
      </c>
      <c r="CK57" s="81">
        <f>AL57</f>
        <v>0</v>
      </c>
      <c r="CL57" s="81">
        <f>AP57</f>
        <v>0</v>
      </c>
      <c r="CM57" s="81">
        <f>AT57</f>
        <v>0</v>
      </c>
      <c r="CN57" s="168">
        <f>AX57</f>
        <v>0</v>
      </c>
      <c r="CO57" s="168">
        <f>BB57</f>
        <v>0</v>
      </c>
      <c r="CP57" s="81">
        <f>BF57</f>
        <v>0</v>
      </c>
      <c r="CQ57" s="81">
        <f>BJ57</f>
        <v>0</v>
      </c>
      <c r="CR57" s="755"/>
      <c r="CS57" s="808"/>
      <c r="CZ57" s="8"/>
    </row>
    <row r="58" spans="1:104" ht="14.25" customHeight="1">
      <c r="A58" s="8"/>
      <c r="B58" s="107" t="s">
        <v>123</v>
      </c>
      <c r="C58" s="108"/>
      <c r="D58" s="83">
        <v>3.49</v>
      </c>
      <c r="E58" s="84">
        <v>3.4820000000000002</v>
      </c>
      <c r="F58" s="84">
        <v>3.4430000000000001</v>
      </c>
      <c r="G58" s="85">
        <v>3.4260000000000002</v>
      </c>
      <c r="H58" s="83">
        <v>3.3969999999999998</v>
      </c>
      <c r="I58" s="84">
        <v>3.3580000000000001</v>
      </c>
      <c r="J58" s="84">
        <v>3.3170000000000002</v>
      </c>
      <c r="K58" s="85">
        <v>2.9590000000000001</v>
      </c>
      <c r="L58" s="83">
        <v>2.9809999999999999</v>
      </c>
      <c r="M58" s="84">
        <v>2.9380000000000002</v>
      </c>
      <c r="N58" s="84">
        <v>2.8620000000000001</v>
      </c>
      <c r="O58" s="85">
        <v>2.8050000000000002</v>
      </c>
      <c r="P58" s="83">
        <v>2.7610000000000001</v>
      </c>
      <c r="Q58" s="84">
        <v>2.7389999999999999</v>
      </c>
      <c r="R58" s="84">
        <v>2.7410000000000001</v>
      </c>
      <c r="S58" s="85">
        <v>2.7549999999999999</v>
      </c>
      <c r="T58" s="83">
        <v>2.7549999999999999</v>
      </c>
      <c r="U58" s="84">
        <v>2.7679999999999998</v>
      </c>
      <c r="V58" s="84">
        <v>2.7650000000000001</v>
      </c>
      <c r="W58" s="85">
        <v>2.7349999999999999</v>
      </c>
      <c r="X58" s="84">
        <v>2.58</v>
      </c>
      <c r="Y58" s="84">
        <v>2.59</v>
      </c>
      <c r="Z58" s="84">
        <v>2.6</v>
      </c>
      <c r="AA58" s="85">
        <v>2.6459999999999999</v>
      </c>
      <c r="AB58" s="84">
        <v>2.6429999999999998</v>
      </c>
      <c r="AC58" s="84">
        <v>2.6240000000000001</v>
      </c>
      <c r="AD58" s="84">
        <v>2.6150000000000002</v>
      </c>
      <c r="AE58" s="85">
        <v>2.6360000000000001</v>
      </c>
      <c r="AF58" s="84">
        <v>2.6120000000000001</v>
      </c>
      <c r="AG58" s="84">
        <v>2.6080000000000001</v>
      </c>
      <c r="AH58" s="84">
        <v>2.6120000000000001</v>
      </c>
      <c r="AI58" s="85">
        <v>2.6360000000000001</v>
      </c>
      <c r="AJ58" s="84">
        <v>2.6480000000000001</v>
      </c>
      <c r="AK58" s="84">
        <v>2.6819999999999999</v>
      </c>
      <c r="AL58" s="84">
        <v>2.665</v>
      </c>
      <c r="AM58" s="85">
        <v>2.6859999999999999</v>
      </c>
      <c r="AN58" s="84">
        <v>2.6709999999999998</v>
      </c>
      <c r="AO58" s="84">
        <v>2.6440000000000001</v>
      </c>
      <c r="AP58" s="84">
        <v>2.6110000000000002</v>
      </c>
      <c r="AQ58" s="85">
        <v>2.5830000000000002</v>
      </c>
      <c r="AR58" s="84">
        <v>2.57</v>
      </c>
      <c r="AS58" s="84">
        <v>2.569</v>
      </c>
      <c r="AT58" s="84">
        <v>2.552</v>
      </c>
      <c r="AU58" s="85">
        <v>2.5369999999999999</v>
      </c>
      <c r="AV58" s="84">
        <v>2.5339999999999998</v>
      </c>
      <c r="AW58" s="84">
        <v>2.5249999999999999</v>
      </c>
      <c r="AX58" s="84">
        <v>2.488</v>
      </c>
      <c r="AY58" s="85">
        <v>2.48</v>
      </c>
      <c r="AZ58" s="84">
        <v>2.4809999999999999</v>
      </c>
      <c r="BA58" s="84">
        <v>2.4860000000000002</v>
      </c>
      <c r="BB58" s="84">
        <v>2.5470000000000002</v>
      </c>
      <c r="BC58" s="82">
        <f>BB58+CFS!BC43</f>
        <v>2.5470000000000002</v>
      </c>
      <c r="BD58" s="81">
        <f>BC58+CFS!BD43</f>
        <v>2.5470000000000002</v>
      </c>
      <c r="BE58" s="81">
        <f>BD58+CFS!BE43</f>
        <v>2.5470000000000002</v>
      </c>
      <c r="BF58" s="81">
        <f>BE58+CFS!BF43</f>
        <v>2.5470000000000002</v>
      </c>
      <c r="BG58" s="82">
        <f>BF58+CFS!BG43</f>
        <v>2.5470000000000002</v>
      </c>
      <c r="BH58" s="81">
        <f>BG58+CFS!BH43</f>
        <v>2.5470000000000002</v>
      </c>
      <c r="BI58" s="81">
        <f>BH58+CFS!BI43</f>
        <v>2.5470000000000002</v>
      </c>
      <c r="BJ58" s="81">
        <f>BI58+CFS!BJ43</f>
        <v>2.5470000000000002</v>
      </c>
      <c r="BK58" s="82">
        <f>BJ58+CFS!BK43</f>
        <v>2.5470000000000002</v>
      </c>
      <c r="BL58" s="20"/>
      <c r="BM58" s="81">
        <f>G58</f>
        <v>3.4260000000000002</v>
      </c>
      <c r="BN58" s="81">
        <f>K58</f>
        <v>2.9590000000000001</v>
      </c>
      <c r="BO58" s="81">
        <f>O58</f>
        <v>2.8050000000000002</v>
      </c>
      <c r="BP58" s="81">
        <f>S58</f>
        <v>2.7549999999999999</v>
      </c>
      <c r="BQ58" s="81">
        <f>W58</f>
        <v>2.7349999999999999</v>
      </c>
      <c r="BR58" s="81">
        <f>AA58</f>
        <v>2.6459999999999999</v>
      </c>
      <c r="BS58" s="81">
        <f>AE58</f>
        <v>2.6360000000000001</v>
      </c>
      <c r="BT58" s="81">
        <f>AI58</f>
        <v>2.6360000000000001</v>
      </c>
      <c r="BU58" s="81">
        <f>AM58</f>
        <v>2.6859999999999999</v>
      </c>
      <c r="BV58" s="81">
        <f>AQ58</f>
        <v>2.5830000000000002</v>
      </c>
      <c r="BW58" s="81">
        <f>AU58</f>
        <v>2.5369999999999999</v>
      </c>
      <c r="BX58" s="81">
        <f>AY58</f>
        <v>2.48</v>
      </c>
      <c r="BY58" s="81">
        <f>BC58</f>
        <v>2.5470000000000002</v>
      </c>
      <c r="BZ58" s="81">
        <f>BG58</f>
        <v>2.5470000000000002</v>
      </c>
      <c r="CA58" s="81">
        <f>BK58</f>
        <v>2.5470000000000002</v>
      </c>
      <c r="CB58" s="945">
        <f>CA58+CFS!CB43</f>
        <v>2.5470000000000002</v>
      </c>
      <c r="CC58" s="20"/>
      <c r="CD58" s="81">
        <f>J58</f>
        <v>3.3170000000000002</v>
      </c>
      <c r="CE58" s="81">
        <f>N58</f>
        <v>2.8620000000000001</v>
      </c>
      <c r="CF58" s="81">
        <f>R58</f>
        <v>2.7410000000000001</v>
      </c>
      <c r="CG58" s="81">
        <f>V58</f>
        <v>2.7650000000000001</v>
      </c>
      <c r="CH58" s="81">
        <f>Z58</f>
        <v>2.6</v>
      </c>
      <c r="CI58" s="81">
        <f>AD58</f>
        <v>2.6150000000000002</v>
      </c>
      <c r="CJ58" s="81">
        <f>AH58</f>
        <v>2.6120000000000001</v>
      </c>
      <c r="CK58" s="81">
        <f>AL58</f>
        <v>2.665</v>
      </c>
      <c r="CL58" s="81">
        <f>AP58</f>
        <v>2.6110000000000002</v>
      </c>
      <c r="CM58" s="81">
        <f>AT58</f>
        <v>2.552</v>
      </c>
      <c r="CN58" s="81">
        <f>AX58</f>
        <v>2.488</v>
      </c>
      <c r="CO58" s="81">
        <f>BB58</f>
        <v>2.5470000000000002</v>
      </c>
      <c r="CP58" s="81">
        <f>BF58</f>
        <v>2.5470000000000002</v>
      </c>
      <c r="CQ58" s="81">
        <f>BJ58</f>
        <v>2.5470000000000002</v>
      </c>
      <c r="CR58" s="755"/>
      <c r="CS58" s="808"/>
      <c r="CZ58" s="8"/>
    </row>
    <row r="59" spans="1:104" ht="14.25" customHeight="1">
      <c r="A59" s="8"/>
      <c r="B59" s="107" t="s">
        <v>124</v>
      </c>
      <c r="C59" s="108"/>
      <c r="D59" s="83">
        <v>0</v>
      </c>
      <c r="E59" s="84">
        <v>0</v>
      </c>
      <c r="F59" s="84">
        <v>0</v>
      </c>
      <c r="G59" s="85">
        <v>0</v>
      </c>
      <c r="H59" s="83">
        <v>0</v>
      </c>
      <c r="I59" s="84">
        <v>0</v>
      </c>
      <c r="J59" s="84">
        <v>0</v>
      </c>
      <c r="K59" s="85">
        <v>0</v>
      </c>
      <c r="L59" s="83">
        <v>0</v>
      </c>
      <c r="M59" s="84">
        <v>0</v>
      </c>
      <c r="N59" s="84">
        <v>0</v>
      </c>
      <c r="O59" s="85">
        <v>0</v>
      </c>
      <c r="P59" s="83">
        <v>0</v>
      </c>
      <c r="Q59" s="84">
        <v>0</v>
      </c>
      <c r="R59" s="84">
        <v>0</v>
      </c>
      <c r="S59" s="85">
        <v>0</v>
      </c>
      <c r="T59" s="83">
        <v>0</v>
      </c>
      <c r="U59" s="84">
        <v>0</v>
      </c>
      <c r="V59" s="84">
        <v>0</v>
      </c>
      <c r="W59" s="85">
        <v>0</v>
      </c>
      <c r="X59" s="84">
        <v>0</v>
      </c>
      <c r="Y59" s="84">
        <v>0</v>
      </c>
      <c r="Z59" s="84">
        <v>0</v>
      </c>
      <c r="AA59" s="85">
        <v>0</v>
      </c>
      <c r="AB59" s="84">
        <v>0</v>
      </c>
      <c r="AC59" s="84">
        <v>0</v>
      </c>
      <c r="AD59" s="84">
        <v>0</v>
      </c>
      <c r="AE59" s="85"/>
      <c r="AF59" s="84">
        <v>0</v>
      </c>
      <c r="AG59" s="84">
        <v>0</v>
      </c>
      <c r="AH59" s="84">
        <v>0</v>
      </c>
      <c r="AI59" s="85"/>
      <c r="AJ59" s="84">
        <v>0</v>
      </c>
      <c r="AK59" s="84">
        <v>0</v>
      </c>
      <c r="AL59" s="84">
        <f>IF(ROUND(AL57,4)=ROUND(AL40,4),0,AL57-AL40)</f>
        <v>0</v>
      </c>
      <c r="AM59" s="85">
        <v>0</v>
      </c>
      <c r="AN59" s="84">
        <v>0</v>
      </c>
      <c r="AO59" s="84">
        <f>IF(ROUND(AO57,4)=ROUND(AO40,4),0,AO57-AO40)</f>
        <v>0</v>
      </c>
      <c r="AP59" s="84">
        <f>IF(ROUND(AP57,4)=ROUND(AP40,4),0,AP57-AP40)</f>
        <v>0</v>
      </c>
      <c r="AQ59" s="85">
        <v>0</v>
      </c>
      <c r="AR59" s="84">
        <v>0</v>
      </c>
      <c r="AS59" s="84">
        <v>0</v>
      </c>
      <c r="AT59" s="84">
        <v>0</v>
      </c>
      <c r="AU59" s="85">
        <v>0</v>
      </c>
      <c r="AV59" s="84">
        <v>0</v>
      </c>
      <c r="AW59" s="84">
        <v>0</v>
      </c>
      <c r="AX59" s="84">
        <v>0</v>
      </c>
      <c r="AY59" s="85">
        <v>0</v>
      </c>
      <c r="AZ59" s="886">
        <v>0</v>
      </c>
      <c r="BA59" s="84">
        <v>0</v>
      </c>
      <c r="BB59" s="84">
        <v>0</v>
      </c>
      <c r="BC59" s="922">
        <v>4.0860000000002401</v>
      </c>
      <c r="BD59" s="747">
        <f t="shared" ref="BD59:BK59" si="147">BC59</f>
        <v>4.0860000000002401</v>
      </c>
      <c r="BE59" s="747">
        <f t="shared" si="147"/>
        <v>4.0860000000002401</v>
      </c>
      <c r="BF59" s="747">
        <f t="shared" si="147"/>
        <v>4.0860000000002401</v>
      </c>
      <c r="BG59" s="747">
        <f t="shared" si="147"/>
        <v>4.0860000000002401</v>
      </c>
      <c r="BH59" s="747">
        <f t="shared" si="147"/>
        <v>4.0860000000002401</v>
      </c>
      <c r="BI59" s="747">
        <f t="shared" si="147"/>
        <v>4.0860000000002401</v>
      </c>
      <c r="BJ59" s="747">
        <f t="shared" si="147"/>
        <v>4.0860000000002401</v>
      </c>
      <c r="BK59" s="747">
        <f t="shared" si="147"/>
        <v>4.0860000000002401</v>
      </c>
      <c r="BL59" s="20"/>
      <c r="BM59" s="81">
        <f>G59</f>
        <v>0</v>
      </c>
      <c r="BN59" s="81">
        <f>K59</f>
        <v>0</v>
      </c>
      <c r="BO59" s="81">
        <f>O59</f>
        <v>0</v>
      </c>
      <c r="BP59" s="81">
        <f>S59</f>
        <v>0</v>
      </c>
      <c r="BQ59" s="81">
        <f>W59</f>
        <v>0</v>
      </c>
      <c r="BR59" s="81">
        <f>AA59</f>
        <v>0</v>
      </c>
      <c r="BS59" s="81">
        <f>AE59</f>
        <v>0</v>
      </c>
      <c r="BT59" s="81">
        <f>AI59</f>
        <v>0</v>
      </c>
      <c r="BU59" s="81">
        <f>AM59</f>
        <v>0</v>
      </c>
      <c r="BV59" s="81">
        <f>AQ59</f>
        <v>0</v>
      </c>
      <c r="BW59" s="81">
        <f>AU59</f>
        <v>0</v>
      </c>
      <c r="BX59" s="81">
        <f>AY59</f>
        <v>0</v>
      </c>
      <c r="BY59" s="81">
        <f>BC59</f>
        <v>4.0860000000002401</v>
      </c>
      <c r="BZ59" s="81">
        <f>BG59</f>
        <v>4.0860000000002401</v>
      </c>
      <c r="CA59" s="81">
        <f>BK59</f>
        <v>4.0860000000002401</v>
      </c>
      <c r="CB59" s="945">
        <f>CA59</f>
        <v>4.0860000000002401</v>
      </c>
      <c r="CC59" s="20"/>
      <c r="CD59" s="81">
        <f>J59</f>
        <v>0</v>
      </c>
      <c r="CE59" s="81">
        <f>N59</f>
        <v>0</v>
      </c>
      <c r="CF59" s="81">
        <f>R59</f>
        <v>0</v>
      </c>
      <c r="CG59" s="81">
        <f>V59</f>
        <v>0</v>
      </c>
      <c r="CH59" s="81">
        <f>Z59</f>
        <v>0</v>
      </c>
      <c r="CI59" s="81">
        <f>AD59</f>
        <v>0</v>
      </c>
      <c r="CJ59" s="81">
        <f>AH59</f>
        <v>0</v>
      </c>
      <c r="CK59" s="81">
        <f>AL59</f>
        <v>0</v>
      </c>
      <c r="CL59" s="81">
        <f>AP59</f>
        <v>0</v>
      </c>
      <c r="CM59" s="81">
        <f>AT59</f>
        <v>0</v>
      </c>
      <c r="CN59" s="81">
        <f>AX59</f>
        <v>0</v>
      </c>
      <c r="CO59" s="81">
        <f>BB59</f>
        <v>0</v>
      </c>
      <c r="CP59" s="81">
        <f>BF59</f>
        <v>4.0860000000002401</v>
      </c>
      <c r="CQ59" s="81">
        <f>BJ59</f>
        <v>4.0860000000002401</v>
      </c>
      <c r="CR59" s="755"/>
      <c r="CS59" s="808"/>
      <c r="CZ59" s="8"/>
    </row>
    <row r="60" spans="1:104" ht="14.25" customHeight="1">
      <c r="A60" s="8"/>
      <c r="B60" s="107" t="s">
        <v>125</v>
      </c>
      <c r="C60" s="108"/>
      <c r="D60" s="83">
        <f>893.252-33.067</f>
        <v>860.18499999999995</v>
      </c>
      <c r="E60" s="84">
        <f>1470.117-102.664</f>
        <v>1367.453</v>
      </c>
      <c r="F60" s="84">
        <v>1379.28</v>
      </c>
      <c r="G60" s="85">
        <v>1375.12</v>
      </c>
      <c r="H60" s="83">
        <v>1364.943</v>
      </c>
      <c r="I60" s="84">
        <v>1340.88</v>
      </c>
      <c r="J60" s="84">
        <v>1330.223</v>
      </c>
      <c r="K60" s="85">
        <v>849.88800000000003</v>
      </c>
      <c r="L60" s="83">
        <v>914.50599999999997</v>
      </c>
      <c r="M60" s="84">
        <v>879.798</v>
      </c>
      <c r="N60" s="84">
        <v>861.39599999999996</v>
      </c>
      <c r="O60" s="85">
        <v>858.17200000000003</v>
      </c>
      <c r="P60" s="83">
        <v>822.89099999999996</v>
      </c>
      <c r="Q60" s="84">
        <v>804.71299999999997</v>
      </c>
      <c r="R60" s="84">
        <v>819.88499999999999</v>
      </c>
      <c r="S60" s="85">
        <v>1085.7449999999999</v>
      </c>
      <c r="T60" s="83">
        <v>1033.933</v>
      </c>
      <c r="U60" s="84">
        <v>1054.8109999999999</v>
      </c>
      <c r="V60" s="84">
        <v>1067.748</v>
      </c>
      <c r="W60" s="85">
        <v>1102.4110000000001</v>
      </c>
      <c r="X60" s="84">
        <v>976.58399999999995</v>
      </c>
      <c r="Y60" s="84">
        <v>1006.787</v>
      </c>
      <c r="Z60" s="84">
        <v>1043.4290000000001</v>
      </c>
      <c r="AA60" s="85">
        <v>1163.4100000000001</v>
      </c>
      <c r="AB60" s="84">
        <v>1161.7280000000001</v>
      </c>
      <c r="AC60" s="84">
        <v>1121.8679999999999</v>
      </c>
      <c r="AD60" s="84">
        <f>1128.405</f>
        <v>1128.405</v>
      </c>
      <c r="AE60" s="85">
        <v>1195.4580000000001</v>
      </c>
      <c r="AF60" s="84">
        <v>1150.5250000000001</v>
      </c>
      <c r="AG60" s="84">
        <v>1166.835</v>
      </c>
      <c r="AH60" s="84">
        <v>1195.4259999999999</v>
      </c>
      <c r="AI60" s="85">
        <v>1276.278</v>
      </c>
      <c r="AJ60" s="84">
        <v>967.69399999999996</v>
      </c>
      <c r="AK60" s="84">
        <v>1060.125</v>
      </c>
      <c r="AL60" s="84">
        <v>1037.5920000000001</v>
      </c>
      <c r="AM60" s="85">
        <v>805.07299999999998</v>
      </c>
      <c r="AN60" s="84">
        <v>788.01599999999996</v>
      </c>
      <c r="AO60" s="84">
        <v>736.25199999999995</v>
      </c>
      <c r="AP60" s="84">
        <v>690.351</v>
      </c>
      <c r="AQ60" s="85">
        <v>653.88199999999995</v>
      </c>
      <c r="AR60" s="84">
        <v>678.20899999999995</v>
      </c>
      <c r="AS60" s="84">
        <v>683.14</v>
      </c>
      <c r="AT60" s="84">
        <v>710.303</v>
      </c>
      <c r="AU60" s="85">
        <v>726.92100000000005</v>
      </c>
      <c r="AV60" s="84">
        <v>726.65599999999995</v>
      </c>
      <c r="AW60" s="84">
        <v>773.51099999999997</v>
      </c>
      <c r="AX60" s="84">
        <v>778.11</v>
      </c>
      <c r="AY60" s="85">
        <v>803.52200000000005</v>
      </c>
      <c r="AZ60" s="84">
        <v>808.82100000000003</v>
      </c>
      <c r="BA60" s="84">
        <v>823.95799999999997</v>
      </c>
      <c r="BB60" s="84">
        <v>855.197</v>
      </c>
      <c r="BC60" s="82">
        <f>BB60+CFS!BC14</f>
        <v>903.803</v>
      </c>
      <c r="BD60" s="81">
        <f>BC60+CFS!BD14</f>
        <v>952.40899999999999</v>
      </c>
      <c r="BE60" s="81">
        <f>BD60+CFS!BE14</f>
        <v>1001.015</v>
      </c>
      <c r="BF60" s="81">
        <f>BE60+CFS!BF14</f>
        <v>1049.6210000000001</v>
      </c>
      <c r="BG60" s="82">
        <f>BF60+CFS!BG14</f>
        <v>1098.2270000000001</v>
      </c>
      <c r="BH60" s="81">
        <f>BG60+CFS!BH14</f>
        <v>1146.8330000000001</v>
      </c>
      <c r="BI60" s="81">
        <f>BH60+CFS!BI14</f>
        <v>1195.4390000000001</v>
      </c>
      <c r="BJ60" s="81">
        <f>BI60+CFS!BJ14</f>
        <v>1244.0450000000001</v>
      </c>
      <c r="BK60" s="82">
        <f>BJ60+CFS!BK14</f>
        <v>1292.6510000000001</v>
      </c>
      <c r="BL60" s="20"/>
      <c r="BM60" s="81">
        <f>G60</f>
        <v>1375.12</v>
      </c>
      <c r="BN60" s="81">
        <f>K60</f>
        <v>849.88800000000003</v>
      </c>
      <c r="BO60" s="81">
        <f>O60</f>
        <v>858.17200000000003</v>
      </c>
      <c r="BP60" s="81">
        <f>S60</f>
        <v>1085.7449999999999</v>
      </c>
      <c r="BQ60" s="81">
        <f>W60</f>
        <v>1102.4110000000001</v>
      </c>
      <c r="BR60" s="81">
        <f>AA60</f>
        <v>1163.4100000000001</v>
      </c>
      <c r="BS60" s="81">
        <f>AE60</f>
        <v>1195.4580000000001</v>
      </c>
      <c r="BT60" s="81">
        <f>AI60</f>
        <v>1276.278</v>
      </c>
      <c r="BU60" s="81">
        <f>AM60</f>
        <v>805.07299999999998</v>
      </c>
      <c r="BV60" s="81">
        <f>AQ60</f>
        <v>653.88199999999995</v>
      </c>
      <c r="BW60" s="81">
        <f>AU60</f>
        <v>726.92100000000005</v>
      </c>
      <c r="BX60" s="81">
        <f>AY60</f>
        <v>803.52200000000005</v>
      </c>
      <c r="BY60" s="81">
        <f>BC60</f>
        <v>903.803</v>
      </c>
      <c r="BZ60" s="81">
        <f>BG60</f>
        <v>1098.2270000000001</v>
      </c>
      <c r="CA60" s="81">
        <f>BK60</f>
        <v>1292.6510000000001</v>
      </c>
      <c r="CB60" s="945">
        <f>CA60+CFS!CB14</f>
        <v>1487.075</v>
      </c>
      <c r="CC60" s="20"/>
      <c r="CD60" s="81">
        <f>J60</f>
        <v>1330.223</v>
      </c>
      <c r="CE60" s="81">
        <f>N60</f>
        <v>861.39599999999996</v>
      </c>
      <c r="CF60" s="81">
        <f>R60</f>
        <v>819.88499999999999</v>
      </c>
      <c r="CG60" s="81">
        <f>V60</f>
        <v>1067.748</v>
      </c>
      <c r="CH60" s="81">
        <f>Z60</f>
        <v>1043.4290000000001</v>
      </c>
      <c r="CI60" s="81">
        <f>AD60</f>
        <v>1128.405</v>
      </c>
      <c r="CJ60" s="81">
        <f>AH60</f>
        <v>1195.4259999999999</v>
      </c>
      <c r="CK60" s="81">
        <f>AL60</f>
        <v>1037.5920000000001</v>
      </c>
      <c r="CL60" s="81">
        <f>AP60</f>
        <v>690.351</v>
      </c>
      <c r="CM60" s="81">
        <f>AT60</f>
        <v>710.303</v>
      </c>
      <c r="CN60" s="81">
        <f>AX60</f>
        <v>778.11</v>
      </c>
      <c r="CO60" s="81">
        <f>BB60</f>
        <v>855.197</v>
      </c>
      <c r="CP60" s="81">
        <f>BF60</f>
        <v>1049.6210000000001</v>
      </c>
      <c r="CQ60" s="81">
        <f>BJ60</f>
        <v>1244.0450000000001</v>
      </c>
      <c r="CR60" s="755"/>
      <c r="CS60" s="808"/>
      <c r="CZ60" s="8"/>
    </row>
    <row r="61" spans="1:104" ht="14.25" customHeight="1">
      <c r="A61" s="8"/>
      <c r="B61" s="180" t="s">
        <v>126</v>
      </c>
      <c r="C61" s="181"/>
      <c r="D61" s="184">
        <f>SUM(D57:D60)</f>
        <v>863.67499999999995</v>
      </c>
      <c r="E61" s="182">
        <f>SUM(E57:E60)</f>
        <v>1370.9349999999999</v>
      </c>
      <c r="F61" s="182">
        <f>SUM(F57:F60)</f>
        <v>1382.723</v>
      </c>
      <c r="G61" s="183">
        <f>SUM(G57:G60)</f>
        <v>1378.5459999999998</v>
      </c>
      <c r="H61" s="184">
        <f t="shared" ref="H61:AA61" si="148">SUM(H57:H60)</f>
        <v>1368.34</v>
      </c>
      <c r="I61" s="182">
        <f t="shared" si="148"/>
        <v>1344.2380000000001</v>
      </c>
      <c r="J61" s="182">
        <f t="shared" si="148"/>
        <v>1333.54</v>
      </c>
      <c r="K61" s="183">
        <f t="shared" si="148"/>
        <v>852.84699999999998</v>
      </c>
      <c r="L61" s="184">
        <f t="shared" si="148"/>
        <v>917.48699999999997</v>
      </c>
      <c r="M61" s="182">
        <f t="shared" si="148"/>
        <v>882.73599999999999</v>
      </c>
      <c r="N61" s="182">
        <f t="shared" si="148"/>
        <v>864.25799999999992</v>
      </c>
      <c r="O61" s="183">
        <f t="shared" si="148"/>
        <v>860.97699999999998</v>
      </c>
      <c r="P61" s="184">
        <f t="shared" si="148"/>
        <v>825.65199999999993</v>
      </c>
      <c r="Q61" s="182">
        <f t="shared" si="148"/>
        <v>807.452</v>
      </c>
      <c r="R61" s="182">
        <f t="shared" si="148"/>
        <v>822.62599999999998</v>
      </c>
      <c r="S61" s="183">
        <f t="shared" si="148"/>
        <v>1088.5</v>
      </c>
      <c r="T61" s="184">
        <f t="shared" si="148"/>
        <v>1036.6880000000001</v>
      </c>
      <c r="U61" s="182">
        <f t="shared" si="148"/>
        <v>1057.579</v>
      </c>
      <c r="V61" s="182">
        <f t="shared" si="148"/>
        <v>1070.5130000000001</v>
      </c>
      <c r="W61" s="183">
        <f t="shared" si="148"/>
        <v>1105.146</v>
      </c>
      <c r="X61" s="182">
        <f t="shared" si="148"/>
        <v>979.16399999999999</v>
      </c>
      <c r="Y61" s="182">
        <f t="shared" si="148"/>
        <v>1009.3770000000001</v>
      </c>
      <c r="Z61" s="182">
        <f t="shared" si="148"/>
        <v>1046.029</v>
      </c>
      <c r="AA61" s="183">
        <f t="shared" si="148"/>
        <v>1166.056</v>
      </c>
      <c r="AB61" s="182">
        <f t="shared" ref="AB61:AQ61" si="149">SUM(AB57:AB60)</f>
        <v>1164.3710000000001</v>
      </c>
      <c r="AC61" s="182">
        <f t="shared" si="149"/>
        <v>1124.492</v>
      </c>
      <c r="AD61" s="182">
        <f t="shared" si="149"/>
        <v>1131.02</v>
      </c>
      <c r="AE61" s="183">
        <f t="shared" si="149"/>
        <v>1198.0940000000001</v>
      </c>
      <c r="AF61" s="182">
        <f t="shared" si="149"/>
        <v>1153.1370000000002</v>
      </c>
      <c r="AG61" s="182">
        <f t="shared" si="149"/>
        <v>1169.443</v>
      </c>
      <c r="AH61" s="182">
        <f t="shared" si="149"/>
        <v>1198.038</v>
      </c>
      <c r="AI61" s="183">
        <f t="shared" si="149"/>
        <v>1278.914</v>
      </c>
      <c r="AJ61" s="182">
        <f t="shared" si="149"/>
        <v>970.34199999999998</v>
      </c>
      <c r="AK61" s="182">
        <f t="shared" si="149"/>
        <v>1062.807</v>
      </c>
      <c r="AL61" s="182">
        <f t="shared" si="149"/>
        <v>1040.2570000000001</v>
      </c>
      <c r="AM61" s="183">
        <f>SUM(AM57:AM60)</f>
        <v>807.75900000000001</v>
      </c>
      <c r="AN61" s="182">
        <f>SUM(AN57:AN60)</f>
        <v>790.68700000000001</v>
      </c>
      <c r="AO61" s="182">
        <f>SUM(AO57:AO60)</f>
        <v>738.89599999999996</v>
      </c>
      <c r="AP61" s="182">
        <f>SUM(AP57:AP60)</f>
        <v>692.96199999999999</v>
      </c>
      <c r="AQ61" s="183">
        <f t="shared" si="149"/>
        <v>656.46499999999992</v>
      </c>
      <c r="AR61" s="182">
        <f t="shared" ref="AR61:AY61" si="150">SUM(AR57:AR60)</f>
        <v>680.779</v>
      </c>
      <c r="AS61" s="182">
        <f t="shared" si="150"/>
        <v>685.70899999999995</v>
      </c>
      <c r="AT61" s="182">
        <f t="shared" si="150"/>
        <v>712.85500000000002</v>
      </c>
      <c r="AU61" s="183">
        <f t="shared" si="150"/>
        <v>729.45800000000008</v>
      </c>
      <c r="AV61" s="182">
        <f>SUM(AV57:AV60)</f>
        <v>729.18999999999994</v>
      </c>
      <c r="AW61" s="182">
        <f>SUM(AW57:AW60)</f>
        <v>776.03599999999994</v>
      </c>
      <c r="AX61" s="182">
        <f>SUM(AX57:AX60)</f>
        <v>780.59800000000007</v>
      </c>
      <c r="AY61" s="183">
        <f t="shared" si="150"/>
        <v>806.00200000000007</v>
      </c>
      <c r="AZ61" s="182">
        <f t="shared" ref="AZ61:BK61" si="151">SUM(AZ57:AZ60)</f>
        <v>811.30200000000002</v>
      </c>
      <c r="BA61" s="182">
        <f t="shared" si="151"/>
        <v>826.44399999999996</v>
      </c>
      <c r="BB61" s="182">
        <f t="shared" si="151"/>
        <v>857.74400000000003</v>
      </c>
      <c r="BC61" s="183">
        <f t="shared" si="151"/>
        <v>910.43600000000026</v>
      </c>
      <c r="BD61" s="182">
        <f t="shared" si="151"/>
        <v>959.04200000000026</v>
      </c>
      <c r="BE61" s="182">
        <f t="shared" si="151"/>
        <v>1007.6480000000003</v>
      </c>
      <c r="BF61" s="182">
        <f t="shared" si="151"/>
        <v>1056.2540000000004</v>
      </c>
      <c r="BG61" s="183">
        <f t="shared" si="151"/>
        <v>1104.8600000000004</v>
      </c>
      <c r="BH61" s="182">
        <f t="shared" si="151"/>
        <v>1153.4660000000003</v>
      </c>
      <c r="BI61" s="182">
        <f t="shared" si="151"/>
        <v>1202.0720000000003</v>
      </c>
      <c r="BJ61" s="182">
        <f t="shared" si="151"/>
        <v>1250.6780000000003</v>
      </c>
      <c r="BK61" s="183">
        <f t="shared" si="151"/>
        <v>1299.2840000000003</v>
      </c>
      <c r="BL61" s="20"/>
      <c r="BM61" s="182">
        <f t="shared" ref="BM61:BW61" si="152">SUM(BM57:BM60)</f>
        <v>1378.5459999999998</v>
      </c>
      <c r="BN61" s="182">
        <f t="shared" si="152"/>
        <v>852.84699999999998</v>
      </c>
      <c r="BO61" s="182">
        <f t="shared" si="152"/>
        <v>860.97699999999998</v>
      </c>
      <c r="BP61" s="182">
        <f t="shared" si="152"/>
        <v>1088.5</v>
      </c>
      <c r="BQ61" s="182">
        <f t="shared" si="152"/>
        <v>1105.146</v>
      </c>
      <c r="BR61" s="182">
        <f t="shared" si="152"/>
        <v>1166.056</v>
      </c>
      <c r="BS61" s="182">
        <f t="shared" si="152"/>
        <v>1198.0940000000001</v>
      </c>
      <c r="BT61" s="182">
        <f t="shared" si="152"/>
        <v>1278.914</v>
      </c>
      <c r="BU61" s="182">
        <f t="shared" si="152"/>
        <v>807.75900000000001</v>
      </c>
      <c r="BV61" s="182">
        <f t="shared" si="152"/>
        <v>656.46499999999992</v>
      </c>
      <c r="BW61" s="182">
        <f t="shared" si="152"/>
        <v>729.45800000000008</v>
      </c>
      <c r="BX61" s="182">
        <f>SUM(BX57:BX60)</f>
        <v>806.00200000000007</v>
      </c>
      <c r="BY61" s="182">
        <f>SUM(BY57:BY60)</f>
        <v>910.43600000000026</v>
      </c>
      <c r="BZ61" s="182">
        <f>SUM(BZ57:BZ60)</f>
        <v>1104.8600000000004</v>
      </c>
      <c r="CA61" s="182">
        <f>SUM(CA57:CA60)</f>
        <v>1299.2840000000003</v>
      </c>
      <c r="CB61" s="978">
        <f>SUM(CB57:CB60)</f>
        <v>1493.7080000000003</v>
      </c>
      <c r="CC61" s="20"/>
      <c r="CD61" s="182">
        <f t="shared" ref="CD61:CM61" si="153">SUM(CD57:CD60)</f>
        <v>1333.54</v>
      </c>
      <c r="CE61" s="182">
        <f t="shared" si="153"/>
        <v>864.25799999999992</v>
      </c>
      <c r="CF61" s="182">
        <f t="shared" si="153"/>
        <v>822.62599999999998</v>
      </c>
      <c r="CG61" s="182">
        <f t="shared" si="153"/>
        <v>1070.5130000000001</v>
      </c>
      <c r="CH61" s="182">
        <f t="shared" si="153"/>
        <v>1046.029</v>
      </c>
      <c r="CI61" s="182">
        <f t="shared" si="153"/>
        <v>1131.02</v>
      </c>
      <c r="CJ61" s="182">
        <f t="shared" si="153"/>
        <v>1198.038</v>
      </c>
      <c r="CK61" s="182">
        <f t="shared" si="153"/>
        <v>1040.2570000000001</v>
      </c>
      <c r="CL61" s="182">
        <f t="shared" si="153"/>
        <v>692.96199999999999</v>
      </c>
      <c r="CM61" s="182">
        <f t="shared" si="153"/>
        <v>712.85500000000002</v>
      </c>
      <c r="CN61" s="182">
        <f>SUM(CN57:CN60)</f>
        <v>780.59800000000007</v>
      </c>
      <c r="CO61" s="182">
        <f>SUM(CO57:CO60)</f>
        <v>857.74400000000003</v>
      </c>
      <c r="CP61" s="182">
        <f>SUM(CP57:CP60)</f>
        <v>1056.2540000000004</v>
      </c>
      <c r="CQ61" s="182">
        <f>SUM(CQ57:CQ60)</f>
        <v>1250.6780000000003</v>
      </c>
      <c r="CR61" s="22"/>
      <c r="CS61" s="14"/>
      <c r="CZ61" s="8"/>
    </row>
    <row r="62" spans="1:104" ht="14.25" customHeight="1">
      <c r="A62" s="8"/>
      <c r="B62" s="28"/>
      <c r="C62" s="29"/>
      <c r="D62" s="80"/>
      <c r="E62" s="81"/>
      <c r="F62" s="81"/>
      <c r="G62" s="82"/>
      <c r="H62" s="80"/>
      <c r="I62" s="81"/>
      <c r="J62" s="81"/>
      <c r="K62" s="82"/>
      <c r="L62" s="80"/>
      <c r="M62" s="81"/>
      <c r="N62" s="81"/>
      <c r="O62" s="82"/>
      <c r="P62" s="80"/>
      <c r="Q62" s="81"/>
      <c r="R62" s="81"/>
      <c r="S62" s="82"/>
      <c r="T62" s="80"/>
      <c r="U62" s="81"/>
      <c r="V62" s="81"/>
      <c r="W62" s="82"/>
      <c r="X62" s="81"/>
      <c r="Y62" s="81"/>
      <c r="Z62" s="81"/>
      <c r="AA62" s="82"/>
      <c r="AB62" s="81"/>
      <c r="AC62" s="81"/>
      <c r="AD62" s="81"/>
      <c r="AE62" s="82"/>
      <c r="AF62" s="81"/>
      <c r="AG62" s="81"/>
      <c r="AH62" s="81"/>
      <c r="AI62" s="82"/>
      <c r="AJ62" s="81"/>
      <c r="AK62" s="81"/>
      <c r="AL62" s="81"/>
      <c r="AM62" s="82"/>
      <c r="AN62" s="81"/>
      <c r="AO62" s="81"/>
      <c r="AP62" s="81"/>
      <c r="AQ62" s="82"/>
      <c r="AR62" s="81"/>
      <c r="AS62" s="81"/>
      <c r="AT62" s="81"/>
      <c r="AU62" s="82"/>
      <c r="AV62" s="81"/>
      <c r="AW62" s="81"/>
      <c r="AX62" s="81"/>
      <c r="AY62" s="82"/>
      <c r="AZ62" s="81"/>
      <c r="BA62" s="81"/>
      <c r="BB62" s="81"/>
      <c r="BC62" s="82"/>
      <c r="BD62" s="81"/>
      <c r="BE62" s="81"/>
      <c r="BF62" s="81"/>
      <c r="BG62" s="82"/>
      <c r="BH62" s="81"/>
      <c r="BI62" s="81"/>
      <c r="BJ62" s="81"/>
      <c r="BK62" s="82"/>
      <c r="BL62" s="20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945"/>
      <c r="CC62" s="20"/>
      <c r="CD62" s="81"/>
      <c r="CE62" s="81"/>
      <c r="CF62" s="81"/>
      <c r="CG62" s="81"/>
      <c r="CH62" s="81"/>
      <c r="CI62" s="81"/>
      <c r="CJ62" s="81"/>
      <c r="CK62" s="81"/>
      <c r="CL62" s="81"/>
      <c r="CM62" s="81"/>
      <c r="CN62" s="81"/>
      <c r="CO62" s="81"/>
      <c r="CP62" s="81"/>
      <c r="CQ62" s="81"/>
      <c r="CR62" s="22"/>
      <c r="CS62" s="14"/>
      <c r="CZ62" s="8"/>
    </row>
    <row r="63" spans="1:104" ht="14.25" customHeight="1">
      <c r="A63" s="8"/>
      <c r="B63" s="107" t="s">
        <v>127</v>
      </c>
      <c r="C63" s="108"/>
      <c r="D63" s="83">
        <v>0</v>
      </c>
      <c r="E63" s="84">
        <v>0</v>
      </c>
      <c r="F63" s="84">
        <v>0</v>
      </c>
      <c r="G63" s="85">
        <v>0</v>
      </c>
      <c r="H63" s="83">
        <v>0</v>
      </c>
      <c r="I63" s="84">
        <v>0</v>
      </c>
      <c r="J63" s="84">
        <v>0</v>
      </c>
      <c r="K63" s="85">
        <v>0</v>
      </c>
      <c r="L63" s="83">
        <v>0</v>
      </c>
      <c r="M63" s="84">
        <v>0</v>
      </c>
      <c r="N63" s="84">
        <v>0</v>
      </c>
      <c r="O63" s="85">
        <v>0</v>
      </c>
      <c r="P63" s="83">
        <v>0</v>
      </c>
      <c r="Q63" s="84">
        <v>0</v>
      </c>
      <c r="R63" s="84">
        <v>0</v>
      </c>
      <c r="S63" s="85">
        <v>0</v>
      </c>
      <c r="T63" s="83">
        <v>0</v>
      </c>
      <c r="U63" s="84">
        <v>0</v>
      </c>
      <c r="V63" s="84">
        <v>0</v>
      </c>
      <c r="W63" s="85">
        <v>0</v>
      </c>
      <c r="X63" s="84">
        <v>0</v>
      </c>
      <c r="Y63" s="84">
        <v>0</v>
      </c>
      <c r="Z63" s="84">
        <v>0</v>
      </c>
      <c r="AA63" s="85">
        <v>0</v>
      </c>
      <c r="AB63" s="84">
        <f>AA63</f>
        <v>0</v>
      </c>
      <c r="AC63" s="81">
        <f>AB63</f>
        <v>0</v>
      </c>
      <c r="AD63" s="81">
        <f>AC63</f>
        <v>0</v>
      </c>
      <c r="AE63" s="85">
        <f>AD63</f>
        <v>0</v>
      </c>
      <c r="AF63" s="84">
        <v>0</v>
      </c>
      <c r="AG63" s="81">
        <f>AF63</f>
        <v>0</v>
      </c>
      <c r="AH63" s="84">
        <v>0</v>
      </c>
      <c r="AI63" s="85">
        <f>AH63</f>
        <v>0</v>
      </c>
      <c r="AJ63" s="84">
        <v>0</v>
      </c>
      <c r="AK63" s="81">
        <f>AJ63</f>
        <v>0</v>
      </c>
      <c r="AL63" s="84"/>
      <c r="AM63" s="85">
        <f>AL63</f>
        <v>0</v>
      </c>
      <c r="AN63" s="84">
        <v>0</v>
      </c>
      <c r="AO63" s="84"/>
      <c r="AP63" s="84"/>
      <c r="AQ63" s="85">
        <v>0</v>
      </c>
      <c r="AR63" s="84">
        <v>0</v>
      </c>
      <c r="AS63" s="84">
        <v>0</v>
      </c>
      <c r="AT63" s="84"/>
      <c r="AU63" s="85">
        <v>0</v>
      </c>
      <c r="AV63" s="84">
        <v>0</v>
      </c>
      <c r="AW63" s="84">
        <v>0</v>
      </c>
      <c r="AX63" s="84"/>
      <c r="AY63" s="85">
        <v>0</v>
      </c>
      <c r="AZ63" s="84">
        <v>0</v>
      </c>
      <c r="BA63" s="84">
        <v>0</v>
      </c>
      <c r="BB63" s="84">
        <v>0</v>
      </c>
      <c r="BC63" s="82">
        <f t="shared" ref="BC63:BK63" si="154">BB63</f>
        <v>0</v>
      </c>
      <c r="BD63" s="81">
        <f t="shared" si="154"/>
        <v>0</v>
      </c>
      <c r="BE63" s="81">
        <f t="shared" si="154"/>
        <v>0</v>
      </c>
      <c r="BF63" s="81">
        <f t="shared" si="154"/>
        <v>0</v>
      </c>
      <c r="BG63" s="82">
        <f t="shared" si="154"/>
        <v>0</v>
      </c>
      <c r="BH63" s="81">
        <f t="shared" si="154"/>
        <v>0</v>
      </c>
      <c r="BI63" s="81">
        <f t="shared" si="154"/>
        <v>0</v>
      </c>
      <c r="BJ63" s="81">
        <f t="shared" si="154"/>
        <v>0</v>
      </c>
      <c r="BK63" s="82">
        <f t="shared" si="154"/>
        <v>0</v>
      </c>
      <c r="BL63" s="20"/>
      <c r="BM63" s="81">
        <f>G63</f>
        <v>0</v>
      </c>
      <c r="BN63" s="81">
        <f>K63</f>
        <v>0</v>
      </c>
      <c r="BO63" s="81">
        <f>O63</f>
        <v>0</v>
      </c>
      <c r="BP63" s="81">
        <f>S63</f>
        <v>0</v>
      </c>
      <c r="BQ63" s="81">
        <f>W63</f>
        <v>0</v>
      </c>
      <c r="BR63" s="81">
        <f>AA63</f>
        <v>0</v>
      </c>
      <c r="BS63" s="81">
        <f>AE63</f>
        <v>0</v>
      </c>
      <c r="BT63" s="81">
        <f>AI63</f>
        <v>0</v>
      </c>
      <c r="BU63" s="81">
        <f>AM63</f>
        <v>0</v>
      </c>
      <c r="BV63" s="81">
        <f>AQ63</f>
        <v>0</v>
      </c>
      <c r="BW63" s="81">
        <f>AU63</f>
        <v>0</v>
      </c>
      <c r="BX63" s="81">
        <f>AY63</f>
        <v>0</v>
      </c>
      <c r="BY63" s="81">
        <f>BC63</f>
        <v>0</v>
      </c>
      <c r="BZ63" s="81">
        <f>BG63</f>
        <v>0</v>
      </c>
      <c r="CA63" s="81">
        <f>BK63</f>
        <v>0</v>
      </c>
      <c r="CB63" s="945">
        <f>CA63</f>
        <v>0</v>
      </c>
      <c r="CC63" s="20"/>
      <c r="CD63" s="81">
        <f>J63</f>
        <v>0</v>
      </c>
      <c r="CE63" s="81">
        <f>N63</f>
        <v>0</v>
      </c>
      <c r="CF63" s="81">
        <f>R63</f>
        <v>0</v>
      </c>
      <c r="CG63" s="81">
        <f>V63</f>
        <v>0</v>
      </c>
      <c r="CH63" s="81">
        <f>Z63</f>
        <v>0</v>
      </c>
      <c r="CI63" s="81">
        <f>AD63</f>
        <v>0</v>
      </c>
      <c r="CJ63" s="81">
        <f>AH63</f>
        <v>0</v>
      </c>
      <c r="CK63" s="81">
        <f>AL63</f>
        <v>0</v>
      </c>
      <c r="CL63" s="81">
        <f>AP63</f>
        <v>0</v>
      </c>
      <c r="CM63" s="81">
        <f>AT63</f>
        <v>0</v>
      </c>
      <c r="CN63" s="81">
        <f>AX63</f>
        <v>0</v>
      </c>
      <c r="CO63" s="81">
        <f>BB63</f>
        <v>0</v>
      </c>
      <c r="CP63" s="81">
        <f>BF63</f>
        <v>0</v>
      </c>
      <c r="CQ63" s="81">
        <f>BJ63</f>
        <v>0</v>
      </c>
      <c r="CR63" s="755"/>
      <c r="CS63" s="808"/>
      <c r="CZ63" s="8"/>
    </row>
    <row r="64" spans="1:104" ht="14.25" customHeight="1">
      <c r="A64" s="8"/>
      <c r="B64" s="107" t="s">
        <v>128</v>
      </c>
      <c r="C64" s="108"/>
      <c r="D64" s="83">
        <v>1815.1590000000001</v>
      </c>
      <c r="E64" s="84">
        <v>1373.6659999999999</v>
      </c>
      <c r="F64" s="84">
        <v>1314.914</v>
      </c>
      <c r="G64" s="85">
        <v>1334.53</v>
      </c>
      <c r="H64" s="83">
        <v>1338.9159999999999</v>
      </c>
      <c r="I64" s="84">
        <v>1352.4159999999999</v>
      </c>
      <c r="J64" s="84">
        <v>1327.5920000000001</v>
      </c>
      <c r="K64" s="85">
        <v>916.29200000000003</v>
      </c>
      <c r="L64" s="83">
        <v>973.79</v>
      </c>
      <c r="M64" s="84">
        <v>955.36300000000006</v>
      </c>
      <c r="N64" s="84">
        <v>870.28300000000002</v>
      </c>
      <c r="O64" s="85">
        <v>805.04200000000003</v>
      </c>
      <c r="P64" s="83">
        <v>780.93100000000004</v>
      </c>
      <c r="Q64" s="84">
        <v>764.94899999999996</v>
      </c>
      <c r="R64" s="84">
        <v>865.96600000000001</v>
      </c>
      <c r="S64" s="85">
        <v>879.11800000000005</v>
      </c>
      <c r="T64" s="83">
        <v>878.54899999999998</v>
      </c>
      <c r="U64" s="84">
        <v>903.84400000000005</v>
      </c>
      <c r="V64" s="84">
        <v>959.90899999999999</v>
      </c>
      <c r="W64" s="85">
        <v>1016.545</v>
      </c>
      <c r="X64" s="84">
        <v>886.83500000000004</v>
      </c>
      <c r="Y64" s="84">
        <v>1009.448</v>
      </c>
      <c r="Z64" s="84">
        <v>1120.1120000000001</v>
      </c>
      <c r="AA64" s="85">
        <v>1238.0440000000001</v>
      </c>
      <c r="AB64" s="84">
        <v>1322.3779999999999</v>
      </c>
      <c r="AC64" s="84">
        <v>1361.5519999999999</v>
      </c>
      <c r="AD64" s="84">
        <f>1429.913</f>
        <v>1429.913</v>
      </c>
      <c r="AE64" s="85">
        <v>1502.327</v>
      </c>
      <c r="AF64" s="84">
        <v>1546.0260000000001</v>
      </c>
      <c r="AG64" s="84">
        <v>1563.6759999999999</v>
      </c>
      <c r="AH64" s="84">
        <v>1602.924</v>
      </c>
      <c r="AI64" s="85">
        <v>1675.722</v>
      </c>
      <c r="AJ64" s="84">
        <v>1766.7380000000001</v>
      </c>
      <c r="AK64" s="84">
        <v>1814.0809999999999</v>
      </c>
      <c r="AL64" s="84">
        <v>1889.019</v>
      </c>
      <c r="AM64" s="85">
        <v>1945.471</v>
      </c>
      <c r="AN64" s="84">
        <v>1999.751</v>
      </c>
      <c r="AO64" s="84">
        <v>1977.1849999999999</v>
      </c>
      <c r="AP64" s="84">
        <v>1988.501</v>
      </c>
      <c r="AQ64" s="85">
        <v>1966.278</v>
      </c>
      <c r="AR64" s="84">
        <v>1959.037</v>
      </c>
      <c r="AS64" s="84">
        <v>1932.046</v>
      </c>
      <c r="AT64" s="84">
        <v>1898.2380000000001</v>
      </c>
      <c r="AU64" s="85">
        <v>1867.066</v>
      </c>
      <c r="AV64" s="84">
        <v>1863.8869999999999</v>
      </c>
      <c r="AW64" s="84">
        <v>1854.32</v>
      </c>
      <c r="AX64" s="84">
        <v>1729.4459999999999</v>
      </c>
      <c r="AY64" s="85">
        <v>1726.3119999999999</v>
      </c>
      <c r="AZ64" s="84">
        <v>1743.597</v>
      </c>
      <c r="BA64" s="84">
        <v>1675.8579999999999</v>
      </c>
      <c r="BB64" s="84">
        <v>1528.393</v>
      </c>
      <c r="BC64" s="82">
        <f>BB64+IS!BC74-BC63</f>
        <v>1694.0519999999999</v>
      </c>
      <c r="BD64" s="81">
        <f>BC64+IS!BD74-BD63</f>
        <v>1883.9367640509599</v>
      </c>
      <c r="BE64" s="81">
        <f>BD64+IS!BE74-BE63</f>
        <v>2072.32932258357</v>
      </c>
      <c r="BF64" s="81">
        <f>BE64+IS!BF74-BF63</f>
        <v>2259.1612047797826</v>
      </c>
      <c r="BG64" s="82">
        <f>BF64+IS!BG74-BG63</f>
        <v>2450.5577395339064</v>
      </c>
      <c r="BH64" s="81">
        <f>BG64+IS!BH74-BH63</f>
        <v>2651.4316669459176</v>
      </c>
      <c r="BI64" s="81">
        <f>BH64+IS!BI74-BI63</f>
        <v>2855.9334887091154</v>
      </c>
      <c r="BJ64" s="81">
        <f>BI64+IS!BJ74-BJ63</f>
        <v>3059.3906074825818</v>
      </c>
      <c r="BK64" s="82">
        <f>BJ64+IS!BK74-BK63</f>
        <v>3266.9956478430145</v>
      </c>
      <c r="BL64" s="20"/>
      <c r="BM64" s="81">
        <f>G64</f>
        <v>1334.53</v>
      </c>
      <c r="BN64" s="81">
        <f>K64</f>
        <v>916.29200000000003</v>
      </c>
      <c r="BO64" s="81">
        <f>O64</f>
        <v>805.04200000000003</v>
      </c>
      <c r="BP64" s="81">
        <f>S64</f>
        <v>879.11800000000005</v>
      </c>
      <c r="BQ64" s="81">
        <f>W64</f>
        <v>1016.545</v>
      </c>
      <c r="BR64" s="81">
        <f>AA64</f>
        <v>1238.0440000000001</v>
      </c>
      <c r="BS64" s="81">
        <f>AE64</f>
        <v>1502.327</v>
      </c>
      <c r="BT64" s="81">
        <f>AI64</f>
        <v>1675.722</v>
      </c>
      <c r="BU64" s="81">
        <f>AM64</f>
        <v>1945.471</v>
      </c>
      <c r="BV64" s="81">
        <f>AQ64</f>
        <v>1966.278</v>
      </c>
      <c r="BW64" s="81">
        <f>AU64</f>
        <v>1867.066</v>
      </c>
      <c r="BX64" s="81">
        <f>AY64</f>
        <v>1726.3119999999999</v>
      </c>
      <c r="BY64" s="81">
        <f>BC64</f>
        <v>1694.0519999999999</v>
      </c>
      <c r="BZ64" s="81">
        <f>BG64</f>
        <v>2450.5577395339064</v>
      </c>
      <c r="CA64" s="81">
        <f>BK64</f>
        <v>3266.9956478430145</v>
      </c>
      <c r="CB64" s="945">
        <f>CA64+IS!CB74-CB63</f>
        <v>4128.2187406520261</v>
      </c>
      <c r="CC64" s="20"/>
      <c r="CD64" s="81">
        <f>J64</f>
        <v>1327.5920000000001</v>
      </c>
      <c r="CE64" s="81">
        <f>N64</f>
        <v>870.28300000000002</v>
      </c>
      <c r="CF64" s="81">
        <f>R64</f>
        <v>865.96600000000001</v>
      </c>
      <c r="CG64" s="81">
        <f>V64</f>
        <v>959.90899999999999</v>
      </c>
      <c r="CH64" s="81">
        <f>Z64</f>
        <v>1120.1120000000001</v>
      </c>
      <c r="CI64" s="81">
        <f>AD64</f>
        <v>1429.913</v>
      </c>
      <c r="CJ64" s="81">
        <f>AH64</f>
        <v>1602.924</v>
      </c>
      <c r="CK64" s="81">
        <f>AL64</f>
        <v>1889.019</v>
      </c>
      <c r="CL64" s="81">
        <f>AP64</f>
        <v>1988.501</v>
      </c>
      <c r="CM64" s="81">
        <f>AT64</f>
        <v>1898.2380000000001</v>
      </c>
      <c r="CN64" s="81">
        <f>AX64</f>
        <v>1729.4459999999999</v>
      </c>
      <c r="CO64" s="81">
        <f>BB64</f>
        <v>1528.393</v>
      </c>
      <c r="CP64" s="81">
        <f>BF64</f>
        <v>2259.1612047797826</v>
      </c>
      <c r="CQ64" s="81">
        <f>BJ64</f>
        <v>3059.3906074825818</v>
      </c>
      <c r="CR64" s="755"/>
      <c r="CS64" s="808"/>
      <c r="CZ64" s="8"/>
    </row>
    <row r="65" spans="1:104" ht="14.25" customHeight="1">
      <c r="A65" s="8"/>
      <c r="B65" s="107" t="s">
        <v>129</v>
      </c>
      <c r="C65" s="108"/>
      <c r="D65" s="83">
        <v>31.882000000000001</v>
      </c>
      <c r="E65" s="84">
        <v>23.140999999999998</v>
      </c>
      <c r="F65" s="84">
        <v>-5.444</v>
      </c>
      <c r="G65" s="185">
        <v>15.808999999999999</v>
      </c>
      <c r="H65" s="83">
        <v>7.88</v>
      </c>
      <c r="I65" s="84">
        <v>1.5129999999999999</v>
      </c>
      <c r="J65" s="84">
        <v>6.6820000000000004</v>
      </c>
      <c r="K65" s="185">
        <v>3.601</v>
      </c>
      <c r="L65" s="83">
        <v>4.6890000000000001</v>
      </c>
      <c r="M65" s="84">
        <v>3.9569999999999999</v>
      </c>
      <c r="N65" s="84">
        <v>0.185</v>
      </c>
      <c r="O65" s="185">
        <v>5.8040000000000003</v>
      </c>
      <c r="P65" s="83">
        <v>3.008</v>
      </c>
      <c r="Q65" s="84">
        <v>-12.507</v>
      </c>
      <c r="R65" s="84">
        <v>-20.109000000000002</v>
      </c>
      <c r="S65" s="185">
        <v>-18.858000000000001</v>
      </c>
      <c r="T65" s="83">
        <v>-3.1589999999999998</v>
      </c>
      <c r="U65" s="84">
        <v>4.7149999999999999</v>
      </c>
      <c r="V65" s="84">
        <v>3.4860000000000002</v>
      </c>
      <c r="W65" s="185">
        <v>-1.2210000000000001</v>
      </c>
      <c r="X65" s="84">
        <v>1.1240000000000001</v>
      </c>
      <c r="Y65" s="84">
        <v>8.4060000000000006</v>
      </c>
      <c r="Z65" s="84">
        <v>7.4649999999999999</v>
      </c>
      <c r="AA65" s="85">
        <v>10.516999999999999</v>
      </c>
      <c r="AB65" s="84">
        <v>13.319000000000001</v>
      </c>
      <c r="AC65" s="84">
        <v>6.37</v>
      </c>
      <c r="AD65" s="84">
        <v>4.2999999999999997E-2</v>
      </c>
      <c r="AE65" s="85">
        <v>7.2640000000000002</v>
      </c>
      <c r="AF65" s="84">
        <v>4.9169999999999998</v>
      </c>
      <c r="AG65" s="84">
        <v>18.571999999999999</v>
      </c>
      <c r="AH65" s="84">
        <v>15.163</v>
      </c>
      <c r="AI65" s="85">
        <v>8.66</v>
      </c>
      <c r="AJ65" s="84">
        <f>-10.082+362.854</f>
        <v>352.77199999999999</v>
      </c>
      <c r="AK65" s="84">
        <f>-4.561+359.549</f>
        <v>354.988</v>
      </c>
      <c r="AL65" s="84">
        <v>-7.548</v>
      </c>
      <c r="AM65" s="85">
        <f>-0.548+34.999</f>
        <v>34.451000000000001</v>
      </c>
      <c r="AN65" s="84">
        <f>6.926+32.236</f>
        <v>39.161999999999999</v>
      </c>
      <c r="AO65" s="84">
        <v>-2.12</v>
      </c>
      <c r="AP65" s="84">
        <f>-7.984+26.71</f>
        <v>18.725999999999999</v>
      </c>
      <c r="AQ65" s="85">
        <f>-11.149+23.947</f>
        <v>12.798</v>
      </c>
      <c r="AR65" s="84">
        <v>-13.186</v>
      </c>
      <c r="AS65" s="84">
        <v>-14.506</v>
      </c>
      <c r="AT65" s="84">
        <v>-21.388999999999999</v>
      </c>
      <c r="AU65" s="85">
        <v>-6.6310000000000002</v>
      </c>
      <c r="AV65" s="84">
        <v>-3.4049999999999998</v>
      </c>
      <c r="AW65" s="84">
        <v>-5.2089999999999996</v>
      </c>
      <c r="AX65" s="84">
        <v>-30.440999999999999</v>
      </c>
      <c r="AY65" s="185">
        <v>-24.681000000000001</v>
      </c>
      <c r="AZ65" s="84">
        <v>-16.632000000000001</v>
      </c>
      <c r="BA65" s="84">
        <v>-16.219000000000001</v>
      </c>
      <c r="BB65" s="84">
        <v>-21.503</v>
      </c>
      <c r="BC65" s="81">
        <f>BB65+CFS!BC18+CFS!BC37+CFS!BC45+CFS!BC42+CFS!BC48+CFS!BC34+CFS!BC44+CFS!BC19+CFS!BC15+CFS!BC16+CFS!BC36</f>
        <v>-274.25300000000004</v>
      </c>
      <c r="BD65" s="81">
        <f>BC65+CFS!BD18+CFS!BD37+CFS!BD45+CFS!BD42+CFS!BD48+CFS!BD34+CFS!BD44+CFS!BD19+CFS!BD15+CFS!BD16+CFS!BD36</f>
        <v>-463.55500000000006</v>
      </c>
      <c r="BE65" s="81">
        <f>BD65+CFS!BE18+CFS!BE37+CFS!BE45+CFS!BE42+CFS!BE48+CFS!BE34+CFS!BE44+CFS!BE19+CFS!BE15+CFS!BE16+CFS!BE36</f>
        <v>-652.85700000000008</v>
      </c>
      <c r="BF65" s="81">
        <f>BE65+CFS!BF18+CFS!BF37+CFS!BF45+CFS!BF42+CFS!BF48+CFS!BF34+CFS!BF44+CFS!BF19+CFS!BF15+CFS!BF16+CFS!BF36</f>
        <v>-842.15900000000011</v>
      </c>
      <c r="BG65" s="81">
        <f>BF65+CFS!BG18+CFS!BG37+CFS!BG45+CFS!BG42+CFS!BG48+CFS!BG34+CFS!BG44+CFS!BG19+CFS!BG15+CFS!BG16+CFS!BG36</f>
        <v>-1031.4610000000002</v>
      </c>
      <c r="BH65" s="81">
        <f>BG65+CFS!BH18+CFS!BH37+CFS!BH45+CFS!BH42+CFS!BH48+CFS!BH34+CFS!BH44+CFS!BH19+CFS!BH15+CFS!BH16+CFS!BH36</f>
        <v>-1220.7630000000004</v>
      </c>
      <c r="BI65" s="81">
        <f>BH65+CFS!BI18+CFS!BI37+CFS!BI45+CFS!BI42+CFS!BI48+CFS!BI34+CFS!BI44+CFS!BI19+CFS!BI15+CFS!BI16+CFS!BI36</f>
        <v>-1410.0650000000005</v>
      </c>
      <c r="BJ65" s="81">
        <f>BI65+CFS!BJ18+CFS!BJ37+CFS!BJ45+CFS!BJ42+CFS!BJ48+CFS!BJ34+CFS!BJ44+CFS!BJ19+CFS!BJ15+CFS!BJ16+CFS!BJ36</f>
        <v>-1599.3670000000006</v>
      </c>
      <c r="BK65" s="81">
        <f>BJ65+CFS!BK18+CFS!BK37+CFS!BK45+CFS!BK42+CFS!BK48+CFS!BK34+CFS!BK44+CFS!BK19+CFS!BK15+CFS!BK16+CFS!BK36</f>
        <v>-1788.6690000000008</v>
      </c>
      <c r="BL65" s="20"/>
      <c r="BM65" s="81">
        <f>G65</f>
        <v>15.808999999999999</v>
      </c>
      <c r="BN65" s="81">
        <f>K65</f>
        <v>3.601</v>
      </c>
      <c r="BO65" s="81">
        <f>O65</f>
        <v>5.8040000000000003</v>
      </c>
      <c r="BP65" s="81">
        <f>S65</f>
        <v>-18.858000000000001</v>
      </c>
      <c r="BQ65" s="81">
        <f>W65</f>
        <v>-1.2210000000000001</v>
      </c>
      <c r="BR65" s="81">
        <f>AA65</f>
        <v>10.516999999999999</v>
      </c>
      <c r="BS65" s="81">
        <f>AE65</f>
        <v>7.2640000000000002</v>
      </c>
      <c r="BT65" s="81">
        <f>AI65</f>
        <v>8.66</v>
      </c>
      <c r="BU65" s="81">
        <f>AM65</f>
        <v>34.451000000000001</v>
      </c>
      <c r="BV65" s="81">
        <f>AQ65</f>
        <v>12.798</v>
      </c>
      <c r="BW65" s="81">
        <f>AU65</f>
        <v>-6.6310000000000002</v>
      </c>
      <c r="BX65" s="81">
        <f>AY65</f>
        <v>-24.681000000000001</v>
      </c>
      <c r="BY65" s="81">
        <f>BC65</f>
        <v>-274.25300000000004</v>
      </c>
      <c r="BZ65" s="81">
        <f>BG65</f>
        <v>-1031.4610000000002</v>
      </c>
      <c r="CA65" s="81">
        <f>BK65</f>
        <v>-1788.6690000000008</v>
      </c>
      <c r="CB65" s="945">
        <f>CA65+CFS!CB18+CFS!CB37+CFS!CB42+CFS!CB48+CFS!CB34+CFS!CB44+CFS!CB19+CFS!CB15+CFS!CB16+CFS!CB36+CFS!CB35</f>
        <v>-2432.429000000001</v>
      </c>
      <c r="CC65" s="20"/>
      <c r="CD65" s="81">
        <f>J65</f>
        <v>6.6820000000000004</v>
      </c>
      <c r="CE65" s="81">
        <f>N65</f>
        <v>0.185</v>
      </c>
      <c r="CF65" s="81">
        <f>R65</f>
        <v>-20.109000000000002</v>
      </c>
      <c r="CG65" s="81">
        <f>V65</f>
        <v>3.4860000000000002</v>
      </c>
      <c r="CH65" s="81">
        <f>Z65</f>
        <v>7.4649999999999999</v>
      </c>
      <c r="CI65" s="81">
        <f>AD65</f>
        <v>4.2999999999999997E-2</v>
      </c>
      <c r="CJ65" s="81">
        <f>AH65</f>
        <v>15.163</v>
      </c>
      <c r="CK65" s="81">
        <f>AL65</f>
        <v>-7.548</v>
      </c>
      <c r="CL65" s="81">
        <f>AP65</f>
        <v>18.725999999999999</v>
      </c>
      <c r="CM65" s="81">
        <f>AT65</f>
        <v>-21.388999999999999</v>
      </c>
      <c r="CN65" s="81">
        <f>AX65</f>
        <v>-30.440999999999999</v>
      </c>
      <c r="CO65" s="81">
        <f>BB65</f>
        <v>-21.503</v>
      </c>
      <c r="CP65" s="81">
        <f>BF65</f>
        <v>-842.15900000000011</v>
      </c>
      <c r="CQ65" s="81">
        <f>BJ65</f>
        <v>-1599.3670000000006</v>
      </c>
      <c r="CR65" s="755"/>
      <c r="CS65" s="808"/>
      <c r="CZ65" s="8"/>
    </row>
    <row r="66" spans="1:104" ht="14.25" customHeight="1">
      <c r="A66" s="8"/>
      <c r="B66" s="150" t="s">
        <v>111</v>
      </c>
      <c r="C66" s="151"/>
      <c r="D66" s="143">
        <f>D61+D64+D65</f>
        <v>2710.7159999999999</v>
      </c>
      <c r="E66" s="141">
        <f>E61+E64+E65</f>
        <v>2767.7419999999997</v>
      </c>
      <c r="F66" s="141">
        <f>F61+F64+F65</f>
        <v>2692.1929999999998</v>
      </c>
      <c r="G66" s="142">
        <f>G61+G64+G65</f>
        <v>2728.8850000000002</v>
      </c>
      <c r="H66" s="143">
        <f t="shared" ref="H66:AA66" si="155">H61+H64+H65</f>
        <v>2715.136</v>
      </c>
      <c r="I66" s="141">
        <f t="shared" si="155"/>
        <v>2698.1669999999999</v>
      </c>
      <c r="J66" s="141">
        <f t="shared" si="155"/>
        <v>2667.8139999999999</v>
      </c>
      <c r="K66" s="142">
        <f t="shared" si="155"/>
        <v>1772.7400000000002</v>
      </c>
      <c r="L66" s="143">
        <f t="shared" si="155"/>
        <v>1895.9660000000001</v>
      </c>
      <c r="M66" s="141">
        <f t="shared" si="155"/>
        <v>1842.0560000000003</v>
      </c>
      <c r="N66" s="141">
        <f t="shared" si="155"/>
        <v>1734.7259999999999</v>
      </c>
      <c r="O66" s="142">
        <f t="shared" si="155"/>
        <v>1671.8230000000001</v>
      </c>
      <c r="P66" s="143">
        <f t="shared" si="155"/>
        <v>1609.5910000000001</v>
      </c>
      <c r="Q66" s="141">
        <f t="shared" si="155"/>
        <v>1559.8939999999998</v>
      </c>
      <c r="R66" s="141">
        <f t="shared" si="155"/>
        <v>1668.4830000000002</v>
      </c>
      <c r="S66" s="142">
        <f t="shared" si="155"/>
        <v>1948.76</v>
      </c>
      <c r="T66" s="143">
        <f t="shared" si="155"/>
        <v>1912.078</v>
      </c>
      <c r="U66" s="141">
        <f t="shared" si="155"/>
        <v>1966.1379999999999</v>
      </c>
      <c r="V66" s="141">
        <f t="shared" si="155"/>
        <v>2033.9080000000001</v>
      </c>
      <c r="W66" s="142">
        <f t="shared" si="155"/>
        <v>2120.4699999999998</v>
      </c>
      <c r="X66" s="143">
        <f t="shared" si="155"/>
        <v>1867.123</v>
      </c>
      <c r="Y66" s="141">
        <f t="shared" si="155"/>
        <v>2027.231</v>
      </c>
      <c r="Z66" s="141">
        <f t="shared" si="155"/>
        <v>2173.6060000000002</v>
      </c>
      <c r="AA66" s="142">
        <f t="shared" si="155"/>
        <v>2414.6170000000002</v>
      </c>
      <c r="AB66" s="143">
        <f t="shared" ref="AB66:AS66" si="156">AB61+AB64+AB65</f>
        <v>2500.0679999999998</v>
      </c>
      <c r="AC66" s="141">
        <f t="shared" si="156"/>
        <v>2492.4139999999998</v>
      </c>
      <c r="AD66" s="141">
        <f t="shared" si="156"/>
        <v>2560.9760000000001</v>
      </c>
      <c r="AE66" s="142">
        <f t="shared" si="156"/>
        <v>2707.6850000000004</v>
      </c>
      <c r="AF66" s="143">
        <f t="shared" si="156"/>
        <v>2704.0800000000004</v>
      </c>
      <c r="AG66" s="141">
        <f t="shared" si="156"/>
        <v>2751.6909999999998</v>
      </c>
      <c r="AH66" s="141">
        <f t="shared" si="156"/>
        <v>2816.125</v>
      </c>
      <c r="AI66" s="142">
        <f t="shared" si="156"/>
        <v>2963.2959999999998</v>
      </c>
      <c r="AJ66" s="143">
        <f t="shared" si="156"/>
        <v>3089.8519999999999</v>
      </c>
      <c r="AK66" s="141">
        <f t="shared" si="156"/>
        <v>3231.8759999999997</v>
      </c>
      <c r="AL66" s="141">
        <f t="shared" si="156"/>
        <v>2921.7280000000001</v>
      </c>
      <c r="AM66" s="142">
        <f>AM61+AM64+AM65</f>
        <v>2787.681</v>
      </c>
      <c r="AN66" s="141">
        <f t="shared" si="156"/>
        <v>2829.6</v>
      </c>
      <c r="AO66" s="141">
        <f>AO61+AO64+AO65</f>
        <v>2713.9610000000002</v>
      </c>
      <c r="AP66" s="141">
        <f>AP61+AP64+AP65</f>
        <v>2700.1889999999999</v>
      </c>
      <c r="AQ66" s="142">
        <f t="shared" si="156"/>
        <v>2635.5409999999997</v>
      </c>
      <c r="AR66" s="141">
        <f t="shared" si="156"/>
        <v>2626.6299999999997</v>
      </c>
      <c r="AS66" s="141">
        <f t="shared" si="156"/>
        <v>2603.2490000000003</v>
      </c>
      <c r="AT66" s="141">
        <f t="shared" ref="AT66:AY66" si="157">AT61+AT64+AT65</f>
        <v>2589.7039999999997</v>
      </c>
      <c r="AU66" s="142">
        <f t="shared" si="157"/>
        <v>2589.8930000000005</v>
      </c>
      <c r="AV66" s="141">
        <f t="shared" si="157"/>
        <v>2589.6719999999996</v>
      </c>
      <c r="AW66" s="141">
        <f t="shared" si="157"/>
        <v>2625.1469999999999</v>
      </c>
      <c r="AX66" s="141">
        <f>AX61+AX64+AX65</f>
        <v>2479.6030000000001</v>
      </c>
      <c r="AY66" s="142">
        <f t="shared" si="157"/>
        <v>2507.6329999999998</v>
      </c>
      <c r="AZ66" s="141">
        <f>AZ61+AZ64+AZ65</f>
        <v>2538.2669999999998</v>
      </c>
      <c r="BA66" s="141">
        <f>BA61+BA64+BA65</f>
        <v>2486.0829999999996</v>
      </c>
      <c r="BB66" s="141">
        <f t="shared" ref="BB66:BG66" si="158">BB61+BB64+BB65</f>
        <v>2364.634</v>
      </c>
      <c r="BC66" s="142">
        <f t="shared" si="158"/>
        <v>2330.2350000000001</v>
      </c>
      <c r="BD66" s="141">
        <f t="shared" si="158"/>
        <v>2379.42376405096</v>
      </c>
      <c r="BE66" s="141">
        <f t="shared" si="158"/>
        <v>2427.1203225835702</v>
      </c>
      <c r="BF66" s="141">
        <f t="shared" si="158"/>
        <v>2473.2562047797828</v>
      </c>
      <c r="BG66" s="142">
        <f t="shared" si="158"/>
        <v>2523.9567395339063</v>
      </c>
      <c r="BH66" s="141">
        <f>BH61+BH64+BH65</f>
        <v>2584.1346669459176</v>
      </c>
      <c r="BI66" s="141">
        <f>BI61+BI64+BI65</f>
        <v>2647.940488709115</v>
      </c>
      <c r="BJ66" s="141">
        <f>BJ61+BJ64+BJ65</f>
        <v>2710.7016074825819</v>
      </c>
      <c r="BK66" s="142">
        <f>BK61+BK64+BK65</f>
        <v>2777.6106478430138</v>
      </c>
      <c r="BL66" s="20"/>
      <c r="BM66" s="141">
        <f>BM61+BM64+BM65</f>
        <v>2728.8850000000002</v>
      </c>
      <c r="BN66" s="141">
        <f>BN61+BN64+BN65</f>
        <v>1772.7400000000002</v>
      </c>
      <c r="BO66" s="141">
        <f>BO61+BO64+BO65</f>
        <v>1671.8230000000001</v>
      </c>
      <c r="BP66" s="141">
        <f>BP61+BP64+BP65</f>
        <v>1948.76</v>
      </c>
      <c r="BQ66" s="141">
        <f t="shared" ref="BQ66:BW66" si="159">BQ61+BQ64+BQ65</f>
        <v>2120.4699999999998</v>
      </c>
      <c r="BR66" s="141">
        <f t="shared" si="159"/>
        <v>2414.6170000000002</v>
      </c>
      <c r="BS66" s="141">
        <f t="shared" si="159"/>
        <v>2707.6850000000004</v>
      </c>
      <c r="BT66" s="141">
        <f t="shared" si="159"/>
        <v>2963.2959999999998</v>
      </c>
      <c r="BU66" s="141">
        <f t="shared" si="159"/>
        <v>2787.681</v>
      </c>
      <c r="BV66" s="141">
        <f t="shared" si="159"/>
        <v>2635.5409999999997</v>
      </c>
      <c r="BW66" s="141">
        <f t="shared" si="159"/>
        <v>2589.8930000000005</v>
      </c>
      <c r="BX66" s="141">
        <f>BX61+BX64+BX65</f>
        <v>2507.6329999999998</v>
      </c>
      <c r="BY66" s="141">
        <f>BY61+BY64+BY65</f>
        <v>2330.2350000000001</v>
      </c>
      <c r="BZ66" s="141">
        <f>BZ61+BZ64+BZ65</f>
        <v>2523.9567395339063</v>
      </c>
      <c r="CA66" s="141">
        <f>CA61+CA64+CA65</f>
        <v>2777.6106478430138</v>
      </c>
      <c r="CB66" s="967">
        <f>CB61+CB64+CB65</f>
        <v>3189.4977406520256</v>
      </c>
      <c r="CC66" s="20"/>
      <c r="CD66" s="141">
        <f t="shared" ref="CD66:CM66" si="160">CD61+CD64+CD65</f>
        <v>2667.8139999999999</v>
      </c>
      <c r="CE66" s="141">
        <f t="shared" si="160"/>
        <v>1734.7259999999999</v>
      </c>
      <c r="CF66" s="141">
        <f t="shared" si="160"/>
        <v>1668.4830000000002</v>
      </c>
      <c r="CG66" s="141">
        <f t="shared" si="160"/>
        <v>2033.9080000000001</v>
      </c>
      <c r="CH66" s="141">
        <f t="shared" si="160"/>
        <v>2173.6060000000002</v>
      </c>
      <c r="CI66" s="141">
        <f t="shared" si="160"/>
        <v>2560.9760000000001</v>
      </c>
      <c r="CJ66" s="141">
        <f t="shared" si="160"/>
        <v>2816.125</v>
      </c>
      <c r="CK66" s="141">
        <f t="shared" si="160"/>
        <v>2921.7280000000001</v>
      </c>
      <c r="CL66" s="141">
        <f t="shared" si="160"/>
        <v>2700.1889999999999</v>
      </c>
      <c r="CM66" s="141">
        <f t="shared" si="160"/>
        <v>2589.7039999999997</v>
      </c>
      <c r="CN66" s="141">
        <f>CN61+CN64+CN65</f>
        <v>2479.6030000000001</v>
      </c>
      <c r="CO66" s="141">
        <f>CO61+CO64+CO65</f>
        <v>2364.634</v>
      </c>
      <c r="CP66" s="141">
        <f>CP61+CP64+CP65</f>
        <v>2473.2562047797828</v>
      </c>
      <c r="CQ66" s="141">
        <f>CQ61+CQ64+CQ65</f>
        <v>2710.7016074825819</v>
      </c>
      <c r="CR66" s="22"/>
      <c r="CS66" s="14"/>
      <c r="CZ66" s="8"/>
    </row>
    <row r="67" spans="1:104" ht="14.25" customHeight="1">
      <c r="A67" s="8"/>
      <c r="B67" s="186"/>
      <c r="C67" s="186"/>
      <c r="D67" s="81"/>
      <c r="E67" s="81"/>
      <c r="F67" s="81"/>
      <c r="G67" s="187"/>
      <c r="H67" s="81"/>
      <c r="I67" s="81"/>
      <c r="J67" s="81"/>
      <c r="K67" s="187"/>
      <c r="L67" s="81"/>
      <c r="M67" s="81"/>
      <c r="N67" s="81"/>
      <c r="O67" s="187"/>
      <c r="P67" s="81"/>
      <c r="Q67" s="81"/>
      <c r="R67" s="81"/>
      <c r="S67" s="187"/>
      <c r="T67" s="81"/>
      <c r="U67" s="81"/>
      <c r="V67" s="81"/>
      <c r="W67" s="81"/>
      <c r="X67" s="81"/>
      <c r="Y67" s="81"/>
      <c r="Z67" s="81"/>
      <c r="AA67" s="187"/>
      <c r="AB67" s="81"/>
      <c r="AC67" s="81"/>
      <c r="AD67" s="81"/>
      <c r="AE67" s="187"/>
      <c r="AF67" s="81"/>
      <c r="AG67" s="81"/>
      <c r="AH67" s="81"/>
      <c r="AI67" s="187"/>
      <c r="AJ67" s="81"/>
      <c r="AK67" s="81"/>
      <c r="AL67" s="81"/>
      <c r="AM67" s="187"/>
      <c r="AN67" s="81"/>
      <c r="AO67" s="81"/>
      <c r="AP67" s="81"/>
      <c r="AQ67" s="187"/>
      <c r="AR67" s="81"/>
      <c r="AS67" s="81"/>
      <c r="AT67" s="81"/>
      <c r="AU67" s="187"/>
      <c r="AV67" s="81"/>
      <c r="AW67" s="81"/>
      <c r="AX67" s="81"/>
      <c r="AY67" s="187"/>
      <c r="AZ67" s="81"/>
      <c r="BA67" s="81"/>
      <c r="BB67" s="81"/>
      <c r="BC67" s="187"/>
      <c r="BD67" s="81"/>
      <c r="BE67" s="187"/>
      <c r="BF67" s="81"/>
      <c r="BG67" s="187"/>
      <c r="BH67" s="81"/>
      <c r="BI67" s="187"/>
      <c r="BJ67" s="81"/>
      <c r="BK67" s="187"/>
      <c r="BL67" s="14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187"/>
      <c r="BY67" s="187"/>
      <c r="BZ67" s="187"/>
      <c r="CA67" s="187"/>
      <c r="CB67" s="979"/>
      <c r="CC67" s="8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187"/>
      <c r="CQ67" s="187"/>
      <c r="CR67" s="8"/>
      <c r="CS67" s="8"/>
      <c r="CZ67" s="8"/>
    </row>
    <row r="68" spans="1:104" ht="14.25" customHeight="1">
      <c r="A68" s="8"/>
      <c r="B68" s="74" t="s">
        <v>130</v>
      </c>
      <c r="C68" s="75"/>
      <c r="D68" s="188">
        <f>D39</f>
        <v>2710.7159999999999</v>
      </c>
      <c r="E68" s="188">
        <f>E39</f>
        <v>2767.7420000000002</v>
      </c>
      <c r="F68" s="188">
        <f>F39</f>
        <v>2692.1930000000002</v>
      </c>
      <c r="G68" s="189">
        <f>G39</f>
        <v>2728.8850000000002</v>
      </c>
      <c r="H68" s="188">
        <f t="shared" ref="H68:AC68" si="161">H39</f>
        <v>2715.136</v>
      </c>
      <c r="I68" s="188">
        <f t="shared" si="161"/>
        <v>2698.1669999999999</v>
      </c>
      <c r="J68" s="188">
        <f t="shared" si="161"/>
        <v>2667.8139999999999</v>
      </c>
      <c r="K68" s="189">
        <f t="shared" si="161"/>
        <v>1772.74</v>
      </c>
      <c r="L68" s="188">
        <f t="shared" si="161"/>
        <v>1895.9659999999999</v>
      </c>
      <c r="M68" s="188">
        <f t="shared" si="161"/>
        <v>1842.056</v>
      </c>
      <c r="N68" s="188">
        <f t="shared" si="161"/>
        <v>1734.7260000000001</v>
      </c>
      <c r="O68" s="189">
        <f t="shared" si="161"/>
        <v>1671.8230000000001</v>
      </c>
      <c r="P68" s="188">
        <f t="shared" si="161"/>
        <v>1609.5909999999999</v>
      </c>
      <c r="Q68" s="188">
        <f t="shared" si="161"/>
        <v>1559.894</v>
      </c>
      <c r="R68" s="188">
        <f t="shared" si="161"/>
        <v>1668.4829999999999</v>
      </c>
      <c r="S68" s="189">
        <f t="shared" si="161"/>
        <v>1948.76</v>
      </c>
      <c r="T68" s="188">
        <f t="shared" si="161"/>
        <v>1912.078</v>
      </c>
      <c r="U68" s="188">
        <f t="shared" si="161"/>
        <v>1966.1379999999999</v>
      </c>
      <c r="V68" s="188">
        <f t="shared" si="161"/>
        <v>2033.9079999999999</v>
      </c>
      <c r="W68" s="188">
        <f t="shared" si="161"/>
        <v>2120.4699999999998</v>
      </c>
      <c r="X68" s="190">
        <f t="shared" si="161"/>
        <v>1867.123</v>
      </c>
      <c r="Y68" s="188">
        <f t="shared" si="161"/>
        <v>2027.231</v>
      </c>
      <c r="Z68" s="188">
        <f t="shared" si="161"/>
        <v>2173.6060000000002</v>
      </c>
      <c r="AA68" s="191">
        <f t="shared" si="161"/>
        <v>2414.6170000000002</v>
      </c>
      <c r="AB68" s="190">
        <f t="shared" si="161"/>
        <v>2500.0680000000002</v>
      </c>
      <c r="AC68" s="188">
        <f t="shared" si="161"/>
        <v>2492.4140000000002</v>
      </c>
      <c r="AD68" s="188">
        <f t="shared" ref="AD68:AR68" si="162">AD39</f>
        <v>2560.9760000000001</v>
      </c>
      <c r="AE68" s="191">
        <f t="shared" si="162"/>
        <v>2707.6849999999999</v>
      </c>
      <c r="AF68" s="190">
        <f t="shared" si="162"/>
        <v>2704.08</v>
      </c>
      <c r="AG68" s="188">
        <f t="shared" si="162"/>
        <v>2751.6909999999998</v>
      </c>
      <c r="AH68" s="188">
        <f t="shared" si="162"/>
        <v>2816.125</v>
      </c>
      <c r="AI68" s="191">
        <f>AI39</f>
        <v>2963.2959999999998</v>
      </c>
      <c r="AJ68" s="188">
        <f>AJ39</f>
        <v>3089.8519999999999</v>
      </c>
      <c r="AK68" s="188">
        <f>AK39</f>
        <v>3231.8760000000002</v>
      </c>
      <c r="AL68" s="188">
        <f t="shared" si="162"/>
        <v>2921.7280000000001</v>
      </c>
      <c r="AM68" s="191">
        <f>AM39</f>
        <v>2787.6809999999996</v>
      </c>
      <c r="AN68" s="188">
        <f t="shared" si="162"/>
        <v>2829.6</v>
      </c>
      <c r="AO68" s="188">
        <f>AO39</f>
        <v>2713.9609999999998</v>
      </c>
      <c r="AP68" s="188">
        <f>AP39</f>
        <v>2700.1889999999999</v>
      </c>
      <c r="AQ68" s="191">
        <f t="shared" si="162"/>
        <v>2635.5410000000002</v>
      </c>
      <c r="AR68" s="188">
        <f t="shared" si="162"/>
        <v>2626.63</v>
      </c>
      <c r="AS68" s="188">
        <f t="shared" ref="AS68:AY68" si="163">AS39</f>
        <v>2603.2489999999998</v>
      </c>
      <c r="AT68" s="188">
        <f t="shared" si="163"/>
        <v>2589.7040000000002</v>
      </c>
      <c r="AU68" s="191">
        <f t="shared" si="163"/>
        <v>2589.893</v>
      </c>
      <c r="AV68" s="188">
        <f t="shared" si="163"/>
        <v>2589.672</v>
      </c>
      <c r="AW68" s="188">
        <f>AW39</f>
        <v>2625.1469999999999</v>
      </c>
      <c r="AX68" s="188">
        <f>AX39</f>
        <v>2479.6030000000001</v>
      </c>
      <c r="AY68" s="189">
        <f t="shared" si="163"/>
        <v>2507.6329999999998</v>
      </c>
      <c r="AZ68" s="188">
        <f t="shared" ref="AZ68:BG68" si="164">AZ39</f>
        <v>2538.2669999999998</v>
      </c>
      <c r="BA68" s="188">
        <f>BA39</f>
        <v>2486.0830000000001</v>
      </c>
      <c r="BB68" s="188">
        <f t="shared" si="164"/>
        <v>2364.634</v>
      </c>
      <c r="BC68" s="189">
        <f t="shared" si="164"/>
        <v>2330.2350000000001</v>
      </c>
      <c r="BD68" s="188">
        <f t="shared" si="164"/>
        <v>2379.42376405096</v>
      </c>
      <c r="BE68" s="256">
        <f t="shared" si="164"/>
        <v>2427.1203225835702</v>
      </c>
      <c r="BF68" s="188">
        <f t="shared" si="164"/>
        <v>2473.2562047797828</v>
      </c>
      <c r="BG68" s="189">
        <f t="shared" si="164"/>
        <v>2523.9567395339063</v>
      </c>
      <c r="BH68" s="188">
        <f>BH39</f>
        <v>2584.1346669459176</v>
      </c>
      <c r="BI68" s="256">
        <f>BI39</f>
        <v>2647.940488709115</v>
      </c>
      <c r="BJ68" s="188">
        <f>BJ39</f>
        <v>2710.7016074825819</v>
      </c>
      <c r="BK68" s="189">
        <f>BK39</f>
        <v>2777.6106478430138</v>
      </c>
      <c r="BL68" s="192"/>
      <c r="BM68" s="188">
        <f>G68</f>
        <v>2728.8850000000002</v>
      </c>
      <c r="BN68" s="188">
        <f>K68</f>
        <v>1772.74</v>
      </c>
      <c r="BO68" s="188">
        <f>O68</f>
        <v>1671.8230000000001</v>
      </c>
      <c r="BP68" s="188">
        <f>S68</f>
        <v>1948.76</v>
      </c>
      <c r="BQ68" s="188">
        <f>W68</f>
        <v>2120.4699999999998</v>
      </c>
      <c r="BR68" s="188">
        <f>AA68</f>
        <v>2414.6170000000002</v>
      </c>
      <c r="BS68" s="188">
        <f>AE68</f>
        <v>2707.6849999999999</v>
      </c>
      <c r="BT68" s="188">
        <f>AI68</f>
        <v>2963.2959999999998</v>
      </c>
      <c r="BU68" s="188">
        <f>AM68</f>
        <v>2787.6809999999996</v>
      </c>
      <c r="BV68" s="188">
        <f>AQ68</f>
        <v>2635.5410000000002</v>
      </c>
      <c r="BW68" s="188">
        <f>AU68</f>
        <v>2589.893</v>
      </c>
      <c r="BX68" s="188">
        <f>AY68</f>
        <v>2507.6329999999998</v>
      </c>
      <c r="BY68" s="188">
        <f>BC68</f>
        <v>2330.2350000000001</v>
      </c>
      <c r="BZ68" s="188">
        <f>BG68</f>
        <v>2523.9567395339063</v>
      </c>
      <c r="CA68" s="188">
        <f>BK68</f>
        <v>2777.6106478430138</v>
      </c>
      <c r="CB68" s="980">
        <f>CB39</f>
        <v>3189.4977406520256</v>
      </c>
      <c r="CC68" s="20"/>
      <c r="CD68" s="188">
        <f>J68</f>
        <v>2667.8139999999999</v>
      </c>
      <c r="CE68" s="188">
        <f>N68</f>
        <v>1734.7260000000001</v>
      </c>
      <c r="CF68" s="188">
        <f>R68</f>
        <v>1668.4829999999999</v>
      </c>
      <c r="CG68" s="188">
        <f>V68</f>
        <v>2033.9079999999999</v>
      </c>
      <c r="CH68" s="188">
        <f>Z68</f>
        <v>2173.6060000000002</v>
      </c>
      <c r="CI68" s="188">
        <f>AD68</f>
        <v>2560.9760000000001</v>
      </c>
      <c r="CJ68" s="188">
        <f>AH68</f>
        <v>2816.125</v>
      </c>
      <c r="CK68" s="188">
        <f>AL68</f>
        <v>2921.7280000000001</v>
      </c>
      <c r="CL68" s="188">
        <f>AP68</f>
        <v>2700.1889999999999</v>
      </c>
      <c r="CM68" s="188">
        <f>AT68</f>
        <v>2589.7040000000002</v>
      </c>
      <c r="CN68" s="188">
        <f>AX68</f>
        <v>2479.6030000000001</v>
      </c>
      <c r="CO68" s="188">
        <f>BB68</f>
        <v>2364.634</v>
      </c>
      <c r="CP68" s="188">
        <f>BF68</f>
        <v>2473.2562047797828</v>
      </c>
      <c r="CQ68" s="188">
        <f>BJ68</f>
        <v>2710.7016074825819</v>
      </c>
      <c r="CR68" s="22"/>
      <c r="CS68" s="14"/>
      <c r="CZ68" s="8"/>
    </row>
    <row r="69" spans="1:104" ht="14.25" customHeight="1">
      <c r="A69" s="8"/>
      <c r="B69" s="154" t="s">
        <v>113</v>
      </c>
      <c r="C69" s="155"/>
      <c r="D69" s="156">
        <f>ROUND(D68,4)-ROUND(D66,4)</f>
        <v>0</v>
      </c>
      <c r="E69" s="156">
        <f>ROUND(E68,4)-ROUND(E66,4)</f>
        <v>0</v>
      </c>
      <c r="F69" s="156">
        <f>ROUND(F68,4)-ROUND(F66,4)</f>
        <v>0</v>
      </c>
      <c r="G69" s="157">
        <f>ROUND(G68,4)-ROUND(G66,4)</f>
        <v>0</v>
      </c>
      <c r="H69" s="156">
        <f t="shared" ref="H69:AA69" si="165">ROUND(H68,4)-ROUND(H66,4)</f>
        <v>0</v>
      </c>
      <c r="I69" s="156">
        <f t="shared" si="165"/>
        <v>0</v>
      </c>
      <c r="J69" s="156">
        <f t="shared" si="165"/>
        <v>0</v>
      </c>
      <c r="K69" s="157">
        <f t="shared" si="165"/>
        <v>0</v>
      </c>
      <c r="L69" s="156">
        <f t="shared" si="165"/>
        <v>0</v>
      </c>
      <c r="M69" s="156">
        <f t="shared" si="165"/>
        <v>0</v>
      </c>
      <c r="N69" s="156">
        <f t="shared" si="165"/>
        <v>0</v>
      </c>
      <c r="O69" s="157">
        <f t="shared" si="165"/>
        <v>0</v>
      </c>
      <c r="P69" s="156">
        <f t="shared" si="165"/>
        <v>0</v>
      </c>
      <c r="Q69" s="156">
        <f t="shared" si="165"/>
        <v>0</v>
      </c>
      <c r="R69" s="156">
        <f t="shared" si="165"/>
        <v>0</v>
      </c>
      <c r="S69" s="157">
        <f t="shared" si="165"/>
        <v>0</v>
      </c>
      <c r="T69" s="156">
        <f t="shared" si="165"/>
        <v>0</v>
      </c>
      <c r="U69" s="156">
        <f t="shared" si="165"/>
        <v>0</v>
      </c>
      <c r="V69" s="156">
        <f t="shared" si="165"/>
        <v>0</v>
      </c>
      <c r="W69" s="157">
        <f t="shared" si="165"/>
        <v>0</v>
      </c>
      <c r="X69" s="156">
        <f t="shared" si="165"/>
        <v>0</v>
      </c>
      <c r="Y69" s="156">
        <f t="shared" si="165"/>
        <v>0</v>
      </c>
      <c r="Z69" s="193">
        <f t="shared" si="165"/>
        <v>0</v>
      </c>
      <c r="AA69" s="156">
        <f t="shared" si="165"/>
        <v>0</v>
      </c>
      <c r="AB69" s="156">
        <f t="shared" ref="AB69:AR69" si="166">ROUND(AB68,4)-ROUND(AB66,4)</f>
        <v>0</v>
      </c>
      <c r="AC69" s="156">
        <f t="shared" si="166"/>
        <v>0</v>
      </c>
      <c r="AD69" s="156">
        <f t="shared" si="166"/>
        <v>0</v>
      </c>
      <c r="AE69" s="157">
        <f t="shared" si="166"/>
        <v>0</v>
      </c>
      <c r="AF69" s="156">
        <f t="shared" si="166"/>
        <v>0</v>
      </c>
      <c r="AG69" s="156">
        <f t="shared" si="166"/>
        <v>0</v>
      </c>
      <c r="AH69" s="595">
        <f t="shared" si="166"/>
        <v>0</v>
      </c>
      <c r="AI69" s="157">
        <f t="shared" si="166"/>
        <v>0</v>
      </c>
      <c r="AJ69" s="158">
        <f t="shared" si="166"/>
        <v>0</v>
      </c>
      <c r="AK69" s="156">
        <f t="shared" si="166"/>
        <v>0</v>
      </c>
      <c r="AL69" s="595">
        <f t="shared" si="166"/>
        <v>0</v>
      </c>
      <c r="AM69" s="157">
        <f>ROUND(AM68,4)-ROUND(AM66,4)</f>
        <v>0</v>
      </c>
      <c r="AN69" s="777">
        <f t="shared" si="166"/>
        <v>0</v>
      </c>
      <c r="AO69" s="595">
        <f>ROUND(AO68,4)-ROUND(AO66,4)</f>
        <v>0</v>
      </c>
      <c r="AP69" s="595">
        <f>ROUND(AP68,4)-ROUND(AP66,4)</f>
        <v>0</v>
      </c>
      <c r="AQ69" s="157">
        <f t="shared" si="166"/>
        <v>0</v>
      </c>
      <c r="AR69" s="158">
        <f t="shared" si="166"/>
        <v>0</v>
      </c>
      <c r="AS69" s="156">
        <f t="shared" ref="AS69:AY69" si="167">ROUND(AS68,4)-ROUND(AS66,4)</f>
        <v>0</v>
      </c>
      <c r="AT69" s="595">
        <f t="shared" si="167"/>
        <v>0</v>
      </c>
      <c r="AU69" s="829">
        <f t="shared" si="167"/>
        <v>0</v>
      </c>
      <c r="AV69" s="158">
        <f t="shared" si="167"/>
        <v>0</v>
      </c>
      <c r="AW69" s="156">
        <f>ROUND(AW68,4)-ROUND(AW66,4)</f>
        <v>0</v>
      </c>
      <c r="AX69" s="595">
        <f>ROUND(AX68,4)-ROUND(AX66,4)</f>
        <v>0</v>
      </c>
      <c r="AY69" s="157">
        <f t="shared" si="167"/>
        <v>0</v>
      </c>
      <c r="AZ69" s="156">
        <f t="shared" ref="AZ69:BG69" si="168">ROUND(AZ68,4)-ROUND(AZ66,4)</f>
        <v>0</v>
      </c>
      <c r="BA69" s="156">
        <f>ROUND(BA68,4)-ROUND(BA66,4)</f>
        <v>0</v>
      </c>
      <c r="BB69" s="156">
        <f t="shared" si="168"/>
        <v>0</v>
      </c>
      <c r="BC69" s="157">
        <f t="shared" si="168"/>
        <v>0</v>
      </c>
      <c r="BD69" s="156">
        <f t="shared" si="168"/>
        <v>0</v>
      </c>
      <c r="BE69" s="156">
        <f t="shared" si="168"/>
        <v>0</v>
      </c>
      <c r="BF69" s="156">
        <f t="shared" si="168"/>
        <v>0</v>
      </c>
      <c r="BG69" s="157">
        <f t="shared" si="168"/>
        <v>0</v>
      </c>
      <c r="BH69" s="156">
        <f>ROUND(BH68,4)-ROUND(BH66,4)</f>
        <v>0</v>
      </c>
      <c r="BI69" s="156">
        <f>ROUND(BI68,4)-ROUND(BI66,4)</f>
        <v>0</v>
      </c>
      <c r="BJ69" s="156">
        <f>ROUND(BJ68,4)-ROUND(BJ66,4)</f>
        <v>0</v>
      </c>
      <c r="BK69" s="157">
        <f>ROUND(BK68,4)-ROUND(BK66,4)</f>
        <v>0</v>
      </c>
      <c r="BL69" s="192"/>
      <c r="BM69" s="156">
        <f t="shared" ref="BM69:BW69" si="169">ROUND(BM68,4)-ROUND(BM66,4)</f>
        <v>0</v>
      </c>
      <c r="BN69" s="156">
        <f t="shared" si="169"/>
        <v>0</v>
      </c>
      <c r="BO69" s="156">
        <f t="shared" si="169"/>
        <v>0</v>
      </c>
      <c r="BP69" s="156">
        <f t="shared" si="169"/>
        <v>0</v>
      </c>
      <c r="BQ69" s="156">
        <f t="shared" si="169"/>
        <v>0</v>
      </c>
      <c r="BR69" s="156">
        <f t="shared" si="169"/>
        <v>0</v>
      </c>
      <c r="BS69" s="156">
        <f t="shared" si="169"/>
        <v>0</v>
      </c>
      <c r="BT69" s="156">
        <f t="shared" si="169"/>
        <v>0</v>
      </c>
      <c r="BU69" s="156">
        <f t="shared" si="169"/>
        <v>0</v>
      </c>
      <c r="BV69" s="156">
        <f t="shared" si="169"/>
        <v>0</v>
      </c>
      <c r="BW69" s="156">
        <f t="shared" si="169"/>
        <v>0</v>
      </c>
      <c r="BX69" s="156">
        <f>ROUND(BX68,4)-ROUND(BX66,4)</f>
        <v>0</v>
      </c>
      <c r="BY69" s="156">
        <f>ROUND(BY68,4)-ROUND(BY66,4)</f>
        <v>0</v>
      </c>
      <c r="BZ69" s="156">
        <f>ROUND(BZ68,4)-ROUND(BZ66,4)</f>
        <v>0</v>
      </c>
      <c r="CA69" s="156">
        <f>ROUND(CA68,4)-ROUND(CA66,4)</f>
        <v>0</v>
      </c>
      <c r="CB69" s="981">
        <f>ROUND(CB68,4)-ROUND(CB66,4)</f>
        <v>0</v>
      </c>
      <c r="CC69" s="20"/>
      <c r="CD69" s="156">
        <f t="shared" ref="CD69:CM69" si="170">ROUND(CD68,4)-ROUND(CD66,4)</f>
        <v>0</v>
      </c>
      <c r="CE69" s="156">
        <f t="shared" si="170"/>
        <v>0</v>
      </c>
      <c r="CF69" s="156">
        <f t="shared" si="170"/>
        <v>0</v>
      </c>
      <c r="CG69" s="156">
        <f t="shared" si="170"/>
        <v>0</v>
      </c>
      <c r="CH69" s="156">
        <f t="shared" si="170"/>
        <v>0</v>
      </c>
      <c r="CI69" s="156">
        <f t="shared" si="170"/>
        <v>0</v>
      </c>
      <c r="CJ69" s="156">
        <f t="shared" si="170"/>
        <v>0</v>
      </c>
      <c r="CK69" s="156">
        <f t="shared" si="170"/>
        <v>0</v>
      </c>
      <c r="CL69" s="156">
        <f t="shared" si="170"/>
        <v>0</v>
      </c>
      <c r="CM69" s="156">
        <f t="shared" si="170"/>
        <v>0</v>
      </c>
      <c r="CN69" s="156">
        <f>ROUND(CN68,4)-ROUND(CN66,4)</f>
        <v>0</v>
      </c>
      <c r="CO69" s="156">
        <f>ROUND(CO68,4)-ROUND(CO66,4)</f>
        <v>0</v>
      </c>
      <c r="CP69" s="156">
        <f>ROUND(CP68,4)-ROUND(CP66,4)</f>
        <v>0</v>
      </c>
      <c r="CQ69" s="156">
        <f>ROUND(CQ68,4)-ROUND(CQ66,4)</f>
        <v>0</v>
      </c>
      <c r="CR69" s="22"/>
      <c r="CS69" s="14"/>
      <c r="CZ69" s="8"/>
    </row>
    <row r="70" spans="1:104" ht="14.25" customHeight="1">
      <c r="A70" s="8"/>
      <c r="B70" s="70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0"/>
      <c r="AJ70" s="71"/>
      <c r="AK70" s="71"/>
      <c r="AL70" s="71"/>
      <c r="AM70" s="70"/>
      <c r="AN70" s="71"/>
      <c r="AO70" s="71"/>
      <c r="AP70" s="71"/>
      <c r="AQ70" s="70"/>
      <c r="AR70" s="71"/>
      <c r="AS70" s="71"/>
      <c r="AT70" s="71"/>
      <c r="AU70" s="70"/>
      <c r="AV70" s="71"/>
      <c r="AW70" s="71"/>
      <c r="AX70" s="71"/>
      <c r="AY70" s="70"/>
      <c r="AZ70" s="71"/>
      <c r="BA70" s="71"/>
      <c r="BB70" s="71"/>
      <c r="BC70" s="70"/>
      <c r="BD70" s="71"/>
      <c r="BE70" s="70"/>
      <c r="BF70" s="71"/>
      <c r="BG70" s="70"/>
      <c r="BH70" s="71"/>
      <c r="BI70" s="70"/>
      <c r="BJ70" s="71"/>
      <c r="BK70" s="70"/>
      <c r="BL70" s="8"/>
      <c r="BM70" s="71"/>
      <c r="BN70" s="71"/>
      <c r="BO70" s="71"/>
      <c r="BP70" s="71"/>
      <c r="BQ70" s="71"/>
      <c r="BR70" s="71"/>
      <c r="BS70" s="71"/>
      <c r="BT70" s="71"/>
      <c r="BU70" s="71"/>
      <c r="BV70" s="71"/>
      <c r="BW70" s="71"/>
      <c r="BX70" s="71"/>
      <c r="BY70" s="71"/>
      <c r="BZ70" s="71"/>
      <c r="CA70" s="71"/>
      <c r="CB70" s="982"/>
      <c r="CC70" s="8"/>
      <c r="CD70" s="71"/>
      <c r="CE70" s="71"/>
      <c r="CF70" s="71"/>
      <c r="CG70" s="71"/>
      <c r="CH70" s="71"/>
      <c r="CI70" s="71"/>
      <c r="CJ70" s="71"/>
      <c r="CK70" s="71"/>
      <c r="CL70" s="71"/>
      <c r="CM70" s="71"/>
      <c r="CN70" s="71"/>
      <c r="CO70" s="71"/>
      <c r="CP70" s="71"/>
      <c r="CQ70" s="71"/>
      <c r="CR70" s="8"/>
      <c r="CS70" s="8"/>
      <c r="CZ70" s="8"/>
    </row>
    <row r="71" spans="1:104" ht="14.25" customHeight="1">
      <c r="A71" s="8"/>
      <c r="B71" s="73"/>
      <c r="C71" s="71"/>
      <c r="D71" s="194"/>
      <c r="E71" s="194"/>
      <c r="F71" s="71"/>
      <c r="G71" s="71"/>
      <c r="H71" s="194"/>
      <c r="I71" s="194"/>
      <c r="J71" s="71"/>
      <c r="K71" s="71"/>
      <c r="L71" s="194"/>
      <c r="M71" s="194"/>
      <c r="N71" s="71"/>
      <c r="O71" s="71"/>
      <c r="P71" s="194"/>
      <c r="Q71" s="194"/>
      <c r="R71" s="71"/>
      <c r="S71" s="71"/>
      <c r="T71" s="194"/>
      <c r="U71" s="194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3"/>
      <c r="AJ71" s="71"/>
      <c r="AK71" s="71"/>
      <c r="AL71" s="71"/>
      <c r="AM71" s="73"/>
      <c r="AN71" s="71"/>
      <c r="AO71" s="71"/>
      <c r="AP71" s="71"/>
      <c r="AQ71" s="73"/>
      <c r="AR71" s="71"/>
      <c r="AS71" s="71"/>
      <c r="AT71" s="71"/>
      <c r="AU71" s="73"/>
      <c r="AV71" s="71"/>
      <c r="AW71" s="71"/>
      <c r="AX71" s="71"/>
      <c r="AY71" s="73"/>
      <c r="AZ71" s="71"/>
      <c r="BA71" s="71"/>
      <c r="BB71" s="71"/>
      <c r="BC71" s="73"/>
      <c r="BD71" s="71"/>
      <c r="BE71" s="73"/>
      <c r="BF71" s="71"/>
      <c r="BG71" s="73"/>
      <c r="BH71" s="71"/>
      <c r="BI71" s="73"/>
      <c r="BJ71" s="71"/>
      <c r="BK71" s="73"/>
      <c r="BL71" s="8"/>
      <c r="BM71" s="71"/>
      <c r="BN71" s="71"/>
      <c r="BO71" s="71"/>
      <c r="BP71" s="71"/>
      <c r="BQ71" s="71"/>
      <c r="BR71" s="71"/>
      <c r="BS71" s="71"/>
      <c r="BT71" s="71"/>
      <c r="BU71" s="71"/>
      <c r="BV71" s="71"/>
      <c r="BW71" s="71"/>
      <c r="BX71" s="71"/>
      <c r="BY71" s="71"/>
      <c r="BZ71" s="71"/>
      <c r="CA71" s="71"/>
      <c r="CB71" s="982"/>
      <c r="CC71" s="8"/>
      <c r="CD71" s="71"/>
      <c r="CE71" s="71"/>
      <c r="CF71" s="71"/>
      <c r="CG71" s="71"/>
      <c r="CH71" s="71"/>
      <c r="CI71" s="71"/>
      <c r="CJ71" s="71"/>
      <c r="CK71" s="71"/>
      <c r="CL71" s="71"/>
      <c r="CM71" s="71"/>
      <c r="CN71" s="71"/>
      <c r="CO71" s="71"/>
      <c r="CP71" s="71"/>
      <c r="CQ71" s="71"/>
      <c r="CR71" s="8"/>
      <c r="CS71" s="8"/>
      <c r="CZ71" s="8"/>
    </row>
    <row r="72" spans="1:104" ht="14.25" customHeight="1">
      <c r="A72" s="8"/>
      <c r="B72" s="164" t="s">
        <v>131</v>
      </c>
      <c r="C72" s="165"/>
      <c r="D72" s="17" t="str">
        <f>D$56</f>
        <v>F1Q06A</v>
      </c>
      <c r="E72" s="18" t="str">
        <f t="shared" ref="E72:BK72" si="171">E$56</f>
        <v>F2Q06A</v>
      </c>
      <c r="F72" s="18" t="str">
        <f t="shared" si="171"/>
        <v>F3Q06A</v>
      </c>
      <c r="G72" s="19" t="str">
        <f t="shared" si="171"/>
        <v>F4Q06A</v>
      </c>
      <c r="H72" s="17" t="str">
        <f t="shared" si="171"/>
        <v>F1Q07A</v>
      </c>
      <c r="I72" s="18" t="str">
        <f t="shared" si="171"/>
        <v>F2Q07A</v>
      </c>
      <c r="J72" s="18" t="str">
        <f t="shared" si="171"/>
        <v>F3Q07A</v>
      </c>
      <c r="K72" s="19" t="str">
        <f t="shared" si="171"/>
        <v>F4Q07A</v>
      </c>
      <c r="L72" s="17" t="str">
        <f t="shared" si="171"/>
        <v>F1Q08A</v>
      </c>
      <c r="M72" s="18" t="str">
        <f t="shared" si="171"/>
        <v>F2Q08A</v>
      </c>
      <c r="N72" s="18" t="str">
        <f t="shared" si="171"/>
        <v>F3Q08A</v>
      </c>
      <c r="O72" s="19" t="str">
        <f t="shared" si="171"/>
        <v>F4Q08A</v>
      </c>
      <c r="P72" s="17" t="str">
        <f t="shared" si="171"/>
        <v>F1Q09A</v>
      </c>
      <c r="Q72" s="18" t="str">
        <f t="shared" si="171"/>
        <v>F2Q09A</v>
      </c>
      <c r="R72" s="18" t="str">
        <f t="shared" si="171"/>
        <v>F3Q09A</v>
      </c>
      <c r="S72" s="19" t="str">
        <f t="shared" si="171"/>
        <v>F4Q09A</v>
      </c>
      <c r="T72" s="17" t="str">
        <f t="shared" si="171"/>
        <v>F1Q10A</v>
      </c>
      <c r="U72" s="18" t="str">
        <f t="shared" si="171"/>
        <v>F2Q10A</v>
      </c>
      <c r="V72" s="18" t="str">
        <f t="shared" si="171"/>
        <v>F3Q10A</v>
      </c>
      <c r="W72" s="19" t="str">
        <f t="shared" si="171"/>
        <v>F4Q10A</v>
      </c>
      <c r="X72" s="17" t="str">
        <f t="shared" si="171"/>
        <v>F1Q11A</v>
      </c>
      <c r="Y72" s="18" t="str">
        <f t="shared" si="171"/>
        <v>F2Q11A</v>
      </c>
      <c r="Z72" s="18" t="str">
        <f t="shared" si="171"/>
        <v>F3Q11A</v>
      </c>
      <c r="AA72" s="19" t="str">
        <f t="shared" si="171"/>
        <v>F4Q11A</v>
      </c>
      <c r="AB72" s="17" t="str">
        <f t="shared" si="171"/>
        <v>F1Q12A</v>
      </c>
      <c r="AC72" s="18" t="str">
        <f t="shared" si="171"/>
        <v>F2Q12A</v>
      </c>
      <c r="AD72" s="18" t="str">
        <f t="shared" si="171"/>
        <v>F3Q12A</v>
      </c>
      <c r="AE72" s="19" t="str">
        <f t="shared" si="171"/>
        <v>F4Q12A</v>
      </c>
      <c r="AF72" s="17" t="str">
        <f t="shared" si="171"/>
        <v>F1Q13A</v>
      </c>
      <c r="AG72" s="18" t="str">
        <f t="shared" si="171"/>
        <v>F2Q13A</v>
      </c>
      <c r="AH72" s="18" t="str">
        <f t="shared" si="171"/>
        <v>F3Q13A</v>
      </c>
      <c r="AI72" s="18" t="str">
        <f t="shared" si="171"/>
        <v>F4Q13A</v>
      </c>
      <c r="AJ72" s="17" t="str">
        <f t="shared" si="171"/>
        <v>F1Q14A</v>
      </c>
      <c r="AK72" s="18" t="str">
        <f t="shared" si="171"/>
        <v>F2Q14A</v>
      </c>
      <c r="AL72" s="18" t="str">
        <f t="shared" si="171"/>
        <v>F3Q14A</v>
      </c>
      <c r="AM72" s="18" t="str">
        <f t="shared" si="171"/>
        <v>F4Q14A</v>
      </c>
      <c r="AN72" s="17" t="str">
        <f t="shared" si="171"/>
        <v>F1Q15A</v>
      </c>
      <c r="AO72" s="18" t="str">
        <f t="shared" si="171"/>
        <v>F2Q15A</v>
      </c>
      <c r="AP72" s="18" t="str">
        <f t="shared" si="171"/>
        <v>F3Q15A</v>
      </c>
      <c r="AQ72" s="18" t="str">
        <f t="shared" si="171"/>
        <v>F4Q15A</v>
      </c>
      <c r="AR72" s="17" t="str">
        <f t="shared" si="171"/>
        <v>F1Q16A</v>
      </c>
      <c r="AS72" s="18" t="str">
        <f t="shared" si="171"/>
        <v>F2Q16A</v>
      </c>
      <c r="AT72" s="18" t="str">
        <f t="shared" si="171"/>
        <v>F3Q16A</v>
      </c>
      <c r="AU72" s="18" t="str">
        <f t="shared" si="171"/>
        <v>F4Q16A</v>
      </c>
      <c r="AV72" s="17" t="str">
        <f t="shared" si="171"/>
        <v>F1Q17A</v>
      </c>
      <c r="AW72" s="18" t="str">
        <f t="shared" si="171"/>
        <v>F2Q17A</v>
      </c>
      <c r="AX72" s="18" t="str">
        <f t="shared" si="171"/>
        <v>F3Q17A</v>
      </c>
      <c r="AY72" s="18" t="str">
        <f t="shared" si="171"/>
        <v>F4Q17A</v>
      </c>
      <c r="AZ72" s="17" t="str">
        <f t="shared" si="171"/>
        <v>F1Q18A</v>
      </c>
      <c r="BA72" s="18" t="str">
        <f t="shared" si="171"/>
        <v>F2Q18A</v>
      </c>
      <c r="BB72" s="18" t="str">
        <f t="shared" si="171"/>
        <v>F3Q18A</v>
      </c>
      <c r="BC72" s="19" t="str">
        <f t="shared" si="171"/>
        <v>F4Q18A</v>
      </c>
      <c r="BD72" s="17" t="str">
        <f t="shared" si="171"/>
        <v>F1Q19E</v>
      </c>
      <c r="BE72" s="18" t="str">
        <f t="shared" si="171"/>
        <v>F2Q19E</v>
      </c>
      <c r="BF72" s="18" t="str">
        <f t="shared" si="171"/>
        <v>F3Q19E</v>
      </c>
      <c r="BG72" s="19" t="str">
        <f t="shared" si="171"/>
        <v>F4Q19E</v>
      </c>
      <c r="BH72" s="17" t="str">
        <f t="shared" si="171"/>
        <v>F1Q20E</v>
      </c>
      <c r="BI72" s="18" t="str">
        <f t="shared" si="171"/>
        <v>F2Q20E</v>
      </c>
      <c r="BJ72" s="18" t="str">
        <f t="shared" si="171"/>
        <v>F3Q20E</v>
      </c>
      <c r="BK72" s="19" t="str">
        <f t="shared" si="171"/>
        <v>F4Q20E</v>
      </c>
      <c r="BL72" s="20"/>
      <c r="BM72" s="351" t="str">
        <f>BM$56</f>
        <v>FY2006A</v>
      </c>
      <c r="BN72" s="18" t="str">
        <f t="shared" ref="BN72:CB72" si="172">BN$56</f>
        <v>FY2007A</v>
      </c>
      <c r="BO72" s="18" t="str">
        <f t="shared" si="172"/>
        <v>FY2008A</v>
      </c>
      <c r="BP72" s="18" t="str">
        <f t="shared" si="172"/>
        <v>FY2009A</v>
      </c>
      <c r="BQ72" s="18" t="str">
        <f t="shared" si="172"/>
        <v>FY2010A</v>
      </c>
      <c r="BR72" s="18" t="str">
        <f t="shared" si="172"/>
        <v>FY2011A</v>
      </c>
      <c r="BS72" s="18" t="str">
        <f t="shared" si="172"/>
        <v>FY2012A</v>
      </c>
      <c r="BT72" s="18" t="str">
        <f t="shared" si="172"/>
        <v>FY2013A</v>
      </c>
      <c r="BU72" s="18" t="str">
        <f t="shared" si="172"/>
        <v>FY2014</v>
      </c>
      <c r="BV72" s="18" t="str">
        <f t="shared" si="172"/>
        <v>FY2015</v>
      </c>
      <c r="BW72" s="18" t="str">
        <f t="shared" si="172"/>
        <v>FY2016</v>
      </c>
      <c r="BX72" s="18" t="str">
        <f t="shared" si="172"/>
        <v>FY2017</v>
      </c>
      <c r="BY72" s="18" t="str">
        <f t="shared" si="172"/>
        <v>FY2018A</v>
      </c>
      <c r="BZ72" s="18" t="str">
        <f t="shared" si="172"/>
        <v>FY2019E</v>
      </c>
      <c r="CA72" s="18" t="str">
        <f t="shared" si="172"/>
        <v>FY2020E</v>
      </c>
      <c r="CB72" s="21" t="str">
        <f t="shared" si="172"/>
        <v>FY2021E</v>
      </c>
      <c r="CC72" s="20"/>
      <c r="CD72" s="511" t="str">
        <f>CD$56</f>
        <v>CY2006</v>
      </c>
      <c r="CE72" s="18" t="str">
        <f t="shared" ref="CE72:CQ72" si="173">CE$56</f>
        <v>CY2007</v>
      </c>
      <c r="CF72" s="18" t="str">
        <f t="shared" si="173"/>
        <v>CY2008</v>
      </c>
      <c r="CG72" s="18" t="str">
        <f t="shared" si="173"/>
        <v>CY2009</v>
      </c>
      <c r="CH72" s="18" t="str">
        <f t="shared" si="173"/>
        <v>CY2010</v>
      </c>
      <c r="CI72" s="18" t="str">
        <f t="shared" si="173"/>
        <v>CY2011</v>
      </c>
      <c r="CJ72" s="18" t="str">
        <f t="shared" si="173"/>
        <v>CY2012</v>
      </c>
      <c r="CK72" s="18" t="str">
        <f t="shared" si="173"/>
        <v>CY2013</v>
      </c>
      <c r="CL72" s="18" t="str">
        <f t="shared" si="173"/>
        <v>CY2014</v>
      </c>
      <c r="CM72" s="18" t="str">
        <f t="shared" si="173"/>
        <v>CY2015</v>
      </c>
      <c r="CN72" s="18" t="str">
        <f t="shared" si="173"/>
        <v>CY2016</v>
      </c>
      <c r="CO72" s="18" t="str">
        <f t="shared" si="173"/>
        <v>CY2017</v>
      </c>
      <c r="CP72" s="18" t="str">
        <f t="shared" si="173"/>
        <v>CY2018</v>
      </c>
      <c r="CQ72" s="19" t="str">
        <f t="shared" si="173"/>
        <v>CY2019</v>
      </c>
      <c r="CR72" s="22"/>
      <c r="CS72" s="14"/>
      <c r="CZ72" s="8"/>
    </row>
    <row r="73" spans="1:104" ht="14.25" customHeight="1">
      <c r="A73" s="8"/>
      <c r="B73" s="74" t="s">
        <v>132</v>
      </c>
      <c r="C73" s="24"/>
      <c r="D73" s="197">
        <f>IS!D90</f>
        <v>358.03800000000001</v>
      </c>
      <c r="E73" s="195">
        <f>IS!E90</f>
        <v>356.36</v>
      </c>
      <c r="F73" s="195">
        <f>IS!F90</f>
        <v>353.23700000000002</v>
      </c>
      <c r="G73" s="196">
        <f>IS!G90</f>
        <v>350.24099999999999</v>
      </c>
      <c r="H73" s="197">
        <f>IS!H90</f>
        <v>348.988</v>
      </c>
      <c r="I73" s="195">
        <f>IS!I90</f>
        <v>343.19200000000001</v>
      </c>
      <c r="J73" s="195">
        <f>IS!J90</f>
        <v>339.66899999999998</v>
      </c>
      <c r="K73" s="196">
        <f>IS!K90</f>
        <v>330.24299999999999</v>
      </c>
      <c r="L73" s="197">
        <f>IS!L90</f>
        <v>303.19799999999998</v>
      </c>
      <c r="M73" s="195">
        <f>IS!M90</f>
        <v>302.226</v>
      </c>
      <c r="N73" s="195">
        <f>IS!N90</f>
        <v>293.036</v>
      </c>
      <c r="O73" s="196">
        <f>IS!O90</f>
        <v>286.32100000000003</v>
      </c>
      <c r="P73" s="197">
        <f>IS!P90</f>
        <v>280.88099999999997</v>
      </c>
      <c r="Q73" s="195">
        <f>IS!Q90</f>
        <v>277.714</v>
      </c>
      <c r="R73" s="195">
        <f>IS!R90</f>
        <v>274.22300000000001</v>
      </c>
      <c r="S73" s="196">
        <f>IS!S90</f>
        <v>274.88099999999997</v>
      </c>
      <c r="T73" s="197">
        <f>IS!T90</f>
        <v>276.25799999999998</v>
      </c>
      <c r="U73" s="195">
        <f>IS!U90</f>
        <v>276.988</v>
      </c>
      <c r="V73" s="195">
        <f>IS!V90</f>
        <v>278.56599999999997</v>
      </c>
      <c r="W73" s="196">
        <f>IS!W90</f>
        <v>277.29000000000002</v>
      </c>
      <c r="X73" s="195">
        <f>IS!X90</f>
        <v>275.541</v>
      </c>
      <c r="Y73" s="195">
        <f>IS!Y90</f>
        <v>263.286</v>
      </c>
      <c r="Z73" s="195">
        <f>IS!Z90</f>
        <v>263.61200000000002</v>
      </c>
      <c r="AA73" s="196">
        <f>IS!AA90</f>
        <v>272.161</v>
      </c>
      <c r="AB73" s="195">
        <f>IS!AB90</f>
        <v>276.077</v>
      </c>
      <c r="AC73" s="195">
        <f>IS!AC90</f>
        <v>267.92700000000002</v>
      </c>
      <c r="AD73" s="195">
        <f>IS!AD90</f>
        <v>267.88400000000001</v>
      </c>
      <c r="AE73" s="196">
        <f>IS!AE90</f>
        <v>276.166</v>
      </c>
      <c r="AF73" s="195">
        <f>IS!AF90</f>
        <v>273.82</v>
      </c>
      <c r="AG73" s="195">
        <f>IS!AG90</f>
        <v>270.3</v>
      </c>
      <c r="AH73" s="195">
        <f>IS!AH90</f>
        <v>271.17399999999998</v>
      </c>
      <c r="AI73" s="196">
        <f>IS!AI90</f>
        <v>277.08999999999997</v>
      </c>
      <c r="AJ73" s="195">
        <f>IS!AJ90</f>
        <v>280.291</v>
      </c>
      <c r="AK73" s="195">
        <f>IS!AK90</f>
        <v>290.685</v>
      </c>
      <c r="AL73" s="195">
        <f>IS!AL90</f>
        <v>288.19499999999999</v>
      </c>
      <c r="AM73" s="196">
        <f>IS!AM90</f>
        <v>294.536</v>
      </c>
      <c r="AN73" s="195">
        <f>IS!AN90</f>
        <v>281.57900000000001</v>
      </c>
      <c r="AO73" s="195">
        <f>IS!AO90</f>
        <v>275.8</v>
      </c>
      <c r="AP73" s="195">
        <f>IS!AP90</f>
        <v>273.79500000000002</v>
      </c>
      <c r="AQ73" s="196">
        <f>IS!AQ90</f>
        <v>269.51400000000001</v>
      </c>
      <c r="AR73" s="197">
        <f>IS!AR90</f>
        <v>270.73</v>
      </c>
      <c r="AS73" s="195">
        <f>IS!AS90</f>
        <v>266.04599999999999</v>
      </c>
      <c r="AT73" s="195">
        <f>IS!AT90</f>
        <v>269.61099999999999</v>
      </c>
      <c r="AU73" s="196">
        <f>IS!AU90</f>
        <v>268.46199999999999</v>
      </c>
      <c r="AV73" s="195">
        <f>IS!AV90</f>
        <v>266.20600000000002</v>
      </c>
      <c r="AW73" s="195">
        <f>IS!AW90</f>
        <v>270.37299999999999</v>
      </c>
      <c r="AX73" s="195">
        <f>IS!AX90</f>
        <v>270.78100000000001</v>
      </c>
      <c r="AY73" s="677">
        <f>IS!AY90</f>
        <v>267.15699999999998</v>
      </c>
      <c r="AZ73" s="197">
        <f>IS!AZ90</f>
        <v>265.79700000000003</v>
      </c>
      <c r="BA73" s="195">
        <f>IS!BA90</f>
        <v>258.21699999999998</v>
      </c>
      <c r="BB73" s="195">
        <f>IS!BB90</f>
        <v>258.108</v>
      </c>
      <c r="BC73" s="196">
        <f>IS!BC90</f>
        <v>257.916</v>
      </c>
      <c r="BD73" s="197">
        <f>IS!BD90</f>
        <v>256.916</v>
      </c>
      <c r="BE73" s="677">
        <f>IS!BE90</f>
        <v>255.916</v>
      </c>
      <c r="BF73" s="195">
        <f>IS!BF90</f>
        <v>254.916</v>
      </c>
      <c r="BG73" s="196">
        <f>IS!BG90</f>
        <v>253.916</v>
      </c>
      <c r="BH73" s="197">
        <f>IS!BH90</f>
        <v>252.916</v>
      </c>
      <c r="BI73" s="677">
        <f>IS!BI90</f>
        <v>251.916</v>
      </c>
      <c r="BJ73" s="195">
        <f>IS!BJ90</f>
        <v>250.916</v>
      </c>
      <c r="BK73" s="196">
        <f>IS!BK90</f>
        <v>249.916</v>
      </c>
      <c r="BL73" s="20"/>
      <c r="BM73" s="168">
        <f>IS!BM90</f>
        <v>354.46899999999999</v>
      </c>
      <c r="BN73" s="81">
        <f>IS!BN90</f>
        <v>340.52300000000002</v>
      </c>
      <c r="BO73" s="81">
        <f>IS!BO90</f>
        <v>296.19524999999999</v>
      </c>
      <c r="BP73" s="81">
        <f>IS!BP90</f>
        <v>276.92475000000002</v>
      </c>
      <c r="BQ73" s="81">
        <f>IS!BQ90</f>
        <v>277.27549999999997</v>
      </c>
      <c r="BR73" s="81">
        <f>IS!BR90</f>
        <v>268.65000000000003</v>
      </c>
      <c r="BS73" s="81">
        <f>IS!BS90</f>
        <v>272.01350000000002</v>
      </c>
      <c r="BT73" s="81">
        <f>IS!BT90</f>
        <v>273.096</v>
      </c>
      <c r="BU73" s="81">
        <f>IS!BU90</f>
        <v>288.42675000000003</v>
      </c>
      <c r="BV73" s="81">
        <f>IS!BV90</f>
        <v>275.17200000000003</v>
      </c>
      <c r="BW73" s="81">
        <f>IS!BW90</f>
        <v>268.71225000000004</v>
      </c>
      <c r="BX73" s="81">
        <f>IS!BX90</f>
        <v>268.62924999999996</v>
      </c>
      <c r="BY73" s="81">
        <f>IS!BY90</f>
        <v>260.0095</v>
      </c>
      <c r="BZ73" s="81">
        <f>IS!BZ90</f>
        <v>255.416</v>
      </c>
      <c r="CA73" s="81">
        <f>IS!CA90</f>
        <v>251.416</v>
      </c>
      <c r="CB73" s="983">
        <f>IS!CB90</f>
        <v>249.416</v>
      </c>
      <c r="CC73" s="20"/>
      <c r="CD73" s="168">
        <f>IS!CD90</f>
        <v>345.52250000000004</v>
      </c>
      <c r="CE73" s="81">
        <f>IS!CE90</f>
        <v>307.17574999999999</v>
      </c>
      <c r="CF73" s="81">
        <f>IS!CF90</f>
        <v>279.78474999999997</v>
      </c>
      <c r="CG73" s="81">
        <f>IS!CG90</f>
        <v>276.67325</v>
      </c>
      <c r="CH73" s="81">
        <f>IS!CH90</f>
        <v>269.93225000000001</v>
      </c>
      <c r="CI73" s="81">
        <f>IS!CI90</f>
        <v>271.01224999999999</v>
      </c>
      <c r="CJ73" s="81">
        <f>IS!CJ90</f>
        <v>272.86500000000001</v>
      </c>
      <c r="CK73" s="81">
        <f>IS!CK90</f>
        <v>284.06524999999999</v>
      </c>
      <c r="CL73" s="81">
        <f>IS!CL90</f>
        <v>281.42750000000001</v>
      </c>
      <c r="CM73" s="81">
        <f>IS!CM90</f>
        <v>268.97524999999996</v>
      </c>
      <c r="CN73" s="168">
        <f>IS!CN90</f>
        <v>268.95549999999997</v>
      </c>
      <c r="CO73" s="168">
        <f>IS!CO90</f>
        <v>262.31975</v>
      </c>
      <c r="CP73" s="81">
        <f>IS!CP90</f>
        <v>256.416</v>
      </c>
      <c r="CQ73" s="81">
        <f>IS!CQ90</f>
        <v>252.416</v>
      </c>
      <c r="CR73" s="22"/>
      <c r="CS73" s="14"/>
      <c r="CZ73" s="8"/>
    </row>
    <row r="74" spans="1:104" ht="14.25" customHeight="1">
      <c r="A74" s="8"/>
      <c r="B74" s="23" t="s">
        <v>133</v>
      </c>
      <c r="C74" s="24"/>
      <c r="D74" s="200">
        <f t="shared" ref="D74:AQ74" si="174">D39/D73</f>
        <v>7.5710287734821442</v>
      </c>
      <c r="E74" s="198">
        <f t="shared" si="174"/>
        <v>7.7667022112470541</v>
      </c>
      <c r="F74" s="198">
        <f t="shared" si="174"/>
        <v>7.6214920860498756</v>
      </c>
      <c r="G74" s="199">
        <f t="shared" si="174"/>
        <v>7.7914493163279008</v>
      </c>
      <c r="H74" s="200">
        <f t="shared" si="174"/>
        <v>7.780026820406432</v>
      </c>
      <c r="I74" s="198">
        <f t="shared" si="174"/>
        <v>7.8619752208676186</v>
      </c>
      <c r="J74" s="198">
        <f t="shared" si="174"/>
        <v>7.8541580185415798</v>
      </c>
      <c r="K74" s="199">
        <f t="shared" si="174"/>
        <v>5.3679866038038657</v>
      </c>
      <c r="L74" s="200">
        <f t="shared" si="174"/>
        <v>6.253227264032085</v>
      </c>
      <c r="M74" s="198">
        <f t="shared" si="174"/>
        <v>6.0949620482685143</v>
      </c>
      <c r="N74" s="198">
        <f t="shared" si="174"/>
        <v>5.9198392006442901</v>
      </c>
      <c r="O74" s="199">
        <f t="shared" si="174"/>
        <v>5.8389814229483692</v>
      </c>
      <c r="P74" s="200">
        <f t="shared" si="174"/>
        <v>5.7305086495704591</v>
      </c>
      <c r="Q74" s="198">
        <f t="shared" si="174"/>
        <v>5.6169080420864628</v>
      </c>
      <c r="R74" s="198">
        <f t="shared" si="174"/>
        <v>6.0844021106909336</v>
      </c>
      <c r="S74" s="199">
        <f t="shared" si="174"/>
        <v>7.089467806068809</v>
      </c>
      <c r="T74" s="200">
        <f t="shared" si="174"/>
        <v>6.9213488840142192</v>
      </c>
      <c r="U74" s="198">
        <f t="shared" si="174"/>
        <v>7.0982786257888426</v>
      </c>
      <c r="V74" s="198">
        <f t="shared" si="174"/>
        <v>7.301350487855661</v>
      </c>
      <c r="W74" s="199">
        <f t="shared" si="174"/>
        <v>7.6471203433228734</v>
      </c>
      <c r="X74" s="198">
        <f t="shared" si="174"/>
        <v>6.7762075335431025</v>
      </c>
      <c r="Y74" s="198">
        <f t="shared" si="174"/>
        <v>7.6997295716445233</v>
      </c>
      <c r="Z74" s="198">
        <f t="shared" si="174"/>
        <v>8.2454744093592094</v>
      </c>
      <c r="AA74" s="199">
        <f t="shared" si="174"/>
        <v>8.8720169311547217</v>
      </c>
      <c r="AB74" s="198">
        <f t="shared" si="174"/>
        <v>9.0556909847614993</v>
      </c>
      <c r="AC74" s="198">
        <f t="shared" si="174"/>
        <v>9.3025861521981739</v>
      </c>
      <c r="AD74" s="198">
        <f t="shared" si="174"/>
        <v>9.5600185154768482</v>
      </c>
      <c r="AE74" s="199">
        <f t="shared" si="174"/>
        <v>9.8045559554760544</v>
      </c>
      <c r="AF74" s="198">
        <f t="shared" si="174"/>
        <v>9.8753925936746771</v>
      </c>
      <c r="AG74" s="198">
        <f t="shared" si="174"/>
        <v>10.180136884942655</v>
      </c>
      <c r="AH74" s="198">
        <f t="shared" si="174"/>
        <v>10.384937346500772</v>
      </c>
      <c r="AI74" s="199">
        <f t="shared" si="174"/>
        <v>10.694344797719152</v>
      </c>
      <c r="AJ74" s="198">
        <f>AJ39/AJ73</f>
        <v>11.023728910311069</v>
      </c>
      <c r="AK74" s="198">
        <f t="shared" si="174"/>
        <v>11.118138190825121</v>
      </c>
      <c r="AL74" s="198">
        <f t="shared" si="174"/>
        <v>10.138024601398358</v>
      </c>
      <c r="AM74" s="199">
        <f>AM39/AM73</f>
        <v>9.4646528777466923</v>
      </c>
      <c r="AN74" s="198">
        <f t="shared" si="174"/>
        <v>10.049044850645823</v>
      </c>
      <c r="AO74" s="198">
        <f t="shared" si="174"/>
        <v>9.8403226976069611</v>
      </c>
      <c r="AP74" s="198">
        <f t="shared" si="174"/>
        <v>9.86208294526927</v>
      </c>
      <c r="AQ74" s="199">
        <f t="shared" si="174"/>
        <v>9.7788649198186359</v>
      </c>
      <c r="AR74" s="198">
        <f t="shared" ref="AR74:AY74" si="175">AR39/AR73</f>
        <v>9.7020278506260844</v>
      </c>
      <c r="AS74" s="198">
        <f t="shared" si="175"/>
        <v>9.7849582403043076</v>
      </c>
      <c r="AT74" s="198">
        <f t="shared" si="175"/>
        <v>9.6053350938945385</v>
      </c>
      <c r="AU74" s="199">
        <f t="shared" si="175"/>
        <v>9.647149317221805</v>
      </c>
      <c r="AV74" s="198">
        <f t="shared" si="175"/>
        <v>9.7280752499943652</v>
      </c>
      <c r="AW74" s="198">
        <f>AW39/AW73</f>
        <v>9.7093533747822462</v>
      </c>
      <c r="AX74" s="198">
        <f t="shared" si="175"/>
        <v>9.1572266887263147</v>
      </c>
      <c r="AY74" s="198">
        <f t="shared" si="175"/>
        <v>9.3863645721429716</v>
      </c>
      <c r="AZ74" s="200">
        <f t="shared" ref="AZ74:BG74" si="176">AZ39/AZ73</f>
        <v>9.5496450298536093</v>
      </c>
      <c r="BA74" s="198">
        <f>BA39/BA73</f>
        <v>9.6278827497802251</v>
      </c>
      <c r="BB74" s="198">
        <f t="shared" si="176"/>
        <v>9.1614130519007553</v>
      </c>
      <c r="BC74" s="199">
        <f t="shared" si="176"/>
        <v>9.0348601870376406</v>
      </c>
      <c r="BD74" s="200">
        <f t="shared" si="176"/>
        <v>9.2614853261414627</v>
      </c>
      <c r="BE74" s="198">
        <f t="shared" si="176"/>
        <v>9.4840507142326782</v>
      </c>
      <c r="BF74" s="198">
        <f t="shared" si="176"/>
        <v>9.7022399723037509</v>
      </c>
      <c r="BG74" s="199">
        <f t="shared" si="176"/>
        <v>9.9401248426011222</v>
      </c>
      <c r="BH74" s="200">
        <f>BH39/BH73</f>
        <v>10.217363341765321</v>
      </c>
      <c r="BI74" s="198">
        <f>BI39/BI73</f>
        <v>10.511204086715869</v>
      </c>
      <c r="BJ74" s="198">
        <f>BJ39/BJ73</f>
        <v>10.803223419321933</v>
      </c>
      <c r="BK74" s="199">
        <f>BK39/BK73</f>
        <v>11.114176954828878</v>
      </c>
      <c r="BL74" s="20"/>
      <c r="BM74" s="201">
        <f t="shared" ref="BM74:BW74" si="177">BM39/BM73</f>
        <v>7.6985152439282425</v>
      </c>
      <c r="BN74" s="201">
        <f t="shared" si="177"/>
        <v>5.205933226243161</v>
      </c>
      <c r="BO74" s="201">
        <f t="shared" si="177"/>
        <v>5.6443275170685556</v>
      </c>
      <c r="BP74" s="201">
        <f t="shared" si="177"/>
        <v>7.0371463727962196</v>
      </c>
      <c r="BQ74" s="201">
        <f t="shared" si="177"/>
        <v>7.6475202461090142</v>
      </c>
      <c r="BR74" s="201">
        <f t="shared" si="177"/>
        <v>8.987965754699422</v>
      </c>
      <c r="BS74" s="201">
        <f t="shared" si="177"/>
        <v>9.9542302128387004</v>
      </c>
      <c r="BT74" s="201">
        <f t="shared" si="177"/>
        <v>10.850748454755836</v>
      </c>
      <c r="BU74" s="201">
        <f t="shared" si="177"/>
        <v>9.665126414245556</v>
      </c>
      <c r="BV74" s="201">
        <f t="shared" si="177"/>
        <v>9.5777949791403199</v>
      </c>
      <c r="BW74" s="201">
        <f t="shared" si="177"/>
        <v>9.638164988756559</v>
      </c>
      <c r="BX74" s="201">
        <f>BX39/BX73</f>
        <v>9.334921643864174</v>
      </c>
      <c r="BY74" s="201">
        <f>BY39/BY73</f>
        <v>8.9621148458037112</v>
      </c>
      <c r="BZ74" s="201">
        <f>BZ39/BZ73</f>
        <v>9.8817487531474395</v>
      </c>
      <c r="CA74" s="201">
        <f>CA39/CA73</f>
        <v>11.047867470021851</v>
      </c>
      <c r="CB74" s="202">
        <f>CB39/CB73</f>
        <v>12.787863411537455</v>
      </c>
      <c r="CC74" s="20"/>
      <c r="CD74" s="201">
        <f t="shared" ref="CD74:CM74" si="178">CD39/CD73</f>
        <v>7.7211006519112351</v>
      </c>
      <c r="CE74" s="201">
        <f t="shared" si="178"/>
        <v>5.647340325530255</v>
      </c>
      <c r="CF74" s="201">
        <f t="shared" si="178"/>
        <v>5.9634522610685536</v>
      </c>
      <c r="CG74" s="201">
        <f t="shared" si="178"/>
        <v>7.3512997732885266</v>
      </c>
      <c r="CH74" s="201">
        <f t="shared" si="178"/>
        <v>8.0524131518186515</v>
      </c>
      <c r="CI74" s="201">
        <f t="shared" si="178"/>
        <v>9.4496687880344901</v>
      </c>
      <c r="CJ74" s="201">
        <f t="shared" si="178"/>
        <v>10.320579773880857</v>
      </c>
      <c r="CK74" s="201">
        <f t="shared" si="178"/>
        <v>10.285411538370147</v>
      </c>
      <c r="CL74" s="201">
        <f t="shared" si="178"/>
        <v>9.5946167307743551</v>
      </c>
      <c r="CM74" s="201">
        <f t="shared" si="178"/>
        <v>9.6280382674614131</v>
      </c>
      <c r="CN74" s="201">
        <f>CN39/CN73</f>
        <v>9.2193801576840784</v>
      </c>
      <c r="CO74" s="201">
        <f>CO39/CO73</f>
        <v>9.0143193564342763</v>
      </c>
      <c r="CP74" s="201">
        <f>CP39/CP73</f>
        <v>9.6454831398188219</v>
      </c>
      <c r="CQ74" s="201">
        <f>CQ39/CQ73</f>
        <v>10.739024497189488</v>
      </c>
      <c r="CR74" s="22"/>
      <c r="CS74" s="14"/>
      <c r="CZ74" s="8"/>
    </row>
    <row r="75" spans="1:104" ht="14.25" customHeight="1">
      <c r="A75" s="8"/>
      <c r="B75" s="23" t="s">
        <v>134</v>
      </c>
      <c r="C75" s="24"/>
      <c r="D75" s="197">
        <f t="shared" ref="D75:AQ75" si="179">(D39-(D20+D22))</f>
        <v>1960.2539999999999</v>
      </c>
      <c r="E75" s="195">
        <f t="shared" si="179"/>
        <v>1990.3600000000001</v>
      </c>
      <c r="F75" s="195">
        <f t="shared" si="179"/>
        <v>1892.9570000000001</v>
      </c>
      <c r="G75" s="203">
        <f t="shared" si="179"/>
        <v>2089.9380000000001</v>
      </c>
      <c r="H75" s="197">
        <f t="shared" si="179"/>
        <v>2108.6729999999998</v>
      </c>
      <c r="I75" s="195">
        <f t="shared" si="179"/>
        <v>2127.335</v>
      </c>
      <c r="J75" s="195">
        <f t="shared" si="179"/>
        <v>2010.0249999999999</v>
      </c>
      <c r="K75" s="203">
        <f t="shared" si="179"/>
        <v>1082.4010000000001</v>
      </c>
      <c r="L75" s="197">
        <f t="shared" si="179"/>
        <v>1153.2919999999999</v>
      </c>
      <c r="M75" s="195">
        <f t="shared" si="179"/>
        <v>1143.8650000000002</v>
      </c>
      <c r="N75" s="195">
        <f t="shared" si="179"/>
        <v>1151.0900000000001</v>
      </c>
      <c r="O75" s="203">
        <f t="shared" si="179"/>
        <v>1099.729</v>
      </c>
      <c r="P75" s="197">
        <f t="shared" si="179"/>
        <v>995.93899999999985</v>
      </c>
      <c r="Q75" s="195">
        <f t="shared" si="179"/>
        <v>1082.652</v>
      </c>
      <c r="R75" s="195">
        <f t="shared" si="179"/>
        <v>1276.0119999999999</v>
      </c>
      <c r="S75" s="203">
        <f t="shared" si="179"/>
        <v>1598.48</v>
      </c>
      <c r="T75" s="197">
        <f t="shared" si="179"/>
        <v>1562.0250000000001</v>
      </c>
      <c r="U75" s="195">
        <f t="shared" si="179"/>
        <v>1613.7629999999999</v>
      </c>
      <c r="V75" s="195">
        <f t="shared" si="179"/>
        <v>1530.8019999999999</v>
      </c>
      <c r="W75" s="203">
        <f t="shared" si="179"/>
        <v>1538.2679999999998</v>
      </c>
      <c r="X75" s="195">
        <f t="shared" si="179"/>
        <v>1286.7370000000001</v>
      </c>
      <c r="Y75" s="195">
        <f t="shared" si="179"/>
        <v>1322.645</v>
      </c>
      <c r="Z75" s="195">
        <f t="shared" si="179"/>
        <v>1513.4390000000003</v>
      </c>
      <c r="AA75" s="203">
        <f t="shared" si="179"/>
        <v>1621.2690000000002</v>
      </c>
      <c r="AB75" s="195">
        <f t="shared" si="179"/>
        <v>1558.2200000000003</v>
      </c>
      <c r="AC75" s="195">
        <f>(AC39-(AC20+AC22))</f>
        <v>1403.6260000000002</v>
      </c>
      <c r="AD75" s="195">
        <f t="shared" si="179"/>
        <v>1331.8500000000001</v>
      </c>
      <c r="AE75" s="203">
        <f t="shared" si="179"/>
        <v>1462.1249999999998</v>
      </c>
      <c r="AF75" s="195">
        <f t="shared" si="179"/>
        <v>1270.212</v>
      </c>
      <c r="AG75" s="195">
        <f>(AG39-(AG20+AG22))</f>
        <v>1213.2009999999998</v>
      </c>
      <c r="AH75" s="195">
        <f t="shared" si="179"/>
        <v>1217.452</v>
      </c>
      <c r="AI75" s="203">
        <f t="shared" si="179"/>
        <v>1276.2089999999998</v>
      </c>
      <c r="AJ75" s="195">
        <f>(AJ39-(AJ20+AJ22))</f>
        <v>1422.1849999999999</v>
      </c>
      <c r="AK75" s="195">
        <f t="shared" si="179"/>
        <v>1763.8760000000002</v>
      </c>
      <c r="AL75" s="195">
        <f t="shared" si="179"/>
        <v>1603.0070000000001</v>
      </c>
      <c r="AM75" s="203">
        <f>(AM39-(AM20+AM22))</f>
        <v>1568.0389999999995</v>
      </c>
      <c r="AN75" s="195">
        <f t="shared" si="179"/>
        <v>1693.5059999999999</v>
      </c>
      <c r="AO75" s="195">
        <f t="shared" si="179"/>
        <v>1739.0639999999999</v>
      </c>
      <c r="AP75" s="195">
        <f t="shared" si="179"/>
        <v>2024.4759999999997</v>
      </c>
      <c r="AQ75" s="203">
        <f t="shared" si="179"/>
        <v>2355.8870000000002</v>
      </c>
      <c r="AR75" s="195">
        <f t="shared" ref="AR75:AY75" si="180">(AR39-(AR20+AR22))</f>
        <v>2367.2160000000003</v>
      </c>
      <c r="AS75" s="195">
        <f t="shared" si="180"/>
        <v>2358.1129999999998</v>
      </c>
      <c r="AT75" s="195">
        <f t="shared" si="180"/>
        <v>2357.6440000000002</v>
      </c>
      <c r="AU75" s="203">
        <f t="shared" si="180"/>
        <v>2362.884</v>
      </c>
      <c r="AV75" s="195">
        <f t="shared" si="180"/>
        <v>2374.4549999999999</v>
      </c>
      <c r="AW75" s="195">
        <f>(AW39-(AW20+AW22))</f>
        <v>2420.4789999999998</v>
      </c>
      <c r="AX75" s="195">
        <f t="shared" si="180"/>
        <v>2291.7620000000002</v>
      </c>
      <c r="AY75" s="195">
        <f t="shared" si="180"/>
        <v>2387.7689999999998</v>
      </c>
      <c r="AZ75" s="197">
        <f t="shared" ref="AZ75:BG75" si="181">(AZ39-(AZ20+AZ22))</f>
        <v>2428.5339999999997</v>
      </c>
      <c r="BA75" s="195">
        <f>(BA39-(BA20+BA22))</f>
        <v>2383.86</v>
      </c>
      <c r="BB75" s="195">
        <f t="shared" si="181"/>
        <v>2257.5509999999999</v>
      </c>
      <c r="BC75" s="203">
        <f t="shared" si="181"/>
        <v>2227.6310000000003</v>
      </c>
      <c r="BD75" s="197">
        <f t="shared" si="181"/>
        <v>2276.8197640509602</v>
      </c>
      <c r="BE75" s="195">
        <f t="shared" si="181"/>
        <v>2324.5163225835704</v>
      </c>
      <c r="BF75" s="195">
        <f t="shared" si="181"/>
        <v>2370.652204779783</v>
      </c>
      <c r="BG75" s="203">
        <f t="shared" si="181"/>
        <v>2421.3527395339065</v>
      </c>
      <c r="BH75" s="197">
        <f>(BH39-(BH20+BH22))</f>
        <v>2481.5306669459178</v>
      </c>
      <c r="BI75" s="195">
        <f>(BI39-(BI20+BI22))</f>
        <v>2545.3364887091152</v>
      </c>
      <c r="BJ75" s="195">
        <f>(BJ39-(BJ20+BJ22))</f>
        <v>2608.0976074825821</v>
      </c>
      <c r="BK75" s="203">
        <f>(BK39-(BK20+BK22))</f>
        <v>2675.006647843014</v>
      </c>
      <c r="BL75" s="20"/>
      <c r="BM75" s="204">
        <f t="shared" ref="BM75:BV75" si="182">(BM39-(BM20+BM22))</f>
        <v>2089.9380000000001</v>
      </c>
      <c r="BN75" s="204">
        <f t="shared" si="182"/>
        <v>1082.4010000000001</v>
      </c>
      <c r="BO75" s="204">
        <f t="shared" si="182"/>
        <v>1099.729</v>
      </c>
      <c r="BP75" s="204">
        <f t="shared" si="182"/>
        <v>1598.48</v>
      </c>
      <c r="BQ75" s="204">
        <f t="shared" si="182"/>
        <v>1538.2679999999998</v>
      </c>
      <c r="BR75" s="204">
        <f t="shared" si="182"/>
        <v>1621.2690000000002</v>
      </c>
      <c r="BS75" s="204">
        <f t="shared" si="182"/>
        <v>1462.1249999999998</v>
      </c>
      <c r="BT75" s="204">
        <f t="shared" si="182"/>
        <v>1276.2089999999998</v>
      </c>
      <c r="BU75" s="204">
        <f t="shared" si="182"/>
        <v>1568.0389999999995</v>
      </c>
      <c r="BV75" s="204">
        <f t="shared" si="182"/>
        <v>2355.8870000000002</v>
      </c>
      <c r="BW75" s="204">
        <f>(BW39-(BW20+BW22))</f>
        <v>2362.884</v>
      </c>
      <c r="BX75" s="204">
        <f>(BX39-(BX20+BX22))</f>
        <v>2387.7689999999998</v>
      </c>
      <c r="BY75" s="204">
        <f>(BY39-(BY20+BY22))</f>
        <v>2227.6310000000003</v>
      </c>
      <c r="BZ75" s="204">
        <f>(BZ39-(BZ20+BZ22))</f>
        <v>2421.3527395339065</v>
      </c>
      <c r="CA75" s="204">
        <f>(CA39-(CA20+CA22))</f>
        <v>2675.006647843014</v>
      </c>
      <c r="CB75" s="205">
        <f>(CB39-(CB22+CB23))</f>
        <v>2842.7307406520258</v>
      </c>
      <c r="CC75" s="20"/>
      <c r="CD75" s="204">
        <f t="shared" ref="CD75:CL75" si="183">(CD39-(CD20+CD22))</f>
        <v>2010.0249999999999</v>
      </c>
      <c r="CE75" s="204">
        <f t="shared" si="183"/>
        <v>1151.0900000000001</v>
      </c>
      <c r="CF75" s="204">
        <f t="shared" si="183"/>
        <v>1276.0119999999999</v>
      </c>
      <c r="CG75" s="204">
        <f t="shared" si="183"/>
        <v>1530.8019999999999</v>
      </c>
      <c r="CH75" s="204">
        <f t="shared" si="183"/>
        <v>1513.4390000000003</v>
      </c>
      <c r="CI75" s="204">
        <f t="shared" si="183"/>
        <v>1331.8500000000001</v>
      </c>
      <c r="CJ75" s="204">
        <f t="shared" si="183"/>
        <v>1217.452</v>
      </c>
      <c r="CK75" s="204">
        <f t="shared" si="183"/>
        <v>1603.0070000000001</v>
      </c>
      <c r="CL75" s="204">
        <f t="shared" si="183"/>
        <v>2024.4759999999997</v>
      </c>
      <c r="CM75" s="204">
        <f>(CM39-(CM20+CM22))</f>
        <v>2357.6440000000002</v>
      </c>
      <c r="CN75" s="204">
        <f>(CN39-(CN20+CN22))</f>
        <v>2291.7620000000002</v>
      </c>
      <c r="CO75" s="204">
        <f>(CO39-(CO20+CO22))</f>
        <v>2257.5509999999999</v>
      </c>
      <c r="CP75" s="204">
        <f>(CP39-(CP20+CP22))</f>
        <v>2370.652204779783</v>
      </c>
      <c r="CQ75" s="204">
        <f>(CQ39-(CQ20+CQ22))</f>
        <v>2608.0976074825821</v>
      </c>
      <c r="CR75" s="22"/>
      <c r="CS75" s="14"/>
      <c r="CZ75" s="8"/>
    </row>
    <row r="76" spans="1:104" ht="14.25" customHeight="1">
      <c r="A76" s="8"/>
      <c r="B76" s="23" t="s">
        <v>135</v>
      </c>
      <c r="C76" s="24"/>
      <c r="D76" s="197">
        <f>D75/D73</f>
        <v>5.4749886883515151</v>
      </c>
      <c r="E76" s="195">
        <f>E75/E73</f>
        <v>5.5852508699068357</v>
      </c>
      <c r="F76" s="195">
        <f>F75/F73</f>
        <v>5.3588865266096137</v>
      </c>
      <c r="G76" s="203">
        <f>G75/G73</f>
        <v>5.9671426246498847</v>
      </c>
      <c r="H76" s="197">
        <f t="shared" ref="H76:AA76" si="184">H75/H73</f>
        <v>6.0422507364150047</v>
      </c>
      <c r="I76" s="195">
        <f t="shared" si="184"/>
        <v>6.1986730459917476</v>
      </c>
      <c r="J76" s="195">
        <f t="shared" si="184"/>
        <v>5.9175991921547153</v>
      </c>
      <c r="K76" s="203">
        <f t="shared" si="184"/>
        <v>3.27758953255633</v>
      </c>
      <c r="L76" s="197">
        <f t="shared" si="184"/>
        <v>3.8037585999907653</v>
      </c>
      <c r="M76" s="195">
        <f t="shared" si="184"/>
        <v>3.7848001164691332</v>
      </c>
      <c r="N76" s="195">
        <f t="shared" si="184"/>
        <v>3.9281521724293267</v>
      </c>
      <c r="O76" s="203">
        <f t="shared" si="184"/>
        <v>3.8408953587057879</v>
      </c>
      <c r="P76" s="197">
        <f t="shared" si="184"/>
        <v>3.5457684927068756</v>
      </c>
      <c r="Q76" s="195">
        <f t="shared" si="184"/>
        <v>3.8984422823480274</v>
      </c>
      <c r="R76" s="195">
        <f t="shared" si="184"/>
        <v>4.6531910160708616</v>
      </c>
      <c r="S76" s="203">
        <f t="shared" si="184"/>
        <v>5.8151709285108835</v>
      </c>
      <c r="T76" s="197">
        <f t="shared" si="184"/>
        <v>5.654225397997525</v>
      </c>
      <c r="U76" s="195">
        <f t="shared" si="184"/>
        <v>5.8261116005025482</v>
      </c>
      <c r="V76" s="195">
        <f t="shared" si="184"/>
        <v>5.4952937544423941</v>
      </c>
      <c r="W76" s="203">
        <f t="shared" si="184"/>
        <v>5.5475062209239416</v>
      </c>
      <c r="X76" s="195">
        <f t="shared" si="184"/>
        <v>4.669856754530179</v>
      </c>
      <c r="Y76" s="195">
        <f t="shared" si="184"/>
        <v>5.0236055088382976</v>
      </c>
      <c r="Z76" s="195">
        <f t="shared" si="184"/>
        <v>5.7411612521433018</v>
      </c>
      <c r="AA76" s="203">
        <f t="shared" si="184"/>
        <v>5.9570217628536062</v>
      </c>
      <c r="AB76" s="195">
        <f t="shared" ref="AB76:AQ76" si="185">AB75/AB73</f>
        <v>5.6441500016299813</v>
      </c>
      <c r="AC76" s="195">
        <f t="shared" si="185"/>
        <v>5.2388374445278005</v>
      </c>
      <c r="AD76" s="195">
        <f t="shared" si="185"/>
        <v>4.9717415000522616</v>
      </c>
      <c r="AE76" s="203">
        <f t="shared" si="185"/>
        <v>5.2943700527943331</v>
      </c>
      <c r="AF76" s="195">
        <f t="shared" si="185"/>
        <v>4.6388576437075448</v>
      </c>
      <c r="AG76" s="195">
        <f t="shared" si="185"/>
        <v>4.4883499815020338</v>
      </c>
      <c r="AH76" s="195">
        <f t="shared" si="185"/>
        <v>4.4895602085745683</v>
      </c>
      <c r="AI76" s="203">
        <f t="shared" si="185"/>
        <v>4.6057562524811431</v>
      </c>
      <c r="AJ76" s="195">
        <f t="shared" si="185"/>
        <v>5.073958849909558</v>
      </c>
      <c r="AK76" s="195">
        <f t="shared" si="185"/>
        <v>6.0679980047130062</v>
      </c>
      <c r="AL76" s="195">
        <f t="shared" si="185"/>
        <v>5.5622304342545847</v>
      </c>
      <c r="AM76" s="203">
        <f>AM75/AM73</f>
        <v>5.3237600836570049</v>
      </c>
      <c r="AN76" s="195">
        <f t="shared" si="185"/>
        <v>6.0143192496599527</v>
      </c>
      <c r="AO76" s="195">
        <f t="shared" si="185"/>
        <v>6.3055257432922396</v>
      </c>
      <c r="AP76" s="195">
        <f t="shared" si="185"/>
        <v>7.3941306451907431</v>
      </c>
      <c r="AQ76" s="203">
        <f t="shared" si="185"/>
        <v>8.7412416423636632</v>
      </c>
      <c r="AR76" s="195">
        <f t="shared" ref="AR76:AY76" si="186">AR75/AR73</f>
        <v>8.7438259520555537</v>
      </c>
      <c r="AS76" s="195">
        <f t="shared" si="186"/>
        <v>8.8635536711696474</v>
      </c>
      <c r="AT76" s="195">
        <f t="shared" si="186"/>
        <v>8.7446135357978729</v>
      </c>
      <c r="AU76" s="203">
        <f t="shared" si="186"/>
        <v>8.8015585073492719</v>
      </c>
      <c r="AV76" s="195">
        <f t="shared" si="186"/>
        <v>8.9196148847133419</v>
      </c>
      <c r="AW76" s="195">
        <f>AW75/AW73</f>
        <v>8.9523695043513953</v>
      </c>
      <c r="AX76" s="195">
        <f t="shared" si="186"/>
        <v>8.4635258751537226</v>
      </c>
      <c r="AY76" s="195">
        <f t="shared" si="186"/>
        <v>8.9376995549433484</v>
      </c>
      <c r="AZ76" s="197">
        <f t="shared" ref="AZ76:BG76" si="187">AZ75/AZ73</f>
        <v>9.1367998886368138</v>
      </c>
      <c r="BA76" s="195">
        <f>BA75/BA73</f>
        <v>9.2320025404988844</v>
      </c>
      <c r="BB76" s="195">
        <f t="shared" si="187"/>
        <v>8.7465363336277839</v>
      </c>
      <c r="BC76" s="203">
        <f t="shared" si="187"/>
        <v>8.6370407419469917</v>
      </c>
      <c r="BD76" s="197">
        <f t="shared" si="187"/>
        <v>8.8621174393613487</v>
      </c>
      <c r="BE76" s="195">
        <f t="shared" si="187"/>
        <v>9.0831222845917043</v>
      </c>
      <c r="BF76" s="195">
        <f t="shared" si="187"/>
        <v>9.2997387562168825</v>
      </c>
      <c r="BG76" s="203">
        <f t="shared" si="187"/>
        <v>9.5360384518262205</v>
      </c>
      <c r="BH76" s="197">
        <f>BH75/BH73</f>
        <v>9.8116792411153018</v>
      </c>
      <c r="BI76" s="195">
        <f>BI75/BI73</f>
        <v>10.103909591725477</v>
      </c>
      <c r="BJ76" s="195">
        <f>BJ75/BJ73</f>
        <v>10.394305693867997</v>
      </c>
      <c r="BK76" s="203">
        <f>BK75/BK73</f>
        <v>10.70362300870298</v>
      </c>
      <c r="BL76" s="20"/>
      <c r="BM76" s="204">
        <f t="shared" ref="BM76:BW76" si="188">BM75/BM73</f>
        <v>5.8959683357359882</v>
      </c>
      <c r="BN76" s="204">
        <f t="shared" si="188"/>
        <v>3.1786428523183456</v>
      </c>
      <c r="BO76" s="204">
        <f t="shared" si="188"/>
        <v>3.712851573413146</v>
      </c>
      <c r="BP76" s="204">
        <f t="shared" si="188"/>
        <v>5.7722540148542159</v>
      </c>
      <c r="BQ76" s="204">
        <f t="shared" si="188"/>
        <v>5.547796325315435</v>
      </c>
      <c r="BR76" s="204">
        <f t="shared" si="188"/>
        <v>6.0348743718592965</v>
      </c>
      <c r="BS76" s="204">
        <f t="shared" si="188"/>
        <v>5.3751927753585749</v>
      </c>
      <c r="BT76" s="204">
        <f t="shared" si="188"/>
        <v>4.6731149485895065</v>
      </c>
      <c r="BU76" s="204">
        <f t="shared" si="188"/>
        <v>5.4365241781492157</v>
      </c>
      <c r="BV76" s="204">
        <f t="shared" si="188"/>
        <v>8.561506984722282</v>
      </c>
      <c r="BW76" s="204">
        <f t="shared" si="188"/>
        <v>8.7933616721976744</v>
      </c>
      <c r="BX76" s="204">
        <f>BX75/BX73</f>
        <v>8.8887155810471121</v>
      </c>
      <c r="BY76" s="204">
        <f>BY75/BY73</f>
        <v>8.5674984952472908</v>
      </c>
      <c r="BZ76" s="204">
        <f>BZ75/BZ73</f>
        <v>9.4800354697196205</v>
      </c>
      <c r="CA76" s="204">
        <f>CA75/CA73</f>
        <v>10.639762973887954</v>
      </c>
      <c r="CB76" s="205">
        <f>CB75/CB73</f>
        <v>11.397547633880849</v>
      </c>
      <c r="CC76" s="20"/>
      <c r="CD76" s="204">
        <f t="shared" ref="CD76:CM76" si="189">CD75/CD73</f>
        <v>5.8173490872519142</v>
      </c>
      <c r="CE76" s="204">
        <f t="shared" si="189"/>
        <v>3.7473335704397246</v>
      </c>
      <c r="CF76" s="204">
        <f t="shared" si="189"/>
        <v>4.5606917460655021</v>
      </c>
      <c r="CG76" s="204">
        <f t="shared" si="189"/>
        <v>5.5328876210475713</v>
      </c>
      <c r="CH76" s="204">
        <f t="shared" si="189"/>
        <v>5.6067365051786151</v>
      </c>
      <c r="CI76" s="204">
        <f t="shared" si="189"/>
        <v>4.9143535024708296</v>
      </c>
      <c r="CJ76" s="204">
        <f t="shared" si="189"/>
        <v>4.4617374892346033</v>
      </c>
      <c r="CK76" s="204">
        <f t="shared" si="189"/>
        <v>5.6430943242793692</v>
      </c>
      <c r="CL76" s="204">
        <f t="shared" si="189"/>
        <v>7.1935969299375495</v>
      </c>
      <c r="CM76" s="204">
        <f t="shared" si="189"/>
        <v>8.7652823075729103</v>
      </c>
      <c r="CN76" s="204">
        <f>CN75/CN73</f>
        <v>8.520970941289546</v>
      </c>
      <c r="CO76" s="204">
        <f>CO75/CO73</f>
        <v>8.6061038103307119</v>
      </c>
      <c r="CP76" s="204">
        <f>CP75/CP73</f>
        <v>9.2453365031034842</v>
      </c>
      <c r="CQ76" s="204">
        <f>CQ75/CQ73</f>
        <v>10.332536794349734</v>
      </c>
      <c r="CR76" s="22"/>
      <c r="CS76" s="14"/>
      <c r="CZ76" s="8"/>
    </row>
    <row r="77" spans="1:104" ht="14.25" customHeight="1">
      <c r="A77" s="8"/>
      <c r="B77" s="23"/>
      <c r="C77" s="24"/>
      <c r="D77" s="197"/>
      <c r="E77" s="195"/>
      <c r="F77" s="195"/>
      <c r="G77" s="203"/>
      <c r="H77" s="197"/>
      <c r="I77" s="195"/>
      <c r="J77" s="195"/>
      <c r="K77" s="203"/>
      <c r="L77" s="197"/>
      <c r="M77" s="195"/>
      <c r="N77" s="195"/>
      <c r="O77" s="203"/>
      <c r="P77" s="197"/>
      <c r="Q77" s="195"/>
      <c r="R77" s="195"/>
      <c r="S77" s="203"/>
      <c r="T77" s="197"/>
      <c r="U77" s="195"/>
      <c r="V77" s="195"/>
      <c r="W77" s="203"/>
      <c r="X77" s="195"/>
      <c r="Y77" s="195"/>
      <c r="Z77" s="195"/>
      <c r="AA77" s="203"/>
      <c r="AB77" s="195"/>
      <c r="AC77" s="195"/>
      <c r="AD77" s="195"/>
      <c r="AE77" s="203"/>
      <c r="AF77" s="195"/>
      <c r="AG77" s="195"/>
      <c r="AH77" s="195"/>
      <c r="AI77" s="203"/>
      <c r="AJ77" s="195"/>
      <c r="AK77" s="195"/>
      <c r="AL77" s="195"/>
      <c r="AM77" s="203"/>
      <c r="AN77" s="195"/>
      <c r="AO77" s="195"/>
      <c r="AP77" s="195"/>
      <c r="AQ77" s="203"/>
      <c r="AR77" s="195"/>
      <c r="AS77" s="195"/>
      <c r="AT77" s="195"/>
      <c r="AU77" s="203"/>
      <c r="AV77" s="195"/>
      <c r="AW77" s="195"/>
      <c r="AX77" s="195"/>
      <c r="AY77" s="195"/>
      <c r="AZ77" s="197"/>
      <c r="BA77" s="195"/>
      <c r="BB77" s="195"/>
      <c r="BC77" s="203"/>
      <c r="BD77" s="197"/>
      <c r="BE77" s="195"/>
      <c r="BF77" s="195"/>
      <c r="BG77" s="203"/>
      <c r="BH77" s="197"/>
      <c r="BI77" s="195"/>
      <c r="BJ77" s="195"/>
      <c r="BK77" s="203"/>
      <c r="BL77" s="20"/>
      <c r="BM77" s="204"/>
      <c r="BN77" s="204"/>
      <c r="BO77" s="204"/>
      <c r="BP77" s="204"/>
      <c r="BQ77" s="204"/>
      <c r="BR77" s="204"/>
      <c r="BS77" s="204"/>
      <c r="BT77" s="204"/>
      <c r="BU77" s="204"/>
      <c r="BV77" s="204"/>
      <c r="BW77" s="204"/>
      <c r="BX77" s="204"/>
      <c r="BY77" s="204"/>
      <c r="BZ77" s="204"/>
      <c r="CA77" s="204"/>
      <c r="CB77" s="205"/>
      <c r="CC77" s="20"/>
      <c r="CD77" s="204"/>
      <c r="CE77" s="204"/>
      <c r="CF77" s="204"/>
      <c r="CG77" s="204"/>
      <c r="CH77" s="204"/>
      <c r="CI77" s="204"/>
      <c r="CJ77" s="204"/>
      <c r="CK77" s="204"/>
      <c r="CL77" s="204"/>
      <c r="CM77" s="204"/>
      <c r="CN77" s="204"/>
      <c r="CO77" s="204"/>
      <c r="CP77" s="204"/>
      <c r="CQ77" s="204"/>
      <c r="CR77" s="22"/>
      <c r="CS77" s="14"/>
      <c r="CZ77" s="8"/>
    </row>
    <row r="78" spans="1:104" s="705" customFormat="1" ht="14.25" customHeight="1">
      <c r="A78" s="700"/>
      <c r="B78" s="701" t="s">
        <v>405</v>
      </c>
      <c r="C78" s="712"/>
      <c r="D78" s="713">
        <f t="shared" ref="D78:AE78" si="190">D11</f>
        <v>497.14699999999999</v>
      </c>
      <c r="E78" s="714">
        <f t="shared" si="190"/>
        <v>567.02599999999995</v>
      </c>
      <c r="F78" s="714">
        <f t="shared" si="190"/>
        <v>623.90700000000004</v>
      </c>
      <c r="G78" s="715">
        <f t="shared" si="190"/>
        <v>783.36599999999999</v>
      </c>
      <c r="H78" s="713">
        <f t="shared" si="190"/>
        <v>829.23800000000006</v>
      </c>
      <c r="I78" s="714">
        <f t="shared" si="190"/>
        <v>903.58399999999995</v>
      </c>
      <c r="J78" s="714">
        <f t="shared" si="190"/>
        <v>540.048</v>
      </c>
      <c r="K78" s="715">
        <f t="shared" si="190"/>
        <v>635.87900000000002</v>
      </c>
      <c r="L78" s="713">
        <f t="shared" si="190"/>
        <v>627.96400000000006</v>
      </c>
      <c r="M78" s="714">
        <f t="shared" si="190"/>
        <v>368.30200000000002</v>
      </c>
      <c r="N78" s="714">
        <f t="shared" si="190"/>
        <v>400.39800000000002</v>
      </c>
      <c r="O78" s="715">
        <f t="shared" si="190"/>
        <v>866.995</v>
      </c>
      <c r="P78" s="713">
        <f t="shared" si="190"/>
        <v>769.476</v>
      </c>
      <c r="Q78" s="714">
        <f t="shared" si="190"/>
        <v>701.40599999999995</v>
      </c>
      <c r="R78" s="714">
        <f t="shared" si="190"/>
        <v>1007.782</v>
      </c>
      <c r="S78" s="715">
        <f t="shared" si="190"/>
        <v>1065.9870000000001</v>
      </c>
      <c r="T78" s="713">
        <f t="shared" si="190"/>
        <v>836.38099999999997</v>
      </c>
      <c r="U78" s="714">
        <f t="shared" si="190"/>
        <v>1028.1199999999999</v>
      </c>
      <c r="V78" s="714">
        <f t="shared" si="190"/>
        <v>1037.5640000000001</v>
      </c>
      <c r="W78" s="715">
        <f t="shared" si="190"/>
        <v>1031.4570000000001</v>
      </c>
      <c r="X78" s="714">
        <f t="shared" si="190"/>
        <v>912.44500000000005</v>
      </c>
      <c r="Y78" s="714">
        <f t="shared" si="190"/>
        <v>774.505</v>
      </c>
      <c r="Z78" s="714">
        <f t="shared" si="190"/>
        <v>1101.05</v>
      </c>
      <c r="AA78" s="715">
        <f t="shared" si="190"/>
        <v>1222.3589999999999</v>
      </c>
      <c r="AB78" s="714">
        <f t="shared" si="190"/>
        <v>961.23699999999997</v>
      </c>
      <c r="AC78" s="714">
        <f t="shared" si="190"/>
        <v>602.952</v>
      </c>
      <c r="AD78" s="714">
        <f t="shared" si="190"/>
        <v>661.32500000000005</v>
      </c>
      <c r="AE78" s="715">
        <f t="shared" si="190"/>
        <v>788.822</v>
      </c>
      <c r="AF78" s="714">
        <f t="shared" ref="AF78:AR78" si="191">+AF11</f>
        <v>526.18899999999996</v>
      </c>
      <c r="AG78" s="714">
        <f t="shared" si="191"/>
        <v>595.11900000000003</v>
      </c>
      <c r="AH78" s="714">
        <f t="shared" si="191"/>
        <v>623.13699999999994</v>
      </c>
      <c r="AI78" s="715">
        <f t="shared" si="191"/>
        <v>623.55799999999999</v>
      </c>
      <c r="AJ78" s="714">
        <f t="shared" si="191"/>
        <v>509.41399999999999</v>
      </c>
      <c r="AK78" s="714">
        <f t="shared" si="191"/>
        <v>570.49400000000003</v>
      </c>
      <c r="AL78" s="714">
        <f t="shared" si="191"/>
        <v>631.87900000000002</v>
      </c>
      <c r="AM78" s="715">
        <f t="shared" si="191"/>
        <v>973.67700000000002</v>
      </c>
      <c r="AN78" s="714">
        <f t="shared" si="191"/>
        <v>625.03200000000004</v>
      </c>
      <c r="AO78" s="714">
        <f t="shared" si="191"/>
        <v>714.69899999999996</v>
      </c>
      <c r="AP78" s="714">
        <f t="shared" si="191"/>
        <v>1431.0229999999999</v>
      </c>
      <c r="AQ78" s="715">
        <f t="shared" si="191"/>
        <v>892.572</v>
      </c>
      <c r="AR78" s="714">
        <f t="shared" si="191"/>
        <v>666.33799999999997</v>
      </c>
      <c r="AS78" s="714">
        <f t="shared" ref="AS78:AU79" si="192">+AS11</f>
        <v>760.61099999999999</v>
      </c>
      <c r="AT78" s="714">
        <f t="shared" si="192"/>
        <v>898.26400000000001</v>
      </c>
      <c r="AU78" s="715">
        <f t="shared" si="192"/>
        <v>503.81599999999997</v>
      </c>
      <c r="AV78" s="714">
        <f t="shared" ref="AV78:AY79" si="193">+AV11</f>
        <v>582.36199999999997</v>
      </c>
      <c r="AW78" s="714">
        <f t="shared" si="193"/>
        <v>690.49</v>
      </c>
      <c r="AX78" s="714">
        <f t="shared" si="193"/>
        <v>839.54600000000005</v>
      </c>
      <c r="AY78" s="714">
        <f t="shared" si="193"/>
        <v>966.69500000000005</v>
      </c>
      <c r="AZ78" s="713">
        <f t="shared" ref="AZ78:BC79" si="194">+AZ11</f>
        <v>1059.355</v>
      </c>
      <c r="BA78" s="714">
        <f t="shared" si="194"/>
        <v>1070.193</v>
      </c>
      <c r="BB78" s="714">
        <f t="shared" si="194"/>
        <v>911.46100000000001</v>
      </c>
      <c r="BC78" s="715">
        <f t="shared" si="194"/>
        <v>817.45500000000038</v>
      </c>
      <c r="BD78" s="713">
        <f t="shared" ref="BD78:BG79" si="195">+BD11</f>
        <v>847.02046645396035</v>
      </c>
      <c r="BE78" s="714">
        <f t="shared" si="195"/>
        <v>945.21373833697737</v>
      </c>
      <c r="BF78" s="714">
        <f t="shared" si="195"/>
        <v>1019.0152087056504</v>
      </c>
      <c r="BG78" s="715">
        <f t="shared" si="195"/>
        <v>1075.6490979707016</v>
      </c>
      <c r="BH78" s="713">
        <f t="shared" ref="BH78:BK79" si="196">+BH11</f>
        <v>1157.8985991720631</v>
      </c>
      <c r="BI78" s="714">
        <f t="shared" si="196"/>
        <v>1234.0327206232625</v>
      </c>
      <c r="BJ78" s="714">
        <f t="shared" si="196"/>
        <v>1316.2306029506829</v>
      </c>
      <c r="BK78" s="715">
        <f t="shared" si="196"/>
        <v>1392.5374561978597</v>
      </c>
      <c r="BL78" s="716"/>
      <c r="BM78" s="717"/>
      <c r="BN78" s="717"/>
      <c r="BO78" s="717"/>
      <c r="BP78" s="717"/>
      <c r="BQ78" s="717"/>
      <c r="BR78" s="717"/>
      <c r="BS78" s="717">
        <f t="shared" ref="BS78:BW79" si="197">+BS11</f>
        <v>788.822</v>
      </c>
      <c r="BT78" s="717">
        <f t="shared" si="197"/>
        <v>623.55799999999999</v>
      </c>
      <c r="BU78" s="717">
        <f t="shared" si="197"/>
        <v>973.67700000000002</v>
      </c>
      <c r="BV78" s="717">
        <f t="shared" si="197"/>
        <v>892.572</v>
      </c>
      <c r="BW78" s="717">
        <f t="shared" si="197"/>
        <v>503.81599999999997</v>
      </c>
      <c r="BX78" s="717">
        <f t="shared" ref="BX78:BZ79" si="198">+BX11</f>
        <v>966.69500000000005</v>
      </c>
      <c r="BY78" s="717">
        <f t="shared" si="198"/>
        <v>817.45500000000038</v>
      </c>
      <c r="BZ78" s="717">
        <f t="shared" si="198"/>
        <v>1075.6490979707016</v>
      </c>
      <c r="CA78" s="717">
        <f>+CA11</f>
        <v>1392.5374561978597</v>
      </c>
      <c r="CB78" s="718">
        <f>+CB11</f>
        <v>1793.0228866894126</v>
      </c>
      <c r="CC78" s="716"/>
      <c r="CD78" s="717"/>
      <c r="CE78" s="717"/>
      <c r="CF78" s="717"/>
      <c r="CG78" s="717"/>
      <c r="CH78" s="717"/>
      <c r="CI78" s="717"/>
      <c r="CJ78" s="717"/>
      <c r="CK78" s="717"/>
      <c r="CL78" s="717"/>
      <c r="CM78" s="717"/>
      <c r="CN78" s="717"/>
      <c r="CO78" s="717"/>
      <c r="CP78" s="717"/>
      <c r="CQ78" s="717"/>
      <c r="CR78" s="703"/>
      <c r="CS78" s="702"/>
      <c r="CT78"/>
      <c r="CU78"/>
      <c r="CV78"/>
      <c r="CW78"/>
      <c r="CX78"/>
      <c r="CY78"/>
      <c r="CZ78" s="700"/>
    </row>
    <row r="79" spans="1:104" s="705" customFormat="1" ht="14.25" customHeight="1">
      <c r="A79" s="700"/>
      <c r="B79" s="701" t="s">
        <v>404</v>
      </c>
      <c r="C79" s="712"/>
      <c r="D79" s="713"/>
      <c r="E79" s="714"/>
      <c r="F79" s="714"/>
      <c r="G79" s="715"/>
      <c r="H79" s="713"/>
      <c r="I79" s="714"/>
      <c r="J79" s="714"/>
      <c r="K79" s="715"/>
      <c r="L79" s="713"/>
      <c r="M79" s="714"/>
      <c r="N79" s="714"/>
      <c r="O79" s="715"/>
      <c r="P79" s="713"/>
      <c r="Q79" s="714"/>
      <c r="R79" s="714"/>
      <c r="S79" s="715"/>
      <c r="T79" s="713"/>
      <c r="U79" s="714"/>
      <c r="V79" s="714"/>
      <c r="W79" s="715"/>
      <c r="X79" s="714"/>
      <c r="Y79" s="714"/>
      <c r="Z79" s="714"/>
      <c r="AA79" s="715"/>
      <c r="AB79" s="714"/>
      <c r="AC79" s="714"/>
      <c r="AD79" s="714"/>
      <c r="AE79" s="715"/>
      <c r="AF79" s="714">
        <f>+AF12</f>
        <v>1216.9380000000001</v>
      </c>
      <c r="AG79" s="714">
        <f t="shared" ref="AG79:AR79" si="199">+AG12</f>
        <v>1111.338</v>
      </c>
      <c r="AH79" s="714">
        <f t="shared" si="199"/>
        <v>1063.4939999999999</v>
      </c>
      <c r="AI79" s="715">
        <f t="shared" si="199"/>
        <v>1091.1869999999999</v>
      </c>
      <c r="AJ79" s="714">
        <f t="shared" si="199"/>
        <v>1332.366</v>
      </c>
      <c r="AK79" s="714">
        <f t="shared" si="199"/>
        <v>1693.5709999999999</v>
      </c>
      <c r="AL79" s="714">
        <f t="shared" si="199"/>
        <v>1825.54</v>
      </c>
      <c r="AM79" s="715">
        <f>+AM12</f>
        <v>1483.644</v>
      </c>
      <c r="AN79" s="714">
        <f t="shared" si="199"/>
        <v>1860.175</v>
      </c>
      <c r="AO79" s="714">
        <f t="shared" si="199"/>
        <v>1881.1469999999999</v>
      </c>
      <c r="AP79" s="714">
        <f t="shared" si="199"/>
        <v>1489.7439999999999</v>
      </c>
      <c r="AQ79" s="715">
        <f t="shared" si="199"/>
        <v>2410.489</v>
      </c>
      <c r="AR79" s="714">
        <f t="shared" si="199"/>
        <v>2666.087</v>
      </c>
      <c r="AS79" s="714">
        <f t="shared" si="192"/>
        <v>2535.1729999999998</v>
      </c>
      <c r="AT79" s="714">
        <f t="shared" si="192"/>
        <v>2498.2719999999999</v>
      </c>
      <c r="AU79" s="715">
        <f t="shared" si="192"/>
        <v>2833.8829999999998</v>
      </c>
      <c r="AV79" s="714">
        <f t="shared" si="193"/>
        <v>2935.616</v>
      </c>
      <c r="AW79" s="714">
        <f t="shared" si="193"/>
        <v>2799.3380000000002</v>
      </c>
      <c r="AX79" s="714">
        <f t="shared" si="193"/>
        <v>2414.5889999999999</v>
      </c>
      <c r="AY79" s="714">
        <f t="shared" si="193"/>
        <v>2354.7620000000002</v>
      </c>
      <c r="AZ79" s="713">
        <f t="shared" si="194"/>
        <v>2588.2069999999999</v>
      </c>
      <c r="BA79" s="714">
        <f t="shared" si="194"/>
        <v>2490.027</v>
      </c>
      <c r="BB79" s="714">
        <f t="shared" si="194"/>
        <v>2630.1149999999998</v>
      </c>
      <c r="BC79" s="715">
        <f t="shared" si="194"/>
        <v>2630.1149999999998</v>
      </c>
      <c r="BD79" s="713">
        <f t="shared" si="195"/>
        <v>2630.1149999999998</v>
      </c>
      <c r="BE79" s="714">
        <f t="shared" si="195"/>
        <v>2630.1149999999998</v>
      </c>
      <c r="BF79" s="714">
        <f t="shared" si="195"/>
        <v>2630.1149999999998</v>
      </c>
      <c r="BG79" s="715">
        <f t="shared" si="195"/>
        <v>2630.1149999999998</v>
      </c>
      <c r="BH79" s="713">
        <f t="shared" si="196"/>
        <v>2630.1149999999998</v>
      </c>
      <c r="BI79" s="714">
        <f t="shared" si="196"/>
        <v>2630.1149999999998</v>
      </c>
      <c r="BJ79" s="714">
        <f t="shared" si="196"/>
        <v>2630.1149999999998</v>
      </c>
      <c r="BK79" s="715">
        <f t="shared" si="196"/>
        <v>2630.1149999999998</v>
      </c>
      <c r="BL79" s="716"/>
      <c r="BM79" s="717"/>
      <c r="BN79" s="717"/>
      <c r="BO79" s="717"/>
      <c r="BP79" s="717"/>
      <c r="BQ79" s="717"/>
      <c r="BR79" s="717"/>
      <c r="BS79" s="717">
        <f t="shared" si="197"/>
        <v>1128.8050000000001</v>
      </c>
      <c r="BT79" s="717">
        <f t="shared" si="197"/>
        <v>1091.1869999999999</v>
      </c>
      <c r="BU79" s="717">
        <f t="shared" si="197"/>
        <v>1483.644</v>
      </c>
      <c r="BV79" s="717">
        <f t="shared" si="197"/>
        <v>2410.489</v>
      </c>
      <c r="BW79" s="717">
        <f t="shared" si="197"/>
        <v>2833.8829999999998</v>
      </c>
      <c r="BX79" s="717">
        <f t="shared" si="198"/>
        <v>2354.7620000000002</v>
      </c>
      <c r="BY79" s="717">
        <f t="shared" si="198"/>
        <v>2630.1149999999998</v>
      </c>
      <c r="BZ79" s="717">
        <f t="shared" si="198"/>
        <v>2630.1149999999998</v>
      </c>
      <c r="CA79" s="717">
        <f>+CA12</f>
        <v>2630.1149999999998</v>
      </c>
      <c r="CB79" s="718">
        <f>+CB12</f>
        <v>2630.1149999999998</v>
      </c>
      <c r="CC79" s="716"/>
      <c r="CD79" s="717"/>
      <c r="CE79" s="717"/>
      <c r="CF79" s="717"/>
      <c r="CG79" s="717"/>
      <c r="CH79" s="717"/>
      <c r="CI79" s="717"/>
      <c r="CJ79" s="717"/>
      <c r="CK79" s="717"/>
      <c r="CL79" s="717"/>
      <c r="CM79" s="717"/>
      <c r="CN79" s="717"/>
      <c r="CO79" s="717"/>
      <c r="CP79" s="717"/>
      <c r="CQ79" s="717"/>
      <c r="CR79" s="703"/>
      <c r="CS79" s="702"/>
      <c r="CT79"/>
      <c r="CU79"/>
      <c r="CV79"/>
      <c r="CW79"/>
      <c r="CX79"/>
      <c r="CY79"/>
      <c r="CZ79" s="700"/>
    </row>
    <row r="80" spans="1:104" s="711" customFormat="1" ht="14.25" customHeight="1">
      <c r="A80" s="706"/>
      <c r="B80" s="707" t="s">
        <v>403</v>
      </c>
      <c r="C80" s="719"/>
      <c r="D80" s="720"/>
      <c r="E80" s="721"/>
      <c r="F80" s="721"/>
      <c r="G80" s="722"/>
      <c r="H80" s="720"/>
      <c r="I80" s="721"/>
      <c r="J80" s="721"/>
      <c r="K80" s="722"/>
      <c r="L80" s="720"/>
      <c r="M80" s="721"/>
      <c r="N80" s="721"/>
      <c r="O80" s="722"/>
      <c r="P80" s="720"/>
      <c r="Q80" s="721"/>
      <c r="R80" s="721"/>
      <c r="S80" s="722"/>
      <c r="T80" s="720"/>
      <c r="U80" s="721"/>
      <c r="V80" s="721"/>
      <c r="W80" s="722"/>
      <c r="X80" s="721"/>
      <c r="Y80" s="721"/>
      <c r="Z80" s="721"/>
      <c r="AA80" s="722"/>
      <c r="AB80" s="721"/>
      <c r="AC80" s="721"/>
      <c r="AD80" s="721"/>
      <c r="AE80" s="722"/>
      <c r="AF80" s="721">
        <f>+AF20</f>
        <v>1399.684</v>
      </c>
      <c r="AG80" s="721">
        <f t="shared" ref="AG80:AR80" si="200">+AG20</f>
        <v>1497.394</v>
      </c>
      <c r="AH80" s="721">
        <f t="shared" si="200"/>
        <v>1560.1320000000001</v>
      </c>
      <c r="AI80" s="722">
        <f t="shared" si="200"/>
        <v>1651.0329999999999</v>
      </c>
      <c r="AJ80" s="721">
        <f t="shared" si="200"/>
        <v>1634.0309999999999</v>
      </c>
      <c r="AK80" s="721">
        <f t="shared" si="200"/>
        <v>1436.7809999999999</v>
      </c>
      <c r="AL80" s="721">
        <f t="shared" si="200"/>
        <v>1287.3920000000001</v>
      </c>
      <c r="AM80" s="722">
        <f>+AM20</f>
        <v>1190.7750000000001</v>
      </c>
      <c r="AN80" s="721">
        <f t="shared" si="200"/>
        <v>1109.645</v>
      </c>
      <c r="AO80" s="721">
        <f t="shared" si="200"/>
        <v>950.827</v>
      </c>
      <c r="AP80" s="721">
        <f t="shared" si="200"/>
        <v>654.01300000000003</v>
      </c>
      <c r="AQ80" s="722">
        <f t="shared" si="200"/>
        <v>266.90199999999999</v>
      </c>
      <c r="AR80" s="721">
        <f t="shared" si="200"/>
        <v>248.43100000000001</v>
      </c>
      <c r="AS80" s="721">
        <f t="shared" ref="AS80:AY80" si="201">+AS20</f>
        <v>235.922</v>
      </c>
      <c r="AT80" s="721">
        <f t="shared" si="201"/>
        <v>224.614</v>
      </c>
      <c r="AU80" s="722">
        <f t="shared" si="201"/>
        <v>220.80699999999999</v>
      </c>
      <c r="AV80" s="721">
        <f t="shared" si="201"/>
        <v>209.01499999999999</v>
      </c>
      <c r="AW80" s="721">
        <f>+AW20</f>
        <v>198.54499999999999</v>
      </c>
      <c r="AX80" s="721">
        <f t="shared" si="201"/>
        <v>183.08199999999999</v>
      </c>
      <c r="AY80" s="721">
        <f t="shared" si="201"/>
        <v>116.288</v>
      </c>
      <c r="AZ80" s="720">
        <f t="shared" ref="AZ80:BG80" si="202">+AZ20</f>
        <v>106.86199999999999</v>
      </c>
      <c r="BA80" s="721">
        <f>+BA20</f>
        <v>99.861999999999995</v>
      </c>
      <c r="BB80" s="721">
        <f t="shared" si="202"/>
        <v>102.375</v>
      </c>
      <c r="BC80" s="722">
        <f t="shared" si="202"/>
        <v>97.896000000000001</v>
      </c>
      <c r="BD80" s="720">
        <f t="shared" si="202"/>
        <v>97.896000000000001</v>
      </c>
      <c r="BE80" s="721">
        <f t="shared" si="202"/>
        <v>97.896000000000001</v>
      </c>
      <c r="BF80" s="721">
        <f t="shared" si="202"/>
        <v>97.896000000000001</v>
      </c>
      <c r="BG80" s="722">
        <f t="shared" si="202"/>
        <v>97.896000000000001</v>
      </c>
      <c r="BH80" s="720">
        <f>+BH20</f>
        <v>97.896000000000001</v>
      </c>
      <c r="BI80" s="721">
        <f>+BI20</f>
        <v>97.896000000000001</v>
      </c>
      <c r="BJ80" s="721">
        <f>+BJ20</f>
        <v>97.896000000000001</v>
      </c>
      <c r="BK80" s="722">
        <f>+BK20</f>
        <v>97.896000000000001</v>
      </c>
      <c r="BL80" s="723"/>
      <c r="BM80" s="724"/>
      <c r="BN80" s="724"/>
      <c r="BO80" s="724"/>
      <c r="BP80" s="724"/>
      <c r="BQ80" s="724"/>
      <c r="BR80" s="724"/>
      <c r="BS80" s="724">
        <f t="shared" ref="BS80:CB80" si="203">+BS20</f>
        <v>1209.2280000000001</v>
      </c>
      <c r="BT80" s="724">
        <f t="shared" si="203"/>
        <v>1651.0329999999999</v>
      </c>
      <c r="BU80" s="724">
        <f t="shared" si="203"/>
        <v>1190.7750000000001</v>
      </c>
      <c r="BV80" s="724">
        <f t="shared" si="203"/>
        <v>266.90199999999999</v>
      </c>
      <c r="BW80" s="724">
        <f t="shared" si="203"/>
        <v>220.80699999999999</v>
      </c>
      <c r="BX80" s="724">
        <f t="shared" si="203"/>
        <v>116.288</v>
      </c>
      <c r="BY80" s="724">
        <f t="shared" si="203"/>
        <v>97.896000000000001</v>
      </c>
      <c r="BZ80" s="724">
        <f t="shared" si="203"/>
        <v>97.896000000000001</v>
      </c>
      <c r="CA80" s="724">
        <f t="shared" si="203"/>
        <v>97.896000000000001</v>
      </c>
      <c r="CB80" s="725">
        <f t="shared" si="203"/>
        <v>97.896000000000001</v>
      </c>
      <c r="CC80" s="723"/>
      <c r="CD80" s="724"/>
      <c r="CE80" s="724"/>
      <c r="CF80" s="724"/>
      <c r="CG80" s="724"/>
      <c r="CH80" s="724"/>
      <c r="CI80" s="724"/>
      <c r="CJ80" s="724"/>
      <c r="CK80" s="724"/>
      <c r="CL80" s="724"/>
      <c r="CM80" s="724"/>
      <c r="CN80" s="724"/>
      <c r="CO80" s="724"/>
      <c r="CP80" s="724"/>
      <c r="CQ80" s="724"/>
      <c r="CR80" s="709"/>
      <c r="CS80" s="708"/>
      <c r="CT80"/>
      <c r="CU80"/>
      <c r="CV80"/>
      <c r="CW80"/>
      <c r="CX80"/>
      <c r="CY80"/>
      <c r="CZ80" s="706"/>
    </row>
    <row r="81" spans="1:104" s="705" customFormat="1" ht="14.25" customHeight="1">
      <c r="A81" s="700"/>
      <c r="B81" s="701" t="s">
        <v>402</v>
      </c>
      <c r="C81" s="712"/>
      <c r="AF81" s="713">
        <f>+SUM(AF78:AF80)</f>
        <v>3142.8109999999997</v>
      </c>
      <c r="AG81" s="714">
        <f t="shared" ref="AG81:AR81" si="204">+SUM(AG78:AG80)</f>
        <v>3203.8509999999997</v>
      </c>
      <c r="AH81" s="714">
        <f t="shared" si="204"/>
        <v>3246.7629999999999</v>
      </c>
      <c r="AI81" s="715">
        <f t="shared" si="204"/>
        <v>3365.7779999999998</v>
      </c>
      <c r="AJ81" s="714">
        <f t="shared" si="204"/>
        <v>3475.8109999999997</v>
      </c>
      <c r="AK81" s="714">
        <f t="shared" si="204"/>
        <v>3700.846</v>
      </c>
      <c r="AL81" s="714">
        <f t="shared" si="204"/>
        <v>3744.8109999999997</v>
      </c>
      <c r="AM81" s="715">
        <f>+SUM(AM78:AM80)</f>
        <v>3648.096</v>
      </c>
      <c r="AN81" s="714">
        <f t="shared" si="204"/>
        <v>3594.8519999999999</v>
      </c>
      <c r="AO81" s="714">
        <f t="shared" si="204"/>
        <v>3546.6729999999998</v>
      </c>
      <c r="AP81" s="714">
        <f t="shared" si="204"/>
        <v>3574.7799999999997</v>
      </c>
      <c r="AQ81" s="715">
        <f t="shared" si="204"/>
        <v>3569.9630000000002</v>
      </c>
      <c r="AR81" s="714">
        <f t="shared" si="204"/>
        <v>3580.8560000000002</v>
      </c>
      <c r="AS81" s="714">
        <f t="shared" ref="AS81:AY81" si="205">+SUM(AS78:AS80)</f>
        <v>3531.7059999999997</v>
      </c>
      <c r="AT81" s="714">
        <f t="shared" si="205"/>
        <v>3621.15</v>
      </c>
      <c r="AU81" s="715">
        <f t="shared" si="205"/>
        <v>3558.5059999999994</v>
      </c>
      <c r="AV81" s="714">
        <f t="shared" si="205"/>
        <v>3726.9929999999999</v>
      </c>
      <c r="AW81" s="714">
        <f>+SUM(AW78:AW80)</f>
        <v>3688.3730000000005</v>
      </c>
      <c r="AX81" s="714">
        <f t="shared" si="205"/>
        <v>3437.2170000000001</v>
      </c>
      <c r="AY81" s="714">
        <f t="shared" si="205"/>
        <v>3437.7450000000003</v>
      </c>
      <c r="AZ81" s="713">
        <f t="shared" ref="AZ81:BG81" si="206">+SUM(AZ78:AZ80)</f>
        <v>3754.424</v>
      </c>
      <c r="BA81" s="714">
        <f>+SUM(BA78:BA80)</f>
        <v>3660.0820000000003</v>
      </c>
      <c r="BB81" s="714">
        <f t="shared" si="206"/>
        <v>3643.951</v>
      </c>
      <c r="BC81" s="715">
        <f t="shared" si="206"/>
        <v>3545.4660000000003</v>
      </c>
      <c r="BD81" s="713">
        <f t="shared" si="206"/>
        <v>3575.0314664539605</v>
      </c>
      <c r="BE81" s="714">
        <f t="shared" si="206"/>
        <v>3673.2247383369772</v>
      </c>
      <c r="BF81" s="714">
        <f t="shared" si="206"/>
        <v>3747.0262087056503</v>
      </c>
      <c r="BG81" s="715">
        <f t="shared" si="206"/>
        <v>3803.6600979707014</v>
      </c>
      <c r="BH81" s="713">
        <f>+SUM(BH78:BH80)</f>
        <v>3885.9095991720628</v>
      </c>
      <c r="BI81" s="714">
        <f>+SUM(BI78:BI80)</f>
        <v>3962.0437206232623</v>
      </c>
      <c r="BJ81" s="714">
        <f>+SUM(BJ78:BJ80)</f>
        <v>4044.2416029506826</v>
      </c>
      <c r="BK81" s="715">
        <f>+SUM(BK78:BK80)</f>
        <v>4120.5484561978592</v>
      </c>
      <c r="BL81" s="716"/>
      <c r="BM81" s="717"/>
      <c r="BN81" s="717"/>
      <c r="BO81" s="717"/>
      <c r="BP81" s="717"/>
      <c r="BQ81" s="717"/>
      <c r="BR81" s="717"/>
      <c r="BS81" s="717">
        <f t="shared" ref="BS81:CB81" si="207">+SUM(BS78:BS80)</f>
        <v>3126.855</v>
      </c>
      <c r="BT81" s="717">
        <f t="shared" si="207"/>
        <v>3365.7779999999998</v>
      </c>
      <c r="BU81" s="717">
        <f t="shared" si="207"/>
        <v>3648.096</v>
      </c>
      <c r="BV81" s="717">
        <f t="shared" si="207"/>
        <v>3569.9630000000002</v>
      </c>
      <c r="BW81" s="717">
        <f t="shared" si="207"/>
        <v>3558.5059999999994</v>
      </c>
      <c r="BX81" s="717">
        <f t="shared" si="207"/>
        <v>3437.7450000000003</v>
      </c>
      <c r="BY81" s="717">
        <f t="shared" si="207"/>
        <v>3545.4660000000003</v>
      </c>
      <c r="BZ81" s="717">
        <f t="shared" si="207"/>
        <v>3803.6600979707014</v>
      </c>
      <c r="CA81" s="717">
        <f t="shared" si="207"/>
        <v>4120.5484561978592</v>
      </c>
      <c r="CB81" s="718">
        <f t="shared" si="207"/>
        <v>4521.0338866894117</v>
      </c>
      <c r="CC81" s="716"/>
      <c r="CD81" s="717"/>
      <c r="CE81" s="717"/>
      <c r="CF81" s="717"/>
      <c r="CG81" s="717"/>
      <c r="CH81" s="717"/>
      <c r="CI81" s="717"/>
      <c r="CJ81" s="717"/>
      <c r="CK81" s="717"/>
      <c r="CL81" s="717"/>
      <c r="CM81" s="717"/>
      <c r="CN81" s="717"/>
      <c r="CO81" s="717"/>
      <c r="CP81" s="717"/>
      <c r="CQ81" s="717"/>
      <c r="CR81" s="703"/>
      <c r="CS81" s="702"/>
      <c r="CT81"/>
      <c r="CU81"/>
      <c r="CV81"/>
      <c r="CW81"/>
      <c r="CX81"/>
      <c r="CY81"/>
      <c r="CZ81" s="700"/>
    </row>
    <row r="82" spans="1:104" ht="14.25" customHeight="1">
      <c r="A82" s="8"/>
      <c r="B82" s="23"/>
      <c r="C82" s="24"/>
      <c r="D82" s="197"/>
      <c r="E82" s="195"/>
      <c r="F82" s="195"/>
      <c r="G82" s="203"/>
      <c r="H82" s="197"/>
      <c r="I82" s="195"/>
      <c r="J82" s="195"/>
      <c r="K82" s="203"/>
      <c r="L82" s="197"/>
      <c r="M82" s="195"/>
      <c r="N82" s="195"/>
      <c r="O82" s="203"/>
      <c r="P82" s="197"/>
      <c r="Q82" s="195"/>
      <c r="R82" s="195"/>
      <c r="S82" s="203"/>
      <c r="T82" s="197"/>
      <c r="U82" s="195"/>
      <c r="V82" s="195"/>
      <c r="W82" s="203"/>
      <c r="X82" s="195"/>
      <c r="Y82" s="195"/>
      <c r="Z82" s="195"/>
      <c r="AA82" s="203"/>
      <c r="AB82" s="195"/>
      <c r="AC82" s="195"/>
      <c r="AD82" s="195"/>
      <c r="AE82" s="203"/>
      <c r="AF82" s="195"/>
      <c r="AG82" s="195"/>
      <c r="AH82" s="195"/>
      <c r="AI82" s="203"/>
      <c r="AJ82" s="195"/>
      <c r="AK82" s="195"/>
      <c r="AL82" s="195"/>
      <c r="AM82" s="203"/>
      <c r="AN82" s="195"/>
      <c r="AO82" s="195"/>
      <c r="AP82" s="195"/>
      <c r="AQ82" s="203"/>
      <c r="AR82" s="195"/>
      <c r="AS82" s="195"/>
      <c r="AT82" s="195"/>
      <c r="AU82" s="203"/>
      <c r="AV82" s="195"/>
      <c r="AW82" s="195"/>
      <c r="AX82" s="195"/>
      <c r="AY82" s="195"/>
      <c r="AZ82" s="197"/>
      <c r="BA82" s="195"/>
      <c r="BB82" s="195"/>
      <c r="BC82" s="203"/>
      <c r="BD82" s="197"/>
      <c r="BE82" s="195"/>
      <c r="BF82" s="195"/>
      <c r="BG82" s="203"/>
      <c r="BH82" s="197"/>
      <c r="BI82" s="195"/>
      <c r="BJ82" s="195"/>
      <c r="BK82" s="203"/>
      <c r="BL82" s="20"/>
      <c r="BM82" s="204"/>
      <c r="BN82" s="204"/>
      <c r="BO82" s="204"/>
      <c r="BP82" s="204"/>
      <c r="BQ82" s="204"/>
      <c r="BR82" s="204"/>
      <c r="BS82" s="204"/>
      <c r="BT82" s="204"/>
      <c r="BU82" s="204"/>
      <c r="BV82" s="204"/>
      <c r="BW82" s="204"/>
      <c r="BX82" s="204"/>
      <c r="BY82" s="204"/>
      <c r="BZ82" s="204"/>
      <c r="CA82" s="204"/>
      <c r="CB82" s="205"/>
      <c r="CC82" s="20"/>
      <c r="CD82" s="204"/>
      <c r="CE82" s="204"/>
      <c r="CF82" s="204"/>
      <c r="CG82" s="204"/>
      <c r="CH82" s="204"/>
      <c r="CI82" s="204"/>
      <c r="CJ82" s="204"/>
      <c r="CK82" s="204"/>
      <c r="CL82" s="204"/>
      <c r="CM82" s="204"/>
      <c r="CN82" s="204"/>
      <c r="CO82" s="204"/>
      <c r="CP82" s="204"/>
      <c r="CQ82" s="204"/>
      <c r="CR82" s="22"/>
      <c r="CS82" s="14"/>
      <c r="CZ82" s="8"/>
    </row>
    <row r="83" spans="1:104" s="617" customFormat="1" ht="14.25" customHeight="1">
      <c r="A83" s="614"/>
      <c r="B83" s="631" t="s">
        <v>408</v>
      </c>
      <c r="C83" s="632"/>
      <c r="D83" s="671"/>
      <c r="E83" s="672"/>
      <c r="F83" s="672"/>
      <c r="G83" s="673"/>
      <c r="H83" s="671"/>
      <c r="I83" s="672"/>
      <c r="J83" s="672"/>
      <c r="K83" s="673"/>
      <c r="L83" s="671"/>
      <c r="M83" s="672"/>
      <c r="N83" s="672"/>
      <c r="O83" s="673"/>
      <c r="P83" s="671"/>
      <c r="Q83" s="672"/>
      <c r="R83" s="672"/>
      <c r="S83" s="673"/>
      <c r="T83" s="671"/>
      <c r="U83" s="672"/>
      <c r="V83" s="672"/>
      <c r="W83" s="673"/>
      <c r="X83" s="672"/>
      <c r="Y83" s="672"/>
      <c r="Z83" s="672"/>
      <c r="AA83" s="673"/>
      <c r="AB83" s="672"/>
      <c r="AC83" s="672"/>
      <c r="AD83" s="672"/>
      <c r="AE83" s="673"/>
      <c r="AF83" s="672"/>
      <c r="AG83" s="672"/>
      <c r="AH83" s="672"/>
      <c r="AI83" s="673">
        <f>+AI98</f>
        <v>1289.635</v>
      </c>
      <c r="AJ83" s="672">
        <f>+AJ98</f>
        <v>1289.635</v>
      </c>
      <c r="AK83" s="672">
        <f>+AJ83</f>
        <v>1289.635</v>
      </c>
      <c r="AL83" s="672">
        <f>+AK83</f>
        <v>1289.635</v>
      </c>
      <c r="AM83" s="673">
        <f>AM35+AM32</f>
        <v>1608.127</v>
      </c>
      <c r="AN83" s="672">
        <f>AN35+AN32</f>
        <v>1594.278</v>
      </c>
      <c r="AO83" s="672">
        <f>AO35+570.527</f>
        <v>1564.8789999999999</v>
      </c>
      <c r="AP83" s="672">
        <f>AP35+AP32</f>
        <v>1622.355</v>
      </c>
      <c r="AQ83" s="673">
        <f>AQ35+AQ32</f>
        <v>1635.5680000000002</v>
      </c>
      <c r="AR83" s="672">
        <f>AR35+AR32</f>
        <v>1656.5210000000002</v>
      </c>
      <c r="AS83" s="672">
        <f>AS35+570.527</f>
        <v>1565.8600000000001</v>
      </c>
      <c r="AT83" s="672">
        <f>AT35+AT32</f>
        <v>1642.777</v>
      </c>
      <c r="AU83" s="673">
        <f>AU35+AU32</f>
        <v>1628.049</v>
      </c>
      <c r="AV83" s="672">
        <f>+AU83</f>
        <v>1628.049</v>
      </c>
      <c r="AW83" s="672">
        <f>AW35+570.527</f>
        <v>1564.9659999999999</v>
      </c>
      <c r="AX83" s="672">
        <f>+AW83</f>
        <v>1564.9659999999999</v>
      </c>
      <c r="AY83" s="672">
        <f>+AX83</f>
        <v>1564.9659999999999</v>
      </c>
      <c r="AZ83" s="671">
        <f>+AY83</f>
        <v>1564.9659999999999</v>
      </c>
      <c r="BA83" s="672">
        <f>BA35+570.527</f>
        <v>2309.1930000000002</v>
      </c>
      <c r="BB83" s="672">
        <f t="shared" ref="BB83:BG83" si="208">+BA83</f>
        <v>2309.1930000000002</v>
      </c>
      <c r="BC83" s="673">
        <f t="shared" si="208"/>
        <v>2309.1930000000002</v>
      </c>
      <c r="BD83" s="671">
        <f t="shared" si="208"/>
        <v>2309.1930000000002</v>
      </c>
      <c r="BE83" s="672">
        <f t="shared" si="208"/>
        <v>2309.1930000000002</v>
      </c>
      <c r="BF83" s="672">
        <f t="shared" si="208"/>
        <v>2309.1930000000002</v>
      </c>
      <c r="BG83" s="673">
        <f t="shared" si="208"/>
        <v>2309.1930000000002</v>
      </c>
      <c r="BH83" s="671">
        <f>+BG83</f>
        <v>2309.1930000000002</v>
      </c>
      <c r="BI83" s="672">
        <f>+BH83</f>
        <v>2309.1930000000002</v>
      </c>
      <c r="BJ83" s="672">
        <f>+BI83</f>
        <v>2309.1930000000002</v>
      </c>
      <c r="BK83" s="673">
        <f>+BJ83</f>
        <v>2309.1930000000002</v>
      </c>
      <c r="BL83" s="616"/>
      <c r="BM83" s="674"/>
      <c r="BN83" s="674"/>
      <c r="BO83" s="674"/>
      <c r="BP83" s="674"/>
      <c r="BQ83" s="674"/>
      <c r="BR83" s="674"/>
      <c r="BS83" s="674"/>
      <c r="BT83" s="791">
        <f>AI83</f>
        <v>1289.635</v>
      </c>
      <c r="BU83" s="792">
        <f>AM83</f>
        <v>1608.127</v>
      </c>
      <c r="BV83" s="792">
        <f>AQ83</f>
        <v>1635.5680000000002</v>
      </c>
      <c r="BW83" s="792">
        <f>AU83</f>
        <v>1628.049</v>
      </c>
      <c r="BX83" s="792">
        <f>AY83</f>
        <v>1564.9659999999999</v>
      </c>
      <c r="BY83" s="792">
        <f>BC83</f>
        <v>2309.1930000000002</v>
      </c>
      <c r="BZ83" s="792">
        <f>BG83</f>
        <v>2309.1930000000002</v>
      </c>
      <c r="CA83" s="792">
        <f>BK83</f>
        <v>2309.1930000000002</v>
      </c>
      <c r="CB83" s="984"/>
      <c r="CC83" s="616"/>
      <c r="CD83" s="674"/>
      <c r="CE83" s="674"/>
      <c r="CF83" s="674"/>
      <c r="CG83" s="674"/>
      <c r="CH83" s="674"/>
      <c r="CI83" s="674"/>
      <c r="CJ83" s="674">
        <f>AH83</f>
        <v>0</v>
      </c>
      <c r="CK83" s="282">
        <f>AL83</f>
        <v>1289.635</v>
      </c>
      <c r="CL83" s="282">
        <f>AP83</f>
        <v>1622.355</v>
      </c>
      <c r="CM83" s="282">
        <f>AT83</f>
        <v>1642.777</v>
      </c>
      <c r="CN83" s="282">
        <f>AX83</f>
        <v>1564.9659999999999</v>
      </c>
      <c r="CO83" s="282">
        <f>BB83</f>
        <v>2309.1930000000002</v>
      </c>
      <c r="CP83" s="282">
        <f>BF83</f>
        <v>2309.1930000000002</v>
      </c>
      <c r="CQ83" s="282">
        <f>BJ83</f>
        <v>2309.1930000000002</v>
      </c>
      <c r="CR83" s="623"/>
      <c r="CS83" s="665"/>
      <c r="CT83"/>
      <c r="CU83"/>
      <c r="CV83"/>
      <c r="CW83"/>
      <c r="CX83"/>
      <c r="CY83"/>
      <c r="CZ83" s="614"/>
    </row>
    <row r="84" spans="1:104" ht="14.25" customHeight="1">
      <c r="A84" s="8"/>
      <c r="B84" s="23" t="s">
        <v>406</v>
      </c>
      <c r="C84" s="24"/>
      <c r="D84" s="197"/>
      <c r="E84" s="195"/>
      <c r="F84" s="195"/>
      <c r="G84" s="203"/>
      <c r="H84" s="197"/>
      <c r="I84" s="195"/>
      <c r="J84" s="195"/>
      <c r="K84" s="203"/>
      <c r="L84" s="197"/>
      <c r="M84" s="195"/>
      <c r="N84" s="195"/>
      <c r="O84" s="203"/>
      <c r="P84" s="197"/>
      <c r="Q84" s="195"/>
      <c r="R84" s="195"/>
      <c r="S84" s="203"/>
      <c r="T84" s="197"/>
      <c r="U84" s="195"/>
      <c r="V84" s="195"/>
      <c r="W84" s="203"/>
      <c r="X84" s="195"/>
      <c r="Y84" s="195"/>
      <c r="Z84" s="195"/>
      <c r="AA84" s="203"/>
      <c r="AB84" s="195"/>
      <c r="AC84" s="195"/>
      <c r="AD84" s="195"/>
      <c r="AE84" s="203"/>
      <c r="AF84" s="195"/>
      <c r="AG84" s="195"/>
      <c r="AH84" s="195"/>
      <c r="AI84" s="203">
        <f>+AI81-AI83</f>
        <v>2076.143</v>
      </c>
      <c r="AJ84" s="195">
        <f>+AJ81-AJ83</f>
        <v>2186.1759999999995</v>
      </c>
      <c r="AK84" s="195">
        <f t="shared" ref="AK84:AR84" si="209">+AK81-AK83</f>
        <v>2411.2110000000002</v>
      </c>
      <c r="AL84" s="195">
        <f t="shared" si="209"/>
        <v>2455.1759999999995</v>
      </c>
      <c r="AM84" s="203">
        <f t="shared" si="209"/>
        <v>2039.9690000000001</v>
      </c>
      <c r="AN84" s="195">
        <f t="shared" si="209"/>
        <v>2000.5739999999998</v>
      </c>
      <c r="AO84" s="195">
        <f t="shared" si="209"/>
        <v>1981.7939999999999</v>
      </c>
      <c r="AP84" s="195">
        <f t="shared" si="209"/>
        <v>1952.4249999999997</v>
      </c>
      <c r="AQ84" s="203">
        <f t="shared" si="209"/>
        <v>1934.395</v>
      </c>
      <c r="AR84" s="195">
        <f t="shared" si="209"/>
        <v>1924.335</v>
      </c>
      <c r="AS84" s="195">
        <f t="shared" ref="AS84:AY84" si="210">+AS81-AS83</f>
        <v>1965.8459999999995</v>
      </c>
      <c r="AT84" s="195">
        <f t="shared" si="210"/>
        <v>1978.373</v>
      </c>
      <c r="AU84" s="203">
        <f t="shared" si="210"/>
        <v>1930.4569999999994</v>
      </c>
      <c r="AV84" s="195">
        <f t="shared" si="210"/>
        <v>2098.944</v>
      </c>
      <c r="AW84" s="195">
        <f>+AW81-AW83</f>
        <v>2123.4070000000006</v>
      </c>
      <c r="AX84" s="195">
        <f t="shared" si="210"/>
        <v>1872.2510000000002</v>
      </c>
      <c r="AY84" s="195">
        <f t="shared" si="210"/>
        <v>1872.7790000000005</v>
      </c>
      <c r="AZ84" s="197">
        <f t="shared" ref="AZ84:BG84" si="211">+AZ81-AZ83</f>
        <v>2189.4580000000001</v>
      </c>
      <c r="BA84" s="195">
        <f>+BA81-BA83</f>
        <v>1350.8890000000001</v>
      </c>
      <c r="BB84" s="195">
        <f t="shared" si="211"/>
        <v>1334.7579999999998</v>
      </c>
      <c r="BC84" s="203">
        <f t="shared" si="211"/>
        <v>1236.2730000000001</v>
      </c>
      <c r="BD84" s="197">
        <f t="shared" si="211"/>
        <v>1265.8384664539603</v>
      </c>
      <c r="BE84" s="195">
        <f t="shared" si="211"/>
        <v>1364.031738336977</v>
      </c>
      <c r="BF84" s="195">
        <f t="shared" si="211"/>
        <v>1437.8332087056501</v>
      </c>
      <c r="BG84" s="203">
        <f t="shared" si="211"/>
        <v>1494.4670979707012</v>
      </c>
      <c r="BH84" s="197">
        <f>+BH81-BH83</f>
        <v>1576.7165991720626</v>
      </c>
      <c r="BI84" s="195">
        <f>+BI81-BI83</f>
        <v>1652.8507206232621</v>
      </c>
      <c r="BJ84" s="195">
        <f>+BJ81-BJ83</f>
        <v>1735.0486029506824</v>
      </c>
      <c r="BK84" s="203">
        <f>+BK81-BK83</f>
        <v>1811.355456197859</v>
      </c>
      <c r="BL84" s="20"/>
      <c r="BM84" s="204"/>
      <c r="BN84" s="204"/>
      <c r="BO84" s="204"/>
      <c r="BP84" s="204"/>
      <c r="BQ84" s="204"/>
      <c r="BR84" s="204"/>
      <c r="BS84" s="204"/>
      <c r="BT84" s="790">
        <f>AI84</f>
        <v>2076.143</v>
      </c>
      <c r="BU84" s="282">
        <f>AM84</f>
        <v>2039.9690000000001</v>
      </c>
      <c r="BV84" s="282">
        <f>AQ84</f>
        <v>1934.395</v>
      </c>
      <c r="BW84" s="282">
        <f>AU84</f>
        <v>1930.4569999999994</v>
      </c>
      <c r="BX84" s="282">
        <f>AY84</f>
        <v>1872.7790000000005</v>
      </c>
      <c r="BY84" s="282">
        <f>BC84</f>
        <v>1236.2730000000001</v>
      </c>
      <c r="BZ84" s="282">
        <f>BG84</f>
        <v>1494.4670979707012</v>
      </c>
      <c r="CA84" s="282">
        <f>BK84</f>
        <v>1811.355456197859</v>
      </c>
      <c r="CB84" s="984"/>
      <c r="CC84" s="20"/>
      <c r="CD84" s="204"/>
      <c r="CE84" s="204"/>
      <c r="CF84" s="204"/>
      <c r="CG84" s="204"/>
      <c r="CH84" s="204"/>
      <c r="CI84" s="204"/>
      <c r="CJ84" s="204">
        <f>AH84</f>
        <v>0</v>
      </c>
      <c r="CK84" s="282">
        <f>AL84</f>
        <v>2455.1759999999995</v>
      </c>
      <c r="CL84" s="282">
        <f>AP84</f>
        <v>1952.4249999999997</v>
      </c>
      <c r="CM84" s="282">
        <f>AT84</f>
        <v>1978.373</v>
      </c>
      <c r="CN84" s="282">
        <f>AX84</f>
        <v>1872.2510000000002</v>
      </c>
      <c r="CO84" s="282">
        <f>BB84</f>
        <v>1334.7579999999998</v>
      </c>
      <c r="CP84" s="282">
        <f>BF84</f>
        <v>1437.8332087056501</v>
      </c>
      <c r="CQ84" s="282">
        <f>BJ84</f>
        <v>1735.0486029506824</v>
      </c>
      <c r="CR84" s="22"/>
      <c r="CS84" s="14"/>
      <c r="CZ84" s="8"/>
    </row>
    <row r="85" spans="1:104" ht="14.25" customHeight="1">
      <c r="A85" s="8"/>
      <c r="B85" s="23" t="s">
        <v>407</v>
      </c>
      <c r="C85" s="24"/>
      <c r="D85" s="197"/>
      <c r="E85" s="195"/>
      <c r="F85" s="195"/>
      <c r="G85" s="203"/>
      <c r="H85" s="197"/>
      <c r="I85" s="195"/>
      <c r="J85" s="195"/>
      <c r="K85" s="203"/>
      <c r="L85" s="197"/>
      <c r="M85" s="195"/>
      <c r="N85" s="195"/>
      <c r="O85" s="203"/>
      <c r="P85" s="197"/>
      <c r="Q85" s="195"/>
      <c r="R85" s="195"/>
      <c r="S85" s="203"/>
      <c r="T85" s="197"/>
      <c r="U85" s="195"/>
      <c r="V85" s="195"/>
      <c r="W85" s="203"/>
      <c r="X85" s="195"/>
      <c r="Y85" s="195"/>
      <c r="Z85" s="195"/>
      <c r="AA85" s="203"/>
      <c r="AB85" s="195"/>
      <c r="AC85" s="195"/>
      <c r="AD85" s="195"/>
      <c r="AE85" s="203"/>
      <c r="AF85" s="195"/>
      <c r="AG85" s="195"/>
      <c r="AH85" s="195"/>
      <c r="AI85" s="787">
        <f>+AI84/AI73</f>
        <v>7.4926666426070963</v>
      </c>
      <c r="AJ85" s="784">
        <f t="shared" ref="AJ85:AR85" si="212">+AJ84/AJ73</f>
        <v>7.7996653477992499</v>
      </c>
      <c r="AK85" s="784">
        <f t="shared" si="212"/>
        <v>8.2949274988389501</v>
      </c>
      <c r="AL85" s="785">
        <f t="shared" si="212"/>
        <v>8.519148493207723</v>
      </c>
      <c r="AM85" s="786">
        <f t="shared" si="212"/>
        <v>6.9260429964418613</v>
      </c>
      <c r="AN85" s="784">
        <f t="shared" si="212"/>
        <v>7.1048409149830061</v>
      </c>
      <c r="AO85" s="784">
        <f t="shared" si="212"/>
        <v>7.1856200145032627</v>
      </c>
      <c r="AP85" s="784">
        <f t="shared" si="212"/>
        <v>7.1309739038331585</v>
      </c>
      <c r="AQ85" s="786">
        <f t="shared" si="212"/>
        <v>7.1773451471908691</v>
      </c>
      <c r="AR85" s="784">
        <f t="shared" si="212"/>
        <v>7.1079488789568943</v>
      </c>
      <c r="AS85" s="784">
        <f t="shared" ref="AS85:AY85" si="213">+AS84/AS73</f>
        <v>7.3891206783789256</v>
      </c>
      <c r="AT85" s="784">
        <f t="shared" si="213"/>
        <v>7.3378793891940619</v>
      </c>
      <c r="AU85" s="786">
        <f t="shared" si="213"/>
        <v>7.19080167770485</v>
      </c>
      <c r="AV85" s="784">
        <f t="shared" si="213"/>
        <v>7.8846607514481262</v>
      </c>
      <c r="AW85" s="784">
        <f>+AW84/AW73</f>
        <v>7.8536207387572006</v>
      </c>
      <c r="AX85" s="784">
        <f t="shared" si="213"/>
        <v>6.9142628175536691</v>
      </c>
      <c r="AY85" s="784">
        <f t="shared" si="213"/>
        <v>7.0100315544792036</v>
      </c>
      <c r="AZ85" s="866">
        <f t="shared" ref="AZ85:BG85" si="214">+AZ84/AZ73</f>
        <v>8.2373314973457177</v>
      </c>
      <c r="BA85" s="784">
        <f>+BA84/BA73</f>
        <v>5.2316036511926027</v>
      </c>
      <c r="BB85" s="784">
        <f t="shared" si="214"/>
        <v>5.1713158832736674</v>
      </c>
      <c r="BC85" s="787">
        <f t="shared" si="214"/>
        <v>4.7933164286046628</v>
      </c>
      <c r="BD85" s="866">
        <f t="shared" si="214"/>
        <v>4.9270519019989427</v>
      </c>
      <c r="BE85" s="784">
        <f t="shared" si="214"/>
        <v>5.3299978834343182</v>
      </c>
      <c r="BF85" s="784">
        <f t="shared" si="214"/>
        <v>5.6404196233490644</v>
      </c>
      <c r="BG85" s="787">
        <f t="shared" si="214"/>
        <v>5.8856751759270827</v>
      </c>
      <c r="BH85" s="866">
        <f>+BH84/BH73</f>
        <v>6.2341512564332131</v>
      </c>
      <c r="BI85" s="784">
        <f>+BI84/BI73</f>
        <v>6.5611184705348693</v>
      </c>
      <c r="BJ85" s="784">
        <f>+BJ84/BJ73</f>
        <v>6.9148583707323663</v>
      </c>
      <c r="BK85" s="787">
        <f>+BK84/BK73</f>
        <v>7.2478571047786415</v>
      </c>
      <c r="BL85" s="788"/>
      <c r="BM85" s="204"/>
      <c r="BN85" s="204"/>
      <c r="BO85" s="204"/>
      <c r="BP85" s="204"/>
      <c r="BQ85" s="204"/>
      <c r="BR85" s="204"/>
      <c r="BS85" s="204"/>
      <c r="BT85" s="793">
        <f>AI85</f>
        <v>7.4926666426070963</v>
      </c>
      <c r="BU85" s="794">
        <f>AM85</f>
        <v>6.9260429964418613</v>
      </c>
      <c r="BV85" s="794">
        <f>AQ85</f>
        <v>7.1773451471908691</v>
      </c>
      <c r="BW85" s="794">
        <f>AU85</f>
        <v>7.19080167770485</v>
      </c>
      <c r="BX85" s="794">
        <f>AY85</f>
        <v>7.0100315544792036</v>
      </c>
      <c r="BY85" s="794">
        <f>BC85</f>
        <v>4.7933164286046628</v>
      </c>
      <c r="BZ85" s="794">
        <f>BG85</f>
        <v>5.8856751759270827</v>
      </c>
      <c r="CA85" s="794">
        <f>BK85</f>
        <v>7.2478571047786415</v>
      </c>
      <c r="CB85" s="984"/>
      <c r="CC85" s="20"/>
      <c r="CD85" s="204"/>
      <c r="CE85" s="204"/>
      <c r="CF85" s="204"/>
      <c r="CG85" s="204"/>
      <c r="CH85" s="204"/>
      <c r="CI85" s="204"/>
      <c r="CJ85" s="204">
        <f>AH85</f>
        <v>0</v>
      </c>
      <c r="CK85" s="794">
        <f>AL85</f>
        <v>8.519148493207723</v>
      </c>
      <c r="CL85" s="794">
        <f>AP85</f>
        <v>7.1309739038331585</v>
      </c>
      <c r="CM85" s="794">
        <f>AT85</f>
        <v>7.3378793891940619</v>
      </c>
      <c r="CN85" s="794">
        <f>AX85</f>
        <v>6.9142628175536691</v>
      </c>
      <c r="CO85" s="794">
        <f>BB85</f>
        <v>5.1713158832736674</v>
      </c>
      <c r="CP85" s="282">
        <f>BF85</f>
        <v>5.6404196233490644</v>
      </c>
      <c r="CQ85" s="282">
        <f>BJ85</f>
        <v>6.9148583707323663</v>
      </c>
      <c r="CR85" s="22"/>
      <c r="CS85" s="14"/>
      <c r="CZ85" s="8"/>
    </row>
    <row r="86" spans="1:104" ht="14.25" customHeight="1">
      <c r="A86" s="8"/>
      <c r="B86" s="23" t="s">
        <v>424</v>
      </c>
      <c r="C86" s="24"/>
      <c r="D86" s="197"/>
      <c r="E86" s="195"/>
      <c r="F86" s="195"/>
      <c r="G86" s="203"/>
      <c r="H86" s="197"/>
      <c r="I86" s="195"/>
      <c r="J86" s="195"/>
      <c r="K86" s="203"/>
      <c r="L86" s="197"/>
      <c r="M86" s="195"/>
      <c r="N86" s="195"/>
      <c r="O86" s="203"/>
      <c r="P86" s="197"/>
      <c r="Q86" s="195"/>
      <c r="R86" s="195"/>
      <c r="S86" s="203"/>
      <c r="T86" s="197"/>
      <c r="U86" s="195"/>
      <c r="V86" s="195"/>
      <c r="W86" s="203"/>
      <c r="X86" s="195"/>
      <c r="Y86" s="195"/>
      <c r="Z86" s="195"/>
      <c r="AA86" s="203"/>
      <c r="AB86" s="195"/>
      <c r="AC86" s="195"/>
      <c r="AD86" s="195"/>
      <c r="AE86" s="203"/>
      <c r="AF86" s="195"/>
      <c r="AG86" s="195"/>
      <c r="AH86" s="195"/>
      <c r="AI86" s="789">
        <f>(1-0.25*0.5)*AI81-AI83</f>
        <v>1655.42075</v>
      </c>
      <c r="AJ86" s="742">
        <f>(1-0.25*0.5)*AJ81-AJ83</f>
        <v>1751.6996249999995</v>
      </c>
      <c r="AK86" s="742">
        <f>(1-0.25*0.5)*AK81-AK83</f>
        <v>1948.6052499999998</v>
      </c>
      <c r="AL86" s="742">
        <f t="shared" ref="AL86:AY86" si="215">(1-0.25*0.5)*AL81-AL83</f>
        <v>1987.0746249999995</v>
      </c>
      <c r="AM86" s="789">
        <f t="shared" si="215"/>
        <v>1583.9569999999999</v>
      </c>
      <c r="AN86" s="742">
        <f t="shared" si="215"/>
        <v>1551.2175</v>
      </c>
      <c r="AO86" s="742">
        <f t="shared" si="215"/>
        <v>1538.459875</v>
      </c>
      <c r="AP86" s="742">
        <f t="shared" si="215"/>
        <v>1505.5774999999999</v>
      </c>
      <c r="AQ86" s="789">
        <f t="shared" si="215"/>
        <v>1488.149625</v>
      </c>
      <c r="AR86" s="742">
        <f t="shared" si="215"/>
        <v>1476.7280000000001</v>
      </c>
      <c r="AS86" s="742">
        <f>(1-0.25*0.5)*AS81-AS83</f>
        <v>1524.3827499999998</v>
      </c>
      <c r="AT86" s="742">
        <f>(1-0.25*0.5)*AT81-AT83</f>
        <v>1525.7292499999999</v>
      </c>
      <c r="AU86" s="789">
        <f>(1-0.25*0.5)*AU81-AU83</f>
        <v>1485.6437499999993</v>
      </c>
      <c r="AV86" s="742">
        <f t="shared" si="215"/>
        <v>1633.0698750000001</v>
      </c>
      <c r="AW86" s="742">
        <f>(1-0.25*0.5)*AW81-AW83</f>
        <v>1662.3603750000007</v>
      </c>
      <c r="AX86" s="742">
        <f t="shared" si="215"/>
        <v>1442.5988750000001</v>
      </c>
      <c r="AY86" s="742">
        <f t="shared" si="215"/>
        <v>1443.0608750000006</v>
      </c>
      <c r="AZ86" s="867">
        <f t="shared" ref="AZ86:BG86" si="216">(1-0.25*0.5)*AZ81-AZ83</f>
        <v>1720.1550000000002</v>
      </c>
      <c r="BA86" s="742">
        <f>(1-0.25*0.5)*BA81-BA83</f>
        <v>893.37874999999985</v>
      </c>
      <c r="BB86" s="742">
        <f t="shared" si="216"/>
        <v>879.26412499999969</v>
      </c>
      <c r="BC86" s="789">
        <f t="shared" si="216"/>
        <v>793.08975000000009</v>
      </c>
      <c r="BD86" s="867">
        <f t="shared" si="216"/>
        <v>818.9595331472151</v>
      </c>
      <c r="BE86" s="742">
        <f t="shared" si="216"/>
        <v>904.87864604485503</v>
      </c>
      <c r="BF86" s="742">
        <f t="shared" si="216"/>
        <v>969.45493261744377</v>
      </c>
      <c r="BG86" s="789">
        <f t="shared" si="216"/>
        <v>1019.0095857243637</v>
      </c>
      <c r="BH86" s="867">
        <f>(1-0.25*0.5)*BH81-BH83</f>
        <v>1090.9778992755546</v>
      </c>
      <c r="BI86" s="742">
        <f>(1-0.25*0.5)*BI81-BI83</f>
        <v>1157.5952555453541</v>
      </c>
      <c r="BJ86" s="742">
        <f>(1-0.25*0.5)*BJ81-BJ83</f>
        <v>1229.5184025818471</v>
      </c>
      <c r="BK86" s="789">
        <f>(1-0.25*0.5)*BK81-BK83</f>
        <v>1296.2868991731266</v>
      </c>
      <c r="BL86" s="20"/>
      <c r="BM86" s="204"/>
      <c r="BN86" s="204"/>
      <c r="BO86" s="204"/>
      <c r="BP86" s="204"/>
      <c r="BQ86" s="204"/>
      <c r="BR86" s="204"/>
      <c r="BS86" s="204"/>
      <c r="BT86" s="790">
        <f>AI86</f>
        <v>1655.42075</v>
      </c>
      <c r="BU86" s="282">
        <f>AM86</f>
        <v>1583.9569999999999</v>
      </c>
      <c r="BV86" s="282">
        <f>AQ86</f>
        <v>1488.149625</v>
      </c>
      <c r="BW86" s="282">
        <f>AU86</f>
        <v>1485.6437499999993</v>
      </c>
      <c r="BX86" s="282">
        <f>AY86</f>
        <v>1443.0608750000006</v>
      </c>
      <c r="BY86" s="282">
        <f>BC86</f>
        <v>793.08975000000009</v>
      </c>
      <c r="BZ86" s="282">
        <f>BG86</f>
        <v>1019.0095857243637</v>
      </c>
      <c r="CA86" s="282">
        <f>BK86</f>
        <v>1296.2868991731266</v>
      </c>
      <c r="CB86" s="984"/>
      <c r="CC86" s="20"/>
      <c r="CD86" s="204"/>
      <c r="CE86" s="204"/>
      <c r="CF86" s="204"/>
      <c r="CG86" s="204"/>
      <c r="CH86" s="204"/>
      <c r="CI86" s="204"/>
      <c r="CJ86" s="204">
        <f>AH86</f>
        <v>0</v>
      </c>
      <c r="CK86" s="282">
        <f>AL86</f>
        <v>1987.0746249999995</v>
      </c>
      <c r="CL86" s="282">
        <f>AP86</f>
        <v>1505.5774999999999</v>
      </c>
      <c r="CM86" s="282">
        <f>AT86</f>
        <v>1525.7292499999999</v>
      </c>
      <c r="CN86" s="282">
        <f>AX86</f>
        <v>1442.5988750000001</v>
      </c>
      <c r="CO86" s="282">
        <f>BB86</f>
        <v>879.26412499999969</v>
      </c>
      <c r="CP86" s="282">
        <f>BF86</f>
        <v>969.45493261744377</v>
      </c>
      <c r="CQ86" s="282">
        <f>BJ86</f>
        <v>1229.5184025818471</v>
      </c>
      <c r="CR86" s="22"/>
      <c r="CS86" s="14"/>
      <c r="CZ86" s="8"/>
    </row>
    <row r="87" spans="1:104" ht="14.25" customHeight="1">
      <c r="A87" s="8"/>
      <c r="B87" s="23" t="s">
        <v>425</v>
      </c>
      <c r="C87" s="24"/>
      <c r="D87" s="197"/>
      <c r="E87" s="195"/>
      <c r="F87" s="195"/>
      <c r="G87" s="203"/>
      <c r="H87" s="197"/>
      <c r="I87" s="195"/>
      <c r="J87" s="195"/>
      <c r="K87" s="203"/>
      <c r="L87" s="197"/>
      <c r="M87" s="195"/>
      <c r="N87" s="195"/>
      <c r="O87" s="203"/>
      <c r="P87" s="197"/>
      <c r="Q87" s="195"/>
      <c r="R87" s="195"/>
      <c r="S87" s="203"/>
      <c r="T87" s="197"/>
      <c r="U87" s="195"/>
      <c r="V87" s="195"/>
      <c r="W87" s="203"/>
      <c r="X87" s="195"/>
      <c r="Y87" s="195"/>
      <c r="Z87" s="195"/>
      <c r="AA87" s="203"/>
      <c r="AB87" s="195"/>
      <c r="AC87" s="195"/>
      <c r="AD87" s="195"/>
      <c r="AE87" s="203"/>
      <c r="AF87" s="195"/>
      <c r="AG87" s="195"/>
      <c r="AH87" s="195"/>
      <c r="AI87" s="787">
        <f t="shared" ref="AI87:AY87" si="217">+AI86/AI73</f>
        <v>5.9743070843408281</v>
      </c>
      <c r="AJ87" s="784">
        <f t="shared" si="217"/>
        <v>6.2495749952727682</v>
      </c>
      <c r="AK87" s="784">
        <f t="shared" si="217"/>
        <v>6.7034943323528902</v>
      </c>
      <c r="AL87" s="784">
        <f t="shared" si="217"/>
        <v>6.8948962508024065</v>
      </c>
      <c r="AM87" s="787">
        <f t="shared" si="217"/>
        <v>5.3778044110057852</v>
      </c>
      <c r="AN87" s="784">
        <f t="shared" si="217"/>
        <v>5.5089956992531404</v>
      </c>
      <c r="AO87" s="784">
        <f t="shared" si="217"/>
        <v>5.5781721356055112</v>
      </c>
      <c r="AP87" s="784">
        <f t="shared" si="217"/>
        <v>5.4989225515440374</v>
      </c>
      <c r="AQ87" s="787">
        <f t="shared" si="217"/>
        <v>5.5216041652752734</v>
      </c>
      <c r="AR87" s="784">
        <f t="shared" si="217"/>
        <v>5.4546152993757619</v>
      </c>
      <c r="AS87" s="784">
        <f>+AS86/AS73</f>
        <v>5.7297713553295289</v>
      </c>
      <c r="AT87" s="784">
        <f>+AT86/AT73</f>
        <v>5.6590022291375348</v>
      </c>
      <c r="AU87" s="787">
        <f>+AU86/AU73</f>
        <v>5.5339070333976474</v>
      </c>
      <c r="AV87" s="784">
        <f t="shared" si="217"/>
        <v>6.1346095692809328</v>
      </c>
      <c r="AW87" s="784">
        <f>+AW86/AW73</f>
        <v>6.148396382035191</v>
      </c>
      <c r="AX87" s="784">
        <f t="shared" si="217"/>
        <v>5.327548369346446</v>
      </c>
      <c r="AY87" s="784">
        <f t="shared" si="217"/>
        <v>5.4015461881964564</v>
      </c>
      <c r="AZ87" s="866">
        <f t="shared" ref="AZ87:BG87" si="218">+AZ86/AZ73</f>
        <v>6.4716870393571035</v>
      </c>
      <c r="BA87" s="784">
        <f>+BA86/BA73</f>
        <v>3.4597983479011836</v>
      </c>
      <c r="BB87" s="784">
        <f t="shared" si="218"/>
        <v>3.4065744765756958</v>
      </c>
      <c r="BC87" s="787">
        <f t="shared" si="218"/>
        <v>3.0749924393988746</v>
      </c>
      <c r="BD87" s="866">
        <f t="shared" si="218"/>
        <v>3.1876548488502667</v>
      </c>
      <c r="BE87" s="784">
        <f t="shared" si="218"/>
        <v>3.5358424094033003</v>
      </c>
      <c r="BF87" s="784">
        <f t="shared" si="218"/>
        <v>3.8030368145484936</v>
      </c>
      <c r="BG87" s="787">
        <f t="shared" si="218"/>
        <v>4.01317595474237</v>
      </c>
      <c r="BH87" s="866">
        <f>+BH86/BH73</f>
        <v>4.3135977924510689</v>
      </c>
      <c r="BI87" s="784">
        <f>+BI86/BI73</f>
        <v>4.5951636876790447</v>
      </c>
      <c r="BJ87" s="784">
        <f>+BJ86/BJ73</f>
        <v>4.9001195722147939</v>
      </c>
      <c r="BK87" s="787">
        <f>+BK86/BK73</f>
        <v>5.1868903918641731</v>
      </c>
      <c r="BL87" s="20"/>
      <c r="BM87" s="204"/>
      <c r="BN87" s="204"/>
      <c r="BO87" s="204"/>
      <c r="BP87" s="204"/>
      <c r="BQ87" s="204"/>
      <c r="BR87" s="204"/>
      <c r="BS87" s="204"/>
      <c r="BT87" s="793">
        <f>AI87</f>
        <v>5.9743070843408281</v>
      </c>
      <c r="BU87" s="794">
        <f>AM87</f>
        <v>5.3778044110057852</v>
      </c>
      <c r="BV87" s="794">
        <f>AQ87</f>
        <v>5.5216041652752734</v>
      </c>
      <c r="BW87" s="794">
        <f>AU87</f>
        <v>5.5339070333976474</v>
      </c>
      <c r="BX87" s="794">
        <f>AY87</f>
        <v>5.4015461881964564</v>
      </c>
      <c r="BY87" s="794">
        <f>BC87</f>
        <v>3.0749924393988746</v>
      </c>
      <c r="BZ87" s="794">
        <f>BG87</f>
        <v>4.01317595474237</v>
      </c>
      <c r="CA87" s="794">
        <f>BK87</f>
        <v>5.1868903918641731</v>
      </c>
      <c r="CB87" s="984"/>
      <c r="CC87" s="20"/>
      <c r="CD87" s="204"/>
      <c r="CE87" s="204"/>
      <c r="CF87" s="204"/>
      <c r="CG87" s="204"/>
      <c r="CH87" s="204"/>
      <c r="CI87" s="204"/>
      <c r="CJ87" s="204">
        <f>AH87</f>
        <v>0</v>
      </c>
      <c r="CK87" s="794">
        <f>AL87</f>
        <v>6.8948962508024065</v>
      </c>
      <c r="CL87" s="794">
        <f>AP87</f>
        <v>5.4989225515440374</v>
      </c>
      <c r="CM87" s="794">
        <f>AT87</f>
        <v>5.6590022291375348</v>
      </c>
      <c r="CN87" s="794">
        <f>AX87</f>
        <v>5.327548369346446</v>
      </c>
      <c r="CO87" s="794">
        <f>BB87</f>
        <v>3.4065744765756958</v>
      </c>
      <c r="CP87" s="282">
        <f>BF87</f>
        <v>3.8030368145484936</v>
      </c>
      <c r="CQ87" s="282">
        <f>BJ87</f>
        <v>4.9001195722147939</v>
      </c>
      <c r="CR87" s="22"/>
      <c r="CS87" s="14"/>
      <c r="CZ87" s="8"/>
    </row>
    <row r="88" spans="1:104" ht="14.25" customHeight="1">
      <c r="A88" s="8"/>
      <c r="B88" s="23"/>
      <c r="C88" s="24"/>
      <c r="D88" s="197"/>
      <c r="E88" s="195"/>
      <c r="F88" s="195"/>
      <c r="G88" s="203"/>
      <c r="H88" s="197"/>
      <c r="I88" s="195"/>
      <c r="J88" s="195"/>
      <c r="K88" s="203"/>
      <c r="L88" s="197"/>
      <c r="M88" s="195"/>
      <c r="N88" s="195"/>
      <c r="O88" s="203"/>
      <c r="P88" s="197"/>
      <c r="Q88" s="195"/>
      <c r="R88" s="195"/>
      <c r="S88" s="203"/>
      <c r="T88" s="197"/>
      <c r="U88" s="195"/>
      <c r="V88" s="195"/>
      <c r="W88" s="203"/>
      <c r="X88" s="195"/>
      <c r="Y88" s="195"/>
      <c r="Z88" s="195"/>
      <c r="AA88" s="203"/>
      <c r="AB88" s="195"/>
      <c r="AC88" s="195"/>
      <c r="AD88" s="195"/>
      <c r="AE88" s="203"/>
      <c r="AF88" s="195"/>
      <c r="AG88" s="195"/>
      <c r="AH88" s="195"/>
      <c r="AI88" s="203"/>
      <c r="AJ88" s="195"/>
      <c r="AK88" s="195"/>
      <c r="AL88" s="195"/>
      <c r="AM88" s="203"/>
      <c r="AN88" s="195"/>
      <c r="AO88" s="195"/>
      <c r="AP88" s="195"/>
      <c r="AQ88" s="203"/>
      <c r="AR88" s="195"/>
      <c r="AS88" s="195"/>
      <c r="AT88" s="195"/>
      <c r="AU88" s="203"/>
      <c r="AV88" s="195"/>
      <c r="AW88" s="195"/>
      <c r="AX88" s="195"/>
      <c r="AY88" s="195"/>
      <c r="AZ88" s="197"/>
      <c r="BA88" s="195"/>
      <c r="BB88" s="195"/>
      <c r="BC88" s="203"/>
      <c r="BD88" s="197"/>
      <c r="BE88" s="195"/>
      <c r="BF88" s="195"/>
      <c r="BG88" s="203"/>
      <c r="BH88" s="197"/>
      <c r="BI88" s="195"/>
      <c r="BJ88" s="195"/>
      <c r="BK88" s="203"/>
      <c r="BL88" s="20"/>
      <c r="BM88" s="204"/>
      <c r="BN88" s="204"/>
      <c r="BO88" s="204"/>
      <c r="BP88" s="204"/>
      <c r="BQ88" s="204"/>
      <c r="BR88" s="204"/>
      <c r="BS88" s="204"/>
      <c r="BT88" s="204"/>
      <c r="BU88" s="204"/>
      <c r="BV88" s="204"/>
      <c r="BW88" s="204"/>
      <c r="BX88" s="204"/>
      <c r="BY88" s="204"/>
      <c r="BZ88" s="204"/>
      <c r="CA88" s="204"/>
      <c r="CB88" s="205"/>
      <c r="CC88" s="20"/>
      <c r="CD88" s="204"/>
      <c r="CE88" s="204"/>
      <c r="CF88" s="204"/>
      <c r="CG88" s="204"/>
      <c r="CH88" s="204"/>
      <c r="CI88" s="204"/>
      <c r="CJ88" s="204"/>
      <c r="CK88" s="204"/>
      <c r="CL88" s="204"/>
      <c r="CM88" s="204"/>
      <c r="CN88" s="204"/>
      <c r="CO88" s="204"/>
      <c r="CP88" s="204"/>
      <c r="CQ88" s="204"/>
      <c r="CR88" s="22"/>
      <c r="CS88" s="14"/>
      <c r="CZ88" s="8"/>
    </row>
    <row r="89" spans="1:104" ht="14.25" customHeight="1">
      <c r="A89" s="8"/>
      <c r="B89" s="68" t="s">
        <v>136</v>
      </c>
      <c r="C89" s="69"/>
      <c r="D89" s="208">
        <f t="shared" ref="D89:AQ89" si="219">D17-D33</f>
        <v>1243.5119999999999</v>
      </c>
      <c r="E89" s="206">
        <f t="shared" si="219"/>
        <v>1155.2759999999996</v>
      </c>
      <c r="F89" s="206">
        <f t="shared" si="219"/>
        <v>1101.4459999999999</v>
      </c>
      <c r="G89" s="207">
        <f t="shared" si="219"/>
        <v>1303.2239999999997</v>
      </c>
      <c r="H89" s="208">
        <f t="shared" si="219"/>
        <v>1362.3199999999997</v>
      </c>
      <c r="I89" s="206">
        <f t="shared" si="219"/>
        <v>1519.2659999999996</v>
      </c>
      <c r="J89" s="206">
        <f t="shared" si="219"/>
        <v>1400.2259999999999</v>
      </c>
      <c r="K89" s="207">
        <f t="shared" si="219"/>
        <v>1396.7330000000004</v>
      </c>
      <c r="L89" s="208">
        <f t="shared" si="219"/>
        <v>1469.7630000000001</v>
      </c>
      <c r="M89" s="206">
        <f t="shared" si="219"/>
        <v>1476.5339999999999</v>
      </c>
      <c r="N89" s="206">
        <f t="shared" si="219"/>
        <v>1555.0630000000003</v>
      </c>
      <c r="O89" s="207">
        <f t="shared" si="219"/>
        <v>1479.53</v>
      </c>
      <c r="P89" s="208">
        <f t="shared" si="219"/>
        <v>1395.028</v>
      </c>
      <c r="Q89" s="206">
        <f t="shared" si="219"/>
        <v>1503.7279999999998</v>
      </c>
      <c r="R89" s="206">
        <f t="shared" si="219"/>
        <v>1474.972</v>
      </c>
      <c r="S89" s="207">
        <f t="shared" si="219"/>
        <v>1519.4019999999998</v>
      </c>
      <c r="T89" s="208">
        <f t="shared" si="219"/>
        <v>1587.876</v>
      </c>
      <c r="U89" s="206">
        <f t="shared" si="219"/>
        <v>1651.9759999999997</v>
      </c>
      <c r="V89" s="206">
        <f t="shared" si="219"/>
        <v>1596.7579999999998</v>
      </c>
      <c r="W89" s="207">
        <f t="shared" si="219"/>
        <v>1549.905</v>
      </c>
      <c r="X89" s="206">
        <f t="shared" si="219"/>
        <v>1849.08</v>
      </c>
      <c r="Y89" s="206">
        <f t="shared" si="219"/>
        <v>1953.0789999999995</v>
      </c>
      <c r="Z89" s="206">
        <f t="shared" si="219"/>
        <v>2155.6360000000004</v>
      </c>
      <c r="AA89" s="207">
        <f t="shared" si="219"/>
        <v>2254.6459999999997</v>
      </c>
      <c r="AB89" s="206">
        <f t="shared" si="219"/>
        <v>2186.9139999999998</v>
      </c>
      <c r="AC89" s="206">
        <f>AC17-AC33</f>
        <v>2046.8089999999997</v>
      </c>
      <c r="AD89" s="206">
        <f t="shared" si="219"/>
        <v>1970.1170000000002</v>
      </c>
      <c r="AE89" s="207">
        <f t="shared" si="219"/>
        <v>2107.5330000000004</v>
      </c>
      <c r="AF89" s="206">
        <f t="shared" si="219"/>
        <v>1942.02</v>
      </c>
      <c r="AG89" s="206">
        <f>AG17-AG33</f>
        <v>1907.402</v>
      </c>
      <c r="AH89" s="206">
        <f t="shared" si="219"/>
        <v>1928.029</v>
      </c>
      <c r="AI89" s="207">
        <f t="shared" si="219"/>
        <v>1910.8510000000001</v>
      </c>
      <c r="AJ89" s="206">
        <f t="shared" si="219"/>
        <v>1878.8890000000004</v>
      </c>
      <c r="AK89" s="206">
        <f t="shared" si="219"/>
        <v>1319.0360000000001</v>
      </c>
      <c r="AL89" s="206">
        <f t="shared" si="219"/>
        <v>1515.7489999999993</v>
      </c>
      <c r="AM89" s="207">
        <f>AM17-AM33</f>
        <v>2077.7870000000003</v>
      </c>
      <c r="AN89" s="206">
        <f t="shared" si="219"/>
        <v>2234.8510000000001</v>
      </c>
      <c r="AO89" s="206">
        <f t="shared" si="219"/>
        <v>2333.3279999999995</v>
      </c>
      <c r="AP89" s="206">
        <f t="shared" si="219"/>
        <v>2602.125</v>
      </c>
      <c r="AQ89" s="207">
        <f t="shared" si="219"/>
        <v>2971.8449999999998</v>
      </c>
      <c r="AR89" s="206">
        <f t="shared" ref="AR89:AY89" si="220">AR17-AR33</f>
        <v>3022.5629999999996</v>
      </c>
      <c r="AS89" s="206">
        <f t="shared" si="220"/>
        <v>3030.8189999999995</v>
      </c>
      <c r="AT89" s="206">
        <f t="shared" si="220"/>
        <v>3075.3849999999998</v>
      </c>
      <c r="AU89" s="207">
        <f t="shared" si="220"/>
        <v>2972.8469999999998</v>
      </c>
      <c r="AV89" s="206">
        <f t="shared" si="220"/>
        <v>2970.3360000000002</v>
      </c>
      <c r="AW89" s="206">
        <f>AW17-AW33</f>
        <v>3021.3750000000005</v>
      </c>
      <c r="AX89" s="206">
        <f t="shared" si="220"/>
        <v>2906.01</v>
      </c>
      <c r="AY89" s="206">
        <f t="shared" si="220"/>
        <v>2982.92</v>
      </c>
      <c r="AZ89" s="208">
        <f t="shared" ref="AZ89:BG89" si="221">AZ17-AZ33</f>
        <v>3788.0749999999994</v>
      </c>
      <c r="BA89" s="206">
        <f>BA17-BA33</f>
        <v>3749.0090000000005</v>
      </c>
      <c r="BB89" s="206">
        <f t="shared" si="221"/>
        <v>3735.4880000000007</v>
      </c>
      <c r="BC89" s="207">
        <f t="shared" si="221"/>
        <v>3207.2829999999999</v>
      </c>
      <c r="BD89" s="208">
        <f t="shared" si="221"/>
        <v>3271.4894716239596</v>
      </c>
      <c r="BE89" s="206">
        <f t="shared" si="221"/>
        <v>3334.433415376493</v>
      </c>
      <c r="BF89" s="206">
        <f t="shared" si="221"/>
        <v>3396.1258958934018</v>
      </c>
      <c r="BG89" s="207">
        <f t="shared" si="221"/>
        <v>3462.4204254926558</v>
      </c>
      <c r="BH89" s="208">
        <f>BH17-BH33</f>
        <v>3538.13949039011</v>
      </c>
      <c r="BI89" s="206">
        <f>BI17-BI33</f>
        <v>3617.6982276581143</v>
      </c>
      <c r="BJ89" s="206">
        <f>BJ17-BJ33</f>
        <v>3696.6097144786081</v>
      </c>
      <c r="BK89" s="207">
        <f>BK17-BK33</f>
        <v>3779.7870301046496</v>
      </c>
      <c r="BL89" s="20"/>
      <c r="BM89" s="209">
        <f t="shared" ref="BM89:BV89" si="222">BM17-BM33</f>
        <v>1303.2239999999997</v>
      </c>
      <c r="BN89" s="209">
        <f t="shared" si="222"/>
        <v>1396.7330000000004</v>
      </c>
      <c r="BO89" s="209">
        <f t="shared" si="222"/>
        <v>1479.53</v>
      </c>
      <c r="BP89" s="209">
        <f t="shared" si="222"/>
        <v>1519.4019999999998</v>
      </c>
      <c r="BQ89" s="209">
        <f t="shared" si="222"/>
        <v>1549.905</v>
      </c>
      <c r="BR89" s="209">
        <f t="shared" si="222"/>
        <v>2254.6459999999997</v>
      </c>
      <c r="BS89" s="209">
        <f t="shared" si="222"/>
        <v>2107.5330000000004</v>
      </c>
      <c r="BT89" s="209">
        <f t="shared" si="222"/>
        <v>1910.8510000000001</v>
      </c>
      <c r="BU89" s="209">
        <f t="shared" si="222"/>
        <v>2077.7870000000003</v>
      </c>
      <c r="BV89" s="209">
        <f t="shared" si="222"/>
        <v>2971.8449999999998</v>
      </c>
      <c r="BW89" s="209">
        <f>BW17-BW33</f>
        <v>2972.8469999999998</v>
      </c>
      <c r="BX89" s="209">
        <f>BX17-BX33</f>
        <v>2982.92</v>
      </c>
      <c r="BY89" s="209">
        <f>BY17-BY33</f>
        <v>3207.2829999999999</v>
      </c>
      <c r="BZ89" s="209">
        <f>BZ17-BZ33</f>
        <v>3462.4204254926558</v>
      </c>
      <c r="CA89" s="209">
        <f>CA17-CA33</f>
        <v>3779.7870301046496</v>
      </c>
      <c r="CB89" s="210"/>
      <c r="CC89" s="20"/>
      <c r="CD89" s="209">
        <f t="shared" ref="CD89:CL89" si="223">CD17-CD33</f>
        <v>1400.2259999999999</v>
      </c>
      <c r="CE89" s="209">
        <f t="shared" si="223"/>
        <v>1555.0630000000003</v>
      </c>
      <c r="CF89" s="209">
        <f t="shared" si="223"/>
        <v>1474.972</v>
      </c>
      <c r="CG89" s="209">
        <f t="shared" si="223"/>
        <v>1596.7579999999998</v>
      </c>
      <c r="CH89" s="209">
        <f t="shared" si="223"/>
        <v>2155.6360000000004</v>
      </c>
      <c r="CI89" s="209">
        <f t="shared" si="223"/>
        <v>1970.1170000000002</v>
      </c>
      <c r="CJ89" s="209">
        <f t="shared" si="223"/>
        <v>1928.029</v>
      </c>
      <c r="CK89" s="209">
        <f t="shared" si="223"/>
        <v>1515.7489999999993</v>
      </c>
      <c r="CL89" s="209">
        <f t="shared" si="223"/>
        <v>2602.125</v>
      </c>
      <c r="CM89" s="209">
        <f>CM17-CM33</f>
        <v>3075.3849999999998</v>
      </c>
      <c r="CN89" s="209">
        <f>CN17-CN33</f>
        <v>2906.01</v>
      </c>
      <c r="CO89" s="209">
        <f>CO17-CO33</f>
        <v>3735.4880000000007</v>
      </c>
      <c r="CP89" s="209">
        <f>CP17-CP33</f>
        <v>3396.1258958934018</v>
      </c>
      <c r="CQ89" s="209">
        <f>CQ17-CQ33</f>
        <v>3696.6097144786081</v>
      </c>
      <c r="CR89" s="22"/>
      <c r="CS89" s="14"/>
      <c r="CZ89" s="8"/>
    </row>
    <row r="90" spans="1:104" ht="14.25" customHeight="1">
      <c r="A90" s="8"/>
      <c r="B90" s="14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14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14"/>
      <c r="BF90" s="8"/>
      <c r="BG90" s="8"/>
      <c r="BH90" s="8"/>
      <c r="BI90" s="14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14"/>
      <c r="BZ90" s="8"/>
      <c r="CA90" s="8"/>
      <c r="CB90" s="844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14"/>
      <c r="CP90" s="14"/>
      <c r="CQ90" s="14"/>
      <c r="CR90" s="8"/>
      <c r="CS90" s="8"/>
      <c r="CZ90" s="8"/>
    </row>
    <row r="91" spans="1:104" ht="14.25" customHeight="1">
      <c r="A91" s="8"/>
      <c r="B91" s="14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14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14"/>
      <c r="BF91" s="8"/>
      <c r="BG91" s="8"/>
      <c r="BH91" s="8"/>
      <c r="BI91" s="14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14"/>
      <c r="BZ91" s="8"/>
      <c r="CA91" s="8"/>
      <c r="CB91" s="844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14"/>
      <c r="CO91" s="261"/>
      <c r="CP91" s="14"/>
      <c r="CQ91" s="14"/>
      <c r="CR91" s="8"/>
      <c r="CS91" s="8"/>
      <c r="CZ91" s="8"/>
    </row>
    <row r="92" spans="1:104" ht="14.25" customHeight="1">
      <c r="A92" s="8"/>
      <c r="B92" s="164" t="s">
        <v>416</v>
      </c>
      <c r="C92" s="165"/>
      <c r="D92" s="17" t="str">
        <f>D$56</f>
        <v>F1Q06A</v>
      </c>
      <c r="E92" s="18" t="str">
        <f t="shared" ref="E92:BK92" si="224">E$56</f>
        <v>F2Q06A</v>
      </c>
      <c r="F92" s="18" t="str">
        <f t="shared" si="224"/>
        <v>F3Q06A</v>
      </c>
      <c r="G92" s="19" t="str">
        <f t="shared" si="224"/>
        <v>F4Q06A</v>
      </c>
      <c r="H92" s="17" t="str">
        <f t="shared" si="224"/>
        <v>F1Q07A</v>
      </c>
      <c r="I92" s="18" t="str">
        <f t="shared" si="224"/>
        <v>F2Q07A</v>
      </c>
      <c r="J92" s="18" t="str">
        <f t="shared" si="224"/>
        <v>F3Q07A</v>
      </c>
      <c r="K92" s="19" t="str">
        <f t="shared" si="224"/>
        <v>F4Q07A</v>
      </c>
      <c r="L92" s="17" t="str">
        <f t="shared" si="224"/>
        <v>F1Q08A</v>
      </c>
      <c r="M92" s="18" t="str">
        <f t="shared" si="224"/>
        <v>F2Q08A</v>
      </c>
      <c r="N92" s="18" t="str">
        <f t="shared" si="224"/>
        <v>F3Q08A</v>
      </c>
      <c r="O92" s="19" t="str">
        <f t="shared" si="224"/>
        <v>F4Q08A</v>
      </c>
      <c r="P92" s="17" t="str">
        <f t="shared" si="224"/>
        <v>F1Q09A</v>
      </c>
      <c r="Q92" s="18" t="str">
        <f t="shared" si="224"/>
        <v>F2Q09A</v>
      </c>
      <c r="R92" s="18" t="str">
        <f t="shared" si="224"/>
        <v>F3Q09A</v>
      </c>
      <c r="S92" s="19" t="str">
        <f t="shared" si="224"/>
        <v>F4Q09A</v>
      </c>
      <c r="T92" s="17" t="str">
        <f t="shared" si="224"/>
        <v>F1Q10A</v>
      </c>
      <c r="U92" s="18" t="str">
        <f t="shared" si="224"/>
        <v>F2Q10A</v>
      </c>
      <c r="V92" s="18" t="str">
        <f t="shared" si="224"/>
        <v>F3Q10A</v>
      </c>
      <c r="W92" s="19" t="str">
        <f t="shared" si="224"/>
        <v>F4Q10A</v>
      </c>
      <c r="X92" s="17" t="str">
        <f t="shared" si="224"/>
        <v>F1Q11A</v>
      </c>
      <c r="Y92" s="18" t="str">
        <f t="shared" si="224"/>
        <v>F2Q11A</v>
      </c>
      <c r="Z92" s="18" t="str">
        <f t="shared" si="224"/>
        <v>F3Q11A</v>
      </c>
      <c r="AA92" s="19" t="str">
        <f t="shared" si="224"/>
        <v>F4Q11A</v>
      </c>
      <c r="AB92" s="17" t="str">
        <f t="shared" si="224"/>
        <v>F1Q12A</v>
      </c>
      <c r="AC92" s="18" t="str">
        <f t="shared" si="224"/>
        <v>F2Q12A</v>
      </c>
      <c r="AD92" s="18" t="str">
        <f t="shared" si="224"/>
        <v>F3Q12A</v>
      </c>
      <c r="AE92" s="18" t="str">
        <f t="shared" si="224"/>
        <v>F4Q12A</v>
      </c>
      <c r="AF92" s="17" t="str">
        <f t="shared" si="224"/>
        <v>F1Q13A</v>
      </c>
      <c r="AG92" s="18" t="str">
        <f t="shared" si="224"/>
        <v>F2Q13A</v>
      </c>
      <c r="AH92" s="18" t="str">
        <f t="shared" si="224"/>
        <v>F3Q13A</v>
      </c>
      <c r="AI92" s="19" t="str">
        <f t="shared" si="224"/>
        <v>F4Q13A</v>
      </c>
      <c r="AJ92" s="17" t="str">
        <f t="shared" si="224"/>
        <v>F1Q14A</v>
      </c>
      <c r="AK92" s="18" t="str">
        <f t="shared" si="224"/>
        <v>F2Q14A</v>
      </c>
      <c r="AL92" s="18" t="str">
        <f t="shared" si="224"/>
        <v>F3Q14A</v>
      </c>
      <c r="AM92" s="19" t="str">
        <f t="shared" si="224"/>
        <v>F4Q14A</v>
      </c>
      <c r="AN92" s="17" t="str">
        <f t="shared" si="224"/>
        <v>F1Q15A</v>
      </c>
      <c r="AO92" s="18" t="str">
        <f t="shared" si="224"/>
        <v>F2Q15A</v>
      </c>
      <c r="AP92" s="18" t="str">
        <f t="shared" si="224"/>
        <v>F3Q15A</v>
      </c>
      <c r="AQ92" s="19" t="str">
        <f t="shared" si="224"/>
        <v>F4Q15A</v>
      </c>
      <c r="AR92" s="17" t="str">
        <f t="shared" si="224"/>
        <v>F1Q16A</v>
      </c>
      <c r="AS92" s="18" t="str">
        <f t="shared" si="224"/>
        <v>F2Q16A</v>
      </c>
      <c r="AT92" s="18" t="str">
        <f t="shared" si="224"/>
        <v>F3Q16A</v>
      </c>
      <c r="AU92" s="19" t="str">
        <f t="shared" si="224"/>
        <v>F4Q16A</v>
      </c>
      <c r="AV92" s="17" t="str">
        <f t="shared" si="224"/>
        <v>F1Q17A</v>
      </c>
      <c r="AW92" s="18" t="str">
        <f t="shared" si="224"/>
        <v>F2Q17A</v>
      </c>
      <c r="AX92" s="18" t="str">
        <f t="shared" si="224"/>
        <v>F3Q17A</v>
      </c>
      <c r="AY92" s="19" t="str">
        <f t="shared" si="224"/>
        <v>F4Q17A</v>
      </c>
      <c r="AZ92" s="18" t="str">
        <f t="shared" si="224"/>
        <v>F1Q18A</v>
      </c>
      <c r="BA92" s="18" t="str">
        <f t="shared" si="224"/>
        <v>F2Q18A</v>
      </c>
      <c r="BB92" s="18" t="str">
        <f t="shared" si="224"/>
        <v>F3Q18A</v>
      </c>
      <c r="BC92" s="19" t="str">
        <f t="shared" si="224"/>
        <v>F4Q18A</v>
      </c>
      <c r="BD92" s="18" t="str">
        <f t="shared" si="224"/>
        <v>F1Q19E</v>
      </c>
      <c r="BE92" s="18" t="str">
        <f t="shared" si="224"/>
        <v>F2Q19E</v>
      </c>
      <c r="BF92" s="18" t="str">
        <f t="shared" si="224"/>
        <v>F3Q19E</v>
      </c>
      <c r="BG92" s="19" t="str">
        <f t="shared" si="224"/>
        <v>F4Q19E</v>
      </c>
      <c r="BH92" s="18" t="str">
        <f t="shared" si="224"/>
        <v>F1Q20E</v>
      </c>
      <c r="BI92" s="18" t="str">
        <f t="shared" si="224"/>
        <v>F2Q20E</v>
      </c>
      <c r="BJ92" s="18" t="str">
        <f t="shared" si="224"/>
        <v>F3Q20E</v>
      </c>
      <c r="BK92" s="19" t="str">
        <f t="shared" si="224"/>
        <v>F4Q20E</v>
      </c>
      <c r="BL92" s="20"/>
      <c r="BM92" s="511" t="str">
        <f>BM$56</f>
        <v>FY2006A</v>
      </c>
      <c r="BN92" s="18" t="str">
        <f t="shared" ref="BN92:CB92" si="225">BN$56</f>
        <v>FY2007A</v>
      </c>
      <c r="BO92" s="18" t="str">
        <f t="shared" si="225"/>
        <v>FY2008A</v>
      </c>
      <c r="BP92" s="18" t="str">
        <f t="shared" si="225"/>
        <v>FY2009A</v>
      </c>
      <c r="BQ92" s="18" t="str">
        <f t="shared" si="225"/>
        <v>FY2010A</v>
      </c>
      <c r="BR92" s="18" t="str">
        <f t="shared" si="225"/>
        <v>FY2011A</v>
      </c>
      <c r="BS92" s="18" t="str">
        <f t="shared" si="225"/>
        <v>FY2012A</v>
      </c>
      <c r="BT92" s="18" t="str">
        <f t="shared" si="225"/>
        <v>FY2013A</v>
      </c>
      <c r="BU92" s="18" t="str">
        <f t="shared" si="225"/>
        <v>FY2014</v>
      </c>
      <c r="BV92" s="18" t="str">
        <f t="shared" si="225"/>
        <v>FY2015</v>
      </c>
      <c r="BW92" s="18" t="str">
        <f t="shared" si="225"/>
        <v>FY2016</v>
      </c>
      <c r="BX92" s="18" t="str">
        <f t="shared" si="225"/>
        <v>FY2017</v>
      </c>
      <c r="BY92" s="18" t="str">
        <f t="shared" si="225"/>
        <v>FY2018A</v>
      </c>
      <c r="BZ92" s="18" t="str">
        <f t="shared" si="225"/>
        <v>FY2019E</v>
      </c>
      <c r="CA92" s="18" t="str">
        <f t="shared" si="225"/>
        <v>FY2020E</v>
      </c>
      <c r="CB92" s="21" t="str">
        <f t="shared" si="225"/>
        <v>FY2021E</v>
      </c>
      <c r="CC92" s="20"/>
      <c r="CD92" s="351" t="str">
        <f>CD$56</f>
        <v>CY2006</v>
      </c>
      <c r="CE92" s="18" t="str">
        <f t="shared" ref="CE92:CQ92" si="226">CE$56</f>
        <v>CY2007</v>
      </c>
      <c r="CF92" s="18" t="str">
        <f t="shared" si="226"/>
        <v>CY2008</v>
      </c>
      <c r="CG92" s="18" t="str">
        <f t="shared" si="226"/>
        <v>CY2009</v>
      </c>
      <c r="CH92" s="18" t="str">
        <f t="shared" si="226"/>
        <v>CY2010</v>
      </c>
      <c r="CI92" s="18" t="str">
        <f t="shared" si="226"/>
        <v>CY2011</v>
      </c>
      <c r="CJ92" s="18" t="str">
        <f t="shared" si="226"/>
        <v>CY2012</v>
      </c>
      <c r="CK92" s="18" t="str">
        <f t="shared" si="226"/>
        <v>CY2013</v>
      </c>
      <c r="CL92" s="18" t="str">
        <f t="shared" si="226"/>
        <v>CY2014</v>
      </c>
      <c r="CM92" s="18" t="str">
        <f t="shared" si="226"/>
        <v>CY2015</v>
      </c>
      <c r="CN92" s="18" t="str">
        <f t="shared" si="226"/>
        <v>CY2016</v>
      </c>
      <c r="CO92" s="18" t="str">
        <f t="shared" si="226"/>
        <v>CY2017</v>
      </c>
      <c r="CP92" s="18" t="str">
        <f t="shared" si="226"/>
        <v>CY2018</v>
      </c>
      <c r="CQ92" s="19" t="str">
        <f t="shared" si="226"/>
        <v>CY2019</v>
      </c>
      <c r="CR92" s="8"/>
      <c r="CS92" s="8"/>
      <c r="CZ92" s="8"/>
    </row>
    <row r="93" spans="1:104" ht="14.25" customHeight="1">
      <c r="A93" s="8"/>
      <c r="B93" s="74"/>
      <c r="C93" s="24"/>
      <c r="D93" s="197"/>
      <c r="E93" s="195"/>
      <c r="F93" s="195"/>
      <c r="G93" s="196"/>
      <c r="H93" s="197"/>
      <c r="I93" s="195"/>
      <c r="J93" s="195"/>
      <c r="K93" s="196"/>
      <c r="L93" s="197"/>
      <c r="M93" s="195"/>
      <c r="N93" s="195"/>
      <c r="O93" s="196"/>
      <c r="P93" s="197"/>
      <c r="Q93" s="195"/>
      <c r="R93" s="195"/>
      <c r="S93" s="196"/>
      <c r="T93" s="197"/>
      <c r="U93" s="195"/>
      <c r="V93" s="195"/>
      <c r="W93" s="196"/>
      <c r="X93" s="195"/>
      <c r="Y93" s="195"/>
      <c r="Z93" s="195"/>
      <c r="AA93" s="196"/>
      <c r="AB93" s="195"/>
      <c r="AC93" s="195"/>
      <c r="AD93" s="195"/>
      <c r="AE93" s="677"/>
      <c r="AF93" s="197"/>
      <c r="AG93" s="195"/>
      <c r="AH93" s="195"/>
      <c r="AI93" s="196"/>
      <c r="AJ93" s="197"/>
      <c r="AK93" s="195"/>
      <c r="AL93" s="195"/>
      <c r="AM93" s="196"/>
      <c r="AN93" s="197"/>
      <c r="AO93" s="195"/>
      <c r="AP93" s="195"/>
      <c r="AQ93" s="196"/>
      <c r="AR93" s="197"/>
      <c r="AS93" s="195"/>
      <c r="AT93" s="195"/>
      <c r="AU93" s="196"/>
      <c r="AV93" s="197"/>
      <c r="AW93" s="195"/>
      <c r="AX93" s="195"/>
      <c r="AY93" s="196"/>
      <c r="AZ93" s="195"/>
      <c r="BA93" s="195"/>
      <c r="BB93" s="195"/>
      <c r="BC93" s="196"/>
      <c r="BD93" s="195"/>
      <c r="BE93" s="677"/>
      <c r="BF93" s="195"/>
      <c r="BG93" s="196"/>
      <c r="BH93" s="195"/>
      <c r="BI93" s="677"/>
      <c r="BJ93" s="195"/>
      <c r="BK93" s="196"/>
      <c r="BL93" s="20"/>
      <c r="BM93" s="168"/>
      <c r="BN93" s="81"/>
      <c r="BO93" s="81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983"/>
      <c r="CC93" s="20"/>
      <c r="CD93" s="728"/>
      <c r="CE93" s="81"/>
      <c r="CF93" s="81"/>
      <c r="CG93" s="81"/>
      <c r="CH93" s="81"/>
      <c r="CI93" s="81"/>
      <c r="CJ93" s="81"/>
      <c r="CK93" s="81"/>
      <c r="CL93" s="81"/>
      <c r="CM93" s="81"/>
      <c r="CN93" s="168"/>
      <c r="CO93" s="168"/>
      <c r="CP93" s="168"/>
      <c r="CQ93" s="82"/>
      <c r="CR93" s="8"/>
      <c r="CS93" s="8"/>
      <c r="CZ93" s="8"/>
    </row>
    <row r="94" spans="1:104" s="418" customFormat="1" ht="14.25" customHeight="1">
      <c r="A94" s="14"/>
      <c r="B94" s="23" t="s">
        <v>409</v>
      </c>
      <c r="C94" s="71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5"/>
      <c r="P94" s="195"/>
      <c r="Q94" s="195"/>
      <c r="R94" s="195"/>
      <c r="S94" s="195"/>
      <c r="T94" s="195"/>
      <c r="U94" s="195"/>
      <c r="V94" s="195"/>
      <c r="W94" s="195"/>
      <c r="X94" s="195"/>
      <c r="Y94" s="195"/>
      <c r="Z94" s="195"/>
      <c r="AA94" s="195"/>
      <c r="AB94" s="195"/>
      <c r="AC94" s="195"/>
      <c r="AD94" s="195"/>
      <c r="AE94" s="195"/>
      <c r="AF94" s="197"/>
      <c r="AG94" s="195"/>
      <c r="AH94" s="195"/>
      <c r="AI94" s="203"/>
      <c r="AJ94" s="197"/>
      <c r="AK94" s="195"/>
      <c r="AL94" s="195"/>
      <c r="AM94" s="203"/>
      <c r="AN94" s="197"/>
      <c r="AO94" s="195"/>
      <c r="AP94" s="195"/>
      <c r="AQ94" s="203"/>
      <c r="AR94" s="197"/>
      <c r="AS94" s="195"/>
      <c r="AT94" s="195"/>
      <c r="AU94" s="203"/>
      <c r="AV94" s="197"/>
      <c r="AW94" s="195"/>
      <c r="AX94" s="195"/>
      <c r="AY94" s="203"/>
      <c r="AZ94" s="195"/>
      <c r="BA94" s="195"/>
      <c r="BB94" s="195"/>
      <c r="BC94" s="203"/>
      <c r="BD94" s="195"/>
      <c r="BE94" s="195"/>
      <c r="BF94" s="195"/>
      <c r="BG94" s="203"/>
      <c r="BH94" s="195"/>
      <c r="BI94" s="195"/>
      <c r="BJ94" s="195"/>
      <c r="BK94" s="203"/>
      <c r="BL94" s="20"/>
      <c r="BM94" s="81"/>
      <c r="BN94" s="81"/>
      <c r="BO94" s="81"/>
      <c r="BP94" s="81"/>
      <c r="BQ94" s="81"/>
      <c r="BR94" s="81"/>
      <c r="BS94" s="81"/>
      <c r="BT94" s="80"/>
      <c r="BU94" s="81"/>
      <c r="BV94" s="81"/>
      <c r="BW94" s="81"/>
      <c r="BX94" s="81"/>
      <c r="BY94" s="81"/>
      <c r="BZ94" s="81"/>
      <c r="CA94" s="81"/>
      <c r="CB94" s="945"/>
      <c r="CC94" s="20"/>
      <c r="CD94" s="80"/>
      <c r="CE94" s="81"/>
      <c r="CF94" s="81"/>
      <c r="CG94" s="81"/>
      <c r="CH94" s="81"/>
      <c r="CI94" s="81"/>
      <c r="CJ94" s="81"/>
      <c r="CK94" s="81"/>
      <c r="CL94" s="81"/>
      <c r="CM94" s="81"/>
      <c r="CN94" s="81"/>
      <c r="CO94" s="81"/>
      <c r="CP94" s="81"/>
      <c r="CQ94" s="82"/>
      <c r="CR94" s="14"/>
      <c r="CS94" s="14"/>
      <c r="CT94"/>
      <c r="CU94"/>
      <c r="CV94"/>
      <c r="CW94"/>
      <c r="CX94"/>
      <c r="CY94"/>
      <c r="CZ94" s="14"/>
    </row>
    <row r="95" spans="1:104" s="418" customFormat="1" ht="14.25" customHeight="1">
      <c r="A95" s="14"/>
      <c r="B95" s="23" t="s">
        <v>418</v>
      </c>
      <c r="C95" s="71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5"/>
      <c r="P95" s="195"/>
      <c r="Q95" s="195"/>
      <c r="R95" s="195"/>
      <c r="S95" s="195"/>
      <c r="T95" s="195"/>
      <c r="U95" s="195"/>
      <c r="V95" s="195"/>
      <c r="W95" s="195"/>
      <c r="X95" s="195"/>
      <c r="Y95" s="195"/>
      <c r="Z95" s="195"/>
      <c r="AA95" s="195"/>
      <c r="AB95" s="195"/>
      <c r="AC95" s="195"/>
      <c r="AD95" s="195"/>
      <c r="AE95" s="195"/>
      <c r="AF95" s="197"/>
      <c r="AG95" s="195"/>
      <c r="AH95" s="195"/>
      <c r="AI95" s="203">
        <v>600</v>
      </c>
      <c r="AJ95" s="197">
        <f t="shared" ref="AJ95:AL96" si="227">+AI95</f>
        <v>600</v>
      </c>
      <c r="AK95" s="195">
        <f t="shared" si="227"/>
        <v>600</v>
      </c>
      <c r="AL95" s="195">
        <f t="shared" si="227"/>
        <v>600</v>
      </c>
      <c r="AM95" s="203">
        <v>600</v>
      </c>
      <c r="AN95" s="687"/>
      <c r="AO95" s="266"/>
      <c r="AP95" s="266"/>
      <c r="AQ95" s="203"/>
      <c r="AR95" s="687"/>
      <c r="AS95" s="266"/>
      <c r="AT95" s="266"/>
      <c r="AU95" s="203"/>
      <c r="AV95" s="687"/>
      <c r="AW95" s="266"/>
      <c r="AX95" s="266"/>
      <c r="AY95" s="267"/>
      <c r="AZ95" s="266"/>
      <c r="BA95" s="266"/>
      <c r="BB95" s="266"/>
      <c r="BC95" s="267"/>
      <c r="BD95" s="266"/>
      <c r="BE95" s="266"/>
      <c r="BF95" s="266"/>
      <c r="BG95" s="267"/>
      <c r="BH95" s="266"/>
      <c r="BI95" s="266"/>
      <c r="BJ95" s="266"/>
      <c r="BK95" s="267"/>
      <c r="BL95" s="20"/>
      <c r="BM95" s="81"/>
      <c r="BN95" s="81"/>
      <c r="BO95" s="81"/>
      <c r="BP95" s="81"/>
      <c r="BQ95" s="81"/>
      <c r="BR95" s="81"/>
      <c r="BS95" s="81"/>
      <c r="BT95" s="197">
        <f>+AI95</f>
        <v>600</v>
      </c>
      <c r="BU95" s="195">
        <f>+AM95</f>
        <v>600</v>
      </c>
      <c r="BV95" s="195">
        <f>+AQ95</f>
        <v>0</v>
      </c>
      <c r="BW95" s="195">
        <f>+AU95</f>
        <v>0</v>
      </c>
      <c r="BX95" s="195">
        <f>AY95</f>
        <v>0</v>
      </c>
      <c r="BY95" s="195">
        <f>BC95</f>
        <v>0</v>
      </c>
      <c r="BZ95" s="195">
        <f>BG95</f>
        <v>0</v>
      </c>
      <c r="CA95" s="195">
        <f>BK95</f>
        <v>0</v>
      </c>
      <c r="CB95" s="203">
        <f>+CA95</f>
        <v>0</v>
      </c>
      <c r="CC95" s="20"/>
      <c r="CD95" s="80"/>
      <c r="CE95" s="81"/>
      <c r="CF95" s="81"/>
      <c r="CG95" s="81"/>
      <c r="CH95" s="81"/>
      <c r="CI95" s="81"/>
      <c r="CJ95" s="81"/>
      <c r="CK95" s="81"/>
      <c r="CL95" s="81"/>
      <c r="CM95" s="81"/>
      <c r="CN95" s="81"/>
      <c r="CO95" s="81"/>
      <c r="CP95" s="81"/>
      <c r="CQ95" s="203"/>
      <c r="CR95" s="14"/>
      <c r="CS95" s="14"/>
      <c r="CT95"/>
      <c r="CU95"/>
      <c r="CV95"/>
      <c r="CW95"/>
      <c r="CX95"/>
      <c r="CY95"/>
      <c r="CZ95" s="14"/>
    </row>
    <row r="96" spans="1:104" ht="14.25" customHeight="1">
      <c r="A96" s="8"/>
      <c r="B96" s="23" t="s">
        <v>419</v>
      </c>
      <c r="C96" s="24"/>
      <c r="D96" s="197"/>
      <c r="E96" s="195"/>
      <c r="F96" s="195"/>
      <c r="G96" s="203"/>
      <c r="H96" s="197"/>
      <c r="I96" s="195"/>
      <c r="J96" s="195"/>
      <c r="K96" s="203"/>
      <c r="L96" s="197"/>
      <c r="M96" s="195"/>
      <c r="N96" s="195"/>
      <c r="O96" s="203"/>
      <c r="P96" s="197"/>
      <c r="Q96" s="195"/>
      <c r="R96" s="195"/>
      <c r="S96" s="203"/>
      <c r="T96" s="197"/>
      <c r="U96" s="195"/>
      <c r="V96" s="195"/>
      <c r="W96" s="203"/>
      <c r="X96" s="195"/>
      <c r="Y96" s="195"/>
      <c r="Z96" s="195"/>
      <c r="AA96" s="203"/>
      <c r="AB96" s="195"/>
      <c r="AC96" s="195"/>
      <c r="AD96" s="195"/>
      <c r="AE96" s="195"/>
      <c r="AF96" s="197"/>
      <c r="AG96" s="195"/>
      <c r="AH96" s="195"/>
      <c r="AI96" s="203">
        <v>689.63499999999999</v>
      </c>
      <c r="AJ96" s="197">
        <f t="shared" si="227"/>
        <v>689.63499999999999</v>
      </c>
      <c r="AK96" s="195">
        <f t="shared" si="227"/>
        <v>689.63499999999999</v>
      </c>
      <c r="AL96" s="195">
        <f t="shared" si="227"/>
        <v>689.63499999999999</v>
      </c>
      <c r="AM96" s="203">
        <v>689.63499999999999</v>
      </c>
      <c r="AN96" s="688"/>
      <c r="AO96" s="654"/>
      <c r="AP96" s="654"/>
      <c r="AQ96" s="203"/>
      <c r="AR96" s="688"/>
      <c r="AS96" s="654"/>
      <c r="AT96" s="654"/>
      <c r="AU96" s="203"/>
      <c r="AV96" s="688"/>
      <c r="AW96" s="654"/>
      <c r="AX96" s="654"/>
      <c r="AY96" s="689"/>
      <c r="AZ96" s="654"/>
      <c r="BA96" s="654"/>
      <c r="BB96" s="654"/>
      <c r="BC96" s="689"/>
      <c r="BD96" s="654"/>
      <c r="BE96" s="654"/>
      <c r="BF96" s="654"/>
      <c r="BG96" s="689"/>
      <c r="BH96" s="654"/>
      <c r="BI96" s="654"/>
      <c r="BJ96" s="654"/>
      <c r="BK96" s="689"/>
      <c r="BL96" s="20"/>
      <c r="BM96" s="81"/>
      <c r="BN96" s="81"/>
      <c r="BO96" s="81"/>
      <c r="BP96" s="81"/>
      <c r="BQ96" s="81"/>
      <c r="BR96" s="81"/>
      <c r="BS96" s="81"/>
      <c r="BT96" s="197">
        <f>+AI96</f>
        <v>689.63499999999999</v>
      </c>
      <c r="BU96" s="195">
        <f>+AM96</f>
        <v>689.63499999999999</v>
      </c>
      <c r="BV96" s="195">
        <f>+AQ96</f>
        <v>0</v>
      </c>
      <c r="BW96" s="195">
        <f>+AU96</f>
        <v>0</v>
      </c>
      <c r="BX96" s="195">
        <f>AY96</f>
        <v>0</v>
      </c>
      <c r="BY96" s="195">
        <f>BC96</f>
        <v>0</v>
      </c>
      <c r="BZ96" s="195">
        <f>BG96</f>
        <v>0</v>
      </c>
      <c r="CA96" s="195">
        <f>BK96</f>
        <v>0</v>
      </c>
      <c r="CB96" s="203">
        <f>+CA96</f>
        <v>0</v>
      </c>
      <c r="CC96" s="20"/>
      <c r="CD96" s="80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203"/>
      <c r="CR96" s="8"/>
      <c r="CS96" s="8"/>
      <c r="CZ96" s="8"/>
    </row>
    <row r="97" spans="1:104" s="617" customFormat="1" ht="14.25" customHeight="1">
      <c r="A97" s="614"/>
      <c r="B97" s="631" t="s">
        <v>286</v>
      </c>
      <c r="C97" s="675"/>
      <c r="D97" s="672"/>
      <c r="E97" s="672"/>
      <c r="F97" s="672"/>
      <c r="G97" s="672"/>
      <c r="H97" s="672"/>
      <c r="I97" s="672"/>
      <c r="J97" s="672"/>
      <c r="K97" s="672"/>
      <c r="L97" s="672"/>
      <c r="M97" s="672"/>
      <c r="N97" s="672"/>
      <c r="O97" s="672"/>
      <c r="P97" s="672"/>
      <c r="Q97" s="672"/>
      <c r="R97" s="672"/>
      <c r="S97" s="672"/>
      <c r="T97" s="672"/>
      <c r="U97" s="672"/>
      <c r="V97" s="672"/>
      <c r="W97" s="672"/>
      <c r="X97" s="672"/>
      <c r="Y97" s="672"/>
      <c r="Z97" s="672"/>
      <c r="AA97" s="672"/>
      <c r="AB97" s="672"/>
      <c r="AC97" s="672"/>
      <c r="AD97" s="672"/>
      <c r="AE97" s="672"/>
      <c r="AF97" s="671"/>
      <c r="AG97" s="672"/>
      <c r="AH97" s="672"/>
      <c r="AI97" s="673">
        <v>0</v>
      </c>
      <c r="AJ97" s="671">
        <v>0</v>
      </c>
      <c r="AK97" s="672">
        <v>0</v>
      </c>
      <c r="AL97" s="672">
        <v>0</v>
      </c>
      <c r="AM97" s="673">
        <v>0</v>
      </c>
      <c r="AN97" s="671">
        <v>0</v>
      </c>
      <c r="AO97" s="672">
        <v>0</v>
      </c>
      <c r="AP97" s="672">
        <v>0</v>
      </c>
      <c r="AQ97" s="673">
        <v>0</v>
      </c>
      <c r="AR97" s="671">
        <v>0</v>
      </c>
      <c r="AS97" s="672">
        <v>0</v>
      </c>
      <c r="AT97" s="672">
        <v>0</v>
      </c>
      <c r="AU97" s="673">
        <v>0</v>
      </c>
      <c r="AV97" s="671">
        <v>0</v>
      </c>
      <c r="AW97" s="672">
        <v>0</v>
      </c>
      <c r="AX97" s="672">
        <v>0</v>
      </c>
      <c r="AY97" s="673">
        <v>0</v>
      </c>
      <c r="AZ97" s="672">
        <v>0</v>
      </c>
      <c r="BA97" s="672">
        <v>0</v>
      </c>
      <c r="BB97" s="672">
        <v>0</v>
      </c>
      <c r="BC97" s="673">
        <v>0</v>
      </c>
      <c r="BD97" s="672">
        <v>0</v>
      </c>
      <c r="BE97" s="672">
        <v>0</v>
      </c>
      <c r="BF97" s="672">
        <v>0</v>
      </c>
      <c r="BG97" s="673">
        <v>0</v>
      </c>
      <c r="BH97" s="672">
        <v>0</v>
      </c>
      <c r="BI97" s="672">
        <v>0</v>
      </c>
      <c r="BJ97" s="672">
        <v>0</v>
      </c>
      <c r="BK97" s="673">
        <v>0</v>
      </c>
      <c r="BL97" s="616"/>
      <c r="BM97" s="676"/>
      <c r="BN97" s="676"/>
      <c r="BO97" s="676"/>
      <c r="BP97" s="676"/>
      <c r="BQ97" s="676"/>
      <c r="BR97" s="676"/>
      <c r="BS97" s="676"/>
      <c r="BT97" s="671">
        <f>+AI97</f>
        <v>0</v>
      </c>
      <c r="BU97" s="672">
        <f>+AM97</f>
        <v>0</v>
      </c>
      <c r="BV97" s="672">
        <f>+AQ97</f>
        <v>0</v>
      </c>
      <c r="BW97" s="672">
        <f>+AU97</f>
        <v>0</v>
      </c>
      <c r="BX97" s="672">
        <f>AY97</f>
        <v>0</v>
      </c>
      <c r="BY97" s="672">
        <f>BC97</f>
        <v>0</v>
      </c>
      <c r="BZ97" s="672">
        <f>BG97</f>
        <v>0</v>
      </c>
      <c r="CA97" s="672">
        <f>BK97</f>
        <v>0</v>
      </c>
      <c r="CB97" s="673">
        <f>+CA97</f>
        <v>0</v>
      </c>
      <c r="CC97" s="616"/>
      <c r="CD97" s="696"/>
      <c r="CE97" s="676"/>
      <c r="CF97" s="676"/>
      <c r="CG97" s="676"/>
      <c r="CH97" s="676"/>
      <c r="CI97" s="676"/>
      <c r="CJ97" s="676"/>
      <c r="CK97" s="676"/>
      <c r="CL97" s="676"/>
      <c r="CM97" s="676"/>
      <c r="CN97" s="676"/>
      <c r="CO97" s="676"/>
      <c r="CP97" s="676"/>
      <c r="CQ97" s="673"/>
      <c r="CR97" s="614"/>
      <c r="CS97" s="614"/>
      <c r="CT97"/>
      <c r="CU97"/>
      <c r="CV97"/>
      <c r="CW97"/>
      <c r="CX97"/>
      <c r="CY97"/>
      <c r="CZ97" s="614"/>
    </row>
    <row r="98" spans="1:104" ht="14.25" customHeight="1">
      <c r="A98" s="8"/>
      <c r="B98" s="22" t="s">
        <v>388</v>
      </c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22"/>
      <c r="AG98" s="14"/>
      <c r="AH98" s="14"/>
      <c r="AI98" s="409">
        <f>+SUM(AI95:AI97)</f>
        <v>1289.635</v>
      </c>
      <c r="AJ98" s="350">
        <f t="shared" ref="AJ98:AR98" si="228">+SUM(AJ95:AJ97)</f>
        <v>1289.635</v>
      </c>
      <c r="AK98" s="318">
        <f t="shared" si="228"/>
        <v>1289.635</v>
      </c>
      <c r="AL98" s="318">
        <f>+SUM(AL95:AL97)</f>
        <v>1289.635</v>
      </c>
      <c r="AM98" s="409">
        <f>+SUM(AM95:AM97)</f>
        <v>1289.635</v>
      </c>
      <c r="AN98" s="350">
        <f t="shared" si="228"/>
        <v>0</v>
      </c>
      <c r="AO98" s="318">
        <f t="shared" si="228"/>
        <v>0</v>
      </c>
      <c r="AP98" s="318">
        <f t="shared" si="228"/>
        <v>0</v>
      </c>
      <c r="AQ98" s="409">
        <f t="shared" si="228"/>
        <v>0</v>
      </c>
      <c r="AR98" s="350">
        <f t="shared" si="228"/>
        <v>0</v>
      </c>
      <c r="AS98" s="318">
        <f t="shared" ref="AS98:AY98" si="229">+SUM(AS95:AS97)</f>
        <v>0</v>
      </c>
      <c r="AT98" s="318">
        <f t="shared" si="229"/>
        <v>0</v>
      </c>
      <c r="AU98" s="409">
        <f t="shared" si="229"/>
        <v>0</v>
      </c>
      <c r="AV98" s="350">
        <f t="shared" si="229"/>
        <v>0</v>
      </c>
      <c r="AW98" s="318">
        <f>+SUM(AW95:AW97)</f>
        <v>0</v>
      </c>
      <c r="AX98" s="318">
        <f t="shared" si="229"/>
        <v>0</v>
      </c>
      <c r="AY98" s="409">
        <f t="shared" si="229"/>
        <v>0</v>
      </c>
      <c r="AZ98" s="318">
        <f t="shared" ref="AZ98:BG98" si="230">+SUM(AZ95:AZ97)</f>
        <v>0</v>
      </c>
      <c r="BA98" s="318">
        <f>+SUM(BA95:BA97)</f>
        <v>0</v>
      </c>
      <c r="BB98" s="318">
        <f t="shared" si="230"/>
        <v>0</v>
      </c>
      <c r="BC98" s="409">
        <f t="shared" si="230"/>
        <v>0</v>
      </c>
      <c r="BD98" s="318">
        <f t="shared" si="230"/>
        <v>0</v>
      </c>
      <c r="BE98" s="318">
        <f t="shared" si="230"/>
        <v>0</v>
      </c>
      <c r="BF98" s="318">
        <f t="shared" si="230"/>
        <v>0</v>
      </c>
      <c r="BG98" s="409">
        <f t="shared" si="230"/>
        <v>0</v>
      </c>
      <c r="BH98" s="318">
        <f>+SUM(BH95:BH97)</f>
        <v>0</v>
      </c>
      <c r="BI98" s="318">
        <f>+SUM(BI95:BI97)</f>
        <v>0</v>
      </c>
      <c r="BJ98" s="318">
        <f>+SUM(BJ95:BJ97)</f>
        <v>0</v>
      </c>
      <c r="BK98" s="409">
        <f>+SUM(BK95:BK97)</f>
        <v>0</v>
      </c>
      <c r="BL98" s="20"/>
      <c r="BM98" s="8"/>
      <c r="BN98" s="8"/>
      <c r="BO98" s="8"/>
      <c r="BP98" s="8"/>
      <c r="BQ98" s="8"/>
      <c r="BR98" s="8"/>
      <c r="BS98" s="8"/>
      <c r="BT98" s="350">
        <f>+AI98</f>
        <v>1289.635</v>
      </c>
      <c r="BU98" s="318">
        <f>+AM98</f>
        <v>1289.635</v>
      </c>
      <c r="BV98" s="318">
        <f>+AQ98</f>
        <v>0</v>
      </c>
      <c r="BW98" s="318">
        <f>+AU98</f>
        <v>0</v>
      </c>
      <c r="BX98" s="318">
        <f>AY98</f>
        <v>0</v>
      </c>
      <c r="BY98" s="318">
        <f>BC98</f>
        <v>0</v>
      </c>
      <c r="BZ98" s="318">
        <f>BG98</f>
        <v>0</v>
      </c>
      <c r="CA98" s="318">
        <f>BK98</f>
        <v>0</v>
      </c>
      <c r="CB98" s="928">
        <f>+SUM(CB95:CB97)</f>
        <v>0</v>
      </c>
      <c r="CC98" s="20"/>
      <c r="CD98" s="22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409"/>
      <c r="CR98" s="8"/>
      <c r="CS98" s="8"/>
      <c r="CZ98" s="8"/>
    </row>
    <row r="99" spans="1:104" ht="14.25" customHeight="1">
      <c r="A99" s="8"/>
      <c r="B99" s="22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22"/>
      <c r="AG99" s="14"/>
      <c r="AH99" s="14"/>
      <c r="AI99" s="269"/>
      <c r="AJ99" s="22"/>
      <c r="AK99" s="14"/>
      <c r="AL99" s="14"/>
      <c r="AM99" s="269"/>
      <c r="AN99" s="22"/>
      <c r="AO99" s="14"/>
      <c r="AP99" s="14"/>
      <c r="AQ99" s="269"/>
      <c r="AR99" s="22"/>
      <c r="AS99" s="14"/>
      <c r="AT99" s="14"/>
      <c r="AU99" s="269"/>
      <c r="AV99" s="22"/>
      <c r="AW99" s="14"/>
      <c r="AX99" s="14"/>
      <c r="AY99" s="269"/>
      <c r="AZ99" s="14"/>
      <c r="BA99" s="14"/>
      <c r="BB99" s="14"/>
      <c r="BC99" s="269"/>
      <c r="BD99" s="14"/>
      <c r="BE99" s="14"/>
      <c r="BF99" s="14"/>
      <c r="BG99" s="269"/>
      <c r="BH99" s="14"/>
      <c r="BI99" s="14"/>
      <c r="BJ99" s="14"/>
      <c r="BK99" s="269"/>
      <c r="BL99" s="20"/>
      <c r="BM99" s="8"/>
      <c r="BN99" s="8"/>
      <c r="BO99" s="8"/>
      <c r="BP99" s="8"/>
      <c r="BQ99" s="8"/>
      <c r="BR99" s="8"/>
      <c r="BS99" s="8"/>
      <c r="BT99" s="22"/>
      <c r="BU99" s="14"/>
      <c r="BV99" s="14"/>
      <c r="BW99" s="14"/>
      <c r="BX99" s="14"/>
      <c r="BY99" s="14"/>
      <c r="BZ99" s="14"/>
      <c r="CA99" s="14"/>
      <c r="CB99" s="927"/>
      <c r="CC99" s="20"/>
      <c r="CD99" s="22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269"/>
      <c r="CR99" s="8"/>
      <c r="CS99" s="8"/>
      <c r="CZ99" s="8"/>
    </row>
    <row r="100" spans="1:104" ht="14.25" customHeight="1">
      <c r="A100" s="8"/>
      <c r="B100" s="23" t="s">
        <v>415</v>
      </c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22"/>
      <c r="AG100" s="14"/>
      <c r="AH100" s="14"/>
      <c r="AI100" s="269"/>
      <c r="AJ100" s="22"/>
      <c r="AK100" s="14"/>
      <c r="AL100" s="14"/>
      <c r="AM100" s="269"/>
      <c r="AN100" s="22"/>
      <c r="AO100" s="14"/>
      <c r="AP100" s="14"/>
      <c r="AQ100" s="269"/>
      <c r="AR100" s="22"/>
      <c r="AS100" s="14"/>
      <c r="AT100" s="14"/>
      <c r="AU100" s="269"/>
      <c r="AV100" s="22"/>
      <c r="AW100" s="14"/>
      <c r="AX100" s="14"/>
      <c r="AY100" s="269"/>
      <c r="AZ100" s="14"/>
      <c r="BA100" s="14"/>
      <c r="BB100" s="14"/>
      <c r="BC100" s="269"/>
      <c r="BD100" s="14"/>
      <c r="BE100" s="14"/>
      <c r="BF100" s="14"/>
      <c r="BG100" s="269"/>
      <c r="BH100" s="14"/>
      <c r="BI100" s="14"/>
      <c r="BJ100" s="14"/>
      <c r="BK100" s="269"/>
      <c r="BL100" s="20"/>
      <c r="BM100" s="8"/>
      <c r="BN100" s="8"/>
      <c r="BO100" s="8"/>
      <c r="BP100" s="8"/>
      <c r="BQ100" s="8"/>
      <c r="BR100" s="8"/>
      <c r="BS100" s="8"/>
      <c r="BT100" s="22"/>
      <c r="BU100" s="14"/>
      <c r="BV100" s="14"/>
      <c r="BW100" s="14"/>
      <c r="BX100" s="14"/>
      <c r="BY100" s="14"/>
      <c r="BZ100" s="14"/>
      <c r="CA100" s="14"/>
      <c r="CB100" s="927"/>
      <c r="CC100" s="20"/>
      <c r="CD100" s="22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269"/>
      <c r="CR100" s="8"/>
      <c r="CS100" s="8"/>
      <c r="CZ100" s="8"/>
    </row>
    <row r="101" spans="1:104" ht="14.25" customHeight="1">
      <c r="A101" s="8"/>
      <c r="B101" s="23" t="s">
        <v>418</v>
      </c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22"/>
      <c r="AG101" s="14"/>
      <c r="AH101" s="14"/>
      <c r="AI101" s="273">
        <f>600-64.767</f>
        <v>535.23299999999995</v>
      </c>
      <c r="AJ101" s="678">
        <f>+AI101+AJ125</f>
        <v>538.05180292613636</v>
      </c>
      <c r="AK101" s="679">
        <f t="shared" ref="AJ101:AL102" si="231">+AJ101+AK125</f>
        <v>540.90618790057329</v>
      </c>
      <c r="AL101" s="679">
        <f t="shared" si="231"/>
        <v>543.79660407928031</v>
      </c>
      <c r="AM101" s="273">
        <f>600-64.767</f>
        <v>535.23299999999995</v>
      </c>
      <c r="AN101" s="678">
        <v>0</v>
      </c>
      <c r="AO101" s="679">
        <v>0</v>
      </c>
      <c r="AP101" s="679">
        <v>0</v>
      </c>
      <c r="AQ101" s="273">
        <v>0</v>
      </c>
      <c r="AR101" s="678">
        <v>0</v>
      </c>
      <c r="AS101" s="679">
        <v>0</v>
      </c>
      <c r="AT101" s="679">
        <v>0</v>
      </c>
      <c r="AU101" s="273">
        <v>0</v>
      </c>
      <c r="AV101" s="678">
        <v>0</v>
      </c>
      <c r="AW101" s="679">
        <v>0</v>
      </c>
      <c r="AX101" s="679">
        <v>0</v>
      </c>
      <c r="AY101" s="680">
        <v>0</v>
      </c>
      <c r="AZ101" s="679">
        <v>0</v>
      </c>
      <c r="BA101" s="679">
        <v>0</v>
      </c>
      <c r="BB101" s="679">
        <v>0</v>
      </c>
      <c r="BC101" s="680">
        <v>0</v>
      </c>
      <c r="BD101" s="679">
        <v>0</v>
      </c>
      <c r="BE101" s="679">
        <v>0</v>
      </c>
      <c r="BF101" s="679">
        <v>0</v>
      </c>
      <c r="BG101" s="680">
        <v>0</v>
      </c>
      <c r="BH101" s="679">
        <v>0</v>
      </c>
      <c r="BI101" s="679">
        <v>0</v>
      </c>
      <c r="BJ101" s="679">
        <v>0</v>
      </c>
      <c r="BK101" s="680">
        <v>0</v>
      </c>
      <c r="BL101" s="20"/>
      <c r="BM101" s="8"/>
      <c r="BN101" s="8"/>
      <c r="BO101" s="8"/>
      <c r="BP101" s="8"/>
      <c r="BQ101" s="8"/>
      <c r="BR101" s="8"/>
      <c r="BS101" s="8"/>
      <c r="BT101" s="678">
        <f>+AI101</f>
        <v>535.23299999999995</v>
      </c>
      <c r="BU101" s="679">
        <f>+AM101</f>
        <v>535.23299999999995</v>
      </c>
      <c r="BV101" s="679">
        <f>+AQ101</f>
        <v>0</v>
      </c>
      <c r="BW101" s="679">
        <f>+AU101</f>
        <v>0</v>
      </c>
      <c r="BX101" s="679">
        <f>AY101</f>
        <v>0</v>
      </c>
      <c r="BY101" s="679">
        <f>BC101</f>
        <v>0</v>
      </c>
      <c r="BZ101" s="679">
        <f>BG101</f>
        <v>0</v>
      </c>
      <c r="CA101" s="679">
        <f>BK101</f>
        <v>0</v>
      </c>
      <c r="CB101" s="985">
        <f>+CA101+CB125</f>
        <v>0</v>
      </c>
      <c r="CC101" s="20"/>
      <c r="CD101" s="22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680"/>
      <c r="CR101" s="8"/>
      <c r="CS101" s="8"/>
      <c r="CZ101" s="8"/>
    </row>
    <row r="102" spans="1:104" ht="14.25" customHeight="1">
      <c r="A102" s="8"/>
      <c r="B102" s="23" t="s">
        <v>419</v>
      </c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22"/>
      <c r="AG102" s="14"/>
      <c r="AH102" s="14"/>
      <c r="AI102" s="273">
        <v>368.71699999999998</v>
      </c>
      <c r="AJ102" s="678">
        <f t="shared" si="231"/>
        <v>369.96613256249998</v>
      </c>
      <c r="AK102" s="679">
        <f t="shared" si="231"/>
        <v>371.237749511125</v>
      </c>
      <c r="AL102" s="679">
        <f t="shared" si="231"/>
        <v>372.53225556482528</v>
      </c>
      <c r="AM102" s="273">
        <v>368.71699999999998</v>
      </c>
      <c r="AN102" s="678">
        <v>0</v>
      </c>
      <c r="AO102" s="679">
        <v>0</v>
      </c>
      <c r="AP102" s="679">
        <v>0</v>
      </c>
      <c r="AQ102" s="273">
        <v>0</v>
      </c>
      <c r="AR102" s="678">
        <v>0</v>
      </c>
      <c r="AS102" s="679">
        <v>0</v>
      </c>
      <c r="AT102" s="679">
        <v>0</v>
      </c>
      <c r="AU102" s="273">
        <v>0</v>
      </c>
      <c r="AV102" s="678">
        <v>0</v>
      </c>
      <c r="AW102" s="679">
        <v>0</v>
      </c>
      <c r="AX102" s="679">
        <v>0</v>
      </c>
      <c r="AY102" s="680">
        <v>0</v>
      </c>
      <c r="AZ102" s="679">
        <v>0</v>
      </c>
      <c r="BA102" s="679">
        <v>0</v>
      </c>
      <c r="BB102" s="679">
        <v>0</v>
      </c>
      <c r="BC102" s="680">
        <v>0</v>
      </c>
      <c r="BD102" s="679">
        <v>0</v>
      </c>
      <c r="BE102" s="679">
        <v>0</v>
      </c>
      <c r="BF102" s="679">
        <v>0</v>
      </c>
      <c r="BG102" s="680">
        <v>0</v>
      </c>
      <c r="BH102" s="679">
        <v>0</v>
      </c>
      <c r="BI102" s="679">
        <v>0</v>
      </c>
      <c r="BJ102" s="679">
        <v>0</v>
      </c>
      <c r="BK102" s="680">
        <v>0</v>
      </c>
      <c r="BL102" s="20"/>
      <c r="BM102" s="8"/>
      <c r="BN102" s="8"/>
      <c r="BO102" s="8"/>
      <c r="BP102" s="8"/>
      <c r="BQ102" s="8"/>
      <c r="BR102" s="8"/>
      <c r="BS102" s="8"/>
      <c r="BT102" s="678">
        <f>+AI102</f>
        <v>368.71699999999998</v>
      </c>
      <c r="BU102" s="679">
        <f>+AM102</f>
        <v>368.71699999999998</v>
      </c>
      <c r="BV102" s="679">
        <f>+AQ102</f>
        <v>0</v>
      </c>
      <c r="BW102" s="679">
        <f>+AU102</f>
        <v>0</v>
      </c>
      <c r="BX102" s="679">
        <f>AY102</f>
        <v>0</v>
      </c>
      <c r="BY102" s="679">
        <f>BC102</f>
        <v>0</v>
      </c>
      <c r="BZ102" s="679">
        <f>BG102</f>
        <v>0</v>
      </c>
      <c r="CA102" s="679">
        <f>BK102</f>
        <v>0</v>
      </c>
      <c r="CB102" s="985">
        <f>+CA102+CB126</f>
        <v>0</v>
      </c>
      <c r="CC102" s="20"/>
      <c r="CD102" s="22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680"/>
      <c r="CR102" s="8"/>
      <c r="CS102" s="8"/>
      <c r="CZ102" s="8"/>
    </row>
    <row r="103" spans="1:104" s="617" customFormat="1" ht="14.25" customHeight="1">
      <c r="A103" s="614"/>
      <c r="B103" s="631" t="s">
        <v>286</v>
      </c>
      <c r="C103" s="665"/>
      <c r="D103" s="665"/>
      <c r="E103" s="665"/>
      <c r="F103" s="665"/>
      <c r="G103" s="665"/>
      <c r="H103" s="665"/>
      <c r="I103" s="665"/>
      <c r="J103" s="665"/>
      <c r="K103" s="665"/>
      <c r="L103" s="665"/>
      <c r="M103" s="665"/>
      <c r="N103" s="665"/>
      <c r="O103" s="665"/>
      <c r="P103" s="665"/>
      <c r="Q103" s="665"/>
      <c r="R103" s="665"/>
      <c r="S103" s="665"/>
      <c r="T103" s="665"/>
      <c r="U103" s="665"/>
      <c r="V103" s="665"/>
      <c r="W103" s="665"/>
      <c r="X103" s="665"/>
      <c r="Y103" s="665"/>
      <c r="Z103" s="665"/>
      <c r="AA103" s="665"/>
      <c r="AB103" s="665"/>
      <c r="AC103" s="665"/>
      <c r="AD103" s="665"/>
      <c r="AE103" s="665"/>
      <c r="AF103" s="623"/>
      <c r="AG103" s="665"/>
      <c r="AH103" s="665"/>
      <c r="AI103" s="683">
        <f>+AI104-AI102-AI101</f>
        <v>18.716000000000122</v>
      </c>
      <c r="AJ103" s="681">
        <f>+AJ104-AJ102-AJ101</f>
        <v>18.763064511363609</v>
      </c>
      <c r="AK103" s="682">
        <v>-912.14393741169829</v>
      </c>
      <c r="AL103" s="682">
        <v>-912.14393741169829</v>
      </c>
      <c r="AM103" s="683">
        <f>+AM104-AM102-AM101</f>
        <v>89.920000000000073</v>
      </c>
      <c r="AN103" s="681">
        <v>0</v>
      </c>
      <c r="AO103" s="682">
        <v>0</v>
      </c>
      <c r="AP103" s="682">
        <v>0</v>
      </c>
      <c r="AQ103" s="683">
        <v>0</v>
      </c>
      <c r="AR103" s="681">
        <v>0</v>
      </c>
      <c r="AS103" s="682">
        <v>0</v>
      </c>
      <c r="AT103" s="682">
        <v>0</v>
      </c>
      <c r="AU103" s="683">
        <v>0</v>
      </c>
      <c r="AV103" s="681">
        <v>0</v>
      </c>
      <c r="AW103" s="682">
        <v>0</v>
      </c>
      <c r="AX103" s="682">
        <v>0</v>
      </c>
      <c r="AY103" s="683">
        <v>0</v>
      </c>
      <c r="AZ103" s="682">
        <v>0</v>
      </c>
      <c r="BA103" s="682">
        <v>0</v>
      </c>
      <c r="BB103" s="682">
        <v>0</v>
      </c>
      <c r="BC103" s="683">
        <v>0</v>
      </c>
      <c r="BD103" s="682">
        <v>0</v>
      </c>
      <c r="BE103" s="682">
        <v>0</v>
      </c>
      <c r="BF103" s="682">
        <v>0</v>
      </c>
      <c r="BG103" s="683">
        <v>0</v>
      </c>
      <c r="BH103" s="682">
        <v>0</v>
      </c>
      <c r="BI103" s="682">
        <v>0</v>
      </c>
      <c r="BJ103" s="682">
        <v>0</v>
      </c>
      <c r="BK103" s="683">
        <v>0</v>
      </c>
      <c r="BL103" s="616"/>
      <c r="BM103" s="614"/>
      <c r="BN103" s="614"/>
      <c r="BO103" s="614"/>
      <c r="BP103" s="614"/>
      <c r="BQ103" s="614"/>
      <c r="BR103" s="614"/>
      <c r="BS103" s="614"/>
      <c r="BT103" s="681">
        <f>+AI103</f>
        <v>18.716000000000122</v>
      </c>
      <c r="BU103" s="682">
        <f>+AM103</f>
        <v>89.920000000000073</v>
      </c>
      <c r="BV103" s="682">
        <f>+AQ103</f>
        <v>0</v>
      </c>
      <c r="BW103" s="682">
        <f>+AU103</f>
        <v>0</v>
      </c>
      <c r="BX103" s="682">
        <f>AY103</f>
        <v>0</v>
      </c>
      <c r="BY103" s="682">
        <f>BC103</f>
        <v>0</v>
      </c>
      <c r="BZ103" s="682">
        <f>BG103</f>
        <v>0</v>
      </c>
      <c r="CA103" s="682">
        <f>BK103</f>
        <v>0</v>
      </c>
      <c r="CB103" s="986">
        <f>+CA103</f>
        <v>0</v>
      </c>
      <c r="CC103" s="616"/>
      <c r="CD103" s="623"/>
      <c r="CE103" s="665"/>
      <c r="CF103" s="665"/>
      <c r="CG103" s="665"/>
      <c r="CH103" s="665"/>
      <c r="CI103" s="665"/>
      <c r="CJ103" s="665"/>
      <c r="CK103" s="665"/>
      <c r="CL103" s="665"/>
      <c r="CM103" s="665"/>
      <c r="CN103" s="665"/>
      <c r="CO103" s="665"/>
      <c r="CP103" s="665"/>
      <c r="CQ103" s="683"/>
      <c r="CR103" s="614"/>
      <c r="CS103" s="614"/>
      <c r="CT103"/>
      <c r="CU103"/>
      <c r="CV103"/>
      <c r="CW103"/>
      <c r="CX103"/>
      <c r="CY103"/>
      <c r="CZ103" s="614"/>
    </row>
    <row r="104" spans="1:104" ht="14.25" customHeight="1">
      <c r="A104" s="8"/>
      <c r="B104" s="22" t="s">
        <v>388</v>
      </c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22"/>
      <c r="AG104" s="14"/>
      <c r="AH104" s="14"/>
      <c r="AI104" s="729">
        <f>+AI35</f>
        <v>922.66600000000005</v>
      </c>
      <c r="AJ104" s="738">
        <f>+AJ35</f>
        <v>926.78099999999995</v>
      </c>
      <c r="AK104" s="746">
        <f>SUM(AK101:AK103)</f>
        <v>0</v>
      </c>
      <c r="AL104" s="746">
        <f>SUM(AL101:AL103)</f>
        <v>4.1849222324073025</v>
      </c>
      <c r="AM104" s="729">
        <f>+AM35</f>
        <v>993.87</v>
      </c>
      <c r="AN104" s="678">
        <f>+SUM(AN101:AN103)</f>
        <v>0</v>
      </c>
      <c r="AO104" s="679">
        <f>+SUM(AO101:AO103)</f>
        <v>0</v>
      </c>
      <c r="AP104" s="679">
        <f>+SUM(AP101:AP103)</f>
        <v>0</v>
      </c>
      <c r="AQ104" s="729">
        <f>+SUM(AQ101:AQ103)</f>
        <v>0</v>
      </c>
      <c r="AR104" s="678">
        <f>+SUM(AR101:AR103)</f>
        <v>0</v>
      </c>
      <c r="AS104" s="679">
        <f t="shared" ref="AS104:AY104" si="232">+SUM(AS101:AS103)</f>
        <v>0</v>
      </c>
      <c r="AT104" s="679">
        <f t="shared" si="232"/>
        <v>0</v>
      </c>
      <c r="AU104" s="729">
        <f t="shared" si="232"/>
        <v>0</v>
      </c>
      <c r="AV104" s="678">
        <f t="shared" si="232"/>
        <v>0</v>
      </c>
      <c r="AW104" s="679">
        <f>+SUM(AW101:AW103)</f>
        <v>0</v>
      </c>
      <c r="AX104" s="679">
        <f t="shared" si="232"/>
        <v>0</v>
      </c>
      <c r="AY104" s="680">
        <f t="shared" si="232"/>
        <v>0</v>
      </c>
      <c r="AZ104" s="679">
        <f t="shared" ref="AZ104:BG104" si="233">+SUM(AZ101:AZ103)</f>
        <v>0</v>
      </c>
      <c r="BA104" s="679">
        <f>+SUM(BA101:BA103)</f>
        <v>0</v>
      </c>
      <c r="BB104" s="679">
        <f t="shared" si="233"/>
        <v>0</v>
      </c>
      <c r="BC104" s="680">
        <f t="shared" si="233"/>
        <v>0</v>
      </c>
      <c r="BD104" s="679">
        <f t="shared" si="233"/>
        <v>0</v>
      </c>
      <c r="BE104" s="679">
        <f t="shared" si="233"/>
        <v>0</v>
      </c>
      <c r="BF104" s="679">
        <f t="shared" si="233"/>
        <v>0</v>
      </c>
      <c r="BG104" s="680">
        <f t="shared" si="233"/>
        <v>0</v>
      </c>
      <c r="BH104" s="679">
        <f>+SUM(BH101:BH103)</f>
        <v>0</v>
      </c>
      <c r="BI104" s="679">
        <f>+SUM(BI101:BI103)</f>
        <v>0</v>
      </c>
      <c r="BJ104" s="679">
        <f>+SUM(BJ101:BJ103)</f>
        <v>0</v>
      </c>
      <c r="BK104" s="680">
        <f>+SUM(BK101:BK103)</f>
        <v>0</v>
      </c>
      <c r="BL104" s="20"/>
      <c r="BM104" s="8"/>
      <c r="BN104" s="8"/>
      <c r="BO104" s="8"/>
      <c r="BP104" s="8"/>
      <c r="BQ104" s="8"/>
      <c r="BR104" s="8"/>
      <c r="BS104" s="8"/>
      <c r="BT104" s="678">
        <f>+AI104</f>
        <v>922.66600000000005</v>
      </c>
      <c r="BU104" s="679">
        <f>+AM104</f>
        <v>993.87</v>
      </c>
      <c r="BV104" s="679">
        <f>+AQ104</f>
        <v>0</v>
      </c>
      <c r="BW104" s="679">
        <f>+AU104</f>
        <v>0</v>
      </c>
      <c r="BX104" s="679">
        <f>AY104</f>
        <v>0</v>
      </c>
      <c r="BY104" s="679">
        <f>BC104</f>
        <v>0</v>
      </c>
      <c r="BZ104" s="679">
        <f>BG104</f>
        <v>0</v>
      </c>
      <c r="CA104" s="679">
        <f>BK104</f>
        <v>0</v>
      </c>
      <c r="CB104" s="985">
        <f>+SUM(CB101:CB103)</f>
        <v>0</v>
      </c>
      <c r="CC104" s="20"/>
      <c r="CD104" s="22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680"/>
      <c r="CR104" s="8"/>
      <c r="CS104" s="8"/>
      <c r="CZ104" s="8"/>
    </row>
    <row r="105" spans="1:104" ht="14.25" customHeight="1">
      <c r="A105" s="8"/>
      <c r="B105" s="22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22"/>
      <c r="AG105" s="14"/>
      <c r="AH105" s="14"/>
      <c r="AI105" s="269"/>
      <c r="AJ105" s="22"/>
      <c r="AK105" s="14"/>
      <c r="AL105" s="14"/>
      <c r="AM105" s="269"/>
      <c r="AN105" s="22"/>
      <c r="AO105" s="14"/>
      <c r="AP105" s="14"/>
      <c r="AQ105" s="269"/>
      <c r="AR105" s="22"/>
      <c r="AS105" s="14"/>
      <c r="AT105" s="14"/>
      <c r="AU105" s="269"/>
      <c r="AV105" s="22"/>
      <c r="AW105" s="14"/>
      <c r="AX105" s="14"/>
      <c r="AY105" s="269"/>
      <c r="AZ105" s="14"/>
      <c r="BA105" s="14"/>
      <c r="BB105" s="14"/>
      <c r="BC105" s="269"/>
      <c r="BD105" s="14"/>
      <c r="BE105" s="14"/>
      <c r="BF105" s="14"/>
      <c r="BG105" s="269"/>
      <c r="BH105" s="14"/>
      <c r="BI105" s="14"/>
      <c r="BJ105" s="14"/>
      <c r="BK105" s="269"/>
      <c r="BL105" s="20"/>
      <c r="BM105" s="8"/>
      <c r="BN105" s="8"/>
      <c r="BO105" s="8"/>
      <c r="BP105" s="8"/>
      <c r="BQ105" s="8"/>
      <c r="BR105" s="8"/>
      <c r="BS105" s="8"/>
      <c r="BT105" s="22"/>
      <c r="BU105" s="14"/>
      <c r="BV105" s="14"/>
      <c r="BW105" s="14"/>
      <c r="BX105" s="14"/>
      <c r="BY105" s="14"/>
      <c r="BZ105" s="14"/>
      <c r="CA105" s="14"/>
      <c r="CB105" s="927"/>
      <c r="CC105" s="20"/>
      <c r="CD105" s="22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269"/>
      <c r="CR105" s="8"/>
      <c r="CS105" s="8"/>
      <c r="CZ105" s="8"/>
    </row>
    <row r="106" spans="1:104" ht="14.25" customHeight="1">
      <c r="A106" s="8"/>
      <c r="B106" s="22" t="s">
        <v>410</v>
      </c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22"/>
      <c r="AG106" s="14"/>
      <c r="AH106" s="14"/>
      <c r="AI106" s="269"/>
      <c r="AJ106" s="22"/>
      <c r="AK106" s="14"/>
      <c r="AL106" s="14"/>
      <c r="AM106" s="269"/>
      <c r="AN106" s="22"/>
      <c r="AO106" s="14"/>
      <c r="AP106" s="14"/>
      <c r="AQ106" s="269"/>
      <c r="AR106" s="22"/>
      <c r="AS106" s="14"/>
      <c r="AT106" s="14"/>
      <c r="AU106" s="269"/>
      <c r="AV106" s="22"/>
      <c r="AW106" s="14"/>
      <c r="AX106" s="14"/>
      <c r="AY106" s="269"/>
      <c r="AZ106" s="14"/>
      <c r="BA106" s="14"/>
      <c r="BB106" s="14"/>
      <c r="BC106" s="269"/>
      <c r="BD106" s="14"/>
      <c r="BE106" s="14"/>
      <c r="BF106" s="14"/>
      <c r="BG106" s="269"/>
      <c r="BH106" s="14"/>
      <c r="BI106" s="14"/>
      <c r="BJ106" s="14"/>
      <c r="BK106" s="269"/>
      <c r="BL106" s="20"/>
      <c r="BM106" s="8"/>
      <c r="BN106" s="8"/>
      <c r="BO106" s="8"/>
      <c r="BP106" s="8"/>
      <c r="BQ106" s="8"/>
      <c r="BR106" s="8"/>
      <c r="BS106" s="8"/>
      <c r="BT106" s="22"/>
      <c r="BU106" s="14"/>
      <c r="BV106" s="14"/>
      <c r="BW106" s="14"/>
      <c r="BX106" s="14"/>
      <c r="BY106" s="14"/>
      <c r="BZ106" s="14"/>
      <c r="CA106" s="14"/>
      <c r="CB106" s="927"/>
      <c r="CC106" s="20"/>
      <c r="CD106" s="22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269"/>
      <c r="CR106" s="8"/>
      <c r="CS106" s="8"/>
      <c r="CZ106" s="8"/>
    </row>
    <row r="107" spans="1:104" ht="14.25" customHeight="1">
      <c r="A107" s="8"/>
      <c r="B107" s="23" t="s">
        <v>418</v>
      </c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22"/>
      <c r="AG107" s="14"/>
      <c r="AH107" s="14"/>
      <c r="AI107" s="730">
        <f>(21.551+0.223+0.058+4.828)/(520/2+536/2)</f>
        <v>5.0492424242424234E-2</v>
      </c>
      <c r="AJ107" s="684">
        <f>+AI107</f>
        <v>5.0492424242424234E-2</v>
      </c>
      <c r="AK107" s="685">
        <f t="shared" ref="AK107:AW108" si="234">+AJ107</f>
        <v>5.0492424242424234E-2</v>
      </c>
      <c r="AL107" s="685">
        <f t="shared" si="234"/>
        <v>5.0492424242424234E-2</v>
      </c>
      <c r="AM107" s="730">
        <f>(21.551+0.223+0.058+4.828)/(520/2+536/2)</f>
        <v>5.0492424242424234E-2</v>
      </c>
      <c r="AN107" s="684">
        <f t="shared" si="234"/>
        <v>5.0492424242424234E-2</v>
      </c>
      <c r="AO107" s="685">
        <f t="shared" si="234"/>
        <v>5.0492424242424234E-2</v>
      </c>
      <c r="AP107" s="685">
        <f t="shared" si="234"/>
        <v>5.0492424242424234E-2</v>
      </c>
      <c r="AQ107" s="730">
        <f t="shared" si="234"/>
        <v>5.0492424242424234E-2</v>
      </c>
      <c r="AR107" s="684">
        <f t="shared" si="234"/>
        <v>5.0492424242424234E-2</v>
      </c>
      <c r="AS107" s="685">
        <f t="shared" si="234"/>
        <v>5.0492424242424234E-2</v>
      </c>
      <c r="AT107" s="685">
        <f t="shared" si="234"/>
        <v>5.0492424242424234E-2</v>
      </c>
      <c r="AU107" s="873">
        <f t="shared" si="234"/>
        <v>5.0492424242424234E-2</v>
      </c>
      <c r="AV107" s="684">
        <f t="shared" ref="AV107:AY108" si="235">+AU107</f>
        <v>5.0492424242424234E-2</v>
      </c>
      <c r="AW107" s="685">
        <f t="shared" si="234"/>
        <v>5.0492424242424234E-2</v>
      </c>
      <c r="AX107" s="685">
        <f t="shared" si="235"/>
        <v>5.0492424242424234E-2</v>
      </c>
      <c r="AY107" s="686">
        <f t="shared" si="235"/>
        <v>5.0492424242424234E-2</v>
      </c>
      <c r="AZ107" s="685">
        <f>+AY107</f>
        <v>5.0492424242424234E-2</v>
      </c>
      <c r="BA107" s="685">
        <f>+AZ107</f>
        <v>5.0492424242424234E-2</v>
      </c>
      <c r="BB107" s="685">
        <f t="shared" ref="BB107:BG108" si="236">+BA107</f>
        <v>5.0492424242424234E-2</v>
      </c>
      <c r="BC107" s="686">
        <f t="shared" si="236"/>
        <v>5.0492424242424234E-2</v>
      </c>
      <c r="BD107" s="685">
        <f t="shared" si="236"/>
        <v>5.0492424242424234E-2</v>
      </c>
      <c r="BE107" s="685">
        <f t="shared" si="236"/>
        <v>5.0492424242424234E-2</v>
      </c>
      <c r="BF107" s="685">
        <f t="shared" si="236"/>
        <v>5.0492424242424234E-2</v>
      </c>
      <c r="BG107" s="686">
        <f t="shared" si="236"/>
        <v>5.0492424242424234E-2</v>
      </c>
      <c r="BH107" s="685">
        <f t="shared" ref="BH107:BK108" si="237">+BG107</f>
        <v>5.0492424242424234E-2</v>
      </c>
      <c r="BI107" s="685">
        <f t="shared" si="237"/>
        <v>5.0492424242424234E-2</v>
      </c>
      <c r="BJ107" s="685">
        <f t="shared" si="237"/>
        <v>5.0492424242424234E-2</v>
      </c>
      <c r="BK107" s="686">
        <f t="shared" si="237"/>
        <v>5.0492424242424234E-2</v>
      </c>
      <c r="BL107" s="20"/>
      <c r="BM107" s="8"/>
      <c r="BN107" s="8"/>
      <c r="BO107" s="8"/>
      <c r="BP107" s="8"/>
      <c r="BQ107" s="8"/>
      <c r="BR107" s="8"/>
      <c r="BS107" s="8"/>
      <c r="BT107" s="684">
        <f>+AI107</f>
        <v>5.0492424242424234E-2</v>
      </c>
      <c r="BU107" s="685">
        <f>+AM107</f>
        <v>5.0492424242424234E-2</v>
      </c>
      <c r="BV107" s="685">
        <f>+AQ107</f>
        <v>5.0492424242424234E-2</v>
      </c>
      <c r="BW107" s="685">
        <f>+AU107</f>
        <v>5.0492424242424234E-2</v>
      </c>
      <c r="BX107" s="685">
        <f>AY107</f>
        <v>5.0492424242424234E-2</v>
      </c>
      <c r="BY107" s="685">
        <f>BC107</f>
        <v>5.0492424242424234E-2</v>
      </c>
      <c r="BZ107" s="685">
        <f>BG107</f>
        <v>5.0492424242424234E-2</v>
      </c>
      <c r="CA107" s="685">
        <f>BK107</f>
        <v>5.0492424242424234E-2</v>
      </c>
      <c r="CB107" s="987">
        <f>+CA107</f>
        <v>5.0492424242424234E-2</v>
      </c>
      <c r="CC107" s="20"/>
      <c r="CD107" s="22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686"/>
      <c r="CR107" s="8"/>
      <c r="CS107" s="8"/>
      <c r="CZ107" s="8"/>
    </row>
    <row r="108" spans="1:104" ht="14.25" customHeight="1">
      <c r="A108" s="8"/>
      <c r="B108" s="23" t="s">
        <v>419</v>
      </c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22"/>
      <c r="AG108" s="14"/>
      <c r="AH108" s="14"/>
      <c r="AI108" s="698">
        <v>7.1999999999999995E-2</v>
      </c>
      <c r="AJ108" s="684">
        <f>+AI108</f>
        <v>7.1999999999999995E-2</v>
      </c>
      <c r="AK108" s="685">
        <f t="shared" si="234"/>
        <v>7.1999999999999995E-2</v>
      </c>
      <c r="AL108" s="685">
        <f t="shared" si="234"/>
        <v>7.1999999999999995E-2</v>
      </c>
      <c r="AM108" s="698">
        <v>7.1999999999999995E-2</v>
      </c>
      <c r="AN108" s="684">
        <f t="shared" si="234"/>
        <v>7.1999999999999995E-2</v>
      </c>
      <c r="AO108" s="685">
        <f t="shared" si="234"/>
        <v>7.1999999999999995E-2</v>
      </c>
      <c r="AP108" s="685">
        <f t="shared" si="234"/>
        <v>7.1999999999999995E-2</v>
      </c>
      <c r="AQ108" s="698">
        <f t="shared" si="234"/>
        <v>7.1999999999999995E-2</v>
      </c>
      <c r="AR108" s="684">
        <f t="shared" si="234"/>
        <v>7.1999999999999995E-2</v>
      </c>
      <c r="AS108" s="685">
        <f t="shared" si="234"/>
        <v>7.1999999999999995E-2</v>
      </c>
      <c r="AT108" s="685">
        <f t="shared" si="234"/>
        <v>7.1999999999999995E-2</v>
      </c>
      <c r="AU108" s="686">
        <f t="shared" si="234"/>
        <v>7.1999999999999995E-2</v>
      </c>
      <c r="AV108" s="684">
        <f t="shared" si="235"/>
        <v>7.1999999999999995E-2</v>
      </c>
      <c r="AW108" s="685">
        <f t="shared" si="234"/>
        <v>7.1999999999999995E-2</v>
      </c>
      <c r="AX108" s="685">
        <f t="shared" si="235"/>
        <v>7.1999999999999995E-2</v>
      </c>
      <c r="AY108" s="686">
        <f t="shared" si="235"/>
        <v>7.1999999999999995E-2</v>
      </c>
      <c r="AZ108" s="685">
        <f>+AY108</f>
        <v>7.1999999999999995E-2</v>
      </c>
      <c r="BA108" s="685">
        <f>+AZ108</f>
        <v>7.1999999999999995E-2</v>
      </c>
      <c r="BB108" s="685">
        <f t="shared" si="236"/>
        <v>7.1999999999999995E-2</v>
      </c>
      <c r="BC108" s="686">
        <f t="shared" si="236"/>
        <v>7.1999999999999995E-2</v>
      </c>
      <c r="BD108" s="685">
        <f t="shared" si="236"/>
        <v>7.1999999999999995E-2</v>
      </c>
      <c r="BE108" s="685">
        <f t="shared" si="236"/>
        <v>7.1999999999999995E-2</v>
      </c>
      <c r="BF108" s="685">
        <f t="shared" si="236"/>
        <v>7.1999999999999995E-2</v>
      </c>
      <c r="BG108" s="686">
        <f t="shared" si="236"/>
        <v>7.1999999999999995E-2</v>
      </c>
      <c r="BH108" s="685">
        <f t="shared" si="237"/>
        <v>7.1999999999999995E-2</v>
      </c>
      <c r="BI108" s="685">
        <f t="shared" si="237"/>
        <v>7.1999999999999995E-2</v>
      </c>
      <c r="BJ108" s="685">
        <f t="shared" si="237"/>
        <v>7.1999999999999995E-2</v>
      </c>
      <c r="BK108" s="686">
        <f t="shared" si="237"/>
        <v>7.1999999999999995E-2</v>
      </c>
      <c r="BL108" s="20"/>
      <c r="BM108" s="8"/>
      <c r="BN108" s="8"/>
      <c r="BO108" s="8"/>
      <c r="BP108" s="8"/>
      <c r="BQ108" s="8"/>
      <c r="BR108" s="8"/>
      <c r="BS108" s="8"/>
      <c r="BT108" s="684">
        <f>+AI108</f>
        <v>7.1999999999999995E-2</v>
      </c>
      <c r="BU108" s="685">
        <f>+AM108</f>
        <v>7.1999999999999995E-2</v>
      </c>
      <c r="BV108" s="685">
        <f>+AQ108</f>
        <v>7.1999999999999995E-2</v>
      </c>
      <c r="BW108" s="685">
        <f>+AU108</f>
        <v>7.1999999999999995E-2</v>
      </c>
      <c r="BX108" s="685">
        <f>AY108</f>
        <v>7.1999999999999995E-2</v>
      </c>
      <c r="BY108" s="685">
        <f>BC108</f>
        <v>7.1999999999999995E-2</v>
      </c>
      <c r="BZ108" s="685">
        <f>BG108</f>
        <v>7.1999999999999995E-2</v>
      </c>
      <c r="CA108" s="685">
        <f>BK108</f>
        <v>7.1999999999999995E-2</v>
      </c>
      <c r="CB108" s="987">
        <f>+CA108</f>
        <v>7.1999999999999995E-2</v>
      </c>
      <c r="CC108" s="20"/>
      <c r="CD108" s="22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686"/>
      <c r="CR108" s="8"/>
      <c r="CS108" s="8"/>
      <c r="CZ108" s="8"/>
    </row>
    <row r="109" spans="1:104" ht="14.25" customHeight="1">
      <c r="A109" s="8"/>
      <c r="B109" s="22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22"/>
      <c r="AG109" s="14"/>
      <c r="AH109" s="14"/>
      <c r="AI109" s="269"/>
      <c r="AJ109" s="22"/>
      <c r="AK109" s="14"/>
      <c r="AL109" s="14"/>
      <c r="AM109" s="269"/>
      <c r="AN109" s="22"/>
      <c r="AO109" s="14"/>
      <c r="AP109" s="14"/>
      <c r="AQ109" s="269"/>
      <c r="AR109" s="22"/>
      <c r="AS109" s="14"/>
      <c r="AT109" s="14"/>
      <c r="AU109" s="269"/>
      <c r="AV109" s="22"/>
      <c r="AW109" s="14"/>
      <c r="AX109" s="14"/>
      <c r="AY109" s="269"/>
      <c r="AZ109" s="14"/>
      <c r="BA109" s="14"/>
      <c r="BB109" s="14"/>
      <c r="BC109" s="269"/>
      <c r="BD109" s="14"/>
      <c r="BE109" s="14"/>
      <c r="BF109" s="14"/>
      <c r="BG109" s="269"/>
      <c r="BH109" s="14"/>
      <c r="BI109" s="14"/>
      <c r="BJ109" s="14"/>
      <c r="BK109" s="269"/>
      <c r="BL109" s="20"/>
      <c r="BM109" s="8"/>
      <c r="BN109" s="8"/>
      <c r="BO109" s="8"/>
      <c r="BP109" s="8"/>
      <c r="BQ109" s="8"/>
      <c r="BR109" s="8"/>
      <c r="BS109" s="8"/>
      <c r="BT109" s="22"/>
      <c r="BU109" s="14"/>
      <c r="BV109" s="14"/>
      <c r="BW109" s="14"/>
      <c r="BX109" s="14"/>
      <c r="BY109" s="14"/>
      <c r="BZ109" s="14"/>
      <c r="CA109" s="14"/>
      <c r="CB109" s="927"/>
      <c r="CC109" s="20"/>
      <c r="CD109" s="22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269"/>
      <c r="CR109" s="8"/>
      <c r="CS109" s="8"/>
      <c r="CZ109" s="8"/>
    </row>
    <row r="110" spans="1:104" ht="14.25" customHeight="1">
      <c r="A110" s="8"/>
      <c r="B110" s="22" t="s">
        <v>411</v>
      </c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22"/>
      <c r="AG110" s="14"/>
      <c r="AH110" s="14"/>
      <c r="AI110" s="269"/>
      <c r="AJ110" s="22"/>
      <c r="AK110" s="14"/>
      <c r="AL110" s="14"/>
      <c r="AM110" s="269"/>
      <c r="AN110" s="22"/>
      <c r="AO110" s="14"/>
      <c r="AP110" s="14"/>
      <c r="AQ110" s="269"/>
      <c r="AR110" s="22"/>
      <c r="AS110" s="14"/>
      <c r="AT110" s="14"/>
      <c r="AU110" s="269"/>
      <c r="AV110" s="22"/>
      <c r="AW110" s="14"/>
      <c r="AX110" s="14"/>
      <c r="AY110" s="269"/>
      <c r="AZ110" s="14"/>
      <c r="BA110" s="14"/>
      <c r="BB110" s="14"/>
      <c r="BC110" s="269"/>
      <c r="BD110" s="14"/>
      <c r="BE110" s="14"/>
      <c r="BF110" s="14"/>
      <c r="BG110" s="269"/>
      <c r="BH110" s="14"/>
      <c r="BI110" s="14"/>
      <c r="BJ110" s="14"/>
      <c r="BK110" s="269"/>
      <c r="BL110" s="20"/>
      <c r="BM110" s="8"/>
      <c r="BN110" s="8"/>
      <c r="BO110" s="8"/>
      <c r="BP110" s="8"/>
      <c r="BQ110" s="8"/>
      <c r="BR110" s="8"/>
      <c r="BS110" s="8"/>
      <c r="BT110" s="22"/>
      <c r="BU110" s="14"/>
      <c r="BV110" s="14"/>
      <c r="BW110" s="14"/>
      <c r="BX110" s="14"/>
      <c r="BY110" s="14"/>
      <c r="BZ110" s="14"/>
      <c r="CA110" s="14"/>
      <c r="CB110" s="927"/>
      <c r="CC110" s="20"/>
      <c r="CD110" s="22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269"/>
      <c r="CR110" s="8"/>
      <c r="CS110" s="8"/>
      <c r="CZ110" s="8"/>
    </row>
    <row r="111" spans="1:104" ht="14.25" customHeight="1">
      <c r="A111" s="8"/>
      <c r="B111" s="23" t="s">
        <v>418</v>
      </c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22"/>
      <c r="AG111" s="14"/>
      <c r="AH111" s="14"/>
      <c r="AI111" s="686">
        <v>2.6249999999999999E-2</v>
      </c>
      <c r="AJ111" s="684">
        <f>+AI111</f>
        <v>2.6249999999999999E-2</v>
      </c>
      <c r="AK111" s="685">
        <f>+AJ111</f>
        <v>2.6249999999999999E-2</v>
      </c>
      <c r="AL111" s="685">
        <f>+AK111</f>
        <v>2.6249999999999999E-2</v>
      </c>
      <c r="AM111" s="686">
        <v>2.6249999999999999E-2</v>
      </c>
      <c r="AN111" s="684">
        <f t="shared" ref="AN111:AW111" si="238">+AM111</f>
        <v>2.6249999999999999E-2</v>
      </c>
      <c r="AO111" s="685">
        <f t="shared" si="238"/>
        <v>2.6249999999999999E-2</v>
      </c>
      <c r="AP111" s="685">
        <f t="shared" si="238"/>
        <v>2.6249999999999999E-2</v>
      </c>
      <c r="AQ111" s="686">
        <f t="shared" si="238"/>
        <v>2.6249999999999999E-2</v>
      </c>
      <c r="AR111" s="684">
        <f t="shared" si="238"/>
        <v>2.6249999999999999E-2</v>
      </c>
      <c r="AS111" s="685">
        <f t="shared" si="238"/>
        <v>2.6249999999999999E-2</v>
      </c>
      <c r="AT111" s="685">
        <f t="shared" si="238"/>
        <v>2.6249999999999999E-2</v>
      </c>
      <c r="AU111" s="686">
        <f t="shared" si="238"/>
        <v>2.6249999999999999E-2</v>
      </c>
      <c r="AV111" s="684">
        <f t="shared" ref="AV111:AY112" si="239">+AU111</f>
        <v>2.6249999999999999E-2</v>
      </c>
      <c r="AW111" s="685">
        <f t="shared" si="238"/>
        <v>2.6249999999999999E-2</v>
      </c>
      <c r="AX111" s="685">
        <f t="shared" si="239"/>
        <v>2.6249999999999999E-2</v>
      </c>
      <c r="AY111" s="686">
        <f t="shared" si="239"/>
        <v>2.6249999999999999E-2</v>
      </c>
      <c r="AZ111" s="685">
        <f>+AY111</f>
        <v>2.6249999999999999E-2</v>
      </c>
      <c r="BA111" s="685">
        <f>+AZ111</f>
        <v>2.6249999999999999E-2</v>
      </c>
      <c r="BB111" s="685">
        <f t="shared" ref="BB111:BG112" si="240">+BA111</f>
        <v>2.6249999999999999E-2</v>
      </c>
      <c r="BC111" s="686">
        <f t="shared" si="240"/>
        <v>2.6249999999999999E-2</v>
      </c>
      <c r="BD111" s="685">
        <f t="shared" si="240"/>
        <v>2.6249999999999999E-2</v>
      </c>
      <c r="BE111" s="685">
        <f t="shared" si="240"/>
        <v>2.6249999999999999E-2</v>
      </c>
      <c r="BF111" s="685">
        <f t="shared" si="240"/>
        <v>2.6249999999999999E-2</v>
      </c>
      <c r="BG111" s="686">
        <f t="shared" si="240"/>
        <v>2.6249999999999999E-2</v>
      </c>
      <c r="BH111" s="685">
        <f t="shared" ref="BH111:BK112" si="241">+BG111</f>
        <v>2.6249999999999999E-2</v>
      </c>
      <c r="BI111" s="685">
        <f t="shared" si="241"/>
        <v>2.6249999999999999E-2</v>
      </c>
      <c r="BJ111" s="685">
        <f t="shared" si="241"/>
        <v>2.6249999999999999E-2</v>
      </c>
      <c r="BK111" s="686">
        <f t="shared" si="241"/>
        <v>2.6249999999999999E-2</v>
      </c>
      <c r="BL111" s="20"/>
      <c r="BM111" s="8"/>
      <c r="BN111" s="8"/>
      <c r="BO111" s="8"/>
      <c r="BP111" s="8"/>
      <c r="BQ111" s="8"/>
      <c r="BR111" s="8"/>
      <c r="BS111" s="8"/>
      <c r="BT111" s="684">
        <f>+AI111</f>
        <v>2.6249999999999999E-2</v>
      </c>
      <c r="BU111" s="685">
        <f>+AM111</f>
        <v>2.6249999999999999E-2</v>
      </c>
      <c r="BV111" s="685">
        <f>+AQ111</f>
        <v>2.6249999999999999E-2</v>
      </c>
      <c r="BW111" s="685">
        <f>+AU111</f>
        <v>2.6249999999999999E-2</v>
      </c>
      <c r="BX111" s="685">
        <f>AY111</f>
        <v>2.6249999999999999E-2</v>
      </c>
      <c r="BY111" s="685">
        <f>BC111</f>
        <v>2.6249999999999999E-2</v>
      </c>
      <c r="BZ111" s="685">
        <f>BG111</f>
        <v>2.6249999999999999E-2</v>
      </c>
      <c r="CA111" s="685">
        <f>BK111</f>
        <v>2.6249999999999999E-2</v>
      </c>
      <c r="CB111" s="987">
        <f>+CA111</f>
        <v>2.6249999999999999E-2</v>
      </c>
      <c r="CC111" s="20"/>
      <c r="CD111" s="22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686"/>
      <c r="CR111" s="8"/>
      <c r="CS111" s="8"/>
      <c r="CZ111" s="8"/>
    </row>
    <row r="112" spans="1:104" ht="14.25" customHeight="1">
      <c r="A112" s="8"/>
      <c r="B112" s="23" t="s">
        <v>419</v>
      </c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22"/>
      <c r="AG112" s="14"/>
      <c r="AH112" s="14"/>
      <c r="AI112" s="686">
        <v>3.125E-2</v>
      </c>
      <c r="AJ112" s="684">
        <f>+AI112</f>
        <v>3.125E-2</v>
      </c>
      <c r="AK112" s="685">
        <f t="shared" ref="AK112:AW112" si="242">+AJ112</f>
        <v>3.125E-2</v>
      </c>
      <c r="AL112" s="685">
        <f t="shared" si="242"/>
        <v>3.125E-2</v>
      </c>
      <c r="AM112" s="686">
        <v>3.125E-2</v>
      </c>
      <c r="AN112" s="684">
        <f t="shared" si="242"/>
        <v>3.125E-2</v>
      </c>
      <c r="AO112" s="685">
        <f t="shared" si="242"/>
        <v>3.125E-2</v>
      </c>
      <c r="AP112" s="685">
        <f t="shared" si="242"/>
        <v>3.125E-2</v>
      </c>
      <c r="AQ112" s="686">
        <f t="shared" si="242"/>
        <v>3.125E-2</v>
      </c>
      <c r="AR112" s="684">
        <f t="shared" si="242"/>
        <v>3.125E-2</v>
      </c>
      <c r="AS112" s="685">
        <f t="shared" si="242"/>
        <v>3.125E-2</v>
      </c>
      <c r="AT112" s="685">
        <f t="shared" si="242"/>
        <v>3.125E-2</v>
      </c>
      <c r="AU112" s="686">
        <f t="shared" si="242"/>
        <v>3.125E-2</v>
      </c>
      <c r="AV112" s="684">
        <f t="shared" si="239"/>
        <v>3.125E-2</v>
      </c>
      <c r="AW112" s="685">
        <f t="shared" si="242"/>
        <v>3.125E-2</v>
      </c>
      <c r="AX112" s="685">
        <f t="shared" si="239"/>
        <v>3.125E-2</v>
      </c>
      <c r="AY112" s="686">
        <f t="shared" si="239"/>
        <v>3.125E-2</v>
      </c>
      <c r="AZ112" s="685">
        <f>+AY112</f>
        <v>3.125E-2</v>
      </c>
      <c r="BA112" s="685">
        <f>+AZ112</f>
        <v>3.125E-2</v>
      </c>
      <c r="BB112" s="685">
        <f t="shared" si="240"/>
        <v>3.125E-2</v>
      </c>
      <c r="BC112" s="686">
        <f t="shared" si="240"/>
        <v>3.125E-2</v>
      </c>
      <c r="BD112" s="685">
        <f t="shared" si="240"/>
        <v>3.125E-2</v>
      </c>
      <c r="BE112" s="685">
        <f t="shared" si="240"/>
        <v>3.125E-2</v>
      </c>
      <c r="BF112" s="685">
        <f t="shared" si="240"/>
        <v>3.125E-2</v>
      </c>
      <c r="BG112" s="686">
        <f t="shared" si="240"/>
        <v>3.125E-2</v>
      </c>
      <c r="BH112" s="685">
        <f t="shared" si="241"/>
        <v>3.125E-2</v>
      </c>
      <c r="BI112" s="685">
        <f t="shared" si="241"/>
        <v>3.125E-2</v>
      </c>
      <c r="BJ112" s="685">
        <f t="shared" si="241"/>
        <v>3.125E-2</v>
      </c>
      <c r="BK112" s="686">
        <f t="shared" si="241"/>
        <v>3.125E-2</v>
      </c>
      <c r="BL112" s="20"/>
      <c r="BM112" s="8"/>
      <c r="BN112" s="8"/>
      <c r="BO112" s="8"/>
      <c r="BP112" s="8"/>
      <c r="BQ112" s="8"/>
      <c r="BR112" s="8"/>
      <c r="BS112" s="8"/>
      <c r="BT112" s="684">
        <f>+AI112</f>
        <v>3.125E-2</v>
      </c>
      <c r="BU112" s="685">
        <f>+AM112</f>
        <v>3.125E-2</v>
      </c>
      <c r="BV112" s="685">
        <f>+AQ112</f>
        <v>3.125E-2</v>
      </c>
      <c r="BW112" s="685">
        <f>+AU112</f>
        <v>3.125E-2</v>
      </c>
      <c r="BX112" s="685">
        <f>AY112</f>
        <v>3.125E-2</v>
      </c>
      <c r="BY112" s="685">
        <f>BC112</f>
        <v>3.125E-2</v>
      </c>
      <c r="BZ112" s="685">
        <f>BG112</f>
        <v>3.125E-2</v>
      </c>
      <c r="CA112" s="685">
        <f>BK112</f>
        <v>3.125E-2</v>
      </c>
      <c r="CB112" s="987">
        <f>+CA112</f>
        <v>3.125E-2</v>
      </c>
      <c r="CC112" s="20"/>
      <c r="CD112" s="22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686"/>
      <c r="CR112" s="8"/>
      <c r="CS112" s="8"/>
      <c r="CZ112" s="8"/>
    </row>
    <row r="113" spans="1:104" ht="14.25" customHeight="1">
      <c r="A113" s="8"/>
      <c r="B113" s="23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22"/>
      <c r="AG113" s="14"/>
      <c r="AH113" s="14"/>
      <c r="AI113" s="269"/>
      <c r="AJ113" s="22"/>
      <c r="AK113" s="14"/>
      <c r="AL113" s="14"/>
      <c r="AM113" s="269"/>
      <c r="AN113" s="22"/>
      <c r="AO113" s="14"/>
      <c r="AP113" s="14"/>
      <c r="AQ113" s="269"/>
      <c r="AR113" s="22"/>
      <c r="AS113" s="14"/>
      <c r="AT113" s="14"/>
      <c r="AU113" s="269"/>
      <c r="AV113" s="22"/>
      <c r="AW113" s="14"/>
      <c r="AX113" s="14"/>
      <c r="AY113" s="269"/>
      <c r="AZ113" s="14"/>
      <c r="BA113" s="14"/>
      <c r="BB113" s="14"/>
      <c r="BC113" s="269"/>
      <c r="BD113" s="14"/>
      <c r="BE113" s="14"/>
      <c r="BF113" s="14"/>
      <c r="BG113" s="269"/>
      <c r="BH113" s="14"/>
      <c r="BI113" s="14"/>
      <c r="BJ113" s="14"/>
      <c r="BK113" s="269"/>
      <c r="BL113" s="20"/>
      <c r="BM113" s="8"/>
      <c r="BN113" s="8"/>
      <c r="BO113" s="8"/>
      <c r="BP113" s="8"/>
      <c r="BQ113" s="8"/>
      <c r="BR113" s="8"/>
      <c r="BS113" s="8"/>
      <c r="BT113" s="22"/>
      <c r="BU113" s="14"/>
      <c r="BV113" s="14"/>
      <c r="BW113" s="14"/>
      <c r="BX113" s="14"/>
      <c r="BY113" s="14"/>
      <c r="BZ113" s="14"/>
      <c r="CA113" s="14"/>
      <c r="CB113" s="927"/>
      <c r="CC113" s="20"/>
      <c r="CD113" s="22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269"/>
      <c r="CR113" s="8"/>
      <c r="CS113" s="8"/>
      <c r="CZ113" s="8"/>
    </row>
    <row r="114" spans="1:104" ht="14.25" customHeight="1">
      <c r="A114" s="8"/>
      <c r="B114" s="23" t="s">
        <v>412</v>
      </c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22"/>
      <c r="AG114" s="14"/>
      <c r="AH114" s="14"/>
      <c r="AI114" s="269"/>
      <c r="AJ114" s="22"/>
      <c r="AK114" s="14"/>
      <c r="AL114" s="14"/>
      <c r="AM114" s="269"/>
      <c r="AN114" s="22"/>
      <c r="AO114" s="14"/>
      <c r="AP114" s="14"/>
      <c r="AQ114" s="269"/>
      <c r="AR114" s="22"/>
      <c r="AS114" s="14"/>
      <c r="AT114" s="14"/>
      <c r="AU114" s="269"/>
      <c r="AV114" s="22"/>
      <c r="AW114" s="14"/>
      <c r="AX114" s="14"/>
      <c r="AY114" s="269"/>
      <c r="AZ114" s="14"/>
      <c r="BA114" s="14"/>
      <c r="BB114" s="14"/>
      <c r="BC114" s="269"/>
      <c r="BD114" s="14"/>
      <c r="BE114" s="14"/>
      <c r="BF114" s="14"/>
      <c r="BG114" s="269"/>
      <c r="BH114" s="14"/>
      <c r="BI114" s="14"/>
      <c r="BJ114" s="14"/>
      <c r="BK114" s="269"/>
      <c r="BL114" s="20"/>
      <c r="BM114" s="8"/>
      <c r="BN114" s="8"/>
      <c r="BO114" s="8"/>
      <c r="BP114" s="8"/>
      <c r="BQ114" s="8"/>
      <c r="BR114" s="8"/>
      <c r="BS114" s="8"/>
      <c r="BT114" s="22"/>
      <c r="BU114" s="14"/>
      <c r="BV114" s="14"/>
      <c r="BW114" s="14"/>
      <c r="BX114" s="14"/>
      <c r="BY114" s="14"/>
      <c r="BZ114" s="14"/>
      <c r="CA114" s="14"/>
      <c r="CB114" s="927"/>
      <c r="CC114" s="20"/>
      <c r="CD114" s="22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269"/>
      <c r="CR114" s="8"/>
      <c r="CS114" s="8"/>
      <c r="CZ114" s="8"/>
    </row>
    <row r="115" spans="1:104" ht="14.25" customHeight="1">
      <c r="A115" s="8"/>
      <c r="B115" s="23" t="s">
        <v>418</v>
      </c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22"/>
      <c r="AG115" s="14"/>
      <c r="AH115" s="14"/>
      <c r="AI115" s="731">
        <f>+AI107*AI101/4</f>
        <v>6.7563029261363621</v>
      </c>
      <c r="AJ115" s="687">
        <f>+AJ107*AI101/4</f>
        <v>6.7563029261363621</v>
      </c>
      <c r="AK115" s="266">
        <f t="shared" ref="AK115:AW115" si="243">+AK107*AJ101/4</f>
        <v>6.791884974436929</v>
      </c>
      <c r="AL115" s="266">
        <f t="shared" si="243"/>
        <v>6.8279161787070466</v>
      </c>
      <c r="AM115" s="731">
        <f>+AM107*AM101/4</f>
        <v>6.7563029261363621</v>
      </c>
      <c r="AN115" s="687">
        <f t="shared" si="243"/>
        <v>6.7563029261363621</v>
      </c>
      <c r="AO115" s="266">
        <f t="shared" si="243"/>
        <v>0</v>
      </c>
      <c r="AP115" s="266">
        <f t="shared" si="243"/>
        <v>0</v>
      </c>
      <c r="AQ115" s="731">
        <f t="shared" si="243"/>
        <v>0</v>
      </c>
      <c r="AR115" s="687">
        <f t="shared" si="243"/>
        <v>0</v>
      </c>
      <c r="AS115" s="266">
        <f t="shared" si="243"/>
        <v>0</v>
      </c>
      <c r="AT115" s="266">
        <f t="shared" si="243"/>
        <v>0</v>
      </c>
      <c r="AU115" s="731">
        <f t="shared" si="243"/>
        <v>0</v>
      </c>
      <c r="AV115" s="687">
        <f t="shared" ref="AV115:AY116" si="244">+AV107*AU101/4</f>
        <v>0</v>
      </c>
      <c r="AW115" s="266">
        <f t="shared" si="243"/>
        <v>0</v>
      </c>
      <c r="AX115" s="266">
        <f t="shared" si="244"/>
        <v>0</v>
      </c>
      <c r="AY115" s="267">
        <f t="shared" si="244"/>
        <v>0</v>
      </c>
      <c r="AZ115" s="266">
        <f>+AZ107*AY101/4</f>
        <v>0</v>
      </c>
      <c r="BA115" s="266">
        <f>+BA107*AZ101/4</f>
        <v>0</v>
      </c>
      <c r="BB115" s="266">
        <f t="shared" ref="BB115:BG116" si="245">+BB107*BA101/4</f>
        <v>0</v>
      </c>
      <c r="BC115" s="267">
        <f t="shared" si="245"/>
        <v>0</v>
      </c>
      <c r="BD115" s="266">
        <f t="shared" si="245"/>
        <v>0</v>
      </c>
      <c r="BE115" s="266">
        <f t="shared" si="245"/>
        <v>0</v>
      </c>
      <c r="BF115" s="266">
        <f t="shared" si="245"/>
        <v>0</v>
      </c>
      <c r="BG115" s="267">
        <f t="shared" si="245"/>
        <v>0</v>
      </c>
      <c r="BH115" s="266">
        <f t="shared" ref="BH115:BK116" si="246">+BH107*BG101/4</f>
        <v>0</v>
      </c>
      <c r="BI115" s="266">
        <f t="shared" si="246"/>
        <v>0</v>
      </c>
      <c r="BJ115" s="266">
        <f t="shared" si="246"/>
        <v>0</v>
      </c>
      <c r="BK115" s="267">
        <f t="shared" si="246"/>
        <v>0</v>
      </c>
      <c r="BL115" s="20"/>
      <c r="BM115" s="8"/>
      <c r="BN115" s="8"/>
      <c r="BO115" s="8"/>
      <c r="BP115" s="8"/>
      <c r="BQ115" s="8"/>
      <c r="BR115" s="8"/>
      <c r="BS115" s="8"/>
      <c r="BT115" s="687"/>
      <c r="BU115" s="266"/>
      <c r="BV115" s="266"/>
      <c r="BW115" s="266"/>
      <c r="BX115" s="266"/>
      <c r="BY115" s="266"/>
      <c r="BZ115" s="266"/>
      <c r="CA115" s="266"/>
      <c r="CB115" s="988">
        <f>+CB107*CA101</f>
        <v>0</v>
      </c>
      <c r="CC115" s="20"/>
      <c r="CD115" s="22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267"/>
      <c r="CR115" s="8"/>
      <c r="CS115" s="8"/>
      <c r="CZ115" s="8"/>
    </row>
    <row r="116" spans="1:104" s="617" customFormat="1" ht="14.25" customHeight="1">
      <c r="A116" s="614"/>
      <c r="B116" s="631" t="s">
        <v>419</v>
      </c>
      <c r="C116" s="665"/>
      <c r="D116" s="665"/>
      <c r="E116" s="665"/>
      <c r="F116" s="665"/>
      <c r="G116" s="665"/>
      <c r="H116" s="665"/>
      <c r="I116" s="665"/>
      <c r="J116" s="665"/>
      <c r="K116" s="665"/>
      <c r="L116" s="665"/>
      <c r="M116" s="665"/>
      <c r="N116" s="665"/>
      <c r="O116" s="665"/>
      <c r="P116" s="665"/>
      <c r="Q116" s="665"/>
      <c r="R116" s="665"/>
      <c r="S116" s="665"/>
      <c r="T116" s="665"/>
      <c r="U116" s="665"/>
      <c r="V116" s="665"/>
      <c r="W116" s="665"/>
      <c r="X116" s="665"/>
      <c r="Y116" s="665"/>
      <c r="Z116" s="665"/>
      <c r="AA116" s="665"/>
      <c r="AB116" s="665"/>
      <c r="AC116" s="665"/>
      <c r="AD116" s="665"/>
      <c r="AE116" s="665"/>
      <c r="AF116" s="623"/>
      <c r="AG116" s="665"/>
      <c r="AH116" s="665"/>
      <c r="AI116" s="732">
        <f>+AI108*AI102/4</f>
        <v>6.6369059999999989</v>
      </c>
      <c r="AJ116" s="688">
        <f>+AJ108*AI102/4</f>
        <v>6.6369059999999989</v>
      </c>
      <c r="AK116" s="654">
        <f t="shared" ref="AK116:AW116" si="247">+AK108*AJ102/4</f>
        <v>6.6593903861249988</v>
      </c>
      <c r="AL116" s="654">
        <f t="shared" si="247"/>
        <v>6.6822794912002497</v>
      </c>
      <c r="AM116" s="732">
        <f>+AM108*AM102/4</f>
        <v>6.6369059999999989</v>
      </c>
      <c r="AN116" s="688">
        <f t="shared" si="247"/>
        <v>6.6369059999999989</v>
      </c>
      <c r="AO116" s="654">
        <f t="shared" si="247"/>
        <v>0</v>
      </c>
      <c r="AP116" s="654">
        <f t="shared" si="247"/>
        <v>0</v>
      </c>
      <c r="AQ116" s="732">
        <f t="shared" si="247"/>
        <v>0</v>
      </c>
      <c r="AR116" s="688">
        <f t="shared" si="247"/>
        <v>0</v>
      </c>
      <c r="AS116" s="654">
        <f t="shared" si="247"/>
        <v>0</v>
      </c>
      <c r="AT116" s="654">
        <f t="shared" si="247"/>
        <v>0</v>
      </c>
      <c r="AU116" s="732">
        <f t="shared" si="247"/>
        <v>0</v>
      </c>
      <c r="AV116" s="688">
        <f t="shared" si="244"/>
        <v>0</v>
      </c>
      <c r="AW116" s="654">
        <f t="shared" si="247"/>
        <v>0</v>
      </c>
      <c r="AX116" s="654">
        <f t="shared" si="244"/>
        <v>0</v>
      </c>
      <c r="AY116" s="689">
        <f t="shared" si="244"/>
        <v>0</v>
      </c>
      <c r="AZ116" s="654">
        <f>+AZ108*AY102/4</f>
        <v>0</v>
      </c>
      <c r="BA116" s="654">
        <f>+BA108*AZ102/4</f>
        <v>0</v>
      </c>
      <c r="BB116" s="654">
        <f t="shared" si="245"/>
        <v>0</v>
      </c>
      <c r="BC116" s="689">
        <f t="shared" si="245"/>
        <v>0</v>
      </c>
      <c r="BD116" s="654">
        <f t="shared" si="245"/>
        <v>0</v>
      </c>
      <c r="BE116" s="654">
        <f t="shared" si="245"/>
        <v>0</v>
      </c>
      <c r="BF116" s="654">
        <f t="shared" si="245"/>
        <v>0</v>
      </c>
      <c r="BG116" s="689">
        <f t="shared" si="245"/>
        <v>0</v>
      </c>
      <c r="BH116" s="654">
        <f t="shared" si="246"/>
        <v>0</v>
      </c>
      <c r="BI116" s="654">
        <f t="shared" si="246"/>
        <v>0</v>
      </c>
      <c r="BJ116" s="654">
        <f t="shared" si="246"/>
        <v>0</v>
      </c>
      <c r="BK116" s="689">
        <f t="shared" si="246"/>
        <v>0</v>
      </c>
      <c r="BL116" s="616"/>
      <c r="BM116" s="614"/>
      <c r="BN116" s="614"/>
      <c r="BO116" s="614"/>
      <c r="BP116" s="614"/>
      <c r="BQ116" s="614"/>
      <c r="BR116" s="614"/>
      <c r="BS116" s="614"/>
      <c r="BT116" s="688"/>
      <c r="BU116" s="654"/>
      <c r="BV116" s="654"/>
      <c r="BW116" s="654"/>
      <c r="BX116" s="654"/>
      <c r="BY116" s="654"/>
      <c r="BZ116" s="654"/>
      <c r="CA116" s="654"/>
      <c r="CB116" s="989">
        <f>+CB108*CA102</f>
        <v>0</v>
      </c>
      <c r="CC116" s="616"/>
      <c r="CD116" s="623"/>
      <c r="CE116" s="665"/>
      <c r="CF116" s="665"/>
      <c r="CG116" s="665"/>
      <c r="CH116" s="665"/>
      <c r="CI116" s="665"/>
      <c r="CJ116" s="665"/>
      <c r="CK116" s="665"/>
      <c r="CL116" s="665"/>
      <c r="CM116" s="665"/>
      <c r="CN116" s="665"/>
      <c r="CO116" s="665"/>
      <c r="CP116" s="665"/>
      <c r="CQ116" s="689"/>
      <c r="CR116" s="614"/>
      <c r="CS116" s="614"/>
      <c r="CT116"/>
      <c r="CU116"/>
      <c r="CV116"/>
      <c r="CW116"/>
      <c r="CX116"/>
      <c r="CY116"/>
      <c r="CZ116" s="614"/>
    </row>
    <row r="117" spans="1:104" ht="14.25" customHeight="1">
      <c r="A117" s="8"/>
      <c r="B117" s="23" t="s">
        <v>388</v>
      </c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22"/>
      <c r="AG117" s="14"/>
      <c r="AH117" s="14"/>
      <c r="AI117" s="731">
        <f>+SUM(AI115:AI116)</f>
        <v>13.39320892613636</v>
      </c>
      <c r="AJ117" s="687">
        <f>+SUM(AJ115:AJ116)</f>
        <v>13.39320892613636</v>
      </c>
      <c r="AK117" s="266">
        <f t="shared" ref="AK117:AR117" si="248">+SUM(AK115:AK116)</f>
        <v>13.451275360561928</v>
      </c>
      <c r="AL117" s="266">
        <f>+SUM(AL115:AL116)</f>
        <v>13.510195669907297</v>
      </c>
      <c r="AM117" s="731">
        <f>+SUM(AM115:AM116)</f>
        <v>13.39320892613636</v>
      </c>
      <c r="AN117" s="687">
        <f t="shared" si="248"/>
        <v>13.39320892613636</v>
      </c>
      <c r="AO117" s="266">
        <f t="shared" si="248"/>
        <v>0</v>
      </c>
      <c r="AP117" s="266">
        <f t="shared" si="248"/>
        <v>0</v>
      </c>
      <c r="AQ117" s="731">
        <f t="shared" si="248"/>
        <v>0</v>
      </c>
      <c r="AR117" s="687">
        <f t="shared" si="248"/>
        <v>0</v>
      </c>
      <c r="AS117" s="266">
        <f t="shared" ref="AS117:AY117" si="249">+SUM(AS115:AS116)</f>
        <v>0</v>
      </c>
      <c r="AT117" s="266">
        <f t="shared" si="249"/>
        <v>0</v>
      </c>
      <c r="AU117" s="731">
        <f t="shared" si="249"/>
        <v>0</v>
      </c>
      <c r="AV117" s="687">
        <f t="shared" si="249"/>
        <v>0</v>
      </c>
      <c r="AW117" s="266">
        <f>+SUM(AW115:AW116)</f>
        <v>0</v>
      </c>
      <c r="AX117" s="266">
        <f t="shared" si="249"/>
        <v>0</v>
      </c>
      <c r="AY117" s="267">
        <f t="shared" si="249"/>
        <v>0</v>
      </c>
      <c r="AZ117" s="266">
        <f t="shared" ref="AZ117:BG117" si="250">+SUM(AZ115:AZ116)</f>
        <v>0</v>
      </c>
      <c r="BA117" s="266">
        <f>+SUM(BA115:BA116)</f>
        <v>0</v>
      </c>
      <c r="BB117" s="266">
        <f t="shared" si="250"/>
        <v>0</v>
      </c>
      <c r="BC117" s="267">
        <f t="shared" si="250"/>
        <v>0</v>
      </c>
      <c r="BD117" s="266">
        <f t="shared" si="250"/>
        <v>0</v>
      </c>
      <c r="BE117" s="266">
        <f t="shared" si="250"/>
        <v>0</v>
      </c>
      <c r="BF117" s="266">
        <f t="shared" si="250"/>
        <v>0</v>
      </c>
      <c r="BG117" s="267">
        <f t="shared" si="250"/>
        <v>0</v>
      </c>
      <c r="BH117" s="266">
        <f>+SUM(BH115:BH116)</f>
        <v>0</v>
      </c>
      <c r="BI117" s="266">
        <f>+SUM(BI115:BI116)</f>
        <v>0</v>
      </c>
      <c r="BJ117" s="266">
        <f>+SUM(BJ115:BJ116)</f>
        <v>0</v>
      </c>
      <c r="BK117" s="267">
        <f>+SUM(BK115:BK116)</f>
        <v>0</v>
      </c>
      <c r="BL117" s="20"/>
      <c r="BM117" s="8"/>
      <c r="BN117" s="8"/>
      <c r="BO117" s="8"/>
      <c r="BP117" s="8"/>
      <c r="BQ117" s="8"/>
      <c r="BR117" s="8"/>
      <c r="BS117" s="8"/>
      <c r="BT117" s="687"/>
      <c r="BU117" s="266"/>
      <c r="BV117" s="266"/>
      <c r="BW117" s="266"/>
      <c r="BX117" s="266"/>
      <c r="BY117" s="266"/>
      <c r="BZ117" s="266"/>
      <c r="CA117" s="266"/>
      <c r="CB117" s="988">
        <f>+SUM(CB115:CB116)</f>
        <v>0</v>
      </c>
      <c r="CC117" s="20"/>
      <c r="CD117" s="22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267"/>
      <c r="CR117" s="8"/>
      <c r="CS117" s="8"/>
      <c r="CZ117" s="8"/>
    </row>
    <row r="118" spans="1:104" ht="14.25" customHeight="1">
      <c r="A118" s="8"/>
      <c r="B118" s="23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22"/>
      <c r="AG118" s="14"/>
      <c r="AH118" s="14"/>
      <c r="AI118" s="269"/>
      <c r="AJ118" s="22"/>
      <c r="AK118" s="14"/>
      <c r="AL118" s="14"/>
      <c r="AM118" s="269"/>
      <c r="AN118" s="22"/>
      <c r="AO118" s="14"/>
      <c r="AP118" s="14"/>
      <c r="AQ118" s="269"/>
      <c r="AR118" s="22"/>
      <c r="AS118" s="14"/>
      <c r="AT118" s="14"/>
      <c r="AU118" s="269"/>
      <c r="AV118" s="22"/>
      <c r="AW118" s="14"/>
      <c r="AX118" s="14"/>
      <c r="AY118" s="269"/>
      <c r="AZ118" s="14"/>
      <c r="BA118" s="14"/>
      <c r="BB118" s="14"/>
      <c r="BC118" s="269"/>
      <c r="BD118" s="14"/>
      <c r="BE118" s="14"/>
      <c r="BF118" s="14"/>
      <c r="BG118" s="269"/>
      <c r="BH118" s="14"/>
      <c r="BI118" s="14"/>
      <c r="BJ118" s="14"/>
      <c r="BK118" s="269"/>
      <c r="BL118" s="20"/>
      <c r="BM118" s="8"/>
      <c r="BN118" s="8"/>
      <c r="BO118" s="8"/>
      <c r="BP118" s="8"/>
      <c r="BQ118" s="8"/>
      <c r="BR118" s="8"/>
      <c r="BS118" s="8"/>
      <c r="BT118" s="22"/>
      <c r="BU118" s="14"/>
      <c r="BV118" s="14"/>
      <c r="BW118" s="14"/>
      <c r="BX118" s="14"/>
      <c r="BY118" s="14"/>
      <c r="BZ118" s="14"/>
      <c r="CA118" s="14"/>
      <c r="CB118" s="927"/>
      <c r="CC118" s="20"/>
      <c r="CD118" s="22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269"/>
      <c r="CR118" s="8"/>
      <c r="CS118" s="8"/>
      <c r="CZ118" s="8"/>
    </row>
    <row r="119" spans="1:104" ht="14.25" customHeight="1">
      <c r="A119" s="8"/>
      <c r="B119" s="23" t="s">
        <v>413</v>
      </c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22"/>
      <c r="AG119" s="14"/>
      <c r="AH119" s="14"/>
      <c r="AI119" s="269"/>
      <c r="AJ119" s="22"/>
      <c r="AK119" s="14"/>
      <c r="AL119" s="14"/>
      <c r="AM119" s="269"/>
      <c r="AN119" s="22"/>
      <c r="AO119" s="14"/>
      <c r="AP119" s="14"/>
      <c r="AQ119" s="269"/>
      <c r="AR119" s="22"/>
      <c r="AS119" s="14"/>
      <c r="AT119" s="14"/>
      <c r="AU119" s="269"/>
      <c r="AV119" s="22"/>
      <c r="AW119" s="14"/>
      <c r="AX119" s="14"/>
      <c r="AY119" s="269"/>
      <c r="AZ119" s="14"/>
      <c r="BA119" s="14"/>
      <c r="BB119" s="14"/>
      <c r="BC119" s="269"/>
      <c r="BD119" s="14"/>
      <c r="BE119" s="14"/>
      <c r="BF119" s="14"/>
      <c r="BG119" s="269"/>
      <c r="BH119" s="14"/>
      <c r="BI119" s="14"/>
      <c r="BJ119" s="14"/>
      <c r="BK119" s="269"/>
      <c r="BL119" s="20"/>
      <c r="BM119" s="8"/>
      <c r="BN119" s="8"/>
      <c r="BO119" s="8"/>
      <c r="BP119" s="8"/>
      <c r="BQ119" s="8"/>
      <c r="BR119" s="8"/>
      <c r="BS119" s="8"/>
      <c r="BT119" s="22"/>
      <c r="BU119" s="14"/>
      <c r="BV119" s="14"/>
      <c r="BW119" s="14"/>
      <c r="BX119" s="14"/>
      <c r="BY119" s="14"/>
      <c r="BZ119" s="14"/>
      <c r="CA119" s="14"/>
      <c r="CB119" s="927"/>
      <c r="CC119" s="20"/>
      <c r="CD119" s="22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269"/>
      <c r="CR119" s="8"/>
      <c r="CS119" s="8"/>
      <c r="CZ119" s="8"/>
    </row>
    <row r="120" spans="1:104" ht="14.25" customHeight="1">
      <c r="A120" s="8"/>
      <c r="B120" s="23" t="s">
        <v>418</v>
      </c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22"/>
      <c r="AG120" s="14"/>
      <c r="AH120" s="14"/>
      <c r="AI120" s="267">
        <f t="shared" ref="AI120:AR120" si="251">+AI95*AI111/4</f>
        <v>3.9375</v>
      </c>
      <c r="AJ120" s="687">
        <f t="shared" si="251"/>
        <v>3.9375</v>
      </c>
      <c r="AK120" s="266">
        <f t="shared" si="251"/>
        <v>3.9375</v>
      </c>
      <c r="AL120" s="266">
        <f>+AL95*AL111/4</f>
        <v>3.9375</v>
      </c>
      <c r="AM120" s="267">
        <f t="shared" si="251"/>
        <v>3.9375</v>
      </c>
      <c r="AN120" s="687">
        <f t="shared" si="251"/>
        <v>0</v>
      </c>
      <c r="AO120" s="266">
        <f t="shared" si="251"/>
        <v>0</v>
      </c>
      <c r="AP120" s="266">
        <f t="shared" si="251"/>
        <v>0</v>
      </c>
      <c r="AQ120" s="267">
        <f t="shared" si="251"/>
        <v>0</v>
      </c>
      <c r="AR120" s="687">
        <f t="shared" si="251"/>
        <v>0</v>
      </c>
      <c r="AS120" s="266">
        <f t="shared" ref="AS120:AU121" si="252">+AS95*AS111/4</f>
        <v>0</v>
      </c>
      <c r="AT120" s="266">
        <f t="shared" si="252"/>
        <v>0</v>
      </c>
      <c r="AU120" s="267">
        <f t="shared" si="252"/>
        <v>0</v>
      </c>
      <c r="AV120" s="687">
        <f t="shared" ref="AV120:AY121" si="253">+AV95*AV111/4</f>
        <v>0</v>
      </c>
      <c r="AW120" s="266">
        <f t="shared" si="253"/>
        <v>0</v>
      </c>
      <c r="AX120" s="266">
        <f t="shared" si="253"/>
        <v>0</v>
      </c>
      <c r="AY120" s="267">
        <f t="shared" si="253"/>
        <v>0</v>
      </c>
      <c r="AZ120" s="266">
        <f t="shared" ref="AZ120:BC121" si="254">+AZ95*AZ111/4</f>
        <v>0</v>
      </c>
      <c r="BA120" s="266">
        <f t="shared" si="254"/>
        <v>0</v>
      </c>
      <c r="BB120" s="266">
        <f t="shared" si="254"/>
        <v>0</v>
      </c>
      <c r="BC120" s="267">
        <f t="shared" si="254"/>
        <v>0</v>
      </c>
      <c r="BD120" s="266">
        <f t="shared" ref="BD120:BG121" si="255">+BD95*BD111/4</f>
        <v>0</v>
      </c>
      <c r="BE120" s="266">
        <f t="shared" si="255"/>
        <v>0</v>
      </c>
      <c r="BF120" s="266">
        <f t="shared" si="255"/>
        <v>0</v>
      </c>
      <c r="BG120" s="267">
        <f t="shared" si="255"/>
        <v>0</v>
      </c>
      <c r="BH120" s="266">
        <f t="shared" ref="BH120:BK121" si="256">+BH95*BH111/4</f>
        <v>0</v>
      </c>
      <c r="BI120" s="266">
        <f t="shared" si="256"/>
        <v>0</v>
      </c>
      <c r="BJ120" s="266">
        <f t="shared" si="256"/>
        <v>0</v>
      </c>
      <c r="BK120" s="267">
        <f t="shared" si="256"/>
        <v>0</v>
      </c>
      <c r="BL120" s="20"/>
      <c r="BM120" s="8"/>
      <c r="BN120" s="8"/>
      <c r="BO120" s="8"/>
      <c r="BP120" s="8"/>
      <c r="BQ120" s="8"/>
      <c r="BR120" s="8"/>
      <c r="BS120" s="8"/>
      <c r="BT120" s="687"/>
      <c r="BU120" s="266"/>
      <c r="BV120" s="266"/>
      <c r="BW120" s="266"/>
      <c r="BX120" s="266"/>
      <c r="BY120" s="266"/>
      <c r="BZ120" s="266"/>
      <c r="CA120" s="266"/>
      <c r="CB120" s="988">
        <f>+CB95*CB111</f>
        <v>0</v>
      </c>
      <c r="CC120" s="20"/>
      <c r="CD120" s="22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267"/>
      <c r="CR120" s="8"/>
      <c r="CS120" s="8"/>
      <c r="CZ120" s="8"/>
    </row>
    <row r="121" spans="1:104" s="617" customFormat="1" ht="14.25" customHeight="1">
      <c r="A121" s="614"/>
      <c r="B121" s="631" t="s">
        <v>419</v>
      </c>
      <c r="C121" s="665"/>
      <c r="D121" s="665"/>
      <c r="E121" s="665"/>
      <c r="F121" s="665"/>
      <c r="G121" s="665"/>
      <c r="H121" s="665"/>
      <c r="I121" s="665"/>
      <c r="J121" s="665"/>
      <c r="K121" s="665"/>
      <c r="L121" s="665"/>
      <c r="M121" s="665"/>
      <c r="N121" s="665"/>
      <c r="O121" s="665"/>
      <c r="P121" s="665"/>
      <c r="Q121" s="665"/>
      <c r="R121" s="665"/>
      <c r="S121" s="665"/>
      <c r="T121" s="665"/>
      <c r="U121" s="665"/>
      <c r="V121" s="665"/>
      <c r="W121" s="665"/>
      <c r="X121" s="665"/>
      <c r="Y121" s="665"/>
      <c r="Z121" s="665"/>
      <c r="AA121" s="665"/>
      <c r="AB121" s="665"/>
      <c r="AC121" s="665"/>
      <c r="AD121" s="665"/>
      <c r="AE121" s="665"/>
      <c r="AF121" s="623"/>
      <c r="AG121" s="665"/>
      <c r="AH121" s="665"/>
      <c r="AI121" s="689">
        <f>+AI96*AI112/4</f>
        <v>5.3877734374999999</v>
      </c>
      <c r="AJ121" s="688">
        <f t="shared" ref="AJ121:AR121" si="257">+AJ96*AJ112/4</f>
        <v>5.3877734374999999</v>
      </c>
      <c r="AK121" s="654">
        <f t="shared" si="257"/>
        <v>5.3877734374999999</v>
      </c>
      <c r="AL121" s="654">
        <f>+AL96*AL112/4</f>
        <v>5.3877734374999999</v>
      </c>
      <c r="AM121" s="689">
        <f>+AM96*AM112/4</f>
        <v>5.3877734374999999</v>
      </c>
      <c r="AN121" s="688">
        <f t="shared" si="257"/>
        <v>0</v>
      </c>
      <c r="AO121" s="654">
        <f t="shared" si="257"/>
        <v>0</v>
      </c>
      <c r="AP121" s="654">
        <f t="shared" si="257"/>
        <v>0</v>
      </c>
      <c r="AQ121" s="689">
        <f t="shared" si="257"/>
        <v>0</v>
      </c>
      <c r="AR121" s="688">
        <f t="shared" si="257"/>
        <v>0</v>
      </c>
      <c r="AS121" s="654">
        <f t="shared" si="252"/>
        <v>0</v>
      </c>
      <c r="AT121" s="654">
        <f t="shared" si="252"/>
        <v>0</v>
      </c>
      <c r="AU121" s="689">
        <f t="shared" si="252"/>
        <v>0</v>
      </c>
      <c r="AV121" s="688">
        <f t="shared" si="253"/>
        <v>0</v>
      </c>
      <c r="AW121" s="654">
        <f t="shared" si="253"/>
        <v>0</v>
      </c>
      <c r="AX121" s="654">
        <f t="shared" si="253"/>
        <v>0</v>
      </c>
      <c r="AY121" s="689">
        <f t="shared" si="253"/>
        <v>0</v>
      </c>
      <c r="AZ121" s="654">
        <f t="shared" si="254"/>
        <v>0</v>
      </c>
      <c r="BA121" s="654">
        <f t="shared" si="254"/>
        <v>0</v>
      </c>
      <c r="BB121" s="654">
        <f t="shared" si="254"/>
        <v>0</v>
      </c>
      <c r="BC121" s="689">
        <f t="shared" si="254"/>
        <v>0</v>
      </c>
      <c r="BD121" s="654">
        <f t="shared" si="255"/>
        <v>0</v>
      </c>
      <c r="BE121" s="654">
        <f t="shared" si="255"/>
        <v>0</v>
      </c>
      <c r="BF121" s="654">
        <f t="shared" si="255"/>
        <v>0</v>
      </c>
      <c r="BG121" s="689">
        <f t="shared" si="255"/>
        <v>0</v>
      </c>
      <c r="BH121" s="654">
        <f t="shared" si="256"/>
        <v>0</v>
      </c>
      <c r="BI121" s="654">
        <f t="shared" si="256"/>
        <v>0</v>
      </c>
      <c r="BJ121" s="654">
        <f t="shared" si="256"/>
        <v>0</v>
      </c>
      <c r="BK121" s="689">
        <f t="shared" si="256"/>
        <v>0</v>
      </c>
      <c r="BL121" s="616"/>
      <c r="BM121" s="614"/>
      <c r="BN121" s="614"/>
      <c r="BO121" s="614"/>
      <c r="BP121" s="614"/>
      <c r="BQ121" s="614"/>
      <c r="BR121" s="614"/>
      <c r="BS121" s="614"/>
      <c r="BT121" s="688"/>
      <c r="BU121" s="654"/>
      <c r="BV121" s="654"/>
      <c r="BW121" s="654"/>
      <c r="BX121" s="654"/>
      <c r="BY121" s="654"/>
      <c r="BZ121" s="654"/>
      <c r="CA121" s="654"/>
      <c r="CB121" s="989">
        <f>+CB96*CB112</f>
        <v>0</v>
      </c>
      <c r="CC121" s="616"/>
      <c r="CD121" s="623"/>
      <c r="CE121" s="665"/>
      <c r="CF121" s="665"/>
      <c r="CG121" s="665"/>
      <c r="CH121" s="665"/>
      <c r="CI121" s="665"/>
      <c r="CJ121" s="665"/>
      <c r="CK121" s="665"/>
      <c r="CL121" s="665"/>
      <c r="CM121" s="665"/>
      <c r="CN121" s="665"/>
      <c r="CO121" s="665"/>
      <c r="CP121" s="665"/>
      <c r="CQ121" s="689"/>
      <c r="CR121" s="614"/>
      <c r="CS121" s="614"/>
      <c r="CT121"/>
      <c r="CU121"/>
      <c r="CV121"/>
      <c r="CW121"/>
      <c r="CX121"/>
      <c r="CY121"/>
      <c r="CZ121" s="614"/>
    </row>
    <row r="122" spans="1:104" ht="14.25" customHeight="1">
      <c r="A122" s="8"/>
      <c r="B122" s="23" t="s">
        <v>388</v>
      </c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22"/>
      <c r="AG122" s="14"/>
      <c r="AH122" s="14"/>
      <c r="AI122" s="267">
        <f>+SUM(AI120:AI121)</f>
        <v>9.3252734374999999</v>
      </c>
      <c r="AJ122" s="687">
        <f t="shared" ref="AJ122:AR122" si="258">+SUM(AJ120:AJ121)</f>
        <v>9.3252734374999999</v>
      </c>
      <c r="AK122" s="266">
        <f t="shared" si="258"/>
        <v>9.3252734374999999</v>
      </c>
      <c r="AL122" s="266">
        <f>+SUM(AL120:AL121)</f>
        <v>9.3252734374999999</v>
      </c>
      <c r="AM122" s="267">
        <f>+SUM(AM120:AM121)</f>
        <v>9.3252734374999999</v>
      </c>
      <c r="AN122" s="687">
        <f t="shared" si="258"/>
        <v>0</v>
      </c>
      <c r="AO122" s="266">
        <f t="shared" si="258"/>
        <v>0</v>
      </c>
      <c r="AP122" s="266">
        <f t="shared" si="258"/>
        <v>0</v>
      </c>
      <c r="AQ122" s="267">
        <f t="shared" si="258"/>
        <v>0</v>
      </c>
      <c r="AR122" s="687">
        <f t="shared" si="258"/>
        <v>0</v>
      </c>
      <c r="AS122" s="266">
        <f t="shared" ref="AS122:AY122" si="259">+SUM(AS120:AS121)</f>
        <v>0</v>
      </c>
      <c r="AT122" s="266">
        <f t="shared" si="259"/>
        <v>0</v>
      </c>
      <c r="AU122" s="267">
        <f t="shared" si="259"/>
        <v>0</v>
      </c>
      <c r="AV122" s="687">
        <f t="shared" si="259"/>
        <v>0</v>
      </c>
      <c r="AW122" s="266">
        <f>+SUM(AW120:AW121)</f>
        <v>0</v>
      </c>
      <c r="AX122" s="266">
        <f t="shared" si="259"/>
        <v>0</v>
      </c>
      <c r="AY122" s="267">
        <f t="shared" si="259"/>
        <v>0</v>
      </c>
      <c r="AZ122" s="266">
        <f t="shared" ref="AZ122:BG122" si="260">+SUM(AZ120:AZ121)</f>
        <v>0</v>
      </c>
      <c r="BA122" s="266">
        <f>+SUM(BA120:BA121)</f>
        <v>0</v>
      </c>
      <c r="BB122" s="266">
        <f t="shared" si="260"/>
        <v>0</v>
      </c>
      <c r="BC122" s="267">
        <f t="shared" si="260"/>
        <v>0</v>
      </c>
      <c r="BD122" s="266">
        <f t="shared" si="260"/>
        <v>0</v>
      </c>
      <c r="BE122" s="266">
        <f t="shared" si="260"/>
        <v>0</v>
      </c>
      <c r="BF122" s="266">
        <f t="shared" si="260"/>
        <v>0</v>
      </c>
      <c r="BG122" s="267">
        <f t="shared" si="260"/>
        <v>0</v>
      </c>
      <c r="BH122" s="266">
        <f>+SUM(BH120:BH121)</f>
        <v>0</v>
      </c>
      <c r="BI122" s="266">
        <f>+SUM(BI120:BI121)</f>
        <v>0</v>
      </c>
      <c r="BJ122" s="266">
        <f>+SUM(BJ120:BJ121)</f>
        <v>0</v>
      </c>
      <c r="BK122" s="267">
        <f>+SUM(BK120:BK121)</f>
        <v>0</v>
      </c>
      <c r="BL122" s="20"/>
      <c r="BM122" s="8"/>
      <c r="BN122" s="8"/>
      <c r="BO122" s="8"/>
      <c r="BP122" s="8"/>
      <c r="BQ122" s="8"/>
      <c r="BR122" s="8"/>
      <c r="BS122" s="8"/>
      <c r="BT122" s="687"/>
      <c r="BU122" s="266"/>
      <c r="BV122" s="266"/>
      <c r="BW122" s="266"/>
      <c r="BX122" s="266"/>
      <c r="BY122" s="266"/>
      <c r="BZ122" s="266"/>
      <c r="CA122" s="266"/>
      <c r="CB122" s="988">
        <f>+SUM(CB120:CB121)</f>
        <v>0</v>
      </c>
      <c r="CC122" s="20"/>
      <c r="CD122" s="22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267"/>
      <c r="CR122" s="8"/>
      <c r="CS122" s="8"/>
      <c r="CZ122" s="8"/>
    </row>
    <row r="123" spans="1:104" ht="14.25" customHeight="1">
      <c r="A123" s="8"/>
      <c r="B123" s="23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22"/>
      <c r="AG123" s="14"/>
      <c r="AH123" s="14"/>
      <c r="AI123" s="269"/>
      <c r="AJ123" s="22"/>
      <c r="AK123" s="14"/>
      <c r="AL123" s="14"/>
      <c r="AM123" s="269"/>
      <c r="AN123" s="22"/>
      <c r="AO123" s="14"/>
      <c r="AP123" s="14"/>
      <c r="AQ123" s="269"/>
      <c r="AR123" s="22"/>
      <c r="AS123" s="14"/>
      <c r="AT123" s="14"/>
      <c r="AU123" s="269"/>
      <c r="AV123" s="22"/>
      <c r="AW123" s="14"/>
      <c r="AX123" s="14"/>
      <c r="AY123" s="269"/>
      <c r="AZ123" s="14"/>
      <c r="BA123" s="14"/>
      <c r="BB123" s="14"/>
      <c r="BC123" s="269"/>
      <c r="BD123" s="14"/>
      <c r="BE123" s="14"/>
      <c r="BF123" s="14"/>
      <c r="BG123" s="269"/>
      <c r="BH123" s="14"/>
      <c r="BI123" s="14"/>
      <c r="BJ123" s="14"/>
      <c r="BK123" s="269"/>
      <c r="BL123" s="20"/>
      <c r="BM123" s="8"/>
      <c r="BN123" s="8"/>
      <c r="BO123" s="8"/>
      <c r="BP123" s="8"/>
      <c r="BQ123" s="8"/>
      <c r="BR123" s="8"/>
      <c r="BS123" s="8"/>
      <c r="BT123" s="22"/>
      <c r="BU123" s="14"/>
      <c r="BV123" s="14"/>
      <c r="BW123" s="14"/>
      <c r="BX123" s="14"/>
      <c r="BY123" s="14"/>
      <c r="BZ123" s="14"/>
      <c r="CA123" s="14"/>
      <c r="CB123" s="927"/>
      <c r="CC123" s="20"/>
      <c r="CD123" s="22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269"/>
      <c r="CR123" s="8"/>
      <c r="CS123" s="8"/>
      <c r="CZ123" s="8"/>
    </row>
    <row r="124" spans="1:104" ht="14.25" customHeight="1">
      <c r="A124" s="8"/>
      <c r="B124" s="23" t="s">
        <v>414</v>
      </c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22"/>
      <c r="AG124" s="14"/>
      <c r="AH124" s="14"/>
      <c r="AI124" s="269"/>
      <c r="AJ124" s="22"/>
      <c r="AK124" s="14"/>
      <c r="AL124" s="14"/>
      <c r="AM124" s="269"/>
      <c r="AN124" s="22"/>
      <c r="AO124" s="14"/>
      <c r="AP124" s="14"/>
      <c r="AQ124" s="269"/>
      <c r="AR124" s="22"/>
      <c r="AS124" s="14"/>
      <c r="AT124" s="14"/>
      <c r="AU124" s="269"/>
      <c r="AV124" s="22"/>
      <c r="AW124" s="14"/>
      <c r="AX124" s="14"/>
      <c r="AY124" s="269"/>
      <c r="AZ124" s="14"/>
      <c r="BA124" s="14"/>
      <c r="BB124" s="14"/>
      <c r="BC124" s="269"/>
      <c r="BD124" s="14"/>
      <c r="BE124" s="14"/>
      <c r="BF124" s="14"/>
      <c r="BG124" s="269"/>
      <c r="BH124" s="14"/>
      <c r="BI124" s="14"/>
      <c r="BJ124" s="14"/>
      <c r="BK124" s="269"/>
      <c r="BL124" s="20"/>
      <c r="BM124" s="8"/>
      <c r="BN124" s="8"/>
      <c r="BO124" s="8"/>
      <c r="BP124" s="8"/>
      <c r="BQ124" s="8"/>
      <c r="BR124" s="8"/>
      <c r="BS124" s="8"/>
      <c r="BT124" s="22"/>
      <c r="BU124" s="14"/>
      <c r="BV124" s="14"/>
      <c r="BW124" s="14"/>
      <c r="BX124" s="14"/>
      <c r="BY124" s="14"/>
      <c r="BZ124" s="14"/>
      <c r="CA124" s="14"/>
      <c r="CB124" s="927"/>
      <c r="CC124" s="20"/>
      <c r="CD124" s="22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269"/>
      <c r="CR124" s="8"/>
      <c r="CS124" s="8"/>
      <c r="CZ124" s="8"/>
    </row>
    <row r="125" spans="1:104" ht="14.25" customHeight="1">
      <c r="A125" s="8"/>
      <c r="B125" s="23" t="s">
        <v>418</v>
      </c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22"/>
      <c r="AG125" s="14"/>
      <c r="AH125" s="14"/>
      <c r="AI125" s="680">
        <f t="shared" ref="AI125:AR125" si="261">+AI115-AI120</f>
        <v>2.8188029261363621</v>
      </c>
      <c r="AJ125" s="678">
        <f>+AJ115-AJ120</f>
        <v>2.8188029261363621</v>
      </c>
      <c r="AK125" s="679">
        <f t="shared" si="261"/>
        <v>2.854384974436929</v>
      </c>
      <c r="AL125" s="679">
        <f>+AL115-AL120</f>
        <v>2.8904161787070466</v>
      </c>
      <c r="AM125" s="680">
        <f t="shared" si="261"/>
        <v>2.8188029261363621</v>
      </c>
      <c r="AN125" s="678">
        <f t="shared" si="261"/>
        <v>6.7563029261363621</v>
      </c>
      <c r="AO125" s="679">
        <f t="shared" si="261"/>
        <v>0</v>
      </c>
      <c r="AP125" s="679">
        <f t="shared" si="261"/>
        <v>0</v>
      </c>
      <c r="AQ125" s="680">
        <f t="shared" si="261"/>
        <v>0</v>
      </c>
      <c r="AR125" s="678">
        <f t="shared" si="261"/>
        <v>0</v>
      </c>
      <c r="AS125" s="679">
        <f t="shared" ref="AS125:AU126" si="262">+AS115-AS120</f>
        <v>0</v>
      </c>
      <c r="AT125" s="679">
        <f t="shared" si="262"/>
        <v>0</v>
      </c>
      <c r="AU125" s="680">
        <f t="shared" si="262"/>
        <v>0</v>
      </c>
      <c r="AV125" s="678">
        <f t="shared" ref="AV125:AY126" si="263">+AV115-AV120</f>
        <v>0</v>
      </c>
      <c r="AW125" s="679">
        <f t="shared" si="263"/>
        <v>0</v>
      </c>
      <c r="AX125" s="679">
        <f t="shared" si="263"/>
        <v>0</v>
      </c>
      <c r="AY125" s="680">
        <f t="shared" si="263"/>
        <v>0</v>
      </c>
      <c r="AZ125" s="679">
        <f t="shared" ref="AZ125:BC126" si="264">+AZ115-AZ120</f>
        <v>0</v>
      </c>
      <c r="BA125" s="679">
        <f t="shared" si="264"/>
        <v>0</v>
      </c>
      <c r="BB125" s="679">
        <f t="shared" si="264"/>
        <v>0</v>
      </c>
      <c r="BC125" s="680">
        <f t="shared" si="264"/>
        <v>0</v>
      </c>
      <c r="BD125" s="679">
        <f t="shared" ref="BD125:BG126" si="265">+BD115-BD120</f>
        <v>0</v>
      </c>
      <c r="BE125" s="679">
        <f t="shared" si="265"/>
        <v>0</v>
      </c>
      <c r="BF125" s="679">
        <f t="shared" si="265"/>
        <v>0</v>
      </c>
      <c r="BG125" s="680">
        <f t="shared" si="265"/>
        <v>0</v>
      </c>
      <c r="BH125" s="679">
        <f t="shared" ref="BH125:BK126" si="266">+BH115-BH120</f>
        <v>0</v>
      </c>
      <c r="BI125" s="679">
        <f t="shared" si="266"/>
        <v>0</v>
      </c>
      <c r="BJ125" s="679">
        <f t="shared" si="266"/>
        <v>0</v>
      </c>
      <c r="BK125" s="680">
        <f t="shared" si="266"/>
        <v>0</v>
      </c>
      <c r="BL125" s="20"/>
      <c r="BM125" s="8"/>
      <c r="BN125" s="8"/>
      <c r="BO125" s="8"/>
      <c r="BP125" s="8"/>
      <c r="BQ125" s="8"/>
      <c r="BR125" s="8"/>
      <c r="BS125" s="8"/>
      <c r="BT125" s="678"/>
      <c r="BU125" s="679"/>
      <c r="BV125" s="679"/>
      <c r="BW125" s="679"/>
      <c r="BX125" s="679"/>
      <c r="BY125" s="679"/>
      <c r="BZ125" s="679"/>
      <c r="CA125" s="679"/>
      <c r="CB125" s="985">
        <f>+CB115-CB120</f>
        <v>0</v>
      </c>
      <c r="CC125" s="20"/>
      <c r="CD125" s="22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680"/>
      <c r="CR125" s="8"/>
      <c r="CS125" s="8"/>
      <c r="CZ125" s="8"/>
    </row>
    <row r="126" spans="1:104" s="617" customFormat="1" ht="14.25" customHeight="1">
      <c r="A126" s="614"/>
      <c r="B126" s="631" t="s">
        <v>419</v>
      </c>
      <c r="C126" s="665"/>
      <c r="D126" s="665"/>
      <c r="E126" s="665"/>
      <c r="F126" s="665"/>
      <c r="G126" s="665"/>
      <c r="H126" s="665"/>
      <c r="I126" s="665"/>
      <c r="J126" s="665"/>
      <c r="K126" s="665"/>
      <c r="L126" s="665"/>
      <c r="M126" s="665"/>
      <c r="N126" s="665"/>
      <c r="O126" s="665"/>
      <c r="P126" s="665"/>
      <c r="Q126" s="665"/>
      <c r="R126" s="665"/>
      <c r="S126" s="665"/>
      <c r="T126" s="665"/>
      <c r="U126" s="665"/>
      <c r="V126" s="665"/>
      <c r="W126" s="665"/>
      <c r="X126" s="665"/>
      <c r="Y126" s="665"/>
      <c r="Z126" s="665"/>
      <c r="AA126" s="665"/>
      <c r="AB126" s="665"/>
      <c r="AC126" s="665"/>
      <c r="AD126" s="665"/>
      <c r="AE126" s="665"/>
      <c r="AF126" s="623"/>
      <c r="AG126" s="665"/>
      <c r="AH126" s="665"/>
      <c r="AI126" s="692">
        <f>+AI116-AI121</f>
        <v>1.2491325624999989</v>
      </c>
      <c r="AJ126" s="690">
        <f t="shared" ref="AJ126:AR126" si="267">+AJ116-AJ121</f>
        <v>1.2491325624999989</v>
      </c>
      <c r="AK126" s="691">
        <f t="shared" si="267"/>
        <v>1.2716169486249989</v>
      </c>
      <c r="AL126" s="691">
        <f>+AL116-AL121</f>
        <v>1.2945060537002497</v>
      </c>
      <c r="AM126" s="692">
        <f>+AM116-AM121</f>
        <v>1.2491325624999989</v>
      </c>
      <c r="AN126" s="690">
        <f t="shared" si="267"/>
        <v>6.6369059999999989</v>
      </c>
      <c r="AO126" s="691">
        <f t="shared" si="267"/>
        <v>0</v>
      </c>
      <c r="AP126" s="691">
        <f t="shared" si="267"/>
        <v>0</v>
      </c>
      <c r="AQ126" s="692">
        <f t="shared" si="267"/>
        <v>0</v>
      </c>
      <c r="AR126" s="690">
        <f t="shared" si="267"/>
        <v>0</v>
      </c>
      <c r="AS126" s="691">
        <f t="shared" si="262"/>
        <v>0</v>
      </c>
      <c r="AT126" s="691">
        <f t="shared" si="262"/>
        <v>0</v>
      </c>
      <c r="AU126" s="692">
        <f t="shared" si="262"/>
        <v>0</v>
      </c>
      <c r="AV126" s="690">
        <f t="shared" si="263"/>
        <v>0</v>
      </c>
      <c r="AW126" s="691">
        <f t="shared" si="263"/>
        <v>0</v>
      </c>
      <c r="AX126" s="691">
        <f t="shared" si="263"/>
        <v>0</v>
      </c>
      <c r="AY126" s="692">
        <f t="shared" si="263"/>
        <v>0</v>
      </c>
      <c r="AZ126" s="691">
        <f t="shared" si="264"/>
        <v>0</v>
      </c>
      <c r="BA126" s="691">
        <f t="shared" si="264"/>
        <v>0</v>
      </c>
      <c r="BB126" s="691">
        <f t="shared" si="264"/>
        <v>0</v>
      </c>
      <c r="BC126" s="692">
        <f t="shared" si="264"/>
        <v>0</v>
      </c>
      <c r="BD126" s="691">
        <f t="shared" si="265"/>
        <v>0</v>
      </c>
      <c r="BE126" s="691">
        <f t="shared" si="265"/>
        <v>0</v>
      </c>
      <c r="BF126" s="691">
        <f t="shared" si="265"/>
        <v>0</v>
      </c>
      <c r="BG126" s="692">
        <f t="shared" si="265"/>
        <v>0</v>
      </c>
      <c r="BH126" s="691">
        <f t="shared" si="266"/>
        <v>0</v>
      </c>
      <c r="BI126" s="691">
        <f t="shared" si="266"/>
        <v>0</v>
      </c>
      <c r="BJ126" s="691">
        <f t="shared" si="266"/>
        <v>0</v>
      </c>
      <c r="BK126" s="692">
        <f t="shared" si="266"/>
        <v>0</v>
      </c>
      <c r="BL126" s="616"/>
      <c r="BM126" s="614"/>
      <c r="BN126" s="614"/>
      <c r="BO126" s="614"/>
      <c r="BP126" s="614"/>
      <c r="BQ126" s="614"/>
      <c r="BR126" s="614"/>
      <c r="BS126" s="614"/>
      <c r="BT126" s="690"/>
      <c r="BU126" s="691"/>
      <c r="BV126" s="691"/>
      <c r="BW126" s="691"/>
      <c r="BX126" s="691"/>
      <c r="BY126" s="691"/>
      <c r="BZ126" s="691"/>
      <c r="CA126" s="691"/>
      <c r="CB126" s="990">
        <f>+CB116-CB121</f>
        <v>0</v>
      </c>
      <c r="CC126" s="616"/>
      <c r="CD126" s="623"/>
      <c r="CE126" s="665"/>
      <c r="CF126" s="665"/>
      <c r="CG126" s="665"/>
      <c r="CH126" s="665"/>
      <c r="CI126" s="665"/>
      <c r="CJ126" s="665"/>
      <c r="CK126" s="665"/>
      <c r="CL126" s="665"/>
      <c r="CM126" s="665"/>
      <c r="CN126" s="665"/>
      <c r="CO126" s="665"/>
      <c r="CP126" s="665"/>
      <c r="CQ126" s="692"/>
      <c r="CR126" s="614"/>
      <c r="CS126" s="614"/>
      <c r="CT126"/>
      <c r="CU126"/>
      <c r="CV126"/>
      <c r="CW126"/>
      <c r="CX126"/>
      <c r="CY126"/>
      <c r="CZ126" s="614"/>
    </row>
    <row r="127" spans="1:104" ht="14.25" customHeight="1">
      <c r="A127" s="8"/>
      <c r="B127" s="68" t="s">
        <v>388</v>
      </c>
      <c r="C127" s="261"/>
      <c r="D127" s="261"/>
      <c r="E127" s="261"/>
      <c r="F127" s="261"/>
      <c r="G127" s="261"/>
      <c r="H127" s="261"/>
      <c r="I127" s="261"/>
      <c r="J127" s="261"/>
      <c r="K127" s="261"/>
      <c r="L127" s="261"/>
      <c r="M127" s="261"/>
      <c r="N127" s="261"/>
      <c r="O127" s="261"/>
      <c r="P127" s="261"/>
      <c r="Q127" s="261"/>
      <c r="R127" s="261"/>
      <c r="S127" s="261"/>
      <c r="T127" s="261"/>
      <c r="U127" s="261"/>
      <c r="V127" s="261"/>
      <c r="W127" s="261"/>
      <c r="X127" s="261"/>
      <c r="Y127" s="261"/>
      <c r="Z127" s="261"/>
      <c r="AA127" s="261"/>
      <c r="AB127" s="261"/>
      <c r="AC127" s="261"/>
      <c r="AD127" s="261"/>
      <c r="AE127" s="261"/>
      <c r="AF127" s="15"/>
      <c r="AG127" s="261"/>
      <c r="AH127" s="261"/>
      <c r="AI127" s="695">
        <f>+SUM(AI125:AI126)</f>
        <v>4.067935488636361</v>
      </c>
      <c r="AJ127" s="693">
        <f t="shared" ref="AJ127:AR127" si="268">+SUM(AJ125:AJ126)</f>
        <v>4.067935488636361</v>
      </c>
      <c r="AK127" s="694">
        <f t="shared" si="268"/>
        <v>4.1260019230619278</v>
      </c>
      <c r="AL127" s="694">
        <f>+SUM(AL125:AL126)</f>
        <v>4.1849222324072963</v>
      </c>
      <c r="AM127" s="695">
        <f>+SUM(AM125:AM126)</f>
        <v>4.067935488636361</v>
      </c>
      <c r="AN127" s="693">
        <f t="shared" si="268"/>
        <v>13.39320892613636</v>
      </c>
      <c r="AO127" s="694">
        <f t="shared" si="268"/>
        <v>0</v>
      </c>
      <c r="AP127" s="694">
        <f t="shared" si="268"/>
        <v>0</v>
      </c>
      <c r="AQ127" s="695">
        <f t="shared" si="268"/>
        <v>0</v>
      </c>
      <c r="AR127" s="693">
        <f t="shared" si="268"/>
        <v>0</v>
      </c>
      <c r="AS127" s="694">
        <f t="shared" ref="AS127:AY127" si="269">+SUM(AS125:AS126)</f>
        <v>0</v>
      </c>
      <c r="AT127" s="694">
        <f t="shared" si="269"/>
        <v>0</v>
      </c>
      <c r="AU127" s="695">
        <f t="shared" si="269"/>
        <v>0</v>
      </c>
      <c r="AV127" s="693">
        <f t="shared" si="269"/>
        <v>0</v>
      </c>
      <c r="AW127" s="694">
        <f>+SUM(AW125:AW126)</f>
        <v>0</v>
      </c>
      <c r="AX127" s="694">
        <f t="shared" si="269"/>
        <v>0</v>
      </c>
      <c r="AY127" s="695">
        <f t="shared" si="269"/>
        <v>0</v>
      </c>
      <c r="AZ127" s="694">
        <f t="shared" ref="AZ127:BG127" si="270">+SUM(AZ125:AZ126)</f>
        <v>0</v>
      </c>
      <c r="BA127" s="694">
        <f>+SUM(BA125:BA126)</f>
        <v>0</v>
      </c>
      <c r="BB127" s="694">
        <f t="shared" si="270"/>
        <v>0</v>
      </c>
      <c r="BC127" s="695">
        <f t="shared" si="270"/>
        <v>0</v>
      </c>
      <c r="BD127" s="694">
        <f t="shared" si="270"/>
        <v>0</v>
      </c>
      <c r="BE127" s="694">
        <f t="shared" si="270"/>
        <v>0</v>
      </c>
      <c r="BF127" s="694">
        <f t="shared" si="270"/>
        <v>0</v>
      </c>
      <c r="BG127" s="695">
        <f t="shared" si="270"/>
        <v>0</v>
      </c>
      <c r="BH127" s="694">
        <f>+SUM(BH125:BH126)</f>
        <v>0</v>
      </c>
      <c r="BI127" s="694">
        <f>+SUM(BI125:BI126)</f>
        <v>0</v>
      </c>
      <c r="BJ127" s="694">
        <f>+SUM(BJ125:BJ126)</f>
        <v>0</v>
      </c>
      <c r="BK127" s="695">
        <f>+SUM(BK125:BK126)</f>
        <v>0</v>
      </c>
      <c r="BL127" s="20"/>
      <c r="BM127" s="8"/>
      <c r="BN127" s="8"/>
      <c r="BO127" s="8"/>
      <c r="BP127" s="8"/>
      <c r="BQ127" s="8"/>
      <c r="BR127" s="8"/>
      <c r="BS127" s="8"/>
      <c r="BT127" s="693"/>
      <c r="BU127" s="694"/>
      <c r="BV127" s="694"/>
      <c r="BW127" s="694"/>
      <c r="BX127" s="694"/>
      <c r="BY127" s="694"/>
      <c r="BZ127" s="694"/>
      <c r="CA127" s="694"/>
      <c r="CB127" s="991">
        <f>+SUM(CB125:CB126)</f>
        <v>0</v>
      </c>
      <c r="CC127" s="20"/>
      <c r="CD127" s="15"/>
      <c r="CE127" s="261"/>
      <c r="CF127" s="261"/>
      <c r="CG127" s="261"/>
      <c r="CH127" s="261"/>
      <c r="CI127" s="261"/>
      <c r="CJ127" s="261"/>
      <c r="CK127" s="261"/>
      <c r="CL127" s="261"/>
      <c r="CM127" s="261"/>
      <c r="CN127" s="261"/>
      <c r="CO127" s="261"/>
      <c r="CP127" s="261"/>
      <c r="CQ127" s="695"/>
      <c r="CR127" s="8"/>
      <c r="CS127" s="8"/>
      <c r="CZ127" s="8"/>
    </row>
    <row r="128" spans="1:104" ht="14.25" customHeight="1">
      <c r="A128" s="8"/>
      <c r="B128" s="14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14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14"/>
      <c r="BF128" s="8"/>
      <c r="BG128" s="8"/>
      <c r="BH128" s="8"/>
      <c r="BI128" s="14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14"/>
      <c r="BZ128" s="14"/>
      <c r="CA128" s="14"/>
      <c r="CB128" s="844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14"/>
      <c r="CO128" s="14"/>
      <c r="CP128" s="8"/>
      <c r="CQ128" s="8"/>
      <c r="CR128" s="8"/>
      <c r="CS128" s="8"/>
      <c r="CZ128" s="8"/>
    </row>
    <row r="129" spans="1:104" ht="14.25" customHeight="1">
      <c r="A129" s="8"/>
      <c r="B129" s="14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14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14"/>
      <c r="BF129" s="8"/>
      <c r="BG129" s="8"/>
      <c r="BH129" s="8"/>
      <c r="BI129" s="14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44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14"/>
      <c r="CO129" s="14"/>
      <c r="CP129" s="8"/>
      <c r="CQ129" s="8"/>
      <c r="CR129" s="8"/>
      <c r="CS129" s="8"/>
      <c r="CZ129" s="8"/>
    </row>
    <row r="130" spans="1:104" ht="14.25" customHeight="1">
      <c r="A130" s="8"/>
      <c r="B130" s="164" t="s">
        <v>417</v>
      </c>
      <c r="C130" s="165"/>
      <c r="D130" s="17" t="str">
        <f>D$56</f>
        <v>F1Q06A</v>
      </c>
      <c r="E130" s="18" t="str">
        <f t="shared" ref="E130:BK130" si="271">E$56</f>
        <v>F2Q06A</v>
      </c>
      <c r="F130" s="18" t="str">
        <f t="shared" si="271"/>
        <v>F3Q06A</v>
      </c>
      <c r="G130" s="19" t="str">
        <f t="shared" si="271"/>
        <v>F4Q06A</v>
      </c>
      <c r="H130" s="17" t="str">
        <f t="shared" si="271"/>
        <v>F1Q07A</v>
      </c>
      <c r="I130" s="18" t="str">
        <f t="shared" si="271"/>
        <v>F2Q07A</v>
      </c>
      <c r="J130" s="18" t="str">
        <f t="shared" si="271"/>
        <v>F3Q07A</v>
      </c>
      <c r="K130" s="19" t="str">
        <f t="shared" si="271"/>
        <v>F4Q07A</v>
      </c>
      <c r="L130" s="17" t="str">
        <f t="shared" si="271"/>
        <v>F1Q08A</v>
      </c>
      <c r="M130" s="18" t="str">
        <f t="shared" si="271"/>
        <v>F2Q08A</v>
      </c>
      <c r="N130" s="18" t="str">
        <f t="shared" si="271"/>
        <v>F3Q08A</v>
      </c>
      <c r="O130" s="19" t="str">
        <f t="shared" si="271"/>
        <v>F4Q08A</v>
      </c>
      <c r="P130" s="17" t="str">
        <f t="shared" si="271"/>
        <v>F1Q09A</v>
      </c>
      <c r="Q130" s="18" t="str">
        <f t="shared" si="271"/>
        <v>F2Q09A</v>
      </c>
      <c r="R130" s="18" t="str">
        <f t="shared" si="271"/>
        <v>F3Q09A</v>
      </c>
      <c r="S130" s="19" t="str">
        <f t="shared" si="271"/>
        <v>F4Q09A</v>
      </c>
      <c r="T130" s="17" t="str">
        <f t="shared" si="271"/>
        <v>F1Q10A</v>
      </c>
      <c r="U130" s="18" t="str">
        <f t="shared" si="271"/>
        <v>F2Q10A</v>
      </c>
      <c r="V130" s="18" t="str">
        <f t="shared" si="271"/>
        <v>F3Q10A</v>
      </c>
      <c r="W130" s="19" t="str">
        <f t="shared" si="271"/>
        <v>F4Q10A</v>
      </c>
      <c r="X130" s="17" t="str">
        <f t="shared" si="271"/>
        <v>F1Q11A</v>
      </c>
      <c r="Y130" s="18" t="str">
        <f t="shared" si="271"/>
        <v>F2Q11A</v>
      </c>
      <c r="Z130" s="18" t="str">
        <f t="shared" si="271"/>
        <v>F3Q11A</v>
      </c>
      <c r="AA130" s="19" t="str">
        <f t="shared" si="271"/>
        <v>F4Q11A</v>
      </c>
      <c r="AB130" s="17" t="str">
        <f t="shared" si="271"/>
        <v>F1Q12A</v>
      </c>
      <c r="AC130" s="18" t="str">
        <f t="shared" si="271"/>
        <v>F2Q12A</v>
      </c>
      <c r="AD130" s="18" t="str">
        <f t="shared" si="271"/>
        <v>F3Q12A</v>
      </c>
      <c r="AE130" s="18" t="str">
        <f t="shared" si="271"/>
        <v>F4Q12A</v>
      </c>
      <c r="AF130" s="17" t="str">
        <f t="shared" si="271"/>
        <v>F1Q13A</v>
      </c>
      <c r="AG130" s="18" t="str">
        <f t="shared" si="271"/>
        <v>F2Q13A</v>
      </c>
      <c r="AH130" s="18" t="str">
        <f t="shared" si="271"/>
        <v>F3Q13A</v>
      </c>
      <c r="AI130" s="19" t="str">
        <f t="shared" si="271"/>
        <v>F4Q13A</v>
      </c>
      <c r="AJ130" s="17" t="str">
        <f t="shared" si="271"/>
        <v>F1Q14A</v>
      </c>
      <c r="AK130" s="18" t="str">
        <f t="shared" si="271"/>
        <v>F2Q14A</v>
      </c>
      <c r="AL130" s="18" t="str">
        <f t="shared" si="271"/>
        <v>F3Q14A</v>
      </c>
      <c r="AM130" s="19" t="str">
        <f t="shared" si="271"/>
        <v>F4Q14A</v>
      </c>
      <c r="AN130" s="17" t="str">
        <f t="shared" si="271"/>
        <v>F1Q15A</v>
      </c>
      <c r="AO130" s="18" t="str">
        <f t="shared" si="271"/>
        <v>F2Q15A</v>
      </c>
      <c r="AP130" s="18" t="str">
        <f t="shared" si="271"/>
        <v>F3Q15A</v>
      </c>
      <c r="AQ130" s="19" t="str">
        <f t="shared" si="271"/>
        <v>F4Q15A</v>
      </c>
      <c r="AR130" s="18" t="str">
        <f t="shared" si="271"/>
        <v>F1Q16A</v>
      </c>
      <c r="AS130" s="18" t="str">
        <f t="shared" si="271"/>
        <v>F2Q16A</v>
      </c>
      <c r="AT130" s="18" t="str">
        <f t="shared" si="271"/>
        <v>F3Q16A</v>
      </c>
      <c r="AU130" s="19" t="str">
        <f t="shared" si="271"/>
        <v>F4Q16A</v>
      </c>
      <c r="AV130" s="18" t="str">
        <f t="shared" si="271"/>
        <v>F1Q17A</v>
      </c>
      <c r="AW130" s="18" t="str">
        <f t="shared" si="271"/>
        <v>F2Q17A</v>
      </c>
      <c r="AX130" s="18" t="str">
        <f t="shared" si="271"/>
        <v>F3Q17A</v>
      </c>
      <c r="AY130" s="19" t="str">
        <f t="shared" si="271"/>
        <v>F4Q17A</v>
      </c>
      <c r="AZ130" s="18" t="str">
        <f t="shared" si="271"/>
        <v>F1Q18A</v>
      </c>
      <c r="BA130" s="18" t="str">
        <f t="shared" si="271"/>
        <v>F2Q18A</v>
      </c>
      <c r="BB130" s="18" t="str">
        <f t="shared" si="271"/>
        <v>F3Q18A</v>
      </c>
      <c r="BC130" s="19" t="str">
        <f t="shared" si="271"/>
        <v>F4Q18A</v>
      </c>
      <c r="BD130" s="18" t="str">
        <f t="shared" si="271"/>
        <v>F1Q19E</v>
      </c>
      <c r="BE130" s="18" t="str">
        <f t="shared" si="271"/>
        <v>F2Q19E</v>
      </c>
      <c r="BF130" s="18" t="str">
        <f t="shared" si="271"/>
        <v>F3Q19E</v>
      </c>
      <c r="BG130" s="19" t="str">
        <f t="shared" si="271"/>
        <v>F4Q19E</v>
      </c>
      <c r="BH130" s="18" t="str">
        <f t="shared" si="271"/>
        <v>F1Q20E</v>
      </c>
      <c r="BI130" s="18" t="str">
        <f t="shared" si="271"/>
        <v>F2Q20E</v>
      </c>
      <c r="BJ130" s="18" t="str">
        <f t="shared" si="271"/>
        <v>F3Q20E</v>
      </c>
      <c r="BK130" s="19" t="str">
        <f t="shared" si="271"/>
        <v>F4Q20E</v>
      </c>
      <c r="BL130" s="20"/>
      <c r="BM130" s="511" t="str">
        <f>BM$56</f>
        <v>FY2006A</v>
      </c>
      <c r="BN130" s="18" t="str">
        <f t="shared" ref="BN130:CB130" si="272">BN$56</f>
        <v>FY2007A</v>
      </c>
      <c r="BO130" s="18" t="str">
        <f t="shared" si="272"/>
        <v>FY2008A</v>
      </c>
      <c r="BP130" s="18" t="str">
        <f t="shared" si="272"/>
        <v>FY2009A</v>
      </c>
      <c r="BQ130" s="18" t="str">
        <f t="shared" si="272"/>
        <v>FY2010A</v>
      </c>
      <c r="BR130" s="18" t="str">
        <f t="shared" si="272"/>
        <v>FY2011A</v>
      </c>
      <c r="BS130" s="18" t="str">
        <f t="shared" si="272"/>
        <v>FY2012A</v>
      </c>
      <c r="BT130" s="18" t="str">
        <f t="shared" si="272"/>
        <v>FY2013A</v>
      </c>
      <c r="BU130" s="18" t="str">
        <f t="shared" si="272"/>
        <v>FY2014</v>
      </c>
      <c r="BV130" s="18" t="str">
        <f t="shared" si="272"/>
        <v>FY2015</v>
      </c>
      <c r="BW130" s="18" t="str">
        <f t="shared" si="272"/>
        <v>FY2016</v>
      </c>
      <c r="BX130" s="18" t="str">
        <f t="shared" si="272"/>
        <v>FY2017</v>
      </c>
      <c r="BY130" s="18" t="str">
        <f t="shared" si="272"/>
        <v>FY2018A</v>
      </c>
      <c r="BZ130" s="18" t="str">
        <f t="shared" si="272"/>
        <v>FY2019E</v>
      </c>
      <c r="CA130" s="18" t="str">
        <f t="shared" si="272"/>
        <v>FY2020E</v>
      </c>
      <c r="CB130" s="21" t="str">
        <f t="shared" si="272"/>
        <v>FY2021E</v>
      </c>
      <c r="CC130" s="20"/>
      <c r="CD130" s="351" t="str">
        <f>CD$56</f>
        <v>CY2006</v>
      </c>
      <c r="CE130" s="18" t="str">
        <f t="shared" ref="CE130:CQ130" si="273">CE$56</f>
        <v>CY2007</v>
      </c>
      <c r="CF130" s="18" t="str">
        <f t="shared" si="273"/>
        <v>CY2008</v>
      </c>
      <c r="CG130" s="18" t="str">
        <f t="shared" si="273"/>
        <v>CY2009</v>
      </c>
      <c r="CH130" s="18" t="str">
        <f t="shared" si="273"/>
        <v>CY2010</v>
      </c>
      <c r="CI130" s="18" t="str">
        <f t="shared" si="273"/>
        <v>CY2011</v>
      </c>
      <c r="CJ130" s="18" t="str">
        <f t="shared" si="273"/>
        <v>CY2012</v>
      </c>
      <c r="CK130" s="18" t="str">
        <f t="shared" si="273"/>
        <v>CY2013</v>
      </c>
      <c r="CL130" s="18" t="str">
        <f t="shared" si="273"/>
        <v>CY2014</v>
      </c>
      <c r="CM130" s="18" t="str">
        <f t="shared" si="273"/>
        <v>CY2015</v>
      </c>
      <c r="CN130" s="511" t="str">
        <f t="shared" si="273"/>
        <v>CY2016</v>
      </c>
      <c r="CO130" s="511" t="str">
        <f t="shared" si="273"/>
        <v>CY2017</v>
      </c>
      <c r="CP130" s="511" t="str">
        <f t="shared" si="273"/>
        <v>CY2018</v>
      </c>
      <c r="CQ130" s="19" t="str">
        <f t="shared" si="273"/>
        <v>CY2019</v>
      </c>
      <c r="CR130" s="8"/>
      <c r="CS130" s="8"/>
      <c r="CZ130" s="8"/>
    </row>
    <row r="131" spans="1:104" ht="14.25" customHeight="1">
      <c r="A131" s="8"/>
      <c r="B131" s="74"/>
      <c r="C131" s="24"/>
      <c r="D131" s="197"/>
      <c r="E131" s="195"/>
      <c r="F131" s="195"/>
      <c r="G131" s="196"/>
      <c r="H131" s="197"/>
      <c r="I131" s="195"/>
      <c r="J131" s="195"/>
      <c r="K131" s="196"/>
      <c r="L131" s="197"/>
      <c r="M131" s="195"/>
      <c r="N131" s="195"/>
      <c r="O131" s="196"/>
      <c r="P131" s="197"/>
      <c r="Q131" s="195"/>
      <c r="R131" s="195"/>
      <c r="S131" s="196"/>
      <c r="T131" s="197"/>
      <c r="U131" s="195"/>
      <c r="V131" s="195"/>
      <c r="W131" s="196"/>
      <c r="X131" s="195"/>
      <c r="Y131" s="195"/>
      <c r="Z131" s="195"/>
      <c r="AA131" s="196"/>
      <c r="AB131" s="195"/>
      <c r="AC131" s="195"/>
      <c r="AD131" s="195"/>
      <c r="AE131" s="677"/>
      <c r="AF131" s="197"/>
      <c r="AG131" s="195"/>
      <c r="AH131" s="195"/>
      <c r="AI131" s="196"/>
      <c r="AJ131" s="197"/>
      <c r="AK131" s="195"/>
      <c r="AL131" s="195"/>
      <c r="AM131" s="196"/>
      <c r="AN131" s="197"/>
      <c r="AO131" s="195"/>
      <c r="AP131" s="195"/>
      <c r="AQ131" s="196"/>
      <c r="AR131" s="195"/>
      <c r="AS131" s="195"/>
      <c r="AT131" s="195"/>
      <c r="AU131" s="196"/>
      <c r="AV131" s="195"/>
      <c r="AW131" s="195"/>
      <c r="AX131" s="195"/>
      <c r="AY131" s="196"/>
      <c r="AZ131" s="195"/>
      <c r="BA131" s="195"/>
      <c r="BB131" s="195"/>
      <c r="BC131" s="196"/>
      <c r="BD131" s="195"/>
      <c r="BE131" s="677"/>
      <c r="BF131" s="195"/>
      <c r="BG131" s="196"/>
      <c r="BH131" s="195"/>
      <c r="BI131" s="677"/>
      <c r="BJ131" s="195"/>
      <c r="BK131" s="196"/>
      <c r="BL131" s="20"/>
      <c r="BM131" s="168"/>
      <c r="BN131" s="81"/>
      <c r="BO131" s="81"/>
      <c r="BP131" s="81"/>
      <c r="BQ131" s="81"/>
      <c r="BR131" s="81"/>
      <c r="BS131" s="81"/>
      <c r="BT131" s="81"/>
      <c r="BU131" s="81"/>
      <c r="BV131" s="81"/>
      <c r="BW131" s="81"/>
      <c r="BX131" s="81"/>
      <c r="BY131" s="81"/>
      <c r="BZ131" s="81"/>
      <c r="CA131" s="81"/>
      <c r="CB131" s="983"/>
      <c r="CC131" s="20"/>
      <c r="CD131" s="728"/>
      <c r="CE131" s="81"/>
      <c r="CF131" s="81"/>
      <c r="CG131" s="81"/>
      <c r="CH131" s="81"/>
      <c r="CI131" s="81"/>
      <c r="CJ131" s="81"/>
      <c r="CK131" s="81"/>
      <c r="CL131" s="81"/>
      <c r="CM131" s="81"/>
      <c r="CN131" s="168"/>
      <c r="CO131" s="168"/>
      <c r="CP131" s="168"/>
      <c r="CQ131" s="82"/>
      <c r="CR131" s="8"/>
      <c r="CS131" s="8"/>
      <c r="CZ131" s="8"/>
    </row>
    <row r="132" spans="1:104" s="705" customFormat="1" ht="14.25" customHeight="1">
      <c r="A132" s="700"/>
      <c r="B132" s="701" t="s">
        <v>405</v>
      </c>
      <c r="C132" s="702"/>
      <c r="D132" s="702"/>
      <c r="E132" s="702"/>
      <c r="F132" s="702"/>
      <c r="G132" s="702"/>
      <c r="H132" s="702"/>
      <c r="I132" s="702"/>
      <c r="J132" s="702"/>
      <c r="K132" s="702"/>
      <c r="L132" s="702"/>
      <c r="M132" s="702"/>
      <c r="N132" s="702"/>
      <c r="O132" s="702"/>
      <c r="P132" s="702"/>
      <c r="Q132" s="702"/>
      <c r="R132" s="702"/>
      <c r="S132" s="702"/>
      <c r="T132" s="702"/>
      <c r="U132" s="702"/>
      <c r="V132" s="702"/>
      <c r="W132" s="702"/>
      <c r="X132" s="702"/>
      <c r="Y132" s="702"/>
      <c r="Z132" s="702"/>
      <c r="AA132" s="702"/>
      <c r="AB132" s="702"/>
      <c r="AC132" s="702"/>
      <c r="AD132" s="702"/>
      <c r="AE132" s="702"/>
      <c r="AF132" s="703"/>
      <c r="AG132" s="702"/>
      <c r="AH132" s="702"/>
      <c r="AI132" s="704">
        <f t="shared" ref="AI132:AR132" si="274">+AI78</f>
        <v>623.55799999999999</v>
      </c>
      <c r="AJ132" s="703">
        <f t="shared" si="274"/>
        <v>509.41399999999999</v>
      </c>
      <c r="AK132" s="702">
        <f t="shared" si="274"/>
        <v>570.49400000000003</v>
      </c>
      <c r="AL132" s="702">
        <f t="shared" si="274"/>
        <v>631.87900000000002</v>
      </c>
      <c r="AM132" s="704">
        <f t="shared" si="274"/>
        <v>973.67700000000002</v>
      </c>
      <c r="AN132" s="703">
        <f t="shared" si="274"/>
        <v>625.03200000000004</v>
      </c>
      <c r="AO132" s="702">
        <f t="shared" si="274"/>
        <v>714.69899999999996</v>
      </c>
      <c r="AP132" s="702">
        <f t="shared" si="274"/>
        <v>1431.0229999999999</v>
      </c>
      <c r="AQ132" s="704">
        <f t="shared" si="274"/>
        <v>892.572</v>
      </c>
      <c r="AR132" s="702">
        <f t="shared" si="274"/>
        <v>666.33799999999997</v>
      </c>
      <c r="AS132" s="702">
        <f t="shared" ref="AS132:AU135" si="275">+AS78</f>
        <v>760.61099999999999</v>
      </c>
      <c r="AT132" s="702">
        <f t="shared" si="275"/>
        <v>898.26400000000001</v>
      </c>
      <c r="AU132" s="704">
        <f t="shared" si="275"/>
        <v>503.81599999999997</v>
      </c>
      <c r="AV132" s="702">
        <f t="shared" ref="AV132:AY135" si="276">+AV78</f>
        <v>582.36199999999997</v>
      </c>
      <c r="AW132" s="702">
        <f t="shared" si="276"/>
        <v>690.49</v>
      </c>
      <c r="AX132" s="702">
        <f t="shared" si="276"/>
        <v>839.54600000000005</v>
      </c>
      <c r="AY132" s="704">
        <f t="shared" si="276"/>
        <v>966.69500000000005</v>
      </c>
      <c r="AZ132" s="702">
        <f t="shared" ref="AZ132:BA135" si="277">+AZ78</f>
        <v>1059.355</v>
      </c>
      <c r="BA132" s="702">
        <f t="shared" si="277"/>
        <v>1070.193</v>
      </c>
      <c r="BB132" s="702">
        <f t="shared" ref="BB132:BC135" si="278">+BB78</f>
        <v>911.46100000000001</v>
      </c>
      <c r="BC132" s="704">
        <f t="shared" si="278"/>
        <v>817.45500000000038</v>
      </c>
      <c r="BD132" s="702">
        <f t="shared" ref="BD132:BG135" si="279">+BD78</f>
        <v>847.02046645396035</v>
      </c>
      <c r="BE132" s="702">
        <f t="shared" si="279"/>
        <v>945.21373833697737</v>
      </c>
      <c r="BF132" s="702">
        <f t="shared" si="279"/>
        <v>1019.0152087056504</v>
      </c>
      <c r="BG132" s="704">
        <f t="shared" si="279"/>
        <v>1075.6490979707016</v>
      </c>
      <c r="BH132" s="702">
        <f t="shared" ref="BH132:BK135" si="280">+BH78</f>
        <v>1157.8985991720631</v>
      </c>
      <c r="BI132" s="702">
        <f t="shared" si="280"/>
        <v>1234.0327206232625</v>
      </c>
      <c r="BJ132" s="702">
        <f t="shared" si="280"/>
        <v>1316.2306029506829</v>
      </c>
      <c r="BK132" s="704">
        <f t="shared" si="280"/>
        <v>1392.5374561978597</v>
      </c>
      <c r="BL132" s="716"/>
      <c r="BM132" s="700"/>
      <c r="BN132" s="700"/>
      <c r="BO132" s="700"/>
      <c r="BP132" s="700"/>
      <c r="BQ132" s="700"/>
      <c r="BR132" s="700"/>
      <c r="BS132" s="700"/>
      <c r="BT132" s="703">
        <f t="shared" ref="BT132:BW135" si="281">+BT78</f>
        <v>623.55799999999999</v>
      </c>
      <c r="BU132" s="702">
        <f t="shared" si="281"/>
        <v>973.67700000000002</v>
      </c>
      <c r="BV132" s="702">
        <f t="shared" si="281"/>
        <v>892.572</v>
      </c>
      <c r="BW132" s="702">
        <f t="shared" si="281"/>
        <v>503.81599999999997</v>
      </c>
      <c r="BX132" s="702">
        <f t="shared" ref="BX132:BY135" si="282">+BX78</f>
        <v>966.69500000000005</v>
      </c>
      <c r="BY132" s="702">
        <f t="shared" si="282"/>
        <v>817.45500000000038</v>
      </c>
      <c r="BZ132" s="702">
        <f t="shared" ref="BZ132:CB135" si="283">+BZ78</f>
        <v>1075.6490979707016</v>
      </c>
      <c r="CA132" s="702">
        <f t="shared" si="283"/>
        <v>1392.5374561978597</v>
      </c>
      <c r="CB132" s="992">
        <f t="shared" si="283"/>
        <v>1793.0228866894126</v>
      </c>
      <c r="CC132" s="716"/>
      <c r="CD132" s="703"/>
      <c r="CE132" s="702"/>
      <c r="CF132" s="702"/>
      <c r="CG132" s="702"/>
      <c r="CH132" s="702"/>
      <c r="CI132" s="702"/>
      <c r="CJ132" s="702">
        <f t="shared" ref="CJ132:CN135" si="284">+CJ78</f>
        <v>0</v>
      </c>
      <c r="CK132" s="702">
        <f t="shared" si="284"/>
        <v>0</v>
      </c>
      <c r="CL132" s="702">
        <f t="shared" si="284"/>
        <v>0</v>
      </c>
      <c r="CM132" s="702">
        <f t="shared" si="284"/>
        <v>0</v>
      </c>
      <c r="CN132" s="702">
        <f t="shared" si="284"/>
        <v>0</v>
      </c>
      <c r="CO132" s="702">
        <f t="shared" ref="CO132:CP135" si="285">+CO78</f>
        <v>0</v>
      </c>
      <c r="CP132" s="702">
        <f t="shared" si="285"/>
        <v>0</v>
      </c>
      <c r="CQ132" s="704">
        <f>+CQ78</f>
        <v>0</v>
      </c>
      <c r="CR132" s="700"/>
      <c r="CS132" s="700"/>
      <c r="CT132"/>
      <c r="CU132"/>
      <c r="CV132"/>
      <c r="CW132"/>
      <c r="CX132"/>
      <c r="CY132"/>
      <c r="CZ132" s="700"/>
    </row>
    <row r="133" spans="1:104" s="705" customFormat="1" ht="14.25" customHeight="1">
      <c r="A133" s="700"/>
      <c r="B133" s="701" t="s">
        <v>404</v>
      </c>
      <c r="C133" s="702"/>
      <c r="D133" s="702"/>
      <c r="E133" s="702"/>
      <c r="F133" s="702"/>
      <c r="G133" s="702"/>
      <c r="H133" s="702"/>
      <c r="I133" s="702"/>
      <c r="J133" s="702"/>
      <c r="K133" s="702"/>
      <c r="L133" s="702"/>
      <c r="M133" s="702"/>
      <c r="N133" s="702"/>
      <c r="O133" s="702"/>
      <c r="P133" s="702"/>
      <c r="Q133" s="702"/>
      <c r="R133" s="702"/>
      <c r="S133" s="702"/>
      <c r="T133" s="702"/>
      <c r="U133" s="702"/>
      <c r="V133" s="702"/>
      <c r="W133" s="702"/>
      <c r="X133" s="702"/>
      <c r="Y133" s="702"/>
      <c r="Z133" s="702"/>
      <c r="AA133" s="702"/>
      <c r="AB133" s="702"/>
      <c r="AC133" s="702"/>
      <c r="AD133" s="702"/>
      <c r="AE133" s="702"/>
      <c r="AF133" s="703"/>
      <c r="AG133" s="702"/>
      <c r="AH133" s="702"/>
      <c r="AI133" s="704">
        <f t="shared" ref="AI133:AR135" si="286">+AI79</f>
        <v>1091.1869999999999</v>
      </c>
      <c r="AJ133" s="703">
        <f t="shared" si="286"/>
        <v>1332.366</v>
      </c>
      <c r="AK133" s="702">
        <f t="shared" si="286"/>
        <v>1693.5709999999999</v>
      </c>
      <c r="AL133" s="702">
        <f t="shared" si="286"/>
        <v>1825.54</v>
      </c>
      <c r="AM133" s="704">
        <f>+AM79</f>
        <v>1483.644</v>
      </c>
      <c r="AN133" s="703">
        <f t="shared" si="286"/>
        <v>1860.175</v>
      </c>
      <c r="AO133" s="702">
        <f t="shared" si="286"/>
        <v>1881.1469999999999</v>
      </c>
      <c r="AP133" s="702">
        <f t="shared" si="286"/>
        <v>1489.7439999999999</v>
      </c>
      <c r="AQ133" s="704">
        <f t="shared" si="286"/>
        <v>2410.489</v>
      </c>
      <c r="AR133" s="702">
        <f t="shared" si="286"/>
        <v>2666.087</v>
      </c>
      <c r="AS133" s="702">
        <f t="shared" si="275"/>
        <v>2535.1729999999998</v>
      </c>
      <c r="AT133" s="702">
        <f t="shared" si="275"/>
        <v>2498.2719999999999</v>
      </c>
      <c r="AU133" s="704">
        <f t="shared" si="275"/>
        <v>2833.8829999999998</v>
      </c>
      <c r="AV133" s="702">
        <f t="shared" si="276"/>
        <v>2935.616</v>
      </c>
      <c r="AW133" s="702">
        <f t="shared" si="276"/>
        <v>2799.3380000000002</v>
      </c>
      <c r="AX133" s="702">
        <f t="shared" si="276"/>
        <v>2414.5889999999999</v>
      </c>
      <c r="AY133" s="704">
        <f t="shared" si="276"/>
        <v>2354.7620000000002</v>
      </c>
      <c r="AZ133" s="702">
        <f t="shared" si="277"/>
        <v>2588.2069999999999</v>
      </c>
      <c r="BA133" s="702">
        <f t="shared" si="277"/>
        <v>2490.027</v>
      </c>
      <c r="BB133" s="702">
        <f t="shared" si="278"/>
        <v>2630.1149999999998</v>
      </c>
      <c r="BC133" s="704">
        <f t="shared" si="278"/>
        <v>2630.1149999999998</v>
      </c>
      <c r="BD133" s="702">
        <f t="shared" si="279"/>
        <v>2630.1149999999998</v>
      </c>
      <c r="BE133" s="702">
        <f t="shared" si="279"/>
        <v>2630.1149999999998</v>
      </c>
      <c r="BF133" s="702">
        <f t="shared" si="279"/>
        <v>2630.1149999999998</v>
      </c>
      <c r="BG133" s="704">
        <f t="shared" si="279"/>
        <v>2630.1149999999998</v>
      </c>
      <c r="BH133" s="702">
        <f t="shared" si="280"/>
        <v>2630.1149999999998</v>
      </c>
      <c r="BI133" s="702">
        <f t="shared" si="280"/>
        <v>2630.1149999999998</v>
      </c>
      <c r="BJ133" s="702">
        <f t="shared" si="280"/>
        <v>2630.1149999999998</v>
      </c>
      <c r="BK133" s="704">
        <f t="shared" si="280"/>
        <v>2630.1149999999998</v>
      </c>
      <c r="BL133" s="716"/>
      <c r="BM133" s="700"/>
      <c r="BN133" s="700"/>
      <c r="BO133" s="700"/>
      <c r="BP133" s="700"/>
      <c r="BQ133" s="700"/>
      <c r="BR133" s="700"/>
      <c r="BS133" s="700"/>
      <c r="BT133" s="703">
        <f t="shared" si="281"/>
        <v>1091.1869999999999</v>
      </c>
      <c r="BU133" s="702">
        <f t="shared" si="281"/>
        <v>1483.644</v>
      </c>
      <c r="BV133" s="702">
        <f t="shared" si="281"/>
        <v>2410.489</v>
      </c>
      <c r="BW133" s="702">
        <f t="shared" si="281"/>
        <v>2833.8829999999998</v>
      </c>
      <c r="BX133" s="702">
        <f t="shared" si="282"/>
        <v>2354.7620000000002</v>
      </c>
      <c r="BY133" s="702">
        <f t="shared" si="282"/>
        <v>2630.1149999999998</v>
      </c>
      <c r="BZ133" s="702">
        <f t="shared" si="283"/>
        <v>2630.1149999999998</v>
      </c>
      <c r="CA133" s="702">
        <f t="shared" si="283"/>
        <v>2630.1149999999998</v>
      </c>
      <c r="CB133" s="992">
        <f t="shared" si="283"/>
        <v>2630.1149999999998</v>
      </c>
      <c r="CC133" s="716"/>
      <c r="CD133" s="703"/>
      <c r="CE133" s="702"/>
      <c r="CF133" s="702"/>
      <c r="CG133" s="702"/>
      <c r="CH133" s="702"/>
      <c r="CI133" s="702"/>
      <c r="CJ133" s="702">
        <f t="shared" si="284"/>
        <v>0</v>
      </c>
      <c r="CK133" s="702">
        <f t="shared" si="284"/>
        <v>0</v>
      </c>
      <c r="CL133" s="702">
        <f t="shared" si="284"/>
        <v>0</v>
      </c>
      <c r="CM133" s="702">
        <f t="shared" si="284"/>
        <v>0</v>
      </c>
      <c r="CN133" s="702">
        <f t="shared" si="284"/>
        <v>0</v>
      </c>
      <c r="CO133" s="702">
        <f t="shared" si="285"/>
        <v>0</v>
      </c>
      <c r="CP133" s="702">
        <f t="shared" si="285"/>
        <v>0</v>
      </c>
      <c r="CQ133" s="704">
        <f>+CQ79</f>
        <v>0</v>
      </c>
      <c r="CR133" s="700"/>
      <c r="CS133" s="700"/>
      <c r="CT133"/>
      <c r="CU133"/>
      <c r="CV133"/>
      <c r="CW133"/>
      <c r="CX133"/>
      <c r="CY133"/>
      <c r="CZ133" s="700"/>
    </row>
    <row r="134" spans="1:104" s="711" customFormat="1" ht="14.25" customHeight="1">
      <c r="A134" s="706"/>
      <c r="B134" s="707" t="s">
        <v>403</v>
      </c>
      <c r="C134" s="708"/>
      <c r="D134" s="708"/>
      <c r="E134" s="708"/>
      <c r="F134" s="708"/>
      <c r="G134" s="708"/>
      <c r="H134" s="708"/>
      <c r="I134" s="708"/>
      <c r="J134" s="708"/>
      <c r="K134" s="708"/>
      <c r="L134" s="708"/>
      <c r="M134" s="708"/>
      <c r="N134" s="708"/>
      <c r="O134" s="708"/>
      <c r="P134" s="708"/>
      <c r="Q134" s="708"/>
      <c r="R134" s="708"/>
      <c r="S134" s="708"/>
      <c r="T134" s="708"/>
      <c r="U134" s="708"/>
      <c r="V134" s="708"/>
      <c r="W134" s="708"/>
      <c r="X134" s="708"/>
      <c r="Y134" s="708"/>
      <c r="Z134" s="708"/>
      <c r="AA134" s="708"/>
      <c r="AB134" s="708"/>
      <c r="AC134" s="708"/>
      <c r="AD134" s="708"/>
      <c r="AE134" s="708"/>
      <c r="AF134" s="709"/>
      <c r="AG134" s="708"/>
      <c r="AH134" s="708"/>
      <c r="AI134" s="710">
        <f t="shared" si="286"/>
        <v>1651.0329999999999</v>
      </c>
      <c r="AJ134" s="709">
        <f t="shared" si="286"/>
        <v>1634.0309999999999</v>
      </c>
      <c r="AK134" s="708">
        <f t="shared" si="286"/>
        <v>1436.7809999999999</v>
      </c>
      <c r="AL134" s="708">
        <f t="shared" si="286"/>
        <v>1287.3920000000001</v>
      </c>
      <c r="AM134" s="710">
        <f>+AM80</f>
        <v>1190.7750000000001</v>
      </c>
      <c r="AN134" s="709">
        <f t="shared" si="286"/>
        <v>1109.645</v>
      </c>
      <c r="AO134" s="708">
        <f t="shared" si="286"/>
        <v>950.827</v>
      </c>
      <c r="AP134" s="708">
        <f t="shared" si="286"/>
        <v>654.01300000000003</v>
      </c>
      <c r="AQ134" s="710">
        <f t="shared" si="286"/>
        <v>266.90199999999999</v>
      </c>
      <c r="AR134" s="708">
        <f t="shared" si="286"/>
        <v>248.43100000000001</v>
      </c>
      <c r="AS134" s="708">
        <f t="shared" si="275"/>
        <v>235.922</v>
      </c>
      <c r="AT134" s="708">
        <f t="shared" si="275"/>
        <v>224.614</v>
      </c>
      <c r="AU134" s="710">
        <f t="shared" si="275"/>
        <v>220.80699999999999</v>
      </c>
      <c r="AV134" s="708">
        <f t="shared" si="276"/>
        <v>209.01499999999999</v>
      </c>
      <c r="AW134" s="708">
        <f t="shared" si="276"/>
        <v>198.54499999999999</v>
      </c>
      <c r="AX134" s="708">
        <f t="shared" si="276"/>
        <v>183.08199999999999</v>
      </c>
      <c r="AY134" s="710">
        <f t="shared" si="276"/>
        <v>116.288</v>
      </c>
      <c r="AZ134" s="708">
        <f t="shared" si="277"/>
        <v>106.86199999999999</v>
      </c>
      <c r="BA134" s="708">
        <f t="shared" si="277"/>
        <v>99.861999999999995</v>
      </c>
      <c r="BB134" s="708">
        <f t="shared" si="278"/>
        <v>102.375</v>
      </c>
      <c r="BC134" s="710">
        <f t="shared" si="278"/>
        <v>97.896000000000001</v>
      </c>
      <c r="BD134" s="708">
        <f t="shared" si="279"/>
        <v>97.896000000000001</v>
      </c>
      <c r="BE134" s="708">
        <f t="shared" si="279"/>
        <v>97.896000000000001</v>
      </c>
      <c r="BF134" s="708">
        <f t="shared" si="279"/>
        <v>97.896000000000001</v>
      </c>
      <c r="BG134" s="710">
        <f t="shared" si="279"/>
        <v>97.896000000000001</v>
      </c>
      <c r="BH134" s="708">
        <f t="shared" si="280"/>
        <v>97.896000000000001</v>
      </c>
      <c r="BI134" s="708">
        <f t="shared" si="280"/>
        <v>97.896000000000001</v>
      </c>
      <c r="BJ134" s="708">
        <f t="shared" si="280"/>
        <v>97.896000000000001</v>
      </c>
      <c r="BK134" s="710">
        <f t="shared" si="280"/>
        <v>97.896000000000001</v>
      </c>
      <c r="BL134" s="723"/>
      <c r="BM134" s="706"/>
      <c r="BN134" s="706"/>
      <c r="BO134" s="706"/>
      <c r="BP134" s="706"/>
      <c r="BQ134" s="706"/>
      <c r="BR134" s="706"/>
      <c r="BS134" s="706"/>
      <c r="BT134" s="709">
        <f t="shared" si="281"/>
        <v>1651.0329999999999</v>
      </c>
      <c r="BU134" s="708">
        <f t="shared" si="281"/>
        <v>1190.7750000000001</v>
      </c>
      <c r="BV134" s="708">
        <f t="shared" si="281"/>
        <v>266.90199999999999</v>
      </c>
      <c r="BW134" s="708">
        <f t="shared" si="281"/>
        <v>220.80699999999999</v>
      </c>
      <c r="BX134" s="708">
        <f t="shared" si="282"/>
        <v>116.288</v>
      </c>
      <c r="BY134" s="708">
        <f t="shared" si="282"/>
        <v>97.896000000000001</v>
      </c>
      <c r="BZ134" s="708">
        <f t="shared" si="283"/>
        <v>97.896000000000001</v>
      </c>
      <c r="CA134" s="708">
        <f t="shared" si="283"/>
        <v>97.896000000000001</v>
      </c>
      <c r="CB134" s="993">
        <f t="shared" si="283"/>
        <v>97.896000000000001</v>
      </c>
      <c r="CC134" s="723"/>
      <c r="CD134" s="709"/>
      <c r="CE134" s="708"/>
      <c r="CF134" s="708"/>
      <c r="CG134" s="708"/>
      <c r="CH134" s="708"/>
      <c r="CI134" s="708"/>
      <c r="CJ134" s="708">
        <f t="shared" si="284"/>
        <v>0</v>
      </c>
      <c r="CK134" s="708">
        <f t="shared" si="284"/>
        <v>0</v>
      </c>
      <c r="CL134" s="708">
        <f t="shared" si="284"/>
        <v>0</v>
      </c>
      <c r="CM134" s="708">
        <f t="shared" si="284"/>
        <v>0</v>
      </c>
      <c r="CN134" s="708">
        <f t="shared" si="284"/>
        <v>0</v>
      </c>
      <c r="CO134" s="708">
        <f t="shared" si="285"/>
        <v>0</v>
      </c>
      <c r="CP134" s="708">
        <f t="shared" si="285"/>
        <v>0</v>
      </c>
      <c r="CQ134" s="710">
        <f>+CQ80</f>
        <v>0</v>
      </c>
      <c r="CR134" s="706"/>
      <c r="CS134" s="706"/>
      <c r="CT134"/>
      <c r="CU134"/>
      <c r="CV134"/>
      <c r="CW134"/>
      <c r="CX134"/>
      <c r="CY134"/>
      <c r="CZ134" s="706"/>
    </row>
    <row r="135" spans="1:104" s="705" customFormat="1" ht="14.25" customHeight="1">
      <c r="A135" s="700"/>
      <c r="B135" s="701" t="s">
        <v>402</v>
      </c>
      <c r="C135" s="702"/>
      <c r="D135" s="702"/>
      <c r="E135" s="702"/>
      <c r="F135" s="702"/>
      <c r="G135" s="702"/>
      <c r="H135" s="702"/>
      <c r="I135" s="702"/>
      <c r="J135" s="702"/>
      <c r="K135" s="702"/>
      <c r="L135" s="702"/>
      <c r="M135" s="702"/>
      <c r="N135" s="702"/>
      <c r="O135" s="702"/>
      <c r="P135" s="702"/>
      <c r="Q135" s="702"/>
      <c r="R135" s="702"/>
      <c r="S135" s="702"/>
      <c r="T135" s="702"/>
      <c r="U135" s="702"/>
      <c r="V135" s="702"/>
      <c r="W135" s="702"/>
      <c r="X135" s="702"/>
      <c r="Y135" s="702"/>
      <c r="Z135" s="702"/>
      <c r="AA135" s="702"/>
      <c r="AB135" s="702"/>
      <c r="AC135" s="702"/>
      <c r="AD135" s="702"/>
      <c r="AE135" s="702"/>
      <c r="AF135" s="703"/>
      <c r="AG135" s="702"/>
      <c r="AH135" s="702"/>
      <c r="AI135" s="704">
        <f t="shared" si="286"/>
        <v>3365.7779999999998</v>
      </c>
      <c r="AJ135" s="703">
        <f t="shared" si="286"/>
        <v>3475.8109999999997</v>
      </c>
      <c r="AK135" s="702">
        <f t="shared" si="286"/>
        <v>3700.846</v>
      </c>
      <c r="AL135" s="702">
        <f t="shared" si="286"/>
        <v>3744.8109999999997</v>
      </c>
      <c r="AM135" s="704">
        <f>+AM81</f>
        <v>3648.096</v>
      </c>
      <c r="AN135" s="703">
        <f t="shared" si="286"/>
        <v>3594.8519999999999</v>
      </c>
      <c r="AO135" s="702">
        <f t="shared" si="286"/>
        <v>3546.6729999999998</v>
      </c>
      <c r="AP135" s="702">
        <f t="shared" si="286"/>
        <v>3574.7799999999997</v>
      </c>
      <c r="AQ135" s="704">
        <f t="shared" si="286"/>
        <v>3569.9630000000002</v>
      </c>
      <c r="AR135" s="702">
        <f t="shared" si="286"/>
        <v>3580.8560000000002</v>
      </c>
      <c r="AS135" s="702">
        <f t="shared" si="275"/>
        <v>3531.7059999999997</v>
      </c>
      <c r="AT135" s="702">
        <f t="shared" si="275"/>
        <v>3621.15</v>
      </c>
      <c r="AU135" s="704">
        <f t="shared" si="275"/>
        <v>3558.5059999999994</v>
      </c>
      <c r="AV135" s="702">
        <f t="shared" si="276"/>
        <v>3726.9929999999999</v>
      </c>
      <c r="AW135" s="702">
        <f t="shared" si="276"/>
        <v>3688.3730000000005</v>
      </c>
      <c r="AX135" s="702">
        <f t="shared" si="276"/>
        <v>3437.2170000000001</v>
      </c>
      <c r="AY135" s="704">
        <f t="shared" si="276"/>
        <v>3437.7450000000003</v>
      </c>
      <c r="AZ135" s="702">
        <f t="shared" si="277"/>
        <v>3754.424</v>
      </c>
      <c r="BA135" s="702">
        <f t="shared" si="277"/>
        <v>3660.0820000000003</v>
      </c>
      <c r="BB135" s="702">
        <f t="shared" si="278"/>
        <v>3643.951</v>
      </c>
      <c r="BC135" s="704">
        <f t="shared" si="278"/>
        <v>3545.4660000000003</v>
      </c>
      <c r="BD135" s="702">
        <f t="shared" si="279"/>
        <v>3575.0314664539605</v>
      </c>
      <c r="BE135" s="702">
        <f t="shared" si="279"/>
        <v>3673.2247383369772</v>
      </c>
      <c r="BF135" s="702">
        <f t="shared" si="279"/>
        <v>3747.0262087056503</v>
      </c>
      <c r="BG135" s="704">
        <f t="shared" si="279"/>
        <v>3803.6600979707014</v>
      </c>
      <c r="BH135" s="702">
        <f t="shared" si="280"/>
        <v>3885.9095991720628</v>
      </c>
      <c r="BI135" s="702">
        <f t="shared" si="280"/>
        <v>3962.0437206232623</v>
      </c>
      <c r="BJ135" s="702">
        <f t="shared" si="280"/>
        <v>4044.2416029506826</v>
      </c>
      <c r="BK135" s="704">
        <f t="shared" si="280"/>
        <v>4120.5484561978592</v>
      </c>
      <c r="BL135" s="716"/>
      <c r="BM135" s="700"/>
      <c r="BN135" s="700"/>
      <c r="BO135" s="700"/>
      <c r="BP135" s="700"/>
      <c r="BQ135" s="700"/>
      <c r="BR135" s="700"/>
      <c r="BS135" s="700"/>
      <c r="BT135" s="703">
        <f t="shared" si="281"/>
        <v>3365.7779999999998</v>
      </c>
      <c r="BU135" s="702">
        <f t="shared" si="281"/>
        <v>3648.096</v>
      </c>
      <c r="BV135" s="702">
        <f t="shared" si="281"/>
        <v>3569.9630000000002</v>
      </c>
      <c r="BW135" s="702">
        <f t="shared" si="281"/>
        <v>3558.5059999999994</v>
      </c>
      <c r="BX135" s="702">
        <f t="shared" si="282"/>
        <v>3437.7450000000003</v>
      </c>
      <c r="BY135" s="702">
        <f t="shared" si="282"/>
        <v>3545.4660000000003</v>
      </c>
      <c r="BZ135" s="702">
        <f t="shared" si="283"/>
        <v>3803.6600979707014</v>
      </c>
      <c r="CA135" s="702">
        <f t="shared" si="283"/>
        <v>4120.5484561978592</v>
      </c>
      <c r="CB135" s="992">
        <f t="shared" si="283"/>
        <v>4521.0338866894117</v>
      </c>
      <c r="CC135" s="716"/>
      <c r="CD135" s="703"/>
      <c r="CE135" s="702"/>
      <c r="CF135" s="702"/>
      <c r="CG135" s="702"/>
      <c r="CH135" s="702"/>
      <c r="CI135" s="702"/>
      <c r="CJ135" s="702">
        <f t="shared" si="284"/>
        <v>0</v>
      </c>
      <c r="CK135" s="702">
        <f t="shared" si="284"/>
        <v>0</v>
      </c>
      <c r="CL135" s="702">
        <f t="shared" si="284"/>
        <v>0</v>
      </c>
      <c r="CM135" s="702">
        <f t="shared" si="284"/>
        <v>0</v>
      </c>
      <c r="CN135" s="702">
        <f t="shared" si="284"/>
        <v>0</v>
      </c>
      <c r="CO135" s="702">
        <f t="shared" si="285"/>
        <v>0</v>
      </c>
      <c r="CP135" s="702">
        <f t="shared" si="285"/>
        <v>0</v>
      </c>
      <c r="CQ135" s="704">
        <f>+CQ81</f>
        <v>0</v>
      </c>
      <c r="CR135" s="700"/>
      <c r="CS135" s="700"/>
      <c r="CT135"/>
      <c r="CU135"/>
      <c r="CV135"/>
      <c r="CW135"/>
      <c r="CX135"/>
      <c r="CY135"/>
      <c r="CZ135" s="700"/>
    </row>
    <row r="136" spans="1:104" ht="14.25" customHeight="1">
      <c r="A136" s="8"/>
      <c r="B136" s="22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22"/>
      <c r="AG136" s="14"/>
      <c r="AH136" s="14"/>
      <c r="AI136" s="269"/>
      <c r="AJ136" s="22"/>
      <c r="AK136" s="14"/>
      <c r="AL136" s="14"/>
      <c r="AM136" s="269"/>
      <c r="AN136" s="22"/>
      <c r="AO136" s="14"/>
      <c r="AP136" s="14"/>
      <c r="AQ136" s="269"/>
      <c r="AR136" s="14"/>
      <c r="AS136" s="14"/>
      <c r="AT136" s="14"/>
      <c r="AU136" s="269"/>
      <c r="AV136" s="14"/>
      <c r="AW136" s="14"/>
      <c r="AX136" s="14"/>
      <c r="AY136" s="269"/>
      <c r="AZ136" s="14"/>
      <c r="BA136" s="14"/>
      <c r="BB136" s="14"/>
      <c r="BC136" s="269"/>
      <c r="BD136" s="14"/>
      <c r="BE136" s="14"/>
      <c r="BF136" s="14"/>
      <c r="BG136" s="269"/>
      <c r="BH136" s="14"/>
      <c r="BI136" s="14"/>
      <c r="BJ136" s="14"/>
      <c r="BK136" s="269"/>
      <c r="BL136" s="20"/>
      <c r="BM136" s="8"/>
      <c r="BN136" s="8"/>
      <c r="BO136" s="8"/>
      <c r="BP136" s="8"/>
      <c r="BQ136" s="8"/>
      <c r="BR136" s="8"/>
      <c r="BS136" s="8"/>
      <c r="BT136" s="22"/>
      <c r="BU136" s="14"/>
      <c r="BV136" s="14"/>
      <c r="BW136" s="14"/>
      <c r="BX136" s="14"/>
      <c r="BY136" s="14"/>
      <c r="BZ136" s="14"/>
      <c r="CA136" s="14"/>
      <c r="CB136" s="927"/>
      <c r="CC136" s="20"/>
      <c r="CD136" s="22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269"/>
      <c r="CR136" s="8"/>
      <c r="CS136" s="8"/>
      <c r="CZ136" s="8"/>
    </row>
    <row r="137" spans="1:104" ht="14.25" customHeight="1">
      <c r="A137" s="8"/>
      <c r="B137" s="22" t="s">
        <v>420</v>
      </c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22"/>
      <c r="AG137" s="14"/>
      <c r="AH137" s="14"/>
      <c r="AI137" s="269"/>
      <c r="AJ137" s="699">
        <v>6.0000000000000001E-3</v>
      </c>
      <c r="AK137" s="697">
        <v>6.0000000000000001E-3</v>
      </c>
      <c r="AL137" s="14">
        <v>6.0000000000000001E-3</v>
      </c>
      <c r="AM137" s="269"/>
      <c r="AN137" s="699">
        <v>6.0000000000000001E-3</v>
      </c>
      <c r="AO137" s="697">
        <v>6.0000000000000001E-3</v>
      </c>
      <c r="AP137" s="697">
        <v>6.0000000000000001E-3</v>
      </c>
      <c r="AQ137" s="269">
        <v>6.0000000000000001E-3</v>
      </c>
      <c r="AR137" s="697">
        <v>6.0000000000000001E-3</v>
      </c>
      <c r="AS137" s="697">
        <v>6.0000000000000001E-3</v>
      </c>
      <c r="AT137" s="697">
        <v>6.0000000000000001E-3</v>
      </c>
      <c r="AU137" s="269">
        <v>6.0000000000000001E-3</v>
      </c>
      <c r="AV137" s="697">
        <v>6.0000000000000001E-3</v>
      </c>
      <c r="AW137" s="697">
        <v>6.0000000000000001E-3</v>
      </c>
      <c r="AX137" s="697">
        <f t="shared" ref="AX137:BC137" si="287">AW137</f>
        <v>6.0000000000000001E-3</v>
      </c>
      <c r="AY137" s="698">
        <f t="shared" si="287"/>
        <v>6.0000000000000001E-3</v>
      </c>
      <c r="AZ137" s="697">
        <v>6.0000000000000001E-3</v>
      </c>
      <c r="BA137" s="697">
        <v>6.0000000000000001E-3</v>
      </c>
      <c r="BB137" s="697">
        <f t="shared" si="287"/>
        <v>6.0000000000000001E-3</v>
      </c>
      <c r="BC137" s="698">
        <f t="shared" si="287"/>
        <v>6.0000000000000001E-3</v>
      </c>
      <c r="BD137" s="697">
        <f t="shared" ref="BD137:BK137" si="288">BC137</f>
        <v>6.0000000000000001E-3</v>
      </c>
      <c r="BE137" s="697">
        <f t="shared" si="288"/>
        <v>6.0000000000000001E-3</v>
      </c>
      <c r="BF137" s="697">
        <f t="shared" si="288"/>
        <v>6.0000000000000001E-3</v>
      </c>
      <c r="BG137" s="698">
        <f t="shared" si="288"/>
        <v>6.0000000000000001E-3</v>
      </c>
      <c r="BH137" s="697">
        <f t="shared" si="288"/>
        <v>6.0000000000000001E-3</v>
      </c>
      <c r="BI137" s="697">
        <f t="shared" si="288"/>
        <v>6.0000000000000001E-3</v>
      </c>
      <c r="BJ137" s="697">
        <f t="shared" si="288"/>
        <v>6.0000000000000001E-3</v>
      </c>
      <c r="BK137" s="698">
        <f t="shared" si="288"/>
        <v>6.0000000000000001E-3</v>
      </c>
      <c r="BL137" s="918">
        <f>AY137</f>
        <v>6.0000000000000001E-3</v>
      </c>
      <c r="BM137" s="8"/>
      <c r="BN137" s="8"/>
      <c r="BO137" s="8"/>
      <c r="BP137" s="8"/>
      <c r="BQ137" s="8"/>
      <c r="BR137" s="8"/>
      <c r="BS137" s="8"/>
      <c r="BT137" s="699">
        <v>6.0000000000000001E-3</v>
      </c>
      <c r="BU137" s="697">
        <v>6.0000000000000001E-3</v>
      </c>
      <c r="BV137" s="697">
        <v>6.0000000000000001E-3</v>
      </c>
      <c r="BW137" s="697">
        <v>6.0000000000000001E-3</v>
      </c>
      <c r="BX137" s="697">
        <v>6.0000000000000001E-3</v>
      </c>
      <c r="BY137" s="697">
        <v>6.0000000000000001E-3</v>
      </c>
      <c r="BZ137" s="697">
        <v>6.0000000000000001E-3</v>
      </c>
      <c r="CA137" s="697">
        <v>6.0000000000000001E-3</v>
      </c>
      <c r="CB137" s="994">
        <v>6.0000000000000001E-3</v>
      </c>
      <c r="CC137" s="20"/>
      <c r="CD137" s="22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698"/>
      <c r="CR137" s="8"/>
      <c r="CS137" s="8"/>
      <c r="CZ137" s="8"/>
    </row>
    <row r="138" spans="1:104" ht="14.25" customHeight="1">
      <c r="A138" s="8"/>
      <c r="B138" s="15" t="s">
        <v>421</v>
      </c>
      <c r="C138" s="261"/>
      <c r="D138" s="261"/>
      <c r="E138" s="261"/>
      <c r="F138" s="261"/>
      <c r="G138" s="261"/>
      <c r="H138" s="261"/>
      <c r="I138" s="261"/>
      <c r="J138" s="261"/>
      <c r="K138" s="261"/>
      <c r="L138" s="261"/>
      <c r="M138" s="261"/>
      <c r="N138" s="261"/>
      <c r="O138" s="261"/>
      <c r="P138" s="261"/>
      <c r="Q138" s="261"/>
      <c r="R138" s="261"/>
      <c r="S138" s="261"/>
      <c r="T138" s="261"/>
      <c r="U138" s="261"/>
      <c r="V138" s="261"/>
      <c r="W138" s="261"/>
      <c r="X138" s="261"/>
      <c r="Y138" s="261"/>
      <c r="Z138" s="261"/>
      <c r="AA138" s="261"/>
      <c r="AB138" s="261"/>
      <c r="AC138" s="261"/>
      <c r="AD138" s="261"/>
      <c r="AE138" s="261"/>
      <c r="AF138" s="15"/>
      <c r="AG138" s="261"/>
      <c r="AH138" s="261"/>
      <c r="AI138" s="16"/>
      <c r="AJ138" s="657">
        <f>+AI135*AJ137/4</f>
        <v>5.048667</v>
      </c>
      <c r="AK138" s="658">
        <f t="shared" ref="AK138:AW138" si="289">+AJ135*AK137/4</f>
        <v>5.2137164999999994</v>
      </c>
      <c r="AL138" s="261">
        <f t="shared" si="289"/>
        <v>5.5512690000000005</v>
      </c>
      <c r="AM138" s="16"/>
      <c r="AN138" s="657">
        <f t="shared" si="289"/>
        <v>5.4721440000000001</v>
      </c>
      <c r="AO138" s="658">
        <f t="shared" si="289"/>
        <v>5.3922780000000001</v>
      </c>
      <c r="AP138" s="658">
        <f t="shared" si="289"/>
        <v>5.3200094999999994</v>
      </c>
      <c r="AQ138" s="16">
        <f t="shared" si="289"/>
        <v>5.3621699999999999</v>
      </c>
      <c r="AR138" s="658">
        <f t="shared" si="289"/>
        <v>5.3549445000000002</v>
      </c>
      <c r="AS138" s="658">
        <f t="shared" si="289"/>
        <v>5.3712840000000002</v>
      </c>
      <c r="AT138" s="658">
        <f t="shared" si="289"/>
        <v>5.2975589999999997</v>
      </c>
      <c r="AU138" s="16">
        <f t="shared" si="289"/>
        <v>5.4317250000000001</v>
      </c>
      <c r="AV138" s="658">
        <f>+AU135*AV137/4</f>
        <v>5.3377589999999993</v>
      </c>
      <c r="AW138" s="658">
        <f t="shared" si="289"/>
        <v>5.5904895000000003</v>
      </c>
      <c r="AX138" s="658">
        <f t="shared" ref="AX138:BC138" si="290">+AW135*AX137/4</f>
        <v>5.5325595000000005</v>
      </c>
      <c r="AY138" s="659">
        <f t="shared" si="290"/>
        <v>5.1558255000000006</v>
      </c>
      <c r="AZ138" s="658">
        <f>+AY135*AZ137/4</f>
        <v>5.1566175000000003</v>
      </c>
      <c r="BA138" s="658">
        <f>+AZ135*BA137/4</f>
        <v>5.6316360000000003</v>
      </c>
      <c r="BB138" s="658">
        <f t="shared" si="290"/>
        <v>5.4901230000000005</v>
      </c>
      <c r="BC138" s="659">
        <f t="shared" si="290"/>
        <v>5.4659265000000001</v>
      </c>
      <c r="BD138" s="658">
        <f t="shared" ref="BD138:BK138" si="291">+BC135*BD137/4</f>
        <v>5.3181990000000008</v>
      </c>
      <c r="BE138" s="658">
        <f t="shared" si="291"/>
        <v>5.3625471996809413</v>
      </c>
      <c r="BF138" s="658">
        <f t="shared" si="291"/>
        <v>5.509837107505466</v>
      </c>
      <c r="BG138" s="659">
        <f t="shared" si="291"/>
        <v>5.620539313058476</v>
      </c>
      <c r="BH138" s="658">
        <f t="shared" si="291"/>
        <v>5.7054901469560519</v>
      </c>
      <c r="BI138" s="658">
        <f t="shared" si="291"/>
        <v>5.8288643987580944</v>
      </c>
      <c r="BJ138" s="658">
        <f t="shared" si="291"/>
        <v>5.9430655809348938</v>
      </c>
      <c r="BK138" s="659">
        <f t="shared" si="291"/>
        <v>6.066362404426024</v>
      </c>
      <c r="BL138" s="20"/>
      <c r="BM138" s="8"/>
      <c r="BN138" s="8"/>
      <c r="BO138" s="8"/>
      <c r="BP138" s="8"/>
      <c r="BQ138" s="8"/>
      <c r="BR138" s="8"/>
      <c r="BS138" s="8"/>
      <c r="BT138" s="657">
        <f t="shared" ref="BT138:CB138" si="292">+BS135*BT137</f>
        <v>0</v>
      </c>
      <c r="BU138" s="658">
        <f t="shared" si="292"/>
        <v>20.194668</v>
      </c>
      <c r="BV138" s="658">
        <f t="shared" si="292"/>
        <v>21.888576</v>
      </c>
      <c r="BW138" s="658">
        <f t="shared" si="292"/>
        <v>21.419778000000001</v>
      </c>
      <c r="BX138" s="658">
        <f t="shared" si="292"/>
        <v>21.351035999999997</v>
      </c>
      <c r="BY138" s="658">
        <f t="shared" si="292"/>
        <v>20.626470000000001</v>
      </c>
      <c r="BZ138" s="658">
        <f t="shared" si="292"/>
        <v>21.272796000000003</v>
      </c>
      <c r="CA138" s="658">
        <f t="shared" si="292"/>
        <v>22.821960587824208</v>
      </c>
      <c r="CB138" s="948">
        <f t="shared" si="292"/>
        <v>24.723290737187156</v>
      </c>
      <c r="CC138" s="20"/>
      <c r="CD138" s="15"/>
      <c r="CE138" s="261"/>
      <c r="CF138" s="261"/>
      <c r="CG138" s="261"/>
      <c r="CH138" s="261"/>
      <c r="CI138" s="261"/>
      <c r="CJ138" s="261"/>
      <c r="CK138" s="261"/>
      <c r="CL138" s="261"/>
      <c r="CM138" s="261"/>
      <c r="CN138" s="261"/>
      <c r="CO138" s="261"/>
      <c r="CP138" s="261"/>
      <c r="CQ138" s="659"/>
      <c r="CR138" s="8"/>
      <c r="CS138" s="8"/>
      <c r="CZ138" s="8"/>
    </row>
    <row r="139" spans="1:104" ht="14.25" customHeight="1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14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14"/>
      <c r="BB139" s="8"/>
      <c r="BC139" s="8"/>
      <c r="BD139" s="8"/>
      <c r="BE139" s="14"/>
      <c r="BF139" s="8"/>
      <c r="BG139" s="8"/>
      <c r="BH139" s="8"/>
      <c r="BI139" s="14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14"/>
      <c r="CO139" s="14"/>
      <c r="CP139" s="8"/>
      <c r="CQ139" s="8"/>
      <c r="CR139" s="8"/>
      <c r="CS139" s="8"/>
      <c r="CZ139" s="8"/>
    </row>
    <row r="141" spans="1:104" ht="14.25" customHeight="1">
      <c r="A141" s="8"/>
      <c r="B141" s="112" t="s">
        <v>70</v>
      </c>
      <c r="C141" s="112"/>
      <c r="D141" s="113" t="e">
        <f>IS!D112</f>
        <v>#NAME?</v>
      </c>
      <c r="E141" s="113" t="e">
        <f>IS!E112</f>
        <v>#NAME?</v>
      </c>
      <c r="F141" s="113" t="e">
        <f>IS!F112</f>
        <v>#NAME?</v>
      </c>
      <c r="G141" s="113" t="e">
        <f>IS!G112</f>
        <v>#NAME?</v>
      </c>
      <c r="H141" s="113" t="e">
        <f>IS!H112</f>
        <v>#NAME?</v>
      </c>
      <c r="I141" s="113" t="e">
        <f>IS!I112</f>
        <v>#NAME?</v>
      </c>
      <c r="J141" s="113" t="e">
        <f>IS!J112</f>
        <v>#NAME?</v>
      </c>
      <c r="K141" s="113" t="e">
        <f>IS!K112</f>
        <v>#NAME?</v>
      </c>
      <c r="L141" s="113" t="e">
        <f>IS!L112</f>
        <v>#NAME?</v>
      </c>
      <c r="M141" s="113" t="e">
        <f>IS!M112</f>
        <v>#NAME?</v>
      </c>
      <c r="N141" s="113" t="e">
        <f>IS!N112</f>
        <v>#NAME?</v>
      </c>
      <c r="O141" s="113" t="e">
        <f>IS!O112</f>
        <v>#NAME?</v>
      </c>
      <c r="P141" s="113" t="e">
        <f>IS!P112</f>
        <v>#NAME?</v>
      </c>
      <c r="Q141" s="113" t="e">
        <f>IS!Q112</f>
        <v>#NAME?</v>
      </c>
      <c r="R141" s="113" t="e">
        <f>IS!R112</f>
        <v>#NAME?</v>
      </c>
      <c r="S141" s="113" t="e">
        <f>IS!S112</f>
        <v>#NAME?</v>
      </c>
      <c r="T141" s="113" t="e">
        <f>IS!T112</f>
        <v>#NAME?</v>
      </c>
      <c r="U141" s="113" t="e">
        <f>IS!U112</f>
        <v>#NAME?</v>
      </c>
      <c r="V141" s="113" t="e">
        <f>IS!V112</f>
        <v>#NAME?</v>
      </c>
      <c r="W141" s="113" t="e">
        <f>IS!W112</f>
        <v>#NAME?</v>
      </c>
      <c r="X141" s="113" t="e">
        <f>IS!X112</f>
        <v>#NAME?</v>
      </c>
      <c r="Y141" s="113" t="e">
        <f>IS!Y112</f>
        <v>#NAME?</v>
      </c>
      <c r="Z141" s="113" t="e">
        <f>IS!Z112</f>
        <v>#NAME?</v>
      </c>
      <c r="AA141" s="113" t="e">
        <f>IS!AA112</f>
        <v>#NAME?</v>
      </c>
      <c r="AB141" s="415" t="e">
        <f>IS!AB112</f>
        <v>#NAME?</v>
      </c>
      <c r="AC141" s="113" t="e">
        <f>IS!AC112</f>
        <v>#NAME?</v>
      </c>
      <c r="AD141" s="113" t="e">
        <f>IS!AD112</f>
        <v>#NAME?</v>
      </c>
      <c r="AE141" s="113" t="e">
        <f>IS!AE112</f>
        <v>#NAME?</v>
      </c>
      <c r="AF141" s="113" t="e">
        <f>IS!AF112</f>
        <v>#NAME?</v>
      </c>
      <c r="AG141" s="113" t="e">
        <f>IS!AG112</f>
        <v>#NAME?</v>
      </c>
      <c r="AH141" s="113" t="e">
        <f>IS!AH112</f>
        <v>#NAME?</v>
      </c>
      <c r="AI141" s="113" t="e">
        <f>IS!AI112</f>
        <v>#NAME?</v>
      </c>
      <c r="AJ141" s="113" t="e">
        <f>IS!AJ112</f>
        <v>#NAME?</v>
      </c>
      <c r="AK141" s="113" t="e">
        <f>IS!AK112</f>
        <v>#NAME?</v>
      </c>
      <c r="AL141" s="113" t="str">
        <f>IS!AL112</f>
        <v>A</v>
      </c>
      <c r="AM141" s="113" t="str">
        <f>IS!AM112</f>
        <v>A</v>
      </c>
      <c r="AN141" s="113" t="e">
        <f>IS!AN112</f>
        <v>#NAME?</v>
      </c>
      <c r="AO141" s="113" t="e">
        <f>IS!AO112</f>
        <v>#NAME?</v>
      </c>
      <c r="AP141" s="113" t="e">
        <f>IS!AP112</f>
        <v>#NAME?</v>
      </c>
      <c r="AQ141" s="113" t="e">
        <f>IS!AQ112</f>
        <v>#NAME?</v>
      </c>
      <c r="AR141" s="113" t="e">
        <f>IS!AR112</f>
        <v>#NAME?</v>
      </c>
      <c r="AS141" s="113" t="e">
        <f>IS!AS112</f>
        <v>#NAME?</v>
      </c>
      <c r="AT141" s="113" t="e">
        <f>IS!AT112</f>
        <v>#NAME?</v>
      </c>
      <c r="AU141" s="113" t="e">
        <f>IS!AU112</f>
        <v>#NAME?</v>
      </c>
      <c r="AV141" s="113" t="e">
        <f>IS!AV112</f>
        <v>#NAME?</v>
      </c>
      <c r="AW141" s="113" t="e">
        <f>IS!AW112</f>
        <v>#NAME?</v>
      </c>
      <c r="AX141" s="113" t="e">
        <f>IS!AX112</f>
        <v>#NAME?</v>
      </c>
      <c r="AY141" s="113" t="e">
        <f>IS!AY112</f>
        <v>#NAME?</v>
      </c>
      <c r="AZ141" s="113" t="e">
        <f>IS!AZ112</f>
        <v>#NAME?</v>
      </c>
      <c r="BA141" s="113" t="e">
        <f>IS!BA112</f>
        <v>#NAME?</v>
      </c>
      <c r="BB141" s="113" t="e">
        <f>IS!BB112</f>
        <v>#NAME?</v>
      </c>
      <c r="BC141" s="113" t="e">
        <f>IS!BC112</f>
        <v>#NAME?</v>
      </c>
      <c r="BD141" s="113" t="e">
        <f>IS!BD112</f>
        <v>#NAME?</v>
      </c>
      <c r="BE141" s="113" t="e">
        <f>IS!BE112</f>
        <v>#NAME?</v>
      </c>
      <c r="BF141" s="113" t="e">
        <f>IS!BF112</f>
        <v>#NAME?</v>
      </c>
      <c r="BG141" s="113" t="e">
        <f>IS!BG112</f>
        <v>#NAME?</v>
      </c>
      <c r="BH141" s="113" t="e">
        <f>IS!BH112</f>
        <v>#NAME?</v>
      </c>
      <c r="BI141" s="113" t="e">
        <f>IS!BI112</f>
        <v>#NAME?</v>
      </c>
      <c r="BJ141" s="113" t="e">
        <f>IS!BJ112</f>
        <v>#NAME?</v>
      </c>
      <c r="BK141" s="113" t="e">
        <f>IS!BK112</f>
        <v>#NAME?</v>
      </c>
      <c r="BL141" s="113"/>
      <c r="BM141" s="113" t="str">
        <f>IS!BM112</f>
        <v>A</v>
      </c>
      <c r="BN141" s="113" t="str">
        <f>IS!BN112</f>
        <v>A</v>
      </c>
      <c r="BO141" s="113" t="str">
        <f>IS!BO112</f>
        <v>A</v>
      </c>
      <c r="BP141" s="113" t="str">
        <f>IS!BP112</f>
        <v>A</v>
      </c>
      <c r="BQ141" s="113" t="str">
        <f>IS!BQ112</f>
        <v>A</v>
      </c>
      <c r="BR141" s="113" t="e">
        <f>IS!BR112</f>
        <v>#NAME?</v>
      </c>
      <c r="BS141" s="113" t="e">
        <f>IS!BS112</f>
        <v>#NAME?</v>
      </c>
      <c r="BT141" s="113" t="e">
        <f>IS!BT112</f>
        <v>#NAME?</v>
      </c>
      <c r="BU141" s="113" t="e">
        <f>IS!BU112</f>
        <v>#NAME?</v>
      </c>
      <c r="BV141" s="113" t="e">
        <f>IS!BV112</f>
        <v>#NAME?</v>
      </c>
      <c r="BW141" s="113" t="e">
        <f>IS!BW112</f>
        <v>#NAME?</v>
      </c>
      <c r="BX141" s="113" t="e">
        <f>IS!BX112</f>
        <v>#NAME?</v>
      </c>
      <c r="BY141" s="113" t="e">
        <f>IS!BY112</f>
        <v>#NAME?</v>
      </c>
      <c r="BZ141" s="113" t="e">
        <f>IS!BZ112</f>
        <v>#NAME?</v>
      </c>
      <c r="CA141" s="113" t="e">
        <f>IS!CA112</f>
        <v>#NAME?</v>
      </c>
      <c r="CB141" s="113" t="e">
        <f>IS!CB112</f>
        <v>#NAME?</v>
      </c>
      <c r="CC141" s="8"/>
      <c r="CD141" s="113" t="e">
        <f>IS!CD112</f>
        <v>#NAME?</v>
      </c>
      <c r="CE141" s="113" t="e">
        <f>IS!CE112</f>
        <v>#NAME?</v>
      </c>
      <c r="CF141" s="113" t="e">
        <f>IS!CF112</f>
        <v>#NAME?</v>
      </c>
      <c r="CG141" s="113" t="e">
        <f>IS!CG112</f>
        <v>#NAME?</v>
      </c>
      <c r="CH141" s="113" t="e">
        <f>IS!CH112</f>
        <v>#NAME?</v>
      </c>
      <c r="CI141" s="113" t="e">
        <f>IS!CI112</f>
        <v>#NAME?</v>
      </c>
      <c r="CJ141" s="113" t="e">
        <f>IS!CJ112</f>
        <v>#NAME?</v>
      </c>
      <c r="CK141" s="113" t="str">
        <f>IS!CK112</f>
        <v>A</v>
      </c>
      <c r="CL141" s="113" t="e">
        <f>IS!CL112</f>
        <v>#NAME?</v>
      </c>
      <c r="CM141" s="113" t="e">
        <f>IS!CM112</f>
        <v>#NAME?</v>
      </c>
      <c r="CN141" s="113" t="e">
        <f>IS!CN112</f>
        <v>#NAME?</v>
      </c>
      <c r="CO141" s="415" t="e">
        <f>IS!CO112</f>
        <v>#NAME?</v>
      </c>
      <c r="CP141" s="113" t="str">
        <f>IS!CP112</f>
        <v>E</v>
      </c>
      <c r="CQ141" s="113" t="str">
        <f>IS!CQ112</f>
        <v>E</v>
      </c>
      <c r="CR141" s="8"/>
      <c r="CS141" s="8"/>
      <c r="CZ141" s="8"/>
    </row>
    <row r="142" spans="1:104" ht="14.25" customHeight="1" outlineLevel="1">
      <c r="A142" s="8"/>
      <c r="B142" s="71" t="s">
        <v>137</v>
      </c>
      <c r="C142" s="71"/>
      <c r="D142" s="211" t="s">
        <v>138</v>
      </c>
      <c r="E142" s="211" t="s">
        <v>138</v>
      </c>
      <c r="F142" s="211" t="s">
        <v>138</v>
      </c>
      <c r="G142" s="211" t="s">
        <v>138</v>
      </c>
      <c r="H142" s="211" t="s">
        <v>138</v>
      </c>
      <c r="I142" s="211" t="s">
        <v>138</v>
      </c>
      <c r="J142" s="211" t="s">
        <v>138</v>
      </c>
      <c r="K142" s="211" t="s">
        <v>138</v>
      </c>
      <c r="L142" s="211" t="s">
        <v>138</v>
      </c>
      <c r="M142" s="211" t="s">
        <v>138</v>
      </c>
      <c r="N142" s="211" t="s">
        <v>138</v>
      </c>
      <c r="O142" s="211" t="s">
        <v>138</v>
      </c>
      <c r="P142" s="211" t="s">
        <v>138</v>
      </c>
      <c r="Q142" s="211" t="s">
        <v>138</v>
      </c>
      <c r="R142" s="211" t="s">
        <v>138</v>
      </c>
      <c r="S142" s="211" t="s">
        <v>138</v>
      </c>
      <c r="T142" s="211" t="s">
        <v>138</v>
      </c>
      <c r="U142" s="211" t="s">
        <v>138</v>
      </c>
      <c r="V142" s="211" t="s">
        <v>138</v>
      </c>
      <c r="W142" s="211" t="s">
        <v>138</v>
      </c>
      <c r="X142" s="211" t="s">
        <v>138</v>
      </c>
      <c r="Y142" s="211" t="s">
        <v>138</v>
      </c>
      <c r="Z142" s="211" t="s">
        <v>138</v>
      </c>
      <c r="AA142" s="211" t="s">
        <v>138</v>
      </c>
      <c r="AB142" s="416" t="s">
        <v>138</v>
      </c>
      <c r="AC142" s="211" t="s">
        <v>138</v>
      </c>
      <c r="AD142" s="211" t="s">
        <v>138</v>
      </c>
      <c r="AE142" s="211" t="s">
        <v>138</v>
      </c>
      <c r="AF142" s="211" t="s">
        <v>138</v>
      </c>
      <c r="AG142" s="211" t="s">
        <v>138</v>
      </c>
      <c r="AH142" s="211" t="s">
        <v>138</v>
      </c>
      <c r="AI142" s="211" t="s">
        <v>138</v>
      </c>
      <c r="AJ142" s="211" t="s">
        <v>138</v>
      </c>
      <c r="AK142" s="211" t="s">
        <v>138</v>
      </c>
      <c r="AL142" s="211" t="s">
        <v>138</v>
      </c>
      <c r="AM142" s="211" t="s">
        <v>138</v>
      </c>
      <c r="AN142" s="211" t="s">
        <v>138</v>
      </c>
      <c r="AO142" s="211" t="s">
        <v>138</v>
      </c>
      <c r="AP142" s="211" t="s">
        <v>138</v>
      </c>
      <c r="AQ142" s="211" t="s">
        <v>138</v>
      </c>
      <c r="AR142" s="211" t="s">
        <v>138</v>
      </c>
      <c r="AS142" s="211" t="s">
        <v>138</v>
      </c>
      <c r="AT142" s="211" t="s">
        <v>138</v>
      </c>
      <c r="AU142" s="211" t="s">
        <v>138</v>
      </c>
      <c r="AV142" s="211" t="s">
        <v>138</v>
      </c>
      <c r="AW142" s="211" t="s">
        <v>138</v>
      </c>
      <c r="AX142" s="211" t="s">
        <v>138</v>
      </c>
      <c r="AY142" s="211" t="s">
        <v>138</v>
      </c>
      <c r="AZ142" s="211" t="s">
        <v>138</v>
      </c>
      <c r="BA142" s="211" t="s">
        <v>138</v>
      </c>
      <c r="BB142" s="211" t="s">
        <v>138</v>
      </c>
      <c r="BC142" s="211" t="s">
        <v>138</v>
      </c>
      <c r="BD142" s="211" t="s">
        <v>138</v>
      </c>
      <c r="BE142" s="211" t="s">
        <v>138</v>
      </c>
      <c r="BF142" s="211" t="s">
        <v>138</v>
      </c>
      <c r="BG142" s="211" t="s">
        <v>138</v>
      </c>
      <c r="BH142" s="211" t="s">
        <v>138</v>
      </c>
      <c r="BI142" s="211" t="s">
        <v>138</v>
      </c>
      <c r="BJ142" s="211" t="s">
        <v>138</v>
      </c>
      <c r="BK142" s="211" t="s">
        <v>138</v>
      </c>
      <c r="BL142" s="8"/>
      <c r="BM142" s="211" t="s">
        <v>138</v>
      </c>
      <c r="BN142" s="211" t="s">
        <v>138</v>
      </c>
      <c r="BO142" s="211" t="s">
        <v>138</v>
      </c>
      <c r="BP142" s="211" t="s">
        <v>138</v>
      </c>
      <c r="BQ142" s="211" t="s">
        <v>138</v>
      </c>
      <c r="BR142" s="211" t="s">
        <v>138</v>
      </c>
      <c r="BS142" s="211" t="s">
        <v>138</v>
      </c>
      <c r="BT142" s="211" t="s">
        <v>138</v>
      </c>
      <c r="BU142" s="211" t="s">
        <v>138</v>
      </c>
      <c r="BV142" s="211" t="s">
        <v>138</v>
      </c>
      <c r="BW142" s="211" t="s">
        <v>138</v>
      </c>
      <c r="BX142" s="211" t="s">
        <v>138</v>
      </c>
      <c r="BY142" s="211" t="s">
        <v>138</v>
      </c>
      <c r="BZ142" s="211" t="s">
        <v>138</v>
      </c>
      <c r="CA142" s="211" t="s">
        <v>138</v>
      </c>
      <c r="CB142" s="211" t="s">
        <v>138</v>
      </c>
      <c r="CC142" s="8"/>
      <c r="CD142" s="211" t="s">
        <v>138</v>
      </c>
      <c r="CE142" s="211" t="s">
        <v>138</v>
      </c>
      <c r="CF142" s="211" t="s">
        <v>138</v>
      </c>
      <c r="CG142" s="211" t="s">
        <v>138</v>
      </c>
      <c r="CH142" s="211" t="s">
        <v>138</v>
      </c>
      <c r="CI142" s="211" t="s">
        <v>138</v>
      </c>
      <c r="CJ142" s="211" t="s">
        <v>138</v>
      </c>
      <c r="CK142" s="211" t="s">
        <v>138</v>
      </c>
      <c r="CL142" s="211" t="s">
        <v>138</v>
      </c>
      <c r="CM142" s="211" t="s">
        <v>138</v>
      </c>
      <c r="CN142" s="211" t="s">
        <v>138</v>
      </c>
      <c r="CO142" s="211" t="s">
        <v>138</v>
      </c>
      <c r="CP142" s="211" t="s">
        <v>138</v>
      </c>
      <c r="CQ142" s="211" t="s">
        <v>138</v>
      </c>
      <c r="CR142" s="8"/>
      <c r="CS142" s="8"/>
      <c r="CZ142" s="8"/>
    </row>
    <row r="143" spans="1:104" ht="14.25" customHeight="1">
      <c r="A143" s="8"/>
      <c r="B143" s="71" t="s">
        <v>139</v>
      </c>
      <c r="C143" s="71"/>
      <c r="D143" s="212">
        <f>D61-C61+D64-+C64-D59+C59-IS!D74+C57-D57</f>
        <v>2601.9929999999999</v>
      </c>
      <c r="E143" s="212">
        <f>E61-D61+E64-+D64-E59+D59-IS!E74+D57-E57</f>
        <v>-19.831000000000159</v>
      </c>
      <c r="F143" s="212">
        <f>F61-E61+F64-+E64-F59+E59-IS!F74+E57-F57</f>
        <v>-127.93299999999996</v>
      </c>
      <c r="G143" s="212">
        <f>G61-F61+G64-+F64-G59+F59-IS!G74+F57-G57</f>
        <v>-95.302000000000163</v>
      </c>
      <c r="H143" s="212">
        <f>H61-G61+H64-+G64-H59+G59-IS!H74+G57-H57</f>
        <v>-88.310999999999922</v>
      </c>
      <c r="I143" s="212">
        <f>I61-H61+I64-+H64-I59+H59-IS!I74+H57-I57</f>
        <v>-103.64799999999987</v>
      </c>
      <c r="J143" s="212">
        <f>J61-I61+J64-+I64-J59+I59-IS!J74+I57-J57</f>
        <v>-123.03099999999998</v>
      </c>
      <c r="K143" s="212">
        <f>K61-J61+K64-+J64-K59+J59-IS!K74+J57-K57</f>
        <v>-979.61900000000003</v>
      </c>
      <c r="L143" s="212">
        <f>L61-K61+L64-+K64-L59+K59-IS!L74+K57-L57</f>
        <v>37.859999999999843</v>
      </c>
      <c r="M143" s="212">
        <f>M61-L61+M64-+L64-M59+L59-IS!M74+L57-M57</f>
        <v>-142.87599999999989</v>
      </c>
      <c r="N143" s="212">
        <f>N61-M61+N64-+M64-N59+M59-IS!N74+M57-N57</f>
        <v>-207.15000000000009</v>
      </c>
      <c r="O143" s="212">
        <f>O61-N61+O64-+N64-O59+N59-IS!O74+N57-O57</f>
        <v>-160.26899999999995</v>
      </c>
      <c r="P143" s="212">
        <f>P61-O61+P64-+O64-P59+O59-IS!P74+O57-P57</f>
        <v>-142.61400000000003</v>
      </c>
      <c r="Q143" s="212">
        <f>Q61-P61+Q64-+P64-Q59+P59-IS!Q74+P57-Q57</f>
        <v>-115.24199999999999</v>
      </c>
      <c r="R143" s="212">
        <f>R61-Q61+R64-+Q64-R59+Q59-IS!R74+Q57-R57</f>
        <v>-3.2530000000000143</v>
      </c>
      <c r="S143" s="212">
        <f>S61-R61+S64-+R64-S59+R59-IS!S74+R57-S57</f>
        <v>200.98900000000015</v>
      </c>
      <c r="T143" s="212">
        <f>T61-S61+T64-+S64-T59+S59-IS!T74+S57-T57</f>
        <v>-90.386999999999986</v>
      </c>
      <c r="U143" s="212">
        <f>U61-T61+U64-+T64-U59+T59-IS!U74+T57-U57</f>
        <v>-17.852000000000118</v>
      </c>
      <c r="V143" s="212">
        <f>V61-U61+V64-+U64-V59+U59-IS!V74+U57-V57</f>
        <v>-37.908999999999907</v>
      </c>
      <c r="W143" s="212">
        <f>W61-V61+W64-+V64-W59+V59-IS!W74+V57-W57</f>
        <v>-57.263000000000034</v>
      </c>
      <c r="X143" s="212">
        <f>X61-W61+X64-+W64-X59+W59-IS!X74+W57-X57</f>
        <v>-414.27899999999988</v>
      </c>
      <c r="Y143" s="212">
        <f>Y61-X61+Y64-+X64-Y59+X59-IS!Y74+X57-Y57</f>
        <v>-18.069000000000017</v>
      </c>
      <c r="Z143" s="212">
        <f>Z61-Y61+Z64-+Y64-Z59+Y59-IS!Z74+Y57-Z57</f>
        <v>-5.0249999999999204</v>
      </c>
      <c r="AA143" s="212">
        <f>AA61-Z61+AA64-+Z64-AA59+Z59-IS!AA74+Z57-AA57</f>
        <v>77.907000000000068</v>
      </c>
      <c r="AB143" s="417">
        <f>AB61-AA61+AB64-+AA64-AB59+AA59-IS!AB74+AA57-AB57</f>
        <v>-71.72500000000008</v>
      </c>
      <c r="AC143" s="212">
        <f>AC61-AB61+AC64-+AB64-AC59+AB59-IS!AC74+AB57-AC57</f>
        <v>-126.99100000000014</v>
      </c>
      <c r="AD143" s="212">
        <f>AD61-AC61+AD64-+AC64-AD59+AC59-IS!AD74+AC57-AD57</f>
        <v>-52.124999999999858</v>
      </c>
      <c r="AE143" s="212">
        <f>AE61-AD61+AE64-+AD64-AE59+AD59-IS!AE74+AD57-AE57</f>
        <v>17.083000000000084</v>
      </c>
      <c r="AF143" s="212">
        <f>AF61-AE61+AF64-+AE64-AF59+AE59-IS!AF74+AE57-AF57</f>
        <v>-131.0889999999998</v>
      </c>
      <c r="AG143" s="212">
        <f>AG61-AF61+AG64-+AF64-AG59+AF59-IS!AG74+AF57-AG57</f>
        <v>-89.48100000000035</v>
      </c>
      <c r="AH143" s="212">
        <f>AH61-AG61+AH64-+AG64-AH59+AG59-IS!AH74+AG57-AH57</f>
        <v>-35.804999999999936</v>
      </c>
      <c r="AI143" s="212">
        <f>AI61-AH61+AI64-+AH64-AI59+AH59-IS!AI74+AH57-AI57</f>
        <v>23.053999999999974</v>
      </c>
      <c r="AJ143" s="212">
        <f>AJ61-AI61+AJ64-+AI64-AJ59+AI59-IS!AJ74+AI57-AJ57</f>
        <v>-374.57899999999984</v>
      </c>
      <c r="AK143" s="212">
        <f>AK61-AJ61+AK64-+AJ64-AK59+AJ59-IS!AK74+AJ57-AK57</f>
        <v>-1.653000000000219</v>
      </c>
      <c r="AL143" s="212">
        <f>AL61-AK61+AL64-+AK64-AL59+AK59-IS!AL74+AK57-AL57</f>
        <v>-123.48899999999983</v>
      </c>
      <c r="AM143" s="212">
        <f>AM61-AL61+AM64-+AL64-AM59+AL59-IS!AM74+AL57-AM57</f>
        <v>-332.07300000000004</v>
      </c>
      <c r="AN143" s="212">
        <f>AN61-AM61+AN64-+AM64-AN59+AM59-IS!AN74+AM57-AN57</f>
        <v>-136.40299999999996</v>
      </c>
      <c r="AO143" s="212">
        <f>AO61-AN61+AO64-+AN64-AO59+AN59-IS!AO74+AN57-AO57</f>
        <v>-245.87300000000019</v>
      </c>
      <c r="AP143" s="212">
        <f>AP61-AO61+AP64-+AO64-AP59+AO59-IS!AP74+AO57-AP57</f>
        <v>-203.08399999999986</v>
      </c>
      <c r="AQ143" s="212">
        <f>AQ61-AP61+AQ64-+AP64-AQ59+AP59-IS!AQ74+AP57-AQ57</f>
        <v>-193.34300000000002</v>
      </c>
      <c r="AR143" s="212">
        <f>AR61-AQ61+AR64-+AQ64-AR59+AQ59-IS!AR74+AQ57-AR57</f>
        <v>-130.64199999999994</v>
      </c>
      <c r="AS143" s="212">
        <f>AS61-AR61+AS64-+AR64-AS59+AR59-IS!AS74+AR57-AS57</f>
        <v>-149.35899999999995</v>
      </c>
      <c r="AT143" s="212">
        <f>AT61-AS61+AT64-+AS64-AT59+AS59-IS!AT74+AS57-AT57</f>
        <v>-137.48100000000005</v>
      </c>
      <c r="AU143" s="212">
        <f>AU61-AT61+AU64-+AT64-AU59+AT59-IS!AU74+AT57-AU57</f>
        <v>-159.60399999999998</v>
      </c>
      <c r="AV143" s="212">
        <f>AV61-AU61+AV64-+AU64-AV59+AU59-IS!AV74+AU57-AV57</f>
        <v>-166.49600000000032</v>
      </c>
      <c r="AW143" s="212">
        <f>AW61-AV61+AW64-+AV64-AW59+AV59-IS!AW74+AV57-AW57</f>
        <v>-126.91299999999995</v>
      </c>
      <c r="AX143" s="212">
        <f>AX61-AW61+AX64-+AW64-AX59+AW59-IS!AX74+AW57-AX57</f>
        <v>-262.1579999999999</v>
      </c>
      <c r="AY143" s="212">
        <f>AY61-AX61+AY64-+AX64-AY59+AX59-IS!AY74+AX57-AY57</f>
        <v>-131.15499999999997</v>
      </c>
      <c r="AZ143" s="212">
        <f>AZ61-AY61+AZ64-+AY64-AZ59+AY59-IS!AZ74+AY57-AZ57</f>
        <v>-144.65999999999994</v>
      </c>
      <c r="BA143" s="212">
        <f>BA61-AZ61+BA64-+AZ64-BA59+AZ59-IS!BA74+AZ57-BA57</f>
        <v>-220.12900000000002</v>
      </c>
      <c r="BB143" s="212">
        <f>BB61-BA61+BB64-+BA64-BB59+BA59-IS!BB74+BA57-BB57</f>
        <v>-128.10999999999973</v>
      </c>
      <c r="BC143" s="212">
        <f>BC61-BB61+BC64-+BB64-BC59+BB59-IS!BC74+BB57-BC57</f>
        <v>48.605999999999938</v>
      </c>
      <c r="BD143" s="212">
        <f>BD61-BC61+BD64-+BC64-BD59+BC59-IS!BD74+BC57-BD57</f>
        <v>48.606000000000051</v>
      </c>
      <c r="BE143" s="212">
        <f>BE61-BD61+BE64-+BD64-BE59+BD59-IS!BE74+BD57-BE57</f>
        <v>48.606000000000108</v>
      </c>
      <c r="BF143" s="212">
        <f>BF61-BE61+BF64-+BE64-BF59+BE59-IS!BF74+BE57-BF57</f>
        <v>48.606000000000023</v>
      </c>
      <c r="BG143" s="212">
        <f>BG61-BF61+BG64-+BF64-BG59+BF59-IS!BG74+BF57-BG57</f>
        <v>48.606000000000392</v>
      </c>
      <c r="BH143" s="212">
        <f>BH61-BG61+BH64-+BG64-BH59+BG59-IS!BH74+BG57-BH57</f>
        <v>48.605999999999796</v>
      </c>
      <c r="BI143" s="212">
        <f>BI61-BH61+BI64-+BH64-BI59+BH59-IS!BI74+BH57-BI57</f>
        <v>48.605999999999966</v>
      </c>
      <c r="BJ143" s="212">
        <f>BJ61-BI61+BJ64-+BI64-BJ59+BI59-IS!BJ74+BI57-BJ57</f>
        <v>48.605999999999938</v>
      </c>
      <c r="BK143" s="212">
        <f>BK61-BJ61+BK64-+BJ64-BK59+BJ59-IS!BK74+BJ57-BK57</f>
        <v>48.606000000000051</v>
      </c>
      <c r="BL143" s="8"/>
      <c r="BM143" s="213">
        <f>BM61-BL61+BM64-+BL64-BM59+BL59-IS!BM74+BL57-BM57</f>
        <v>2358.9270000000001</v>
      </c>
      <c r="BN143" s="213">
        <f>BN61-BM61+BN64-+BM64-BN59+BM59-IS!BN74+BM57-BN57</f>
        <v>-1294.6089999999999</v>
      </c>
      <c r="BO143" s="213">
        <f>BO61-BN61+BO64-+BN64-BO59+BN59-IS!BO74+BN57-BO57</f>
        <v>-472.43500000000006</v>
      </c>
      <c r="BP143" s="213">
        <f>BP61-BO61+BP64-+BO64-BP59+BO59-IS!BP74+BO57-BP57</f>
        <v>-60.119999999999607</v>
      </c>
      <c r="BQ143" s="213">
        <f>BQ61-BP61+BQ64-+BP64-BQ59+BP59-IS!BQ74+BP57-BQ57</f>
        <v>-203.41100000000034</v>
      </c>
      <c r="BR143" s="213">
        <f>BR61-BQ61+BR64-+BQ64-BR59+BQ59-IS!BR74+BQ57-BR57</f>
        <v>-359.46600000000001</v>
      </c>
      <c r="BS143" s="213">
        <f>BS61-BR61+BS64-+BR64-BS59+BR59-IS!BS74+BR57-BS57</f>
        <v>-233.75800000000004</v>
      </c>
      <c r="BT143" s="213">
        <f>BT61-BS61+BT64-+BS64-BT59+BS59-IS!BT74+BS57-BT57</f>
        <v>-233.32100000000025</v>
      </c>
      <c r="BU143" s="213">
        <f>BU61-BT61+BU64-+BT64-BU59+BT59-IS!BU74+BT57-BU57</f>
        <v>-831.79399999999998</v>
      </c>
      <c r="BV143" s="213">
        <f>BV61-BU61+BV64-+BU64-BV59+BU59-IS!BV74+BU57-BV57</f>
        <v>-778.70300000000032</v>
      </c>
      <c r="BW143" s="213">
        <f>BW61-BV61+BW64-+BV64-BW59+BV59-IS!BW74+BV57-BW57</f>
        <v>-577.08600000000001</v>
      </c>
      <c r="BX143" s="213">
        <f>BX61-BW61+BX64-+BW64-BX59+BW59-IS!BX74+BW57-BX57</f>
        <v>-686.72200000000043</v>
      </c>
      <c r="BY143" s="213">
        <f>BY61-BX61+BY64-+BX64-BY59+BX59-IS!BY74+BX57-BY57</f>
        <v>-444.29300000000012</v>
      </c>
      <c r="BZ143" s="213">
        <f>BZ61-BY61+BZ64-+BY64-BZ59+BY59-IS!BZ74+BY57-BZ57</f>
        <v>194.42399999999998</v>
      </c>
      <c r="CA143" s="213">
        <f>CA61-BZ61+CA64-+BZ64-CA59+BZ59-IS!CA74+BZ57-CA57</f>
        <v>194.42400000000021</v>
      </c>
      <c r="CB143" s="213">
        <f>CB61-CA61+CB64-+CA64-CB59+CA59-IS!CB74+CA57-CB57</f>
        <v>194.42399999999964</v>
      </c>
      <c r="CC143" s="8"/>
      <c r="CD143" s="213">
        <f>CD61-CC61+CD64-+CC64-CD59+CC59-IS!CD74+CC57-CD57</f>
        <v>2287.3449999999998</v>
      </c>
      <c r="CE143" s="213">
        <f>CE61-CD61+CE64-+CD64-CE59+CD59-IS!CE74+CD57-CE57</f>
        <v>-1291.7850000000001</v>
      </c>
      <c r="CF143" s="213">
        <f>CF61-CE61+CF64-+CE64-CF59+CE59-IS!CF74+CE57-CF57</f>
        <v>-421.37799999999982</v>
      </c>
      <c r="CG143" s="213">
        <f>CG61-CF61+CG64-+CF64-CG59+CF59-IS!CG74+CF57-CG57</f>
        <v>54.841000000000122</v>
      </c>
      <c r="CH143" s="213">
        <f>CH61-CG61+CH64-+CG64-CH59+CG59-IS!CH74+CG57-CH57</f>
        <v>-494.63600000000031</v>
      </c>
      <c r="CI143" s="213">
        <f>CI61-CH61+CI64-+CH64-CI59+CH59-IS!CI74+CH57-CI57</f>
        <v>-172.93399999999997</v>
      </c>
      <c r="CJ143" s="213">
        <f>CJ61-CI61+CJ64-+CI64-CJ59+CI59-IS!CJ74+CI57-CJ57</f>
        <v>-239.29199999999986</v>
      </c>
      <c r="CK143" s="213">
        <f>CK61-CJ61+CK64-+CJ64-CK59+CJ59-IS!CK74+CJ57-CK57</f>
        <v>-476.66700000000026</v>
      </c>
      <c r="CL143" s="213">
        <f>CL61-CK61+CL64-+CK64-CL59+CK59-IS!CL74+CK57-CL57</f>
        <v>-917.43299999999988</v>
      </c>
      <c r="CM143" s="213">
        <f>CM61-CL61+CM64-+CL64-CM59+CL59-IS!CM74+CL57-CM57</f>
        <v>-610.82499999999982</v>
      </c>
      <c r="CN143" s="213">
        <f>CN61-CM61+CN64-+CM64-CN59+CM59-IS!CN74+CM57-CN57</f>
        <v>-715.17100000000028</v>
      </c>
      <c r="CO143" s="213">
        <f>CO61-CN61+CO64-+CN64-CO59+CN59-IS!CO74+CN57-CO57</f>
        <v>-624.0540000000002</v>
      </c>
      <c r="CP143" s="213">
        <f>CP61-CO61+CP64-+CO64-CP59+CO59-IS!CP74+CO57-CP57</f>
        <v>194.42399999999975</v>
      </c>
      <c r="CQ143" s="213">
        <f>CQ61-CP61+CQ64-+CP64-CQ59+CP59-IS!CQ74+CP57-CQ57</f>
        <v>194.424000000001</v>
      </c>
      <c r="CR143" s="8"/>
      <c r="CS143" s="8"/>
      <c r="CZ143" s="8"/>
    </row>
    <row r="144" spans="1:104" ht="14.25" customHeight="1">
      <c r="A144" s="1"/>
      <c r="B144" s="214"/>
      <c r="C144" s="214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215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Z144" s="1"/>
    </row>
    <row r="145" spans="1:104" ht="14.25" customHeight="1">
      <c r="A145" s="1"/>
      <c r="B145" s="214"/>
      <c r="C145" s="214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215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Z145" s="1"/>
    </row>
    <row r="146" spans="1:104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215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Z146" s="1"/>
    </row>
    <row r="147" spans="1:104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215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Z147" s="1"/>
    </row>
    <row r="148" spans="1:104" ht="14.25" customHeight="1">
      <c r="AB148" s="418"/>
    </row>
    <row r="149" spans="1:104" ht="14.25" customHeight="1">
      <c r="AB149" s="418"/>
    </row>
    <row r="150" spans="1:104" ht="14.25" customHeight="1">
      <c r="AB150" s="418"/>
    </row>
    <row r="151" spans="1:104" ht="14.25" customHeight="1">
      <c r="AB151" s="418"/>
    </row>
    <row r="152" spans="1:104" ht="14.25" customHeight="1">
      <c r="AB152" s="418"/>
    </row>
    <row r="153" spans="1:104" ht="14.25" customHeight="1">
      <c r="AB153" s="418"/>
    </row>
    <row r="154" spans="1:104" ht="14.25" customHeight="1">
      <c r="AB154" s="418"/>
    </row>
    <row r="155" spans="1:104" ht="14.25" customHeight="1">
      <c r="AB155" s="418"/>
    </row>
    <row r="156" spans="1:104" ht="14.25" customHeight="1">
      <c r="AB156" s="418"/>
    </row>
    <row r="157" spans="1:104" ht="14.25" customHeight="1">
      <c r="AB157" s="418"/>
    </row>
    <row r="158" spans="1:104" ht="14.25" customHeight="1">
      <c r="AB158" s="418"/>
    </row>
    <row r="159" spans="1:104" ht="14.25" customHeight="1">
      <c r="AB159" s="418"/>
    </row>
    <row r="160" spans="1:104" ht="14.25" customHeight="1">
      <c r="AB160" s="418"/>
    </row>
    <row r="161" spans="28:28" ht="14.25" customHeight="1">
      <c r="AB161" s="418"/>
    </row>
    <row r="162" spans="28:28" ht="14.25" customHeight="1">
      <c r="AB162" s="418"/>
    </row>
    <row r="163" spans="28:28" ht="14.25" customHeight="1">
      <c r="AB163" s="418"/>
    </row>
  </sheetData>
  <phoneticPr fontId="23" type="noConversion"/>
  <pageMargins left="0" right="0" top="0" bottom="0" header="0" footer="0"/>
  <pageSetup paperSize="5" scale="29" orientation="landscape" r:id="rId1"/>
  <headerFooter alignWithMargins="0"/>
  <rowBreaks count="1" manualBreakCount="1">
    <brk id="41" max="16383" man="1"/>
  </rowBreaks>
  <colBreaks count="1" manualBreakCount="1">
    <brk id="73" max="1048575" man="1"/>
  </colBreaks>
  <ignoredErrors>
    <ignoredError sqref="CC22 CC20 CZ22:DH22 BL20 CZ20:DH20 AB61:AB63 AB66:AB71 AB55:AB56 BN20:BV20 BL22:BV22 BV28 AB128 AB74:AB76 AB89:AB90 AB138:AB139 AB106:AB112 AB120:AB121 AB98:AB9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"/>
  <sheetViews>
    <sheetView workbookViewId="0"/>
  </sheetViews>
  <sheetFormatPr defaultRowHeight="12.75"/>
  <sheetData>
    <row r="1" spans="1:38">
      <c r="A1" t="s">
        <v>275</v>
      </c>
    </row>
    <row r="2" spans="1:38">
      <c r="A2" s="311" t="s">
        <v>242</v>
      </c>
      <c r="B2" s="311" t="s">
        <v>245</v>
      </c>
      <c r="C2" s="311" t="s">
        <v>195</v>
      </c>
      <c r="D2" s="311" t="s">
        <v>196</v>
      </c>
      <c r="E2" s="311" t="s">
        <v>194</v>
      </c>
      <c r="F2" s="311" t="s">
        <v>196</v>
      </c>
      <c r="G2" s="311" t="s">
        <v>271</v>
      </c>
      <c r="H2" s="311" t="s">
        <v>196</v>
      </c>
      <c r="I2" s="311" t="s">
        <v>272</v>
      </c>
      <c r="J2" s="311" t="s">
        <v>196</v>
      </c>
      <c r="K2" s="311" t="s">
        <v>226</v>
      </c>
      <c r="L2" s="311" t="s">
        <v>75</v>
      </c>
      <c r="M2" s="311" t="s">
        <v>227</v>
      </c>
      <c r="N2" s="311" t="s">
        <v>229</v>
      </c>
      <c r="O2" s="311" t="s">
        <v>178</v>
      </c>
      <c r="P2" s="311" t="s">
        <v>191</v>
      </c>
      <c r="Q2" s="311" t="s">
        <v>193</v>
      </c>
      <c r="R2" s="311" t="s">
        <v>196</v>
      </c>
      <c r="S2" s="311" t="s">
        <v>215</v>
      </c>
      <c r="T2" s="311" t="s">
        <v>75</v>
      </c>
      <c r="U2" s="311" t="s">
        <v>244</v>
      </c>
      <c r="V2" s="311" t="s">
        <v>75</v>
      </c>
      <c r="W2" s="311" t="s">
        <v>228</v>
      </c>
      <c r="X2" s="311" t="s">
        <v>196</v>
      </c>
      <c r="Y2" s="311" t="s">
        <v>273</v>
      </c>
      <c r="Z2" s="311" t="s">
        <v>196</v>
      </c>
      <c r="AA2" s="311" t="s">
        <v>179</v>
      </c>
      <c r="AB2" s="311" t="s">
        <v>75</v>
      </c>
      <c r="AC2" s="311" t="s">
        <v>274</v>
      </c>
      <c r="AD2" s="311" t="s">
        <v>196</v>
      </c>
      <c r="AE2" s="311" t="s">
        <v>216</v>
      </c>
      <c r="AF2" s="311" t="s">
        <v>218</v>
      </c>
      <c r="AG2" s="311" t="s">
        <v>180</v>
      </c>
      <c r="AH2" s="311" t="s">
        <v>192</v>
      </c>
      <c r="AI2" s="311" t="s">
        <v>243</v>
      </c>
      <c r="AJ2" s="311" t="s">
        <v>491</v>
      </c>
      <c r="AK2" s="311" t="s">
        <v>217</v>
      </c>
      <c r="AL2" s="311" t="s">
        <v>219</v>
      </c>
    </row>
  </sheetData>
  <phoneticPr fontId="23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CS162"/>
  <sheetViews>
    <sheetView showGridLines="0" zoomScale="85" zoomScaleNormal="85" workbookViewId="0">
      <pane xSplit="3" ySplit="9" topLeftCell="AZ10" activePane="bottomRight" state="frozen"/>
      <selection activeCell="AW75" sqref="AW75"/>
      <selection pane="topRight" activeCell="AW75" sqref="AW75"/>
      <selection pane="bottomLeft" activeCell="AW75" sqref="AW75"/>
      <selection pane="bottomRight" activeCell="B3" sqref="B3"/>
    </sheetView>
  </sheetViews>
  <sheetFormatPr defaultRowHeight="14.25" customHeight="1" outlineLevelRow="1" outlineLevelCol="2"/>
  <cols>
    <col min="1" max="1" width="1.7109375" customWidth="1"/>
    <col min="2" max="2" width="56" customWidth="1"/>
    <col min="3" max="3" width="1.7109375" style="336" customWidth="1"/>
    <col min="4" max="35" width="11.42578125" hidden="1" customWidth="1" outlineLevel="1"/>
    <col min="36" max="36" width="10.28515625" hidden="1" customWidth="1" outlineLevel="1" collapsed="1"/>
    <col min="37" max="39" width="10.28515625" hidden="1" customWidth="1" outlineLevel="1"/>
    <col min="40" max="42" width="10.28515625" hidden="1" customWidth="1" outlineLevel="2"/>
    <col min="43" max="43" width="10.85546875" hidden="1" customWidth="1" outlineLevel="2"/>
    <col min="44" max="47" width="10.28515625" hidden="1" customWidth="1" outlineLevel="1"/>
    <col min="48" max="48" width="10.28515625" hidden="1" customWidth="1" outlineLevel="1" collapsed="1"/>
    <col min="49" max="51" width="10.28515625" hidden="1" customWidth="1" outlineLevel="1"/>
    <col min="52" max="52" width="10.28515625" customWidth="1" collapsed="1"/>
    <col min="53" max="53" width="10.28515625" customWidth="1"/>
    <col min="54" max="55" width="11.28515625" bestFit="1" customWidth="1"/>
    <col min="56" max="59" width="11.28515625" customWidth="1"/>
    <col min="60" max="63" width="11.28515625" customWidth="1" outlineLevel="1"/>
    <col min="64" max="64" width="1.85546875" customWidth="1"/>
    <col min="65" max="65" width="11.42578125" hidden="1" customWidth="1" outlineLevel="1"/>
    <col min="66" max="74" width="10.28515625" hidden="1" customWidth="1" outlineLevel="1"/>
    <col min="75" max="75" width="11.42578125" hidden="1" customWidth="1" outlineLevel="1"/>
    <col min="76" max="76" width="11.42578125" customWidth="1" collapsed="1"/>
    <col min="77" max="79" width="11.42578125" customWidth="1"/>
    <col min="80" max="80" width="11.42578125" customWidth="1" outlineLevel="1"/>
    <col min="81" max="81" width="1.85546875" customWidth="1"/>
    <col min="82" max="92" width="11.42578125" hidden="1" customWidth="1" outlineLevel="1"/>
    <col min="93" max="93" width="11.42578125" customWidth="1" collapsed="1"/>
    <col min="94" max="95" width="11.42578125" customWidth="1"/>
  </cols>
  <sheetData>
    <row r="1" spans="1:97" ht="67.5" customHeight="1">
      <c r="A1" s="1"/>
      <c r="B1" s="345"/>
      <c r="C1" s="5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2" t="str">
        <f>IF(SUM(BS)&lt;&gt;0,"BS BREAK","")</f>
        <v/>
      </c>
      <c r="AW1" s="1"/>
      <c r="AX1" s="2" t="str">
        <f>IF(SUM(BS)&lt;&gt;0,"BS BREAK","")</f>
        <v/>
      </c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" t="str">
        <f>IF(SUM(BS)&lt;&gt;0,"BS BREAK","")</f>
        <v/>
      </c>
      <c r="BM1" s="1"/>
      <c r="BN1" s="2"/>
      <c r="BO1" s="2"/>
      <c r="BP1" s="2"/>
      <c r="BQ1" s="2" t="str">
        <f>IF(SUM(BS)&lt;&gt;0,"BS BREAK","")</f>
        <v/>
      </c>
      <c r="BR1" s="2"/>
      <c r="BS1" s="2" t="str">
        <f>IF(SUM(BS)&lt;&gt;0,"BS BREAK","")</f>
        <v/>
      </c>
      <c r="BT1" s="2"/>
      <c r="BU1" s="2" t="str">
        <f>IF(SUM(BS)&lt;&gt;0,"BS BREAK","")</f>
        <v/>
      </c>
      <c r="BV1" s="2"/>
      <c r="BW1" s="1"/>
      <c r="BX1" s="1"/>
      <c r="BY1" s="2" t="str">
        <f>IF(SUM(BS)&lt;&gt;0,"BS BREAK","")</f>
        <v/>
      </c>
      <c r="BZ1" s="2"/>
      <c r="CA1" s="2" t="str">
        <f>IF(SUM(BS)&lt;&gt;0,"BS BREAK","")</f>
        <v/>
      </c>
      <c r="CB1" s="2"/>
      <c r="CC1" s="1"/>
      <c r="CD1" s="1"/>
      <c r="CE1" s="1"/>
      <c r="CF1" s="1"/>
      <c r="CG1" s="1"/>
      <c r="CH1" s="2" t="str">
        <f>IF(SUM(BS)&lt;&gt;0,"BS BREAK","")</f>
        <v/>
      </c>
      <c r="CI1" s="1"/>
      <c r="CJ1" s="2" t="str">
        <f>IF(SUM(BS)&lt;&gt;0,"BS BREAK","")</f>
        <v/>
      </c>
      <c r="CK1" s="1"/>
      <c r="CL1" s="2" t="str">
        <f>IF(SUM(BS)&lt;&gt;0,"BS BREAK","")</f>
        <v/>
      </c>
      <c r="CM1" s="2" t="str">
        <f>IF(SUM(BS)&lt;&gt;0,"BS BREAK","")</f>
        <v/>
      </c>
      <c r="CN1" s="2" t="str">
        <f>IF(SUM(BS)&lt;&gt;0,"BS BREAK","")</f>
        <v/>
      </c>
      <c r="CO1" s="2"/>
      <c r="CP1" s="2"/>
      <c r="CQ1" s="2"/>
      <c r="CR1" s="1"/>
      <c r="CS1" s="1"/>
    </row>
    <row r="2" spans="1:97" ht="18" customHeight="1">
      <c r="A2" s="1"/>
      <c r="B2" s="4" t="s">
        <v>246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</row>
    <row r="3" spans="1:97" ht="14.25" customHeight="1">
      <c r="A3" s="1"/>
      <c r="B3" s="1"/>
      <c r="C3" s="5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215"/>
      <c r="AZ3" s="215"/>
      <c r="BA3" s="215"/>
      <c r="BB3" s="215"/>
      <c r="BC3" s="215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871"/>
      <c r="BZ3" s="871"/>
      <c r="CA3" s="87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</row>
    <row r="4" spans="1:97" ht="1.5" customHeight="1">
      <c r="A4" s="1"/>
      <c r="B4" s="1"/>
      <c r="C4" s="5"/>
      <c r="D4" s="1"/>
      <c r="E4" s="1"/>
      <c r="F4" s="1"/>
      <c r="G4" s="216"/>
      <c r="H4" s="1"/>
      <c r="I4" s="1"/>
      <c r="J4" s="1"/>
      <c r="K4" s="216"/>
      <c r="L4" s="1"/>
      <c r="M4" s="1"/>
      <c r="N4" s="1"/>
      <c r="O4" s="216"/>
      <c r="P4" s="1"/>
      <c r="Q4" s="1"/>
      <c r="R4" s="1"/>
      <c r="S4" s="216"/>
      <c r="T4" s="1"/>
      <c r="U4" s="1"/>
      <c r="V4" s="1"/>
      <c r="W4" s="216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369"/>
      <c r="BA4" s="215"/>
      <c r="BB4" s="215"/>
      <c r="BC4" s="353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</row>
    <row r="5" spans="1:97" ht="14.25" hidden="1" customHeight="1">
      <c r="A5" s="1"/>
      <c r="B5" s="1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369"/>
      <c r="BA5" s="215"/>
      <c r="BB5" s="215"/>
      <c r="BC5" s="353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 ht="14.25" hidden="1" customHeight="1">
      <c r="A6" s="1"/>
      <c r="B6" s="7"/>
      <c r="C6" s="370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369"/>
      <c r="BA6" s="215"/>
      <c r="BB6" s="215"/>
      <c r="BC6" s="353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 ht="14.25" customHeight="1">
      <c r="A7" s="8"/>
      <c r="B7" s="9" t="s">
        <v>248</v>
      </c>
      <c r="C7" s="371"/>
      <c r="D7" s="17" t="str">
        <f>IS!D7</f>
        <v>C2Q05A</v>
      </c>
      <c r="E7" s="18" t="str">
        <f>IS!E7</f>
        <v>C3Q05A</v>
      </c>
      <c r="F7" s="18" t="str">
        <f>IS!F7</f>
        <v>C4Q05A</v>
      </c>
      <c r="G7" s="19" t="str">
        <f>IS!G7</f>
        <v>C1Q06A</v>
      </c>
      <c r="H7" s="17" t="str">
        <f>IS!H7</f>
        <v>C2Q06A</v>
      </c>
      <c r="I7" s="18" t="str">
        <f>IS!I7</f>
        <v>C3Q06A</v>
      </c>
      <c r="J7" s="18" t="str">
        <f>IS!J7</f>
        <v>C4Q06A</v>
      </c>
      <c r="K7" s="19" t="str">
        <f>IS!K7</f>
        <v>C1Q07A</v>
      </c>
      <c r="L7" s="17" t="str">
        <f>IS!L7</f>
        <v>C2Q07A</v>
      </c>
      <c r="M7" s="18" t="str">
        <f>IS!M7</f>
        <v>C3Q07A</v>
      </c>
      <c r="N7" s="18" t="str">
        <f>IS!N7</f>
        <v>C4Q07A</v>
      </c>
      <c r="O7" s="19" t="str">
        <f>IS!O7</f>
        <v>C1Q08A</v>
      </c>
      <c r="P7" s="17" t="str">
        <f>IS!P7</f>
        <v>C2Q08A</v>
      </c>
      <c r="Q7" s="18" t="str">
        <f>IS!Q7</f>
        <v>C3Q08A</v>
      </c>
      <c r="R7" s="18" t="str">
        <f>IS!R7</f>
        <v>C4Q08A</v>
      </c>
      <c r="S7" s="19" t="str">
        <f>IS!S7</f>
        <v>C1Q09A</v>
      </c>
      <c r="T7" s="17" t="str">
        <f>IS!T7</f>
        <v>C2Q09A</v>
      </c>
      <c r="U7" s="18" t="str">
        <f>IS!U7</f>
        <v>C3Q09A</v>
      </c>
      <c r="V7" s="18" t="str">
        <f>IS!V7</f>
        <v>C4Q09A</v>
      </c>
      <c r="W7" s="19" t="str">
        <f>IS!W7</f>
        <v>C1Q10A</v>
      </c>
      <c r="X7" s="17" t="str">
        <f>IS!X7</f>
        <v>C2Q10A</v>
      </c>
      <c r="Y7" s="18" t="str">
        <f>IS!Y7</f>
        <v>C3Q10A</v>
      </c>
      <c r="Z7" s="18" t="str">
        <f>IS!Z7</f>
        <v>C4Q10A</v>
      </c>
      <c r="AA7" s="19" t="str">
        <f>IS!AA7</f>
        <v>C1Q11A</v>
      </c>
      <c r="AB7" s="17" t="str">
        <f>IS!AB7</f>
        <v>C2Q11A</v>
      </c>
      <c r="AC7" s="18" t="str">
        <f>IS!AC7</f>
        <v>C3Q11A</v>
      </c>
      <c r="AD7" s="18" t="str">
        <f>IS!AD7</f>
        <v>C4Q11A</v>
      </c>
      <c r="AE7" s="19" t="str">
        <f>IS!AE7</f>
        <v>C1Q12A</v>
      </c>
      <c r="AF7" s="17" t="str">
        <f>IS!AF7</f>
        <v>C2Q12A</v>
      </c>
      <c r="AG7" s="18" t="str">
        <f>IS!AG7</f>
        <v>C3Q12A</v>
      </c>
      <c r="AH7" s="18" t="str">
        <f>IS!AH7</f>
        <v>C4Q12A</v>
      </c>
      <c r="AI7" s="19" t="str">
        <f>IS!AI7</f>
        <v>C1Q13A</v>
      </c>
      <c r="AJ7" s="17" t="str">
        <f>IS!AJ7</f>
        <v>C2Q13A</v>
      </c>
      <c r="AK7" s="18" t="str">
        <f>IS!AK7</f>
        <v>C3Q13A</v>
      </c>
      <c r="AL7" s="18" t="str">
        <f>IS!AL7</f>
        <v>C4Q13A</v>
      </c>
      <c r="AM7" s="19" t="str">
        <f>IS!AM7</f>
        <v>C1Q14A</v>
      </c>
      <c r="AN7" s="17" t="str">
        <f>IS!AN7</f>
        <v>C2Q14A</v>
      </c>
      <c r="AO7" s="18" t="str">
        <f>IS!AO7</f>
        <v>C3Q14A</v>
      </c>
      <c r="AP7" s="18" t="str">
        <f>IS!AP7</f>
        <v>C4Q14A</v>
      </c>
      <c r="AQ7" s="19" t="str">
        <f>IS!AQ7</f>
        <v>C1Q15A</v>
      </c>
      <c r="AR7" s="17" t="str">
        <f>IS!AR7</f>
        <v>C2Q15A</v>
      </c>
      <c r="AS7" s="18" t="str">
        <f>IS!AS7</f>
        <v>C3Q15A</v>
      </c>
      <c r="AT7" s="18" t="str">
        <f>IS!AT7</f>
        <v>C4Q15A</v>
      </c>
      <c r="AU7" s="19" t="str">
        <f>IS!AU7</f>
        <v>C1Q16A</v>
      </c>
      <c r="AV7" s="17" t="str">
        <f>IS!AV7</f>
        <v>C2Q16A</v>
      </c>
      <c r="AW7" s="18" t="str">
        <f>IS!AW7</f>
        <v>C3Q16A</v>
      </c>
      <c r="AX7" s="18" t="str">
        <f>IS!AX7</f>
        <v>C4Q16A</v>
      </c>
      <c r="AY7" s="18" t="str">
        <f>IS!AY7</f>
        <v>C1Q17A</v>
      </c>
      <c r="AZ7" s="17" t="str">
        <f>IS!AZ7</f>
        <v>C2Q17A</v>
      </c>
      <c r="BA7" s="18" t="str">
        <f>IS!BA7</f>
        <v>C3Q17A</v>
      </c>
      <c r="BB7" s="18" t="str">
        <f>IS!BB7</f>
        <v>C4Q17A</v>
      </c>
      <c r="BC7" s="19" t="str">
        <f>IS!BC7</f>
        <v>C1Q18A</v>
      </c>
      <c r="BD7" s="757" t="str">
        <f>IS!BD7</f>
        <v>C2Q18E</v>
      </c>
      <c r="BE7" s="757" t="str">
        <f>IS!BE7</f>
        <v>C3Q18E</v>
      </c>
      <c r="BF7" s="757" t="str">
        <f>IS!BF7</f>
        <v>C4Q18E</v>
      </c>
      <c r="BG7" s="756" t="str">
        <f>IS!BG7</f>
        <v>C1Q19E</v>
      </c>
      <c r="BH7" s="757" t="str">
        <f>IS!BH7</f>
        <v>C2Q19E</v>
      </c>
      <c r="BI7" s="757" t="str">
        <f>IS!BI7</f>
        <v>C3Q19E</v>
      </c>
      <c r="BJ7" s="757" t="str">
        <f>IS!BJ7</f>
        <v>C4Q19E</v>
      </c>
      <c r="BK7" s="756" t="str">
        <f>IS!BK7</f>
        <v>C1Q20E</v>
      </c>
      <c r="BL7" s="369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733"/>
      <c r="BZ7" s="733"/>
      <c r="CA7" s="733"/>
      <c r="CB7" s="1"/>
      <c r="CC7" s="353"/>
      <c r="CD7" s="511" t="str">
        <f>IS!CD7</f>
        <v>CY2006</v>
      </c>
      <c r="CE7" s="511" t="str">
        <f>IS!CE7</f>
        <v>CY2007</v>
      </c>
      <c r="CF7" s="511" t="str">
        <f>IS!CF7</f>
        <v>CY2008</v>
      </c>
      <c r="CG7" s="511" t="str">
        <f>IS!CG7</f>
        <v>CY2009</v>
      </c>
      <c r="CH7" s="511" t="str">
        <f>IS!CH7</f>
        <v>CY2010</v>
      </c>
      <c r="CI7" s="18" t="str">
        <f>IS!CI7</f>
        <v>CY2011</v>
      </c>
      <c r="CJ7" s="511" t="str">
        <f>IS!CJ7</f>
        <v>CY2012</v>
      </c>
      <c r="CK7" s="18" t="str">
        <f>IS!CK7</f>
        <v>CY2013</v>
      </c>
      <c r="CL7" s="18" t="str">
        <f>IS!CL7</f>
        <v>CY2014</v>
      </c>
      <c r="CM7" s="18" t="str">
        <f>IS!CM7</f>
        <v>CY2015</v>
      </c>
      <c r="CN7" s="18" t="str">
        <f>IS!CN7</f>
        <v>CY2016</v>
      </c>
      <c r="CO7" s="18" t="str">
        <f>IS!CO7</f>
        <v>CY2017</v>
      </c>
      <c r="CP7" s="18" t="str">
        <f>IS!CP7</f>
        <v>CY2018</v>
      </c>
      <c r="CQ7" s="18" t="str">
        <f>IS!CQ7</f>
        <v>CY2019</v>
      </c>
      <c r="CR7" s="369"/>
      <c r="CS7" s="1"/>
    </row>
    <row r="8" spans="1:97" ht="14.25" customHeight="1">
      <c r="A8" s="8"/>
      <c r="B8" s="12" t="s">
        <v>252</v>
      </c>
      <c r="C8" s="372"/>
      <c r="D8" s="503">
        <f>BS!D8</f>
        <v>38533</v>
      </c>
      <c r="E8" s="504">
        <f>BS!E8</f>
        <v>38625</v>
      </c>
      <c r="F8" s="504">
        <f>BS!F8</f>
        <v>38717</v>
      </c>
      <c r="G8" s="505">
        <f>BS!G8</f>
        <v>38807</v>
      </c>
      <c r="H8" s="503">
        <f>BS!H8</f>
        <v>38898</v>
      </c>
      <c r="I8" s="504">
        <f>BS!I8</f>
        <v>38990</v>
      </c>
      <c r="J8" s="504">
        <f>BS!J8</f>
        <v>39082</v>
      </c>
      <c r="K8" s="505">
        <f>BS!K8</f>
        <v>39172</v>
      </c>
      <c r="L8" s="503">
        <f>BS!L8</f>
        <v>39263</v>
      </c>
      <c r="M8" s="504">
        <f>BS!M8</f>
        <v>39355</v>
      </c>
      <c r="N8" s="504">
        <f>BS!N8</f>
        <v>39447</v>
      </c>
      <c r="O8" s="505">
        <f>BS!O8</f>
        <v>39538</v>
      </c>
      <c r="P8" s="503">
        <f>BS!P8</f>
        <v>39629</v>
      </c>
      <c r="Q8" s="504">
        <f>BS!Q8</f>
        <v>39721</v>
      </c>
      <c r="R8" s="504">
        <f>BS!R8</f>
        <v>39813</v>
      </c>
      <c r="S8" s="505">
        <f>BS!S8</f>
        <v>39903</v>
      </c>
      <c r="T8" s="503">
        <f>BS!T8</f>
        <v>39994</v>
      </c>
      <c r="U8" s="504">
        <f>BS!U8</f>
        <v>40086</v>
      </c>
      <c r="V8" s="504">
        <f>BS!V8</f>
        <v>40178</v>
      </c>
      <c r="W8" s="505">
        <f>BS!W8</f>
        <v>40268</v>
      </c>
      <c r="X8" s="503">
        <f>BS!X8</f>
        <v>40359</v>
      </c>
      <c r="Y8" s="504">
        <f>BS!Y8</f>
        <v>40451</v>
      </c>
      <c r="Z8" s="504">
        <f>BS!Z8</f>
        <v>40543</v>
      </c>
      <c r="AA8" s="505">
        <f>BS!AA8</f>
        <v>40633</v>
      </c>
      <c r="AB8" s="503">
        <f>BS!AB8</f>
        <v>40724</v>
      </c>
      <c r="AC8" s="504">
        <f>BS!AC8</f>
        <v>40816</v>
      </c>
      <c r="AD8" s="504">
        <f>BS!AD8</f>
        <v>40908</v>
      </c>
      <c r="AE8" s="505">
        <f>BS!AE8</f>
        <v>40999</v>
      </c>
      <c r="AF8" s="503">
        <f>BS!AF8</f>
        <v>41090</v>
      </c>
      <c r="AG8" s="504">
        <f>BS!AG8</f>
        <v>41182</v>
      </c>
      <c r="AH8" s="504">
        <f>BS!AH8</f>
        <v>41274</v>
      </c>
      <c r="AI8" s="505">
        <f>BS!AI8</f>
        <v>41364</v>
      </c>
      <c r="AJ8" s="503">
        <f>BS!AJ8</f>
        <v>41455</v>
      </c>
      <c r="AK8" s="504">
        <f>BS!AK8</f>
        <v>41547</v>
      </c>
      <c r="AL8" s="504">
        <f>BS!AL8</f>
        <v>41639</v>
      </c>
      <c r="AM8" s="505">
        <f>BS!AM8</f>
        <v>41729</v>
      </c>
      <c r="AN8" s="503">
        <f>BS!AN8</f>
        <v>41820</v>
      </c>
      <c r="AO8" s="504">
        <f>BS!AO8</f>
        <v>41912</v>
      </c>
      <c r="AP8" s="504">
        <f>BS!AP8</f>
        <v>42004</v>
      </c>
      <c r="AQ8" s="505">
        <f>BS!AQ8</f>
        <v>42094</v>
      </c>
      <c r="AR8" s="503">
        <f>BS!AR8</f>
        <v>42185</v>
      </c>
      <c r="AS8" s="504">
        <f>BS!AS8</f>
        <v>42277</v>
      </c>
      <c r="AT8" s="504">
        <f>BS!AT8</f>
        <v>42369</v>
      </c>
      <c r="AU8" s="505">
        <f>BS!AU8</f>
        <v>42460</v>
      </c>
      <c r="AV8" s="503">
        <f>BS!AV8</f>
        <v>42551</v>
      </c>
      <c r="AW8" s="504">
        <f>BS!AW8</f>
        <v>42643</v>
      </c>
      <c r="AX8" s="504">
        <f>BS!AX8</f>
        <v>42735</v>
      </c>
      <c r="AY8" s="504">
        <f>BS!AY8</f>
        <v>42825</v>
      </c>
      <c r="AZ8" s="503">
        <f>BS!AZ8</f>
        <v>42916</v>
      </c>
      <c r="BA8" s="504">
        <f>BS!BA8</f>
        <v>43008</v>
      </c>
      <c r="BB8" s="504">
        <f>BS!BB8</f>
        <v>43100</v>
      </c>
      <c r="BC8" s="505">
        <f>BS!BC8</f>
        <v>43190</v>
      </c>
      <c r="BD8" s="759">
        <f>BS!BD8</f>
        <v>43281</v>
      </c>
      <c r="BE8" s="759">
        <f>BS!BE8</f>
        <v>43373</v>
      </c>
      <c r="BF8" s="759">
        <f>BS!BF8</f>
        <v>43465</v>
      </c>
      <c r="BG8" s="758">
        <f>BS!BG8</f>
        <v>43555</v>
      </c>
      <c r="BH8" s="759">
        <f>BS!BH8</f>
        <v>43646</v>
      </c>
      <c r="BI8" s="759">
        <f>BS!BI8</f>
        <v>43738</v>
      </c>
      <c r="BJ8" s="759">
        <f>BS!BJ8</f>
        <v>43830</v>
      </c>
      <c r="BK8" s="758">
        <f>BS!BK8</f>
        <v>43921</v>
      </c>
      <c r="BL8" s="22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269"/>
      <c r="CD8" s="910">
        <f>IS!CD8</f>
        <v>39082</v>
      </c>
      <c r="CE8" s="910">
        <f>IS!CE8</f>
        <v>39447</v>
      </c>
      <c r="CF8" s="910">
        <f>IS!CF8</f>
        <v>39813</v>
      </c>
      <c r="CG8" s="910">
        <f>IS!CG8</f>
        <v>40178</v>
      </c>
      <c r="CH8" s="600">
        <f>IS!CH8</f>
        <v>40543</v>
      </c>
      <c r="CI8" s="910">
        <f>IS!CI8</f>
        <v>40908</v>
      </c>
      <c r="CJ8" s="910">
        <f>IS!CJ8</f>
        <v>41274</v>
      </c>
      <c r="CK8" s="910">
        <f>IS!CK8</f>
        <v>41639</v>
      </c>
      <c r="CL8" s="910">
        <f>IS!CL8</f>
        <v>42004</v>
      </c>
      <c r="CM8" s="910">
        <f>IS!CM8</f>
        <v>42369</v>
      </c>
      <c r="CN8" s="910">
        <f>IS!CN8</f>
        <v>42735</v>
      </c>
      <c r="CO8" s="910">
        <f>IS!CO8</f>
        <v>43100</v>
      </c>
      <c r="CP8" s="910">
        <f>IS!CP8</f>
        <v>43465</v>
      </c>
      <c r="CQ8" s="910">
        <f>IS!CQ8</f>
        <v>43830</v>
      </c>
      <c r="CR8" s="23"/>
      <c r="CS8" s="11"/>
    </row>
    <row r="9" spans="1:97" ht="14.25" customHeight="1">
      <c r="A9" s="8"/>
      <c r="B9" s="12"/>
      <c r="C9" s="373"/>
      <c r="D9" s="17" t="str">
        <f>BS!D9</f>
        <v>F1Q06A</v>
      </c>
      <c r="E9" s="18" t="str">
        <f>BS!E9</f>
        <v>F2Q06A</v>
      </c>
      <c r="F9" s="18" t="str">
        <f>BS!F9</f>
        <v>F3Q06A</v>
      </c>
      <c r="G9" s="19" t="str">
        <f>BS!G9</f>
        <v>F4Q06A</v>
      </c>
      <c r="H9" s="17" t="str">
        <f>BS!H9</f>
        <v>F1Q07A</v>
      </c>
      <c r="I9" s="18" t="str">
        <f>BS!I9</f>
        <v>F2Q07A</v>
      </c>
      <c r="J9" s="18" t="str">
        <f>BS!J9</f>
        <v>F3Q07A</v>
      </c>
      <c r="K9" s="19" t="str">
        <f>BS!K9</f>
        <v>F4Q07A</v>
      </c>
      <c r="L9" s="17" t="str">
        <f>BS!L9</f>
        <v>F1Q08A</v>
      </c>
      <c r="M9" s="18" t="str">
        <f>BS!M9</f>
        <v>F2Q08A</v>
      </c>
      <c r="N9" s="18" t="str">
        <f>BS!N9</f>
        <v>F3Q08A</v>
      </c>
      <c r="O9" s="19" t="str">
        <f>BS!O9</f>
        <v>F4Q08A</v>
      </c>
      <c r="P9" s="17" t="str">
        <f>BS!P9</f>
        <v>F1Q09A</v>
      </c>
      <c r="Q9" s="18" t="str">
        <f>BS!Q9</f>
        <v>F2Q09A</v>
      </c>
      <c r="R9" s="18" t="str">
        <f>BS!R9</f>
        <v>F3Q09A</v>
      </c>
      <c r="S9" s="19" t="str">
        <f>BS!S9</f>
        <v>F4Q09A</v>
      </c>
      <c r="T9" s="17" t="str">
        <f>BS!T9</f>
        <v>F1Q10A</v>
      </c>
      <c r="U9" s="18" t="str">
        <f>BS!U9</f>
        <v>F2Q10A</v>
      </c>
      <c r="V9" s="18" t="str">
        <f>BS!V9</f>
        <v>F3Q10A</v>
      </c>
      <c r="W9" s="19" t="str">
        <f>BS!W9</f>
        <v>F4Q10A</v>
      </c>
      <c r="X9" s="17" t="str">
        <f>BS!X9</f>
        <v>F1Q11A</v>
      </c>
      <c r="Y9" s="18" t="str">
        <f>BS!Y9</f>
        <v>F2Q11A</v>
      </c>
      <c r="Z9" s="18" t="str">
        <f>BS!Z9</f>
        <v>F3Q11A</v>
      </c>
      <c r="AA9" s="19" t="str">
        <f>BS!AA9</f>
        <v>F4Q11A</v>
      </c>
      <c r="AB9" s="17" t="str">
        <f>BS!AB9</f>
        <v>F1Q12A</v>
      </c>
      <c r="AC9" s="18" t="str">
        <f>BS!AC9</f>
        <v>F2Q12A</v>
      </c>
      <c r="AD9" s="18" t="str">
        <f>BS!AD9</f>
        <v>F3Q12A</v>
      </c>
      <c r="AE9" s="19" t="str">
        <f>BS!AE9</f>
        <v>F4Q12A</v>
      </c>
      <c r="AF9" s="17" t="str">
        <f>BS!AF9</f>
        <v>F1Q13A</v>
      </c>
      <c r="AG9" s="18" t="str">
        <f>BS!AG9</f>
        <v>F2Q13A</v>
      </c>
      <c r="AH9" s="18" t="str">
        <f>BS!AH9</f>
        <v>F3Q13A</v>
      </c>
      <c r="AI9" s="19" t="str">
        <f>BS!AI9</f>
        <v>F4Q13A</v>
      </c>
      <c r="AJ9" s="17" t="str">
        <f>BS!AJ9</f>
        <v>F1Q14A</v>
      </c>
      <c r="AK9" s="18" t="str">
        <f>BS!AK9</f>
        <v>F2Q14A</v>
      </c>
      <c r="AL9" s="18" t="str">
        <f>BS!AL9</f>
        <v>F3Q14A</v>
      </c>
      <c r="AM9" s="19" t="str">
        <f>BS!AM9</f>
        <v>F4Q14A</v>
      </c>
      <c r="AN9" s="17" t="str">
        <f>BS!AN9</f>
        <v>F1Q15A</v>
      </c>
      <c r="AO9" s="18" t="str">
        <f>BS!AO9</f>
        <v>F2Q15A</v>
      </c>
      <c r="AP9" s="18" t="str">
        <f>BS!AP9</f>
        <v>F3Q15A</v>
      </c>
      <c r="AQ9" s="19" t="str">
        <f>BS!AQ9</f>
        <v>F4Q15A</v>
      </c>
      <c r="AR9" s="17" t="str">
        <f>BS!AR9</f>
        <v>F1Q16A</v>
      </c>
      <c r="AS9" s="18" t="str">
        <f>BS!AS9</f>
        <v>F2Q16A</v>
      </c>
      <c r="AT9" s="18" t="str">
        <f>BS!AT9</f>
        <v>F3Q16A</v>
      </c>
      <c r="AU9" s="19" t="str">
        <f>BS!AU9</f>
        <v>F4Q16A</v>
      </c>
      <c r="AV9" s="17" t="str">
        <f>BS!AV9</f>
        <v>F1Q17A</v>
      </c>
      <c r="AW9" s="18" t="str">
        <f>BS!AW9</f>
        <v>F2Q17A</v>
      </c>
      <c r="AX9" s="18" t="str">
        <f>BS!AX9</f>
        <v>F3Q17A</v>
      </c>
      <c r="AY9" s="18" t="str">
        <f>BS!AY9</f>
        <v>F4Q17A</v>
      </c>
      <c r="AZ9" s="17" t="str">
        <f>BS!AZ9</f>
        <v>F1Q18A</v>
      </c>
      <c r="BA9" s="18" t="str">
        <f>BS!BA9</f>
        <v>F2Q18A</v>
      </c>
      <c r="BB9" s="18" t="str">
        <f>BS!BB9</f>
        <v>F3Q18A</v>
      </c>
      <c r="BC9" s="19" t="str">
        <f>BS!BC9</f>
        <v>F4Q18A</v>
      </c>
      <c r="BD9" s="757" t="str">
        <f>BS!BD9</f>
        <v>F1Q19E</v>
      </c>
      <c r="BE9" s="757" t="str">
        <f>BS!BE9</f>
        <v>F2Q19E</v>
      </c>
      <c r="BF9" s="757" t="str">
        <f>BS!BF9</f>
        <v>F3Q19E</v>
      </c>
      <c r="BG9" s="756" t="str">
        <f>BS!BG9</f>
        <v>F4Q19E</v>
      </c>
      <c r="BH9" s="757" t="str">
        <f>BS!BH9</f>
        <v>F1Q20E</v>
      </c>
      <c r="BI9" s="757" t="str">
        <f>BS!BI9</f>
        <v>F2Q20E</v>
      </c>
      <c r="BJ9" s="757" t="str">
        <f>BS!BJ9</f>
        <v>F3Q20E</v>
      </c>
      <c r="BK9" s="756" t="str">
        <f>BS!BK9</f>
        <v>F4Q20E</v>
      </c>
      <c r="BL9" s="20"/>
      <c r="BM9" s="17" t="str">
        <f>BS!BM9</f>
        <v>FY2006A</v>
      </c>
      <c r="BN9" s="511" t="str">
        <f>BS!BN9</f>
        <v>FY2007A</v>
      </c>
      <c r="BO9" s="511" t="str">
        <f>BS!BO9</f>
        <v>FY2008A</v>
      </c>
      <c r="BP9" s="511" t="str">
        <f>BS!BP9</f>
        <v>FY2009A</v>
      </c>
      <c r="BQ9" s="511" t="str">
        <f>BS!BQ9</f>
        <v>FY2010A</v>
      </c>
      <c r="BR9" s="511" t="str">
        <f>BS!BR9</f>
        <v>FY2011A</v>
      </c>
      <c r="BS9" s="511" t="str">
        <f>BS!BS9</f>
        <v>FY2012A</v>
      </c>
      <c r="BT9" s="511" t="str">
        <f>BS!BT9</f>
        <v>FY2013A</v>
      </c>
      <c r="BU9" s="511" t="str">
        <f>BS!BU9</f>
        <v>FY2014</v>
      </c>
      <c r="BV9" s="511" t="str">
        <f>BS!BV9</f>
        <v>FY2015</v>
      </c>
      <c r="BW9" s="511" t="str">
        <f>BS!BW9</f>
        <v>FY2016</v>
      </c>
      <c r="BX9" s="511" t="str">
        <f>BS!BX9</f>
        <v>FY2017</v>
      </c>
      <c r="BY9" s="817" t="str">
        <f>BS!BY9</f>
        <v>FY2018A</v>
      </c>
      <c r="BZ9" s="817" t="str">
        <f>BS!BZ9</f>
        <v>FY2019E</v>
      </c>
      <c r="CA9" s="817" t="str">
        <f>BS!CA9</f>
        <v>FY2020E</v>
      </c>
      <c r="CB9" s="818" t="str">
        <f>BS!CB9</f>
        <v>FY2021E</v>
      </c>
      <c r="CC9" s="20"/>
      <c r="CD9" s="513"/>
      <c r="CE9" s="513"/>
      <c r="CF9" s="513"/>
      <c r="CG9" s="513"/>
      <c r="CH9" s="906"/>
      <c r="CI9" s="513"/>
      <c r="CJ9" s="513"/>
      <c r="CK9" s="513"/>
      <c r="CL9" s="513"/>
      <c r="CM9" s="513"/>
      <c r="CN9" s="513"/>
      <c r="CO9" s="513"/>
      <c r="CP9" s="513"/>
      <c r="CQ9" s="513"/>
      <c r="CR9" s="22"/>
      <c r="CS9" s="8"/>
    </row>
    <row r="10" spans="1:97" ht="14.25" customHeight="1">
      <c r="A10" s="8"/>
      <c r="B10" s="217" t="str">
        <f t="shared" ref="B10:B30" si="0">B92</f>
        <v>Cash flows provided by (used for) operating activities:</v>
      </c>
      <c r="C10" s="51"/>
      <c r="D10" s="220"/>
      <c r="E10" s="218"/>
      <c r="F10" s="218"/>
      <c r="G10" s="219"/>
      <c r="H10" s="220"/>
      <c r="I10" s="218"/>
      <c r="J10" s="218"/>
      <c r="K10" s="219"/>
      <c r="L10" s="220"/>
      <c r="M10" s="218"/>
      <c r="N10" s="218"/>
      <c r="O10" s="219"/>
      <c r="P10" s="220"/>
      <c r="Q10" s="218"/>
      <c r="R10" s="218"/>
      <c r="S10" s="219"/>
      <c r="T10" s="220"/>
      <c r="U10" s="218"/>
      <c r="V10" s="218"/>
      <c r="W10" s="219"/>
      <c r="X10" s="220"/>
      <c r="Y10" s="218"/>
      <c r="Z10" s="218"/>
      <c r="AA10" s="218"/>
      <c r="AB10" s="220"/>
      <c r="AC10" s="218"/>
      <c r="AD10" s="218"/>
      <c r="AE10" s="218"/>
      <c r="AF10" s="220"/>
      <c r="AG10" s="218"/>
      <c r="AH10" s="218"/>
      <c r="AI10" s="219"/>
      <c r="AJ10" s="220"/>
      <c r="AK10" s="218"/>
      <c r="AL10" s="218"/>
      <c r="AM10" s="219"/>
      <c r="AN10" s="220"/>
      <c r="AO10" s="218"/>
      <c r="AP10" s="218"/>
      <c r="AQ10" s="219"/>
      <c r="AR10" s="220"/>
      <c r="AS10" s="218"/>
      <c r="AT10" s="218"/>
      <c r="AU10" s="219"/>
      <c r="AV10" s="218"/>
      <c r="AW10" s="218"/>
      <c r="AX10" s="218"/>
      <c r="AY10" s="221"/>
      <c r="AZ10" s="220"/>
      <c r="BA10" s="218"/>
      <c r="BB10" s="218"/>
      <c r="BC10" s="219"/>
      <c r="BD10" s="218"/>
      <c r="BE10" s="218"/>
      <c r="BF10" s="218"/>
      <c r="BG10" s="222"/>
      <c r="BH10" s="218"/>
      <c r="BI10" s="218"/>
      <c r="BJ10" s="218"/>
      <c r="BK10" s="218"/>
      <c r="BL10" s="20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18"/>
      <c r="BZ10" s="218"/>
      <c r="CA10" s="218"/>
      <c r="CB10" s="1026"/>
      <c r="CC10" s="20"/>
      <c r="CD10" s="218"/>
      <c r="CE10" s="218"/>
      <c r="CF10" s="218"/>
      <c r="CG10" s="218"/>
      <c r="CH10" s="218"/>
      <c r="CI10" s="218"/>
      <c r="CJ10" s="218"/>
      <c r="CK10" s="218"/>
      <c r="CL10" s="218"/>
      <c r="CM10" s="218"/>
      <c r="CN10" s="218"/>
      <c r="CO10" s="218"/>
      <c r="CP10" s="218"/>
      <c r="CQ10" s="218"/>
      <c r="CR10" s="22"/>
      <c r="CS10" s="14"/>
    </row>
    <row r="11" spans="1:97" ht="14.25" customHeight="1">
      <c r="A11" s="8"/>
      <c r="B11" s="23" t="str">
        <f t="shared" si="0"/>
        <v>Net income</v>
      </c>
      <c r="C11" s="24"/>
      <c r="D11" s="109">
        <f>IS!D81</f>
        <v>76.841000000000051</v>
      </c>
      <c r="E11" s="110">
        <f>IS!E81</f>
        <v>85.597999999999985</v>
      </c>
      <c r="F11" s="110">
        <f>IS!F81</f>
        <v>80.969000000000023</v>
      </c>
      <c r="G11" s="111">
        <f>IS!G81</f>
        <v>110.74100000000001</v>
      </c>
      <c r="H11" s="109">
        <f>IS!H81</f>
        <v>82.490999999999985</v>
      </c>
      <c r="I11" s="110">
        <f>IS!I81</f>
        <v>93.046000000000006</v>
      </c>
      <c r="J11" s="110">
        <f>IS!J81</f>
        <v>87.509000000000043</v>
      </c>
      <c r="K11" s="111">
        <f>IS!K81</f>
        <v>87.626000000000005</v>
      </c>
      <c r="L11" s="109">
        <f>IS!L81</f>
        <v>84.277999999999963</v>
      </c>
      <c r="M11" s="110">
        <f>IS!M81</f>
        <v>89.698000000000008</v>
      </c>
      <c r="N11" s="110">
        <f>IS!N81</f>
        <v>103.592</v>
      </c>
      <c r="O11" s="111">
        <f>IS!O81</f>
        <v>91.747000000000014</v>
      </c>
      <c r="P11" s="109">
        <f>IS!P81</f>
        <v>83.177999999999997</v>
      </c>
      <c r="Q11" s="110">
        <f>IS!Q81</f>
        <v>81.059999999999974</v>
      </c>
      <c r="R11" s="110">
        <f>IS!R81</f>
        <v>119.44400000000005</v>
      </c>
      <c r="S11" s="111">
        <f>IS!S81</f>
        <v>78.03700000000002</v>
      </c>
      <c r="T11" s="109">
        <f>IS!T81</f>
        <v>38.006000000000014</v>
      </c>
      <c r="U11" s="110">
        <f>IS!U81</f>
        <v>64.038000000000039</v>
      </c>
      <c r="V11" s="110">
        <f>IS!V81</f>
        <v>106.90800000000004</v>
      </c>
      <c r="W11" s="111">
        <f>IS!W81</f>
        <v>148.53199999999993</v>
      </c>
      <c r="X11" s="109">
        <f>IS!X81</f>
        <v>158.58699999999999</v>
      </c>
      <c r="Y11" s="110">
        <f>IS!Y81</f>
        <v>170.89500000000004</v>
      </c>
      <c r="Z11" s="110">
        <f>IS!Z81</f>
        <v>152.34100000000007</v>
      </c>
      <c r="AA11" s="111">
        <f>IS!AA81</f>
        <v>160.05199999999999</v>
      </c>
      <c r="AB11" s="109">
        <f>IS!AB81</f>
        <v>154.37399999999997</v>
      </c>
      <c r="AC11" s="110">
        <f>IS!AC81</f>
        <v>126.28599999999999</v>
      </c>
      <c r="AD11" s="110">
        <f>IS!AD81</f>
        <v>127.01399999999998</v>
      </c>
      <c r="AE11" s="111">
        <f>IS!AE81</f>
        <v>122.40499999999997</v>
      </c>
      <c r="AF11" s="109">
        <f>IS!AF81</f>
        <v>129.83099999999999</v>
      </c>
      <c r="AG11" s="110">
        <f>IS!AG81</f>
        <v>123.43700000000003</v>
      </c>
      <c r="AH11" s="110">
        <f>IS!AH81</f>
        <v>103.64800000000001</v>
      </c>
      <c r="AI11" s="111">
        <f>IS!AI81</f>
        <v>130.62</v>
      </c>
      <c r="AJ11" s="109">
        <f>IS!AJ81</f>
        <v>157.02300000000005</v>
      </c>
      <c r="AK11" s="110">
        <f>IS!AK81</f>
        <v>141.46099999999998</v>
      </c>
      <c r="AL11" s="110">
        <f>IS!AL81</f>
        <v>175.87699999999998</v>
      </c>
      <c r="AM11" s="111">
        <f>IS!AM81</f>
        <v>156.02699999999999</v>
      </c>
      <c r="AN11" s="109">
        <f>IS!AN81</f>
        <v>173.61100000000005</v>
      </c>
      <c r="AO11" s="110">
        <f>IS!AO81</f>
        <v>171.51599999999999</v>
      </c>
      <c r="AP11" s="110">
        <f>IS!AP81</f>
        <v>168.46599999999992</v>
      </c>
      <c r="AQ11" s="111">
        <f>IS!AQ81</f>
        <v>134.62299999999999</v>
      </c>
      <c r="AR11" s="109">
        <f>IS!AR81</f>
        <v>147.71500000000003</v>
      </c>
      <c r="AS11" s="110">
        <f>IS!AS81</f>
        <v>127.29800000000003</v>
      </c>
      <c r="AT11" s="110">
        <f>IS!AT81</f>
        <v>130.81900000000002</v>
      </c>
      <c r="AU11" s="111">
        <f>IS!AU81</f>
        <v>145.03500000000003</v>
      </c>
      <c r="AV11" s="109">
        <f>IS!AV81</f>
        <v>163.04899999999998</v>
      </c>
      <c r="AW11" s="110">
        <f>IS!AW81</f>
        <v>164.19199999999995</v>
      </c>
      <c r="AX11" s="110">
        <f>IS!AX81</f>
        <v>141.84599999999998</v>
      </c>
      <c r="AY11" s="110">
        <f>IS!AY81</f>
        <v>153.42499999999995</v>
      </c>
      <c r="AZ11" s="109">
        <f>IS!AZ81</f>
        <v>167.24499999999998</v>
      </c>
      <c r="BA11" s="110">
        <f>IS!BA81</f>
        <v>167.53200000000004</v>
      </c>
      <c r="BB11" s="110">
        <f>IS!BB81</f>
        <v>11.944999999999993</v>
      </c>
      <c r="BC11" s="111">
        <f>IS!BC81</f>
        <v>165.65899999999993</v>
      </c>
      <c r="BD11" s="110">
        <f>IS!BD81</f>
        <v>189.88476405095997</v>
      </c>
      <c r="BE11" s="110">
        <f>IS!BE81</f>
        <v>188.39255853261022</v>
      </c>
      <c r="BF11" s="110">
        <f>IS!BF81</f>
        <v>186.83188219621272</v>
      </c>
      <c r="BG11" s="111">
        <f>IS!BG81</f>
        <v>191.39653475412371</v>
      </c>
      <c r="BH11" s="110">
        <f>IS!BH81</f>
        <v>200.87392741201117</v>
      </c>
      <c r="BI11" s="110">
        <f>IS!BI81</f>
        <v>204.50182176319757</v>
      </c>
      <c r="BJ11" s="110">
        <f>IS!BJ81</f>
        <v>203.45711877346622</v>
      </c>
      <c r="BK11" s="111">
        <f>IS!BK81</f>
        <v>207.60504036043284</v>
      </c>
      <c r="BL11" s="20"/>
      <c r="BM11" s="110">
        <f>SUM(D11:G11)</f>
        <v>354.14900000000006</v>
      </c>
      <c r="BN11" s="110">
        <f>SUM(H11:K11)</f>
        <v>350.67200000000003</v>
      </c>
      <c r="BO11" s="110">
        <f>SUM(L11:O11)</f>
        <v>369.315</v>
      </c>
      <c r="BP11" s="110">
        <f>SUM(P11:S11)</f>
        <v>361.71900000000005</v>
      </c>
      <c r="BQ11" s="110">
        <f>SUM(T11:W11)</f>
        <v>357.48400000000004</v>
      </c>
      <c r="BR11" s="110">
        <f>SUM(X11:AA11)</f>
        <v>641.87500000000011</v>
      </c>
      <c r="BS11" s="110">
        <f>SUM(AB11:AE11)</f>
        <v>530.07899999999995</v>
      </c>
      <c r="BT11" s="110">
        <f>SUM(AF11:AI11)</f>
        <v>487.53600000000006</v>
      </c>
      <c r="BU11" s="110">
        <f>SUM(AJ11:AM11)</f>
        <v>630.38799999999992</v>
      </c>
      <c r="BV11" s="110">
        <f>SUM(AN11:AQ11)</f>
        <v>648.21599999999989</v>
      </c>
      <c r="BW11" s="110">
        <f>SUM(AR11:AU11)</f>
        <v>550.86700000000008</v>
      </c>
      <c r="BX11" s="110">
        <f>SUM(AV11:AY11)</f>
        <v>622.51199999999983</v>
      </c>
      <c r="BY11" s="110">
        <f>SUM(AZ11:BC11)</f>
        <v>512.38099999999997</v>
      </c>
      <c r="BZ11" s="110">
        <f>SUM(BD11:BG11)</f>
        <v>756.50573953390654</v>
      </c>
      <c r="CA11" s="110">
        <f>SUM(BH11:BK11)</f>
        <v>816.4379083091078</v>
      </c>
      <c r="CB11" s="962">
        <f>IS!CB81</f>
        <v>861.22309280901197</v>
      </c>
      <c r="CC11" s="20"/>
      <c r="CD11" s="110">
        <f>SUM(G11:J11)</f>
        <v>373.78700000000003</v>
      </c>
      <c r="CE11" s="110">
        <f>SUM(K11:N11)</f>
        <v>365.19399999999996</v>
      </c>
      <c r="CF11" s="110">
        <f>SUM(O11:R11)</f>
        <v>375.42900000000003</v>
      </c>
      <c r="CG11" s="110">
        <f>SUM(S11:V11)</f>
        <v>286.98900000000015</v>
      </c>
      <c r="CH11" s="110">
        <f>SUM(W11:Z11)</f>
        <v>630.35500000000002</v>
      </c>
      <c r="CI11" s="110">
        <f>SUM(AA11:AD11)</f>
        <v>567.72599999999989</v>
      </c>
      <c r="CJ11" s="110">
        <f>SUM(AE11:AH11)</f>
        <v>479.32100000000003</v>
      </c>
      <c r="CK11" s="110">
        <f>SUM(AI11:AL11)</f>
        <v>604.98099999999999</v>
      </c>
      <c r="CL11" s="110">
        <f>SUM(AM11:AP11)</f>
        <v>669.61999999999989</v>
      </c>
      <c r="CM11" s="110">
        <f>SUM(AQ11:AT11)</f>
        <v>540.45500000000015</v>
      </c>
      <c r="CN11" s="110">
        <f>SUM(AU11:AX11)</f>
        <v>614.12199999999996</v>
      </c>
      <c r="CO11" s="110">
        <f>SUM(AY11:BB11)</f>
        <v>500.14699999999999</v>
      </c>
      <c r="CP11" s="110">
        <f>SUM(BC11:BF11)</f>
        <v>730.76820477978288</v>
      </c>
      <c r="CQ11" s="111">
        <f>SUM(BG11:BJ11)</f>
        <v>800.22940270279855</v>
      </c>
      <c r="CR11" s="770"/>
      <c r="CS11" s="889"/>
    </row>
    <row r="12" spans="1:97" ht="14.25" customHeight="1">
      <c r="A12" s="8"/>
      <c r="B12" s="223" t="str">
        <f t="shared" si="0"/>
        <v>Adjustments to reconcile net income to net cash provided by operating activities:</v>
      </c>
      <c r="C12" s="224"/>
      <c r="D12" s="227"/>
      <c r="E12" s="225"/>
      <c r="F12" s="225"/>
      <c r="G12" s="226"/>
      <c r="H12" s="227"/>
      <c r="I12" s="225"/>
      <c r="J12" s="225"/>
      <c r="K12" s="226"/>
      <c r="L12" s="227"/>
      <c r="M12" s="225"/>
      <c r="N12" s="225"/>
      <c r="O12" s="226"/>
      <c r="P12" s="227"/>
      <c r="Q12" s="225"/>
      <c r="R12" s="225"/>
      <c r="S12" s="226"/>
      <c r="T12" s="227"/>
      <c r="U12" s="225"/>
      <c r="V12" s="225"/>
      <c r="W12" s="226"/>
      <c r="X12" s="227"/>
      <c r="Y12" s="225"/>
      <c r="Z12" s="225"/>
      <c r="AA12" s="226"/>
      <c r="AB12" s="227"/>
      <c r="AC12" s="225"/>
      <c r="AD12" s="225"/>
      <c r="AE12" s="226"/>
      <c r="AF12" s="227"/>
      <c r="AG12" s="225"/>
      <c r="AH12" s="225"/>
      <c r="AI12" s="226"/>
      <c r="AJ12" s="227"/>
      <c r="AK12" s="225"/>
      <c r="AL12" s="225"/>
      <c r="AM12" s="226"/>
      <c r="AN12" s="227"/>
      <c r="AO12" s="225"/>
      <c r="AP12" s="225"/>
      <c r="AQ12" s="226"/>
      <c r="AR12" s="227"/>
      <c r="AS12" s="225"/>
      <c r="AT12" s="225"/>
      <c r="AU12" s="226"/>
      <c r="AV12" s="227"/>
      <c r="AW12" s="225"/>
      <c r="AX12" s="225"/>
      <c r="AY12" s="225"/>
      <c r="AZ12" s="227"/>
      <c r="BA12" s="225"/>
      <c r="BB12" s="225"/>
      <c r="BC12" s="226"/>
      <c r="BD12" s="225"/>
      <c r="BE12" s="225"/>
      <c r="BF12" s="225"/>
      <c r="BG12" s="226"/>
      <c r="BH12" s="225"/>
      <c r="BI12" s="225"/>
      <c r="BJ12" s="225"/>
      <c r="BK12" s="226"/>
      <c r="BL12" s="20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995"/>
      <c r="CC12" s="20"/>
      <c r="CD12" s="225"/>
      <c r="CE12" s="225"/>
      <c r="CF12" s="225"/>
      <c r="CG12" s="225"/>
      <c r="CH12" s="225"/>
      <c r="CI12" s="225"/>
      <c r="CJ12" s="225"/>
      <c r="CK12" s="225"/>
      <c r="CL12" s="225"/>
      <c r="CM12" s="225"/>
      <c r="CN12" s="225"/>
      <c r="CO12" s="225"/>
      <c r="CP12" s="225"/>
      <c r="CQ12" s="226"/>
      <c r="CR12" s="770"/>
      <c r="CS12" s="889"/>
    </row>
    <row r="13" spans="1:97" ht="14.25" customHeight="1">
      <c r="A13" s="8"/>
      <c r="B13" s="55" t="str">
        <f t="shared" si="0"/>
        <v>Depreciation and amortization</v>
      </c>
      <c r="C13" s="56"/>
      <c r="D13" s="230">
        <f t="shared" ref="D13:D19" si="1">D95</f>
        <v>17.173999999999999</v>
      </c>
      <c r="E13" s="228">
        <f t="shared" ref="E13:E19" si="2">E95-D13</f>
        <v>17.142000000000003</v>
      </c>
      <c r="F13" s="228">
        <f t="shared" ref="F13:F19" si="3">F95-E13-D13</f>
        <v>16.675999999999995</v>
      </c>
      <c r="G13" s="229">
        <f t="shared" ref="G13:G19" si="4">G95-F13-E13-D13</f>
        <v>18.557000000000009</v>
      </c>
      <c r="H13" s="230">
        <f t="shared" ref="H13:H19" si="5">H95</f>
        <v>17.169999999999998</v>
      </c>
      <c r="I13" s="228">
        <f t="shared" ref="I13:I19" si="6">I95-H13</f>
        <v>17.292000000000005</v>
      </c>
      <c r="J13" s="228">
        <f t="shared" ref="J13:J19" si="7">J95-I13-H13</f>
        <v>17.030999999999995</v>
      </c>
      <c r="K13" s="229">
        <f t="shared" ref="K13:K19" si="8">K95-J13-I13-H13</f>
        <v>22.431000000000001</v>
      </c>
      <c r="L13" s="230">
        <f t="shared" ref="L13:L19" si="9">L95</f>
        <v>17.051000000000002</v>
      </c>
      <c r="M13" s="228">
        <f t="shared" ref="M13:M19" si="10">M95-L13</f>
        <v>18.983999999999995</v>
      </c>
      <c r="N13" s="228">
        <f t="shared" ref="N13:N19" si="11">N95-M13-L13</f>
        <v>17.825000000000003</v>
      </c>
      <c r="O13" s="229">
        <f t="shared" ref="O13:O19" si="12">O95-N13-M13-L13</f>
        <v>17.810999999999993</v>
      </c>
      <c r="P13" s="230">
        <f t="shared" ref="P13:P19" si="13">P95</f>
        <v>19.594999999999999</v>
      </c>
      <c r="Q13" s="228">
        <f t="shared" ref="Q13:Q19" si="14">Q95-P13</f>
        <v>17.484999999999999</v>
      </c>
      <c r="R13" s="228">
        <f t="shared" ref="R13:R19" si="15">R95-Q13-P13</f>
        <v>17.507000000000005</v>
      </c>
      <c r="S13" s="229">
        <f t="shared" ref="S13:S19" si="16">S95-R13-Q13-P13</f>
        <v>16.72699999999999</v>
      </c>
      <c r="T13" s="230">
        <f t="shared" ref="T13:T19" si="17">T95</f>
        <v>18.316000000000003</v>
      </c>
      <c r="U13" s="228">
        <f t="shared" ref="U13:U19" si="18">U95-T13</f>
        <v>15.316000000000003</v>
      </c>
      <c r="V13" s="228">
        <f t="shared" ref="V13:V19" si="19">V95-U13-T13</f>
        <v>16.076999999999998</v>
      </c>
      <c r="W13" s="229">
        <f t="shared" ref="W13:W19" si="20">W95-V13-U13-T13</f>
        <v>15.453000000000003</v>
      </c>
      <c r="X13" s="230">
        <f t="shared" ref="X13:X19" si="21">X95</f>
        <v>13.934000000000001</v>
      </c>
      <c r="Y13" s="228">
        <f t="shared" ref="Y13:Y19" si="22">Y95-X13</f>
        <v>14.689999999999998</v>
      </c>
      <c r="Z13" s="228">
        <f t="shared" ref="Z13:Z19" si="23">Z95-Y13-X13</f>
        <v>14.373000000000001</v>
      </c>
      <c r="AA13" s="229">
        <f t="shared" ref="AA13:AA19" si="24">AA95-Z13-Y13-X13</f>
        <v>15.894999999999992</v>
      </c>
      <c r="AB13" s="230">
        <f t="shared" ref="AB13:AB19" si="25">AB95</f>
        <v>17.408000000000001</v>
      </c>
      <c r="AC13" s="228">
        <f t="shared" ref="AC13:AC19" si="26">AC95-AB13</f>
        <v>17.722000000000001</v>
      </c>
      <c r="AD13" s="228">
        <f>AD95-SUM(AB13:AC13)</f>
        <v>18.189</v>
      </c>
      <c r="AE13" s="229">
        <f t="shared" ref="AE13:AE19" si="27">AE95-AD13-AC13-AB13</f>
        <v>19.028999999999996</v>
      </c>
      <c r="AF13" s="230">
        <f t="shared" ref="AF13:AF19" si="28">AF95</f>
        <v>18.87</v>
      </c>
      <c r="AG13" s="228">
        <f t="shared" ref="AG13:AG19" si="29">AG95-AF13</f>
        <v>18.339000000000002</v>
      </c>
      <c r="AH13" s="228">
        <f>AH95-SUM(AF13:AG13)</f>
        <v>18.102999999999994</v>
      </c>
      <c r="AI13" s="229">
        <f t="shared" ref="AI13:AI19" si="30">AI95-AH13-AG13-AF13</f>
        <v>18.248000000000008</v>
      </c>
      <c r="AJ13" s="230">
        <f t="shared" ref="AJ13:AJ19" si="31">AJ95</f>
        <v>18.917999999999999</v>
      </c>
      <c r="AK13" s="228">
        <f>AK95-AJ13</f>
        <v>18.860999999999997</v>
      </c>
      <c r="AL13" s="228">
        <f>AL95-SUM(AJ13:AK13)</f>
        <v>18.653000000000006</v>
      </c>
      <c r="AM13" s="229">
        <f t="shared" ref="AM13:AM19" si="32">AM95-AL13-AK13-AJ13</f>
        <v>18.839999999999989</v>
      </c>
      <c r="AN13" s="230">
        <f t="shared" ref="AN13:AN19" si="33">AN95</f>
        <v>18.673000000000002</v>
      </c>
      <c r="AO13" s="228">
        <f>AO95-AN13</f>
        <v>18.980999999999995</v>
      </c>
      <c r="AP13" s="228">
        <f>AP95-SUM(AN13:AO13)</f>
        <v>18.759</v>
      </c>
      <c r="AQ13" s="229">
        <f t="shared" ref="AQ13:AQ19" si="34">AQ95-AP13-AO13-AN13</f>
        <v>18.501000000000005</v>
      </c>
      <c r="AR13" s="230">
        <f t="shared" ref="AR13:AR19" si="35">AR95</f>
        <v>17.606999999999999</v>
      </c>
      <c r="AS13" s="228">
        <f>AS95-AR13</f>
        <v>16.826000000000001</v>
      </c>
      <c r="AT13" s="228">
        <f>AT95-SUM(AR13:AS13)</f>
        <v>17.484000000000002</v>
      </c>
      <c r="AU13" s="229">
        <f t="shared" ref="AU13:AU19" si="36">AU95-AT13-AS13-AR13</f>
        <v>16.524000000000001</v>
      </c>
      <c r="AV13" s="230">
        <f t="shared" ref="AV13:AV19" si="37">AV95</f>
        <v>15.338000000000001</v>
      </c>
      <c r="AW13" s="228">
        <f>AW95-AV13</f>
        <v>15.183</v>
      </c>
      <c r="AX13" s="228">
        <f>AX95-SUM(AV13:AW13)</f>
        <v>15.997</v>
      </c>
      <c r="AY13" s="228">
        <f t="shared" ref="AY13:AY19" si="38">AY95-AX13-AW13-AV13</f>
        <v>16.108000000000004</v>
      </c>
      <c r="AZ13" s="230">
        <f t="shared" ref="AZ13:AZ19" si="39">AZ95</f>
        <v>14.960999999999999</v>
      </c>
      <c r="BA13" s="228">
        <f>BA95-AZ13</f>
        <v>15.164000000000001</v>
      </c>
      <c r="BB13" s="228">
        <f>BB95-SUM(AZ13:BA13)</f>
        <v>16.909999999999997</v>
      </c>
      <c r="BC13" s="229">
        <f>BC95-BB13-BA13-AZ13</f>
        <v>25.150000000000006</v>
      </c>
      <c r="BD13" s="228">
        <f t="shared" ref="BD13:BK13" si="40">BD76</f>
        <v>25.150000000000006</v>
      </c>
      <c r="BE13" s="228">
        <f t="shared" si="40"/>
        <v>25.437151836808599</v>
      </c>
      <c r="BF13" s="228">
        <f t="shared" si="40"/>
        <v>25.725932507300534</v>
      </c>
      <c r="BG13" s="229">
        <f t="shared" si="40"/>
        <v>26.01413411733526</v>
      </c>
      <c r="BH13" s="228">
        <f t="shared" si="40"/>
        <v>26.30944360957233</v>
      </c>
      <c r="BI13" s="228">
        <f t="shared" si="40"/>
        <v>26.614620242120061</v>
      </c>
      <c r="BJ13" s="228">
        <f t="shared" si="40"/>
        <v>26.922443815972031</v>
      </c>
      <c r="BK13" s="229">
        <f t="shared" si="40"/>
        <v>27.227727281246956</v>
      </c>
      <c r="BL13" s="20"/>
      <c r="BM13" s="228">
        <f t="shared" ref="BM13:BM19" si="41">SUM(D13:G13)</f>
        <v>69.549000000000007</v>
      </c>
      <c r="BN13" s="228">
        <f t="shared" ref="BN13:BN19" si="42">SUM(H13:K13)</f>
        <v>73.923999999999992</v>
      </c>
      <c r="BO13" s="228">
        <f t="shared" ref="BO13:BO19" si="43">SUM(L13:O13)</f>
        <v>71.670999999999992</v>
      </c>
      <c r="BP13" s="228">
        <f t="shared" ref="BP13:BP19" si="44">SUM(P13:S13)</f>
        <v>71.313999999999993</v>
      </c>
      <c r="BQ13" s="228">
        <f t="shared" ref="BQ13:BQ19" si="45">SUM(T13:W13)</f>
        <v>65.162000000000006</v>
      </c>
      <c r="BR13" s="228">
        <f t="shared" ref="BR13:BR19" si="46">SUM(X13:AA13)</f>
        <v>58.891999999999996</v>
      </c>
      <c r="BS13" s="228">
        <f t="shared" ref="BS13:BS19" si="47">SUM(AB13:AE13)</f>
        <v>72.347999999999999</v>
      </c>
      <c r="BT13" s="228">
        <f t="shared" ref="BT13:BT19" si="48">SUM(AF13:AI13)</f>
        <v>73.56</v>
      </c>
      <c r="BU13" s="228">
        <f t="shared" ref="BU13:BU19" si="49">SUM(AJ13:AM13)</f>
        <v>75.271999999999991</v>
      </c>
      <c r="BV13" s="228">
        <f t="shared" ref="BV13:BV19" si="50">SUM(AN13:AQ13)</f>
        <v>74.914000000000001</v>
      </c>
      <c r="BW13" s="228">
        <f t="shared" ref="BW13:BW29" si="51">SUM(AR13:AU13)</f>
        <v>68.441000000000003</v>
      </c>
      <c r="BX13" s="228">
        <f t="shared" ref="BX13:BX29" si="52">SUM(AV13:AY13)</f>
        <v>62.626000000000005</v>
      </c>
      <c r="BY13" s="228">
        <f t="shared" ref="BY13:BY29" si="53">SUM(AZ13:BC13)</f>
        <v>72.185000000000002</v>
      </c>
      <c r="BZ13" s="228">
        <f t="shared" ref="BZ13:BZ29" si="54">SUM(BD13:BG13)</f>
        <v>102.3272184614444</v>
      </c>
      <c r="CA13" s="228">
        <f t="shared" ref="CA13:CA29" si="55">SUM(BH13:BK13)</f>
        <v>107.07423494891138</v>
      </c>
      <c r="CB13" s="996">
        <f>CB76</f>
        <v>77.736245691897651</v>
      </c>
      <c r="CC13" s="20"/>
      <c r="CD13" s="228">
        <f t="shared" ref="CD13:CD19" si="56">SUM(G13:J13)</f>
        <v>70.05</v>
      </c>
      <c r="CE13" s="228">
        <f t="shared" ref="CE13:CE19" si="57">SUM(K13:N13)</f>
        <v>76.290999999999997</v>
      </c>
      <c r="CF13" s="228">
        <f t="shared" ref="CF13:CF19" si="58">SUM(O13:R13)</f>
        <v>72.397999999999996</v>
      </c>
      <c r="CG13" s="228">
        <f t="shared" ref="CG13:CG19" si="59">SUM(S13:V13)</f>
        <v>66.435999999999993</v>
      </c>
      <c r="CH13" s="228">
        <f t="shared" ref="CH13:CH19" si="60">SUM(W13:Z13)</f>
        <v>58.45</v>
      </c>
      <c r="CI13" s="228">
        <f t="shared" ref="CI13:CI19" si="61">SUM(AA13:AD13)</f>
        <v>69.213999999999999</v>
      </c>
      <c r="CJ13" s="228">
        <f t="shared" ref="CJ13:CJ19" si="62">SUM(AE13:AH13)</f>
        <v>74.340999999999994</v>
      </c>
      <c r="CK13" s="228">
        <f t="shared" ref="CK13:CK19" si="63">SUM(AI13:AL13)</f>
        <v>74.680000000000007</v>
      </c>
      <c r="CL13" s="228">
        <f t="shared" ref="CL13:CL19" si="64">SUM(AM13:AP13)</f>
        <v>75.252999999999986</v>
      </c>
      <c r="CM13" s="228">
        <f t="shared" ref="CM13:CM19" si="65">SUM(AQ13:AT13)</f>
        <v>70.418000000000006</v>
      </c>
      <c r="CN13" s="228">
        <f t="shared" ref="CN13:CN19" si="66">SUM(AU13:AX13)</f>
        <v>63.042000000000002</v>
      </c>
      <c r="CO13" s="228">
        <f t="shared" ref="CO13:CO19" si="67">SUM(AY13:BB13)</f>
        <v>63.143000000000001</v>
      </c>
      <c r="CP13" s="228">
        <f t="shared" ref="CP13:CP19" si="68">SUM(BC13:BF13)</f>
        <v>101.46308434410915</v>
      </c>
      <c r="CQ13" s="229">
        <f t="shared" ref="CQ13:CQ29" si="69">SUM(BG13:BJ13)</f>
        <v>105.86064178499967</v>
      </c>
      <c r="CR13" s="770"/>
      <c r="CS13" s="889"/>
    </row>
    <row r="14" spans="1:97" ht="14.25" customHeight="1">
      <c r="A14" s="8"/>
      <c r="B14" s="55" t="str">
        <f t="shared" si="0"/>
        <v>Stock-based compensation expense</v>
      </c>
      <c r="C14" s="56"/>
      <c r="D14" s="230">
        <f t="shared" si="1"/>
        <v>0</v>
      </c>
      <c r="E14" s="228">
        <f t="shared" si="2"/>
        <v>0</v>
      </c>
      <c r="F14" s="228">
        <f t="shared" si="3"/>
        <v>0</v>
      </c>
      <c r="G14" s="229">
        <f t="shared" si="4"/>
        <v>0</v>
      </c>
      <c r="H14" s="230">
        <f t="shared" si="5"/>
        <v>29.016999999999999</v>
      </c>
      <c r="I14" s="228">
        <f t="shared" si="6"/>
        <v>21.906000000000002</v>
      </c>
      <c r="J14" s="228">
        <f t="shared" si="7"/>
        <v>21.442999999999994</v>
      </c>
      <c r="K14" s="229">
        <f t="shared" si="8"/>
        <v>20.135000000000002</v>
      </c>
      <c r="L14" s="230">
        <f t="shared" si="9"/>
        <v>16.521000000000001</v>
      </c>
      <c r="M14" s="228">
        <f t="shared" si="10"/>
        <v>15.753</v>
      </c>
      <c r="N14" s="228">
        <f t="shared" si="11"/>
        <v>16.455999999999996</v>
      </c>
      <c r="O14" s="229">
        <f t="shared" si="12"/>
        <v>17.69700000000001</v>
      </c>
      <c r="P14" s="230">
        <f t="shared" si="13"/>
        <v>14.423</v>
      </c>
      <c r="Q14" s="228">
        <f t="shared" si="14"/>
        <v>13.723999999999998</v>
      </c>
      <c r="R14" s="228">
        <f t="shared" si="15"/>
        <v>13.041000000000006</v>
      </c>
      <c r="S14" s="229">
        <f t="shared" si="16"/>
        <v>13.321</v>
      </c>
      <c r="T14" s="230">
        <f t="shared" si="17"/>
        <v>13.728999999999999</v>
      </c>
      <c r="U14" s="228">
        <f t="shared" si="18"/>
        <v>11.762</v>
      </c>
      <c r="V14" s="228">
        <f t="shared" si="19"/>
        <v>15.518999999999998</v>
      </c>
      <c r="W14" s="229">
        <f t="shared" si="20"/>
        <v>15.471000000000004</v>
      </c>
      <c r="X14" s="230">
        <f t="shared" si="21"/>
        <v>15.12</v>
      </c>
      <c r="Y14" s="228">
        <f t="shared" si="22"/>
        <v>15.421000000000001</v>
      </c>
      <c r="Z14" s="228">
        <f t="shared" si="23"/>
        <v>14.754000000000003</v>
      </c>
      <c r="AA14" s="229">
        <f t="shared" si="24"/>
        <v>14.962999999999999</v>
      </c>
      <c r="AB14" s="230">
        <f t="shared" si="25"/>
        <v>13.766999999999999</v>
      </c>
      <c r="AC14" s="228">
        <f t="shared" si="26"/>
        <v>16.899000000000001</v>
      </c>
      <c r="AD14" s="228">
        <f t="shared" ref="AD14:AD29" si="70">AD96-SUM(AB14:AC14)</f>
        <v>17.843</v>
      </c>
      <c r="AE14" s="229">
        <f t="shared" si="27"/>
        <v>18.909000000000002</v>
      </c>
      <c r="AF14" s="230">
        <f t="shared" si="28"/>
        <v>17.608000000000001</v>
      </c>
      <c r="AG14" s="228">
        <f t="shared" si="29"/>
        <v>19.245999999999999</v>
      </c>
      <c r="AH14" s="228">
        <f t="shared" ref="AH14:AH29" si="71">AH96-SUM(AF14:AG14)</f>
        <v>19.762</v>
      </c>
      <c r="AI14" s="229">
        <f t="shared" si="30"/>
        <v>21.245999999999999</v>
      </c>
      <c r="AJ14" s="230">
        <f t="shared" si="31"/>
        <v>20.954000000000001</v>
      </c>
      <c r="AK14" s="228">
        <f t="shared" ref="AK14:AK19" si="72">AK96-AJ14</f>
        <v>23.060000000000002</v>
      </c>
      <c r="AL14" s="228">
        <f t="shared" ref="AL14:AL29" si="73">AL96-SUM(AJ14:AK14)</f>
        <v>24.338999999999992</v>
      </c>
      <c r="AM14" s="229">
        <f t="shared" si="32"/>
        <v>25.960999999999991</v>
      </c>
      <c r="AN14" s="230">
        <f t="shared" si="33"/>
        <v>22.106000000000002</v>
      </c>
      <c r="AO14" s="228">
        <f t="shared" ref="AO14:AO19" si="74">AO96-AN14</f>
        <v>28.739999999999995</v>
      </c>
      <c r="AP14" s="228">
        <f t="shared" ref="AP14:AP29" si="75">AP96-SUM(AN14:AO14)</f>
        <v>29.054000000000009</v>
      </c>
      <c r="AQ14" s="229">
        <f t="shared" si="34"/>
        <v>19.958999999999982</v>
      </c>
      <c r="AR14" s="230">
        <f t="shared" si="35"/>
        <v>26.32</v>
      </c>
      <c r="AS14" s="228">
        <f t="shared" ref="AS14:AS19" si="76">AS96-AR14</f>
        <v>26.680999999999997</v>
      </c>
      <c r="AT14" s="228">
        <f t="shared" ref="AT14:AT29" si="77">AT96-SUM(AR14:AS14)</f>
        <v>31.463000000000001</v>
      </c>
      <c r="AU14" s="229">
        <f t="shared" si="36"/>
        <v>27.519999999999989</v>
      </c>
      <c r="AV14" s="230">
        <f t="shared" si="37"/>
        <v>29.404</v>
      </c>
      <c r="AW14" s="228">
        <f t="shared" ref="AW14:AW19" si="78">AW96-AV14</f>
        <v>29.802000000000003</v>
      </c>
      <c r="AX14" s="228">
        <f t="shared" ref="AX14:AX29" si="79">AX96-SUM(AV14:AW14)</f>
        <v>30.86699999999999</v>
      </c>
      <c r="AY14" s="228">
        <f t="shared" si="38"/>
        <v>32.785000000000011</v>
      </c>
      <c r="AZ14" s="230">
        <f t="shared" si="39"/>
        <v>32.036000000000001</v>
      </c>
      <c r="BA14" s="228">
        <f t="shared" ref="BA14:BA19" si="80">BA96-AZ14</f>
        <v>36.372</v>
      </c>
      <c r="BB14" s="228">
        <f t="shared" ref="BB14:BB29" si="81">BB96-SUM(AZ14:BA14)</f>
        <v>36.801000000000002</v>
      </c>
      <c r="BC14" s="229">
        <f>BC96-BB14-BA14-AZ14</f>
        <v>48.605999999999995</v>
      </c>
      <c r="BD14" s="228">
        <f t="shared" ref="BD14:BK14" si="82">BC14</f>
        <v>48.605999999999995</v>
      </c>
      <c r="BE14" s="228">
        <f t="shared" si="82"/>
        <v>48.605999999999995</v>
      </c>
      <c r="BF14" s="228">
        <f t="shared" si="82"/>
        <v>48.605999999999995</v>
      </c>
      <c r="BG14" s="229">
        <f t="shared" si="82"/>
        <v>48.605999999999995</v>
      </c>
      <c r="BH14" s="228">
        <f t="shared" si="82"/>
        <v>48.605999999999995</v>
      </c>
      <c r="BI14" s="228">
        <f t="shared" si="82"/>
        <v>48.605999999999995</v>
      </c>
      <c r="BJ14" s="228">
        <f t="shared" si="82"/>
        <v>48.605999999999995</v>
      </c>
      <c r="BK14" s="229">
        <f t="shared" si="82"/>
        <v>48.605999999999995</v>
      </c>
      <c r="BL14" s="20"/>
      <c r="BM14" s="228">
        <f t="shared" si="41"/>
        <v>0</v>
      </c>
      <c r="BN14" s="228">
        <f t="shared" si="42"/>
        <v>92.501000000000005</v>
      </c>
      <c r="BO14" s="228">
        <f t="shared" si="43"/>
        <v>66.427000000000007</v>
      </c>
      <c r="BP14" s="228">
        <f t="shared" si="44"/>
        <v>54.509</v>
      </c>
      <c r="BQ14" s="228">
        <f t="shared" si="45"/>
        <v>56.481000000000002</v>
      </c>
      <c r="BR14" s="228">
        <f t="shared" si="46"/>
        <v>60.258000000000003</v>
      </c>
      <c r="BS14" s="228">
        <f t="shared" si="47"/>
        <v>67.418000000000006</v>
      </c>
      <c r="BT14" s="228">
        <f t="shared" si="48"/>
        <v>77.861999999999995</v>
      </c>
      <c r="BU14" s="228">
        <f t="shared" si="49"/>
        <v>94.313999999999993</v>
      </c>
      <c r="BV14" s="228">
        <f t="shared" si="50"/>
        <v>99.85899999999998</v>
      </c>
      <c r="BW14" s="228">
        <f t="shared" si="51"/>
        <v>111.98399999999998</v>
      </c>
      <c r="BX14" s="228">
        <f t="shared" si="52"/>
        <v>122.858</v>
      </c>
      <c r="BY14" s="228">
        <f t="shared" si="53"/>
        <v>153.815</v>
      </c>
      <c r="BZ14" s="228">
        <f t="shared" si="54"/>
        <v>194.42399999999998</v>
      </c>
      <c r="CA14" s="228">
        <f t="shared" si="55"/>
        <v>194.42399999999998</v>
      </c>
      <c r="CB14" s="996">
        <f>IS!CB106</f>
        <v>194.42399999999998</v>
      </c>
      <c r="CC14" s="20"/>
      <c r="CD14" s="228">
        <f t="shared" si="56"/>
        <v>72.366</v>
      </c>
      <c r="CE14" s="228">
        <f t="shared" si="57"/>
        <v>68.865000000000009</v>
      </c>
      <c r="CF14" s="228">
        <f t="shared" si="58"/>
        <v>58.885000000000012</v>
      </c>
      <c r="CG14" s="228">
        <f t="shared" si="59"/>
        <v>54.330999999999996</v>
      </c>
      <c r="CH14" s="228">
        <f t="shared" si="60"/>
        <v>60.766000000000005</v>
      </c>
      <c r="CI14" s="228">
        <f t="shared" si="61"/>
        <v>63.471999999999994</v>
      </c>
      <c r="CJ14" s="228">
        <f t="shared" si="62"/>
        <v>75.525000000000006</v>
      </c>
      <c r="CK14" s="228">
        <f t="shared" si="63"/>
        <v>89.59899999999999</v>
      </c>
      <c r="CL14" s="228">
        <f t="shared" si="64"/>
        <v>105.86099999999999</v>
      </c>
      <c r="CM14" s="228">
        <f t="shared" si="65"/>
        <v>104.42299999999997</v>
      </c>
      <c r="CN14" s="228">
        <f t="shared" si="66"/>
        <v>117.59299999999999</v>
      </c>
      <c r="CO14" s="228">
        <f t="shared" si="67"/>
        <v>137.99400000000003</v>
      </c>
      <c r="CP14" s="228">
        <f t="shared" si="68"/>
        <v>194.42399999999998</v>
      </c>
      <c r="CQ14" s="229">
        <f t="shared" si="69"/>
        <v>194.42399999999998</v>
      </c>
      <c r="CR14" s="770"/>
      <c r="CS14" s="889"/>
    </row>
    <row r="15" spans="1:97" ht="14.25" customHeight="1">
      <c r="A15" s="8"/>
      <c r="B15" s="55" t="str">
        <f t="shared" si="0"/>
        <v>Impairment loss on investments</v>
      </c>
      <c r="C15" s="56"/>
      <c r="D15" s="230">
        <f t="shared" si="1"/>
        <v>0</v>
      </c>
      <c r="E15" s="228">
        <f t="shared" si="2"/>
        <v>0</v>
      </c>
      <c r="F15" s="228">
        <f t="shared" si="3"/>
        <v>0</v>
      </c>
      <c r="G15" s="229">
        <f t="shared" si="4"/>
        <v>1.4179999999999999</v>
      </c>
      <c r="H15" s="230">
        <f t="shared" si="5"/>
        <v>0.437</v>
      </c>
      <c r="I15" s="228">
        <f t="shared" si="6"/>
        <v>0</v>
      </c>
      <c r="J15" s="228">
        <f t="shared" si="7"/>
        <v>1.5129999999999999</v>
      </c>
      <c r="K15" s="229">
        <f t="shared" si="8"/>
        <v>0</v>
      </c>
      <c r="L15" s="230">
        <f t="shared" si="9"/>
        <v>0</v>
      </c>
      <c r="M15" s="228">
        <f t="shared" si="10"/>
        <v>0</v>
      </c>
      <c r="N15" s="228">
        <f t="shared" si="11"/>
        <v>0</v>
      </c>
      <c r="O15" s="229">
        <f t="shared" si="12"/>
        <v>2.85</v>
      </c>
      <c r="P15" s="230">
        <f t="shared" si="13"/>
        <v>4.6210000000000004</v>
      </c>
      <c r="Q15" s="228">
        <f t="shared" si="14"/>
        <v>29.000999999999998</v>
      </c>
      <c r="R15" s="228">
        <f t="shared" si="15"/>
        <v>19.54</v>
      </c>
      <c r="S15" s="229">
        <f t="shared" si="16"/>
        <v>0.96700000000000053</v>
      </c>
      <c r="T15" s="230">
        <f t="shared" si="17"/>
        <v>0</v>
      </c>
      <c r="U15" s="228">
        <f t="shared" si="18"/>
        <v>0</v>
      </c>
      <c r="V15" s="228">
        <f t="shared" si="19"/>
        <v>3.0409999999999999</v>
      </c>
      <c r="W15" s="229">
        <f t="shared" si="20"/>
        <v>0.76400000000000023</v>
      </c>
      <c r="X15" s="230">
        <f t="shared" si="21"/>
        <v>0</v>
      </c>
      <c r="Y15" s="228">
        <f t="shared" si="22"/>
        <v>0</v>
      </c>
      <c r="Z15" s="228">
        <f t="shared" si="23"/>
        <v>0</v>
      </c>
      <c r="AA15" s="229">
        <f t="shared" si="24"/>
        <v>5.9039999999999999</v>
      </c>
      <c r="AB15" s="230">
        <f t="shared" si="25"/>
        <v>0</v>
      </c>
      <c r="AC15" s="228">
        <f t="shared" si="26"/>
        <v>0</v>
      </c>
      <c r="AD15" s="228">
        <f t="shared" si="70"/>
        <v>0</v>
      </c>
      <c r="AE15" s="229">
        <f t="shared" si="27"/>
        <v>0</v>
      </c>
      <c r="AF15" s="230">
        <f t="shared" si="28"/>
        <v>0</v>
      </c>
      <c r="AG15" s="228">
        <f t="shared" si="29"/>
        <v>0</v>
      </c>
      <c r="AH15" s="228">
        <f t="shared" si="71"/>
        <v>0</v>
      </c>
      <c r="AI15" s="229">
        <f t="shared" si="30"/>
        <v>0</v>
      </c>
      <c r="AJ15" s="230">
        <f t="shared" si="31"/>
        <v>0</v>
      </c>
      <c r="AK15" s="228">
        <f t="shared" si="72"/>
        <v>0</v>
      </c>
      <c r="AL15" s="228">
        <f t="shared" si="73"/>
        <v>0</v>
      </c>
      <c r="AM15" s="229">
        <f t="shared" si="32"/>
        <v>0</v>
      </c>
      <c r="AN15" s="230">
        <f t="shared" si="33"/>
        <v>0</v>
      </c>
      <c r="AO15" s="228">
        <f t="shared" si="74"/>
        <v>0</v>
      </c>
      <c r="AP15" s="228">
        <f t="shared" si="75"/>
        <v>0</v>
      </c>
      <c r="AQ15" s="229">
        <f t="shared" si="34"/>
        <v>0</v>
      </c>
      <c r="AR15" s="230">
        <f t="shared" si="35"/>
        <v>0</v>
      </c>
      <c r="AS15" s="228">
        <f t="shared" si="76"/>
        <v>0</v>
      </c>
      <c r="AT15" s="228">
        <f t="shared" si="77"/>
        <v>0</v>
      </c>
      <c r="AU15" s="229">
        <f t="shared" si="36"/>
        <v>0</v>
      </c>
      <c r="AV15" s="230">
        <f t="shared" si="37"/>
        <v>0</v>
      </c>
      <c r="AW15" s="228">
        <f t="shared" si="78"/>
        <v>0</v>
      </c>
      <c r="AX15" s="228">
        <f t="shared" si="79"/>
        <v>0</v>
      </c>
      <c r="AY15" s="228">
        <f t="shared" si="38"/>
        <v>0</v>
      </c>
      <c r="AZ15" s="230">
        <f t="shared" si="39"/>
        <v>0</v>
      </c>
      <c r="BA15" s="228">
        <f t="shared" si="80"/>
        <v>0</v>
      </c>
      <c r="BB15" s="228">
        <f t="shared" si="81"/>
        <v>0</v>
      </c>
      <c r="BC15" s="232">
        <v>0</v>
      </c>
      <c r="BD15" s="231">
        <v>0</v>
      </c>
      <c r="BE15" s="231">
        <v>0</v>
      </c>
      <c r="BF15" s="231">
        <v>0</v>
      </c>
      <c r="BG15" s="232">
        <v>0</v>
      </c>
      <c r="BH15" s="231">
        <v>0</v>
      </c>
      <c r="BI15" s="231">
        <v>0</v>
      </c>
      <c r="BJ15" s="231">
        <v>0</v>
      </c>
      <c r="BK15" s="232">
        <v>0</v>
      </c>
      <c r="BL15" s="20"/>
      <c r="BM15" s="228">
        <f t="shared" si="41"/>
        <v>1.4179999999999999</v>
      </c>
      <c r="BN15" s="228">
        <f t="shared" si="42"/>
        <v>1.95</v>
      </c>
      <c r="BO15" s="228">
        <f t="shared" si="43"/>
        <v>2.85</v>
      </c>
      <c r="BP15" s="228">
        <f t="shared" si="44"/>
        <v>54.128999999999998</v>
      </c>
      <c r="BQ15" s="228">
        <f t="shared" si="45"/>
        <v>3.8050000000000002</v>
      </c>
      <c r="BR15" s="228">
        <f t="shared" si="46"/>
        <v>5.9039999999999999</v>
      </c>
      <c r="BS15" s="228">
        <f t="shared" si="47"/>
        <v>0</v>
      </c>
      <c r="BT15" s="228">
        <f t="shared" si="48"/>
        <v>0</v>
      </c>
      <c r="BU15" s="228">
        <f t="shared" si="49"/>
        <v>0</v>
      </c>
      <c r="BV15" s="228">
        <f t="shared" si="50"/>
        <v>0</v>
      </c>
      <c r="BW15" s="228">
        <f t="shared" si="51"/>
        <v>0</v>
      </c>
      <c r="BX15" s="228">
        <f t="shared" si="52"/>
        <v>0</v>
      </c>
      <c r="BY15" s="228">
        <f t="shared" si="53"/>
        <v>0</v>
      </c>
      <c r="BZ15" s="228">
        <f t="shared" si="54"/>
        <v>0</v>
      </c>
      <c r="CA15" s="228">
        <f t="shared" si="55"/>
        <v>0</v>
      </c>
      <c r="CB15" s="997">
        <v>0</v>
      </c>
      <c r="CC15" s="20"/>
      <c r="CD15" s="228">
        <f t="shared" si="56"/>
        <v>3.3679999999999999</v>
      </c>
      <c r="CE15" s="228">
        <f t="shared" si="57"/>
        <v>0</v>
      </c>
      <c r="CF15" s="228">
        <f t="shared" si="58"/>
        <v>56.011999999999993</v>
      </c>
      <c r="CG15" s="228">
        <f t="shared" si="59"/>
        <v>4.0080000000000009</v>
      </c>
      <c r="CH15" s="228">
        <f t="shared" si="60"/>
        <v>0.76400000000000023</v>
      </c>
      <c r="CI15" s="228">
        <f t="shared" si="61"/>
        <v>5.9039999999999999</v>
      </c>
      <c r="CJ15" s="228">
        <f t="shared" si="62"/>
        <v>0</v>
      </c>
      <c r="CK15" s="228">
        <f t="shared" si="63"/>
        <v>0</v>
      </c>
      <c r="CL15" s="228">
        <f t="shared" si="64"/>
        <v>0</v>
      </c>
      <c r="CM15" s="228">
        <f t="shared" si="65"/>
        <v>0</v>
      </c>
      <c r="CN15" s="228">
        <f t="shared" si="66"/>
        <v>0</v>
      </c>
      <c r="CO15" s="228">
        <f t="shared" si="67"/>
        <v>0</v>
      </c>
      <c r="CP15" s="228">
        <f t="shared" si="68"/>
        <v>0</v>
      </c>
      <c r="CQ15" s="229">
        <f t="shared" si="69"/>
        <v>0</v>
      </c>
      <c r="CR15" s="770"/>
      <c r="CS15" s="889"/>
    </row>
    <row r="16" spans="1:97" ht="14.25" customHeight="1">
      <c r="A16" s="8"/>
      <c r="B16" s="55" t="str">
        <f t="shared" si="0"/>
        <v>Gain/Loss on sale of securities</v>
      </c>
      <c r="C16" s="56"/>
      <c r="D16" s="230">
        <f t="shared" si="1"/>
        <v>0.45400000000000001</v>
      </c>
      <c r="E16" s="228">
        <f t="shared" si="2"/>
        <v>0.48499999999999993</v>
      </c>
      <c r="F16" s="228">
        <f t="shared" si="3"/>
        <v>0.43600000000000011</v>
      </c>
      <c r="G16" s="229">
        <f t="shared" si="4"/>
        <v>3.6059999999999994</v>
      </c>
      <c r="H16" s="230">
        <f t="shared" si="5"/>
        <v>0.81299999999999994</v>
      </c>
      <c r="I16" s="228">
        <f t="shared" si="6"/>
        <v>-1.8459999999999999</v>
      </c>
      <c r="J16" s="228">
        <f t="shared" si="7"/>
        <v>-0.26900000000000013</v>
      </c>
      <c r="K16" s="229">
        <f t="shared" si="8"/>
        <v>0.48800000000000021</v>
      </c>
      <c r="L16" s="230">
        <f t="shared" si="9"/>
        <v>0.75700000000000001</v>
      </c>
      <c r="M16" s="228">
        <f t="shared" si="10"/>
        <v>0.19499999999999995</v>
      </c>
      <c r="N16" s="228">
        <f t="shared" si="11"/>
        <v>0.24500000000000022</v>
      </c>
      <c r="O16" s="229">
        <f t="shared" si="12"/>
        <v>3.9419999999999997</v>
      </c>
      <c r="P16" s="230">
        <f t="shared" si="13"/>
        <v>-0.40500000000000003</v>
      </c>
      <c r="Q16" s="228">
        <f t="shared" si="14"/>
        <v>-2.8840000000000003</v>
      </c>
      <c r="R16" s="228">
        <f t="shared" si="15"/>
        <v>0.54900000000000015</v>
      </c>
      <c r="S16" s="229">
        <f t="shared" si="16"/>
        <v>3.4000000000000474E-2</v>
      </c>
      <c r="T16" s="230">
        <f t="shared" si="17"/>
        <v>6.6000000000000003E-2</v>
      </c>
      <c r="U16" s="228">
        <f t="shared" si="18"/>
        <v>3.1E-2</v>
      </c>
      <c r="V16" s="228">
        <f t="shared" si="19"/>
        <v>-8.5000000000000006E-2</v>
      </c>
      <c r="W16" s="229">
        <f t="shared" si="20"/>
        <v>-0.36299999999999993</v>
      </c>
      <c r="X16" s="230">
        <f t="shared" si="21"/>
        <v>-0.54800000000000004</v>
      </c>
      <c r="Y16" s="228">
        <f t="shared" si="22"/>
        <v>-3.6500000000000004</v>
      </c>
      <c r="Z16" s="228">
        <f t="shared" si="23"/>
        <v>0.63400000000000034</v>
      </c>
      <c r="AA16" s="229">
        <f t="shared" si="24"/>
        <v>-0.25699999999999967</v>
      </c>
      <c r="AB16" s="230">
        <f t="shared" si="25"/>
        <v>-0.33400000000000002</v>
      </c>
      <c r="AC16" s="228">
        <f t="shared" si="26"/>
        <v>-0.73699999999999988</v>
      </c>
      <c r="AD16" s="228">
        <f t="shared" si="70"/>
        <v>-0.79</v>
      </c>
      <c r="AE16" s="229">
        <f t="shared" si="27"/>
        <v>-0.65400000000000014</v>
      </c>
      <c r="AF16" s="230">
        <f t="shared" si="28"/>
        <v>-0.71199999999999997</v>
      </c>
      <c r="AG16" s="228">
        <f t="shared" si="29"/>
        <v>-1.0290000000000001</v>
      </c>
      <c r="AH16" s="228">
        <f t="shared" si="71"/>
        <v>-0.74799999999999978</v>
      </c>
      <c r="AI16" s="229">
        <f t="shared" si="30"/>
        <v>-0.32600000000000007</v>
      </c>
      <c r="AJ16" s="230">
        <f t="shared" si="31"/>
        <v>-0.107</v>
      </c>
      <c r="AK16" s="228">
        <f t="shared" si="72"/>
        <v>0.255</v>
      </c>
      <c r="AL16" s="228">
        <f t="shared" si="73"/>
        <v>0.129</v>
      </c>
      <c r="AM16" s="229">
        <f t="shared" si="32"/>
        <v>9.9030000000000005</v>
      </c>
      <c r="AN16" s="230">
        <f t="shared" si="33"/>
        <v>-0.67</v>
      </c>
      <c r="AO16" s="228">
        <f t="shared" si="74"/>
        <v>-1.742</v>
      </c>
      <c r="AP16" s="228">
        <f t="shared" si="75"/>
        <v>-3.0960000000000001</v>
      </c>
      <c r="AQ16" s="229">
        <f t="shared" si="34"/>
        <v>-6.37</v>
      </c>
      <c r="AR16" s="230">
        <f t="shared" si="35"/>
        <v>-0.23</v>
      </c>
      <c r="AS16" s="228">
        <f t="shared" si="76"/>
        <v>-0.38800000000000001</v>
      </c>
      <c r="AT16" s="228">
        <f t="shared" si="77"/>
        <v>1.9000000000000017E-2</v>
      </c>
      <c r="AU16" s="229">
        <f t="shared" si="36"/>
        <v>0.22900000000000001</v>
      </c>
      <c r="AV16" s="230">
        <f t="shared" si="37"/>
        <v>-0.20899999999999999</v>
      </c>
      <c r="AW16" s="228">
        <f t="shared" si="78"/>
        <v>-0.61399999999999999</v>
      </c>
      <c r="AX16" s="228">
        <f t="shared" si="79"/>
        <v>5.1999999999999935E-2</v>
      </c>
      <c r="AY16" s="228">
        <f t="shared" si="38"/>
        <v>-2.7610000000000001</v>
      </c>
      <c r="AZ16" s="230">
        <f t="shared" si="39"/>
        <v>-0.44600000000000001</v>
      </c>
      <c r="BA16" s="228">
        <f t="shared" si="80"/>
        <v>-0.31</v>
      </c>
      <c r="BB16" s="228">
        <f t="shared" si="81"/>
        <v>2.1139999999999999</v>
      </c>
      <c r="BC16" s="232">
        <v>0</v>
      </c>
      <c r="BD16" s="231">
        <v>0</v>
      </c>
      <c r="BE16" s="231">
        <v>0</v>
      </c>
      <c r="BF16" s="231">
        <v>0</v>
      </c>
      <c r="BG16" s="232">
        <v>0</v>
      </c>
      <c r="BH16" s="231">
        <v>0</v>
      </c>
      <c r="BI16" s="231">
        <v>0</v>
      </c>
      <c r="BJ16" s="231">
        <v>0</v>
      </c>
      <c r="BK16" s="232">
        <v>0</v>
      </c>
      <c r="BL16" s="20"/>
      <c r="BM16" s="228">
        <f t="shared" si="41"/>
        <v>4.9809999999999999</v>
      </c>
      <c r="BN16" s="228">
        <f t="shared" si="42"/>
        <v>-0.81399999999999983</v>
      </c>
      <c r="BO16" s="228">
        <f t="shared" si="43"/>
        <v>5.1389999999999993</v>
      </c>
      <c r="BP16" s="228">
        <f t="shared" si="44"/>
        <v>-2.7059999999999995</v>
      </c>
      <c r="BQ16" s="228">
        <f t="shared" si="45"/>
        <v>-0.35099999999999992</v>
      </c>
      <c r="BR16" s="228">
        <f t="shared" si="46"/>
        <v>-3.8209999999999997</v>
      </c>
      <c r="BS16" s="228">
        <f t="shared" si="47"/>
        <v>-2.5150000000000001</v>
      </c>
      <c r="BT16" s="228">
        <f t="shared" si="48"/>
        <v>-2.8149999999999999</v>
      </c>
      <c r="BU16" s="228">
        <f t="shared" si="49"/>
        <v>10.18</v>
      </c>
      <c r="BV16" s="228">
        <f t="shared" si="50"/>
        <v>-11.878</v>
      </c>
      <c r="BW16" s="228">
        <f t="shared" si="51"/>
        <v>-0.37</v>
      </c>
      <c r="BX16" s="228">
        <f t="shared" si="52"/>
        <v>-3.532</v>
      </c>
      <c r="BY16" s="228">
        <f t="shared" si="53"/>
        <v>1.3579999999999999</v>
      </c>
      <c r="BZ16" s="228">
        <f t="shared" si="54"/>
        <v>0</v>
      </c>
      <c r="CA16" s="228">
        <f t="shared" si="55"/>
        <v>0</v>
      </c>
      <c r="CB16" s="997">
        <v>0</v>
      </c>
      <c r="CC16" s="20"/>
      <c r="CD16" s="228">
        <f t="shared" si="56"/>
        <v>2.3039999999999994</v>
      </c>
      <c r="CE16" s="228">
        <f t="shared" si="57"/>
        <v>1.6850000000000001</v>
      </c>
      <c r="CF16" s="228">
        <f t="shared" si="58"/>
        <v>1.2019999999999997</v>
      </c>
      <c r="CG16" s="228">
        <f t="shared" si="59"/>
        <v>4.6000000000000471E-2</v>
      </c>
      <c r="CH16" s="228">
        <f t="shared" si="60"/>
        <v>-3.9269999999999996</v>
      </c>
      <c r="CI16" s="228">
        <f t="shared" si="61"/>
        <v>-2.1179999999999994</v>
      </c>
      <c r="CJ16" s="228">
        <f t="shared" si="62"/>
        <v>-3.1430000000000002</v>
      </c>
      <c r="CK16" s="228">
        <f t="shared" si="63"/>
        <v>-4.9000000000000044E-2</v>
      </c>
      <c r="CL16" s="228">
        <f t="shared" si="64"/>
        <v>4.3950000000000005</v>
      </c>
      <c r="CM16" s="228">
        <f t="shared" si="65"/>
        <v>-6.9690000000000003</v>
      </c>
      <c r="CN16" s="228">
        <f t="shared" si="66"/>
        <v>-0.54200000000000004</v>
      </c>
      <c r="CO16" s="228">
        <f t="shared" si="67"/>
        <v>-1.4030000000000005</v>
      </c>
      <c r="CP16" s="228">
        <f t="shared" si="68"/>
        <v>0</v>
      </c>
      <c r="CQ16" s="229">
        <f t="shared" si="69"/>
        <v>0</v>
      </c>
      <c r="CR16" s="770"/>
      <c r="CS16" s="889"/>
    </row>
    <row r="17" spans="1:97" ht="14.25" customHeight="1">
      <c r="A17" s="8"/>
      <c r="B17" s="55" t="str">
        <f t="shared" si="0"/>
        <v>Amortization of debt discount on convertible debentures</v>
      </c>
      <c r="C17" s="56"/>
      <c r="D17" s="230">
        <f t="shared" si="1"/>
        <v>0</v>
      </c>
      <c r="E17" s="228">
        <f t="shared" si="2"/>
        <v>0</v>
      </c>
      <c r="F17" s="228">
        <f t="shared" si="3"/>
        <v>0</v>
      </c>
      <c r="G17" s="229">
        <f t="shared" si="4"/>
        <v>0</v>
      </c>
      <c r="H17" s="230">
        <f t="shared" si="5"/>
        <v>0</v>
      </c>
      <c r="I17" s="228">
        <f t="shared" si="6"/>
        <v>0</v>
      </c>
      <c r="J17" s="228">
        <f t="shared" si="7"/>
        <v>0</v>
      </c>
      <c r="K17" s="229">
        <f t="shared" si="8"/>
        <v>0</v>
      </c>
      <c r="L17" s="230">
        <f t="shared" si="9"/>
        <v>0</v>
      </c>
      <c r="M17" s="228">
        <f t="shared" si="10"/>
        <v>0</v>
      </c>
      <c r="N17" s="228">
        <f t="shared" si="11"/>
        <v>0</v>
      </c>
      <c r="O17" s="229">
        <f t="shared" si="12"/>
        <v>4.8890000000000002</v>
      </c>
      <c r="P17" s="230">
        <f t="shared" si="13"/>
        <v>1.278</v>
      </c>
      <c r="Q17" s="228">
        <f t="shared" si="14"/>
        <v>1.3010000000000002</v>
      </c>
      <c r="R17" s="228">
        <f t="shared" si="15"/>
        <v>1.218</v>
      </c>
      <c r="S17" s="229">
        <f t="shared" si="16"/>
        <v>0.99199999999999955</v>
      </c>
      <c r="T17" s="230">
        <f t="shared" si="17"/>
        <v>0.94699999999999995</v>
      </c>
      <c r="U17" s="228">
        <f t="shared" si="18"/>
        <v>0.96400000000000008</v>
      </c>
      <c r="V17" s="228">
        <f t="shared" si="19"/>
        <v>0.98199999999999987</v>
      </c>
      <c r="W17" s="229">
        <f t="shared" si="20"/>
        <v>0.99900000000000022</v>
      </c>
      <c r="X17" s="230">
        <f t="shared" si="21"/>
        <v>2.0630000000000002</v>
      </c>
      <c r="Y17" s="228">
        <f t="shared" si="22"/>
        <v>4.2029999999999994</v>
      </c>
      <c r="Z17" s="228">
        <f t="shared" si="23"/>
        <v>3.8180000000000001</v>
      </c>
      <c r="AA17" s="229">
        <f t="shared" si="24"/>
        <v>3.8370000000000002</v>
      </c>
      <c r="AB17" s="230">
        <f t="shared" si="25"/>
        <v>3.8559999999999999</v>
      </c>
      <c r="AC17" s="228">
        <f t="shared" si="26"/>
        <v>3.8760000000000003</v>
      </c>
      <c r="AD17" s="228">
        <f t="shared" si="70"/>
        <v>3.8969999999999994</v>
      </c>
      <c r="AE17" s="229">
        <f t="shared" si="27"/>
        <v>3.9159999999999995</v>
      </c>
      <c r="AF17" s="230">
        <f t="shared" si="28"/>
        <v>3.9380000000000002</v>
      </c>
      <c r="AG17" s="228">
        <f t="shared" si="29"/>
        <v>3.9590000000000001</v>
      </c>
      <c r="AH17" s="228">
        <f t="shared" si="71"/>
        <v>3.9800000000000004</v>
      </c>
      <c r="AI17" s="229">
        <f t="shared" si="30"/>
        <v>4.0030000000000001</v>
      </c>
      <c r="AJ17" s="230">
        <f t="shared" si="31"/>
        <v>4.0250000000000004</v>
      </c>
      <c r="AK17" s="228">
        <f t="shared" si="72"/>
        <v>4.048</v>
      </c>
      <c r="AL17" s="228">
        <f t="shared" si="73"/>
        <v>4.0709999999999997</v>
      </c>
      <c r="AM17" s="229">
        <f t="shared" si="32"/>
        <v>4.1749999999999989</v>
      </c>
      <c r="AN17" s="230">
        <f t="shared" si="33"/>
        <v>3.0030000000000001</v>
      </c>
      <c r="AO17" s="228">
        <f t="shared" si="74"/>
        <v>3.0049999999999999</v>
      </c>
      <c r="AP17" s="228">
        <f t="shared" si="75"/>
        <v>3.0059999999999993</v>
      </c>
      <c r="AQ17" s="229">
        <f t="shared" si="34"/>
        <v>3.0080000000000018</v>
      </c>
      <c r="AR17" s="230">
        <f t="shared" si="35"/>
        <v>3.01</v>
      </c>
      <c r="AS17" s="228">
        <f t="shared" si="76"/>
        <v>3.0090000000000003</v>
      </c>
      <c r="AT17" s="228">
        <f t="shared" si="77"/>
        <v>3.0139999999999993</v>
      </c>
      <c r="AU17" s="229">
        <f t="shared" si="36"/>
        <v>3.0150000000000006</v>
      </c>
      <c r="AV17" s="230">
        <f t="shared" si="37"/>
        <v>3.016</v>
      </c>
      <c r="AW17" s="228">
        <f t="shared" si="78"/>
        <v>3.0170000000000003</v>
      </c>
      <c r="AX17" s="228">
        <f t="shared" si="79"/>
        <v>3.0200000000000005</v>
      </c>
      <c r="AY17" s="228">
        <f t="shared" si="38"/>
        <v>2.6390000000000002</v>
      </c>
      <c r="AZ17" s="230">
        <f t="shared" si="39"/>
        <v>1.6759999999999999</v>
      </c>
      <c r="BA17" s="228">
        <f t="shared" si="80"/>
        <v>0.28800000000000003</v>
      </c>
      <c r="BB17" s="228">
        <f t="shared" si="81"/>
        <v>0.29000000000000004</v>
      </c>
      <c r="BC17" s="848">
        <f>+BS!BC127</f>
        <v>0</v>
      </c>
      <c r="BD17" s="726">
        <f>+BS!BD127</f>
        <v>0</v>
      </c>
      <c r="BE17" s="726">
        <f>+BS!BE127</f>
        <v>0</v>
      </c>
      <c r="BF17" s="726">
        <f>+BS!BF127</f>
        <v>0</v>
      </c>
      <c r="BG17" s="848">
        <f>+BS!BG127</f>
        <v>0</v>
      </c>
      <c r="BH17" s="726">
        <f>+BS!BH127</f>
        <v>0</v>
      </c>
      <c r="BI17" s="726">
        <f>+BS!BI127</f>
        <v>0</v>
      </c>
      <c r="BJ17" s="726">
        <f>+BS!BJ127</f>
        <v>0</v>
      </c>
      <c r="BK17" s="848">
        <f>+BS!BK127</f>
        <v>0</v>
      </c>
      <c r="BL17" s="20"/>
      <c r="BM17" s="228">
        <f t="shared" si="41"/>
        <v>0</v>
      </c>
      <c r="BN17" s="228">
        <f t="shared" si="42"/>
        <v>0</v>
      </c>
      <c r="BO17" s="228">
        <f t="shared" si="43"/>
        <v>4.8890000000000002</v>
      </c>
      <c r="BP17" s="228">
        <f t="shared" si="44"/>
        <v>4.7889999999999997</v>
      </c>
      <c r="BQ17" s="228">
        <f t="shared" si="45"/>
        <v>3.8919999999999999</v>
      </c>
      <c r="BR17" s="228">
        <f t="shared" si="46"/>
        <v>13.920999999999999</v>
      </c>
      <c r="BS17" s="228">
        <f t="shared" si="47"/>
        <v>15.544999999999998</v>
      </c>
      <c r="BT17" s="228">
        <f t="shared" si="48"/>
        <v>15.88</v>
      </c>
      <c r="BU17" s="228">
        <f t="shared" si="49"/>
        <v>16.318999999999999</v>
      </c>
      <c r="BV17" s="228">
        <f t="shared" si="50"/>
        <v>12.022000000000002</v>
      </c>
      <c r="BW17" s="228">
        <f t="shared" si="51"/>
        <v>12.048</v>
      </c>
      <c r="BX17" s="228">
        <f t="shared" si="52"/>
        <v>11.692</v>
      </c>
      <c r="BY17" s="228">
        <f t="shared" si="53"/>
        <v>2.254</v>
      </c>
      <c r="BZ17" s="228">
        <f t="shared" si="54"/>
        <v>0</v>
      </c>
      <c r="CA17" s="228">
        <f t="shared" si="55"/>
        <v>0</v>
      </c>
      <c r="CB17" s="997">
        <f>+BS!CB127</f>
        <v>0</v>
      </c>
      <c r="CC17" s="20"/>
      <c r="CD17" s="228">
        <f t="shared" si="56"/>
        <v>0</v>
      </c>
      <c r="CE17" s="228">
        <f t="shared" si="57"/>
        <v>0</v>
      </c>
      <c r="CF17" s="228">
        <f t="shared" si="58"/>
        <v>8.6859999999999999</v>
      </c>
      <c r="CG17" s="228">
        <f t="shared" si="59"/>
        <v>3.8849999999999993</v>
      </c>
      <c r="CH17" s="228">
        <f t="shared" si="60"/>
        <v>11.083</v>
      </c>
      <c r="CI17" s="228">
        <f t="shared" si="61"/>
        <v>15.465999999999998</v>
      </c>
      <c r="CJ17" s="228">
        <f t="shared" si="62"/>
        <v>15.792999999999999</v>
      </c>
      <c r="CK17" s="228">
        <f t="shared" si="63"/>
        <v>16.146999999999998</v>
      </c>
      <c r="CL17" s="228">
        <f t="shared" si="64"/>
        <v>13.189</v>
      </c>
      <c r="CM17" s="228">
        <f t="shared" si="65"/>
        <v>12.041</v>
      </c>
      <c r="CN17" s="228">
        <f t="shared" si="66"/>
        <v>12.068000000000001</v>
      </c>
      <c r="CO17" s="228">
        <f t="shared" si="67"/>
        <v>4.8930000000000007</v>
      </c>
      <c r="CP17" s="228">
        <f t="shared" si="68"/>
        <v>0</v>
      </c>
      <c r="CQ17" s="229">
        <f t="shared" si="69"/>
        <v>0</v>
      </c>
      <c r="CR17" s="770"/>
      <c r="CS17" s="889"/>
    </row>
    <row r="18" spans="1:97" ht="14.25" customHeight="1">
      <c r="A18" s="8"/>
      <c r="B18" s="55" t="str">
        <f t="shared" si="0"/>
        <v>Deferred taxes</v>
      </c>
      <c r="C18" s="56"/>
      <c r="D18" s="230">
        <f t="shared" si="1"/>
        <v>0</v>
      </c>
      <c r="E18" s="228">
        <f t="shared" si="2"/>
        <v>0</v>
      </c>
      <c r="F18" s="228">
        <f t="shared" si="3"/>
        <v>0</v>
      </c>
      <c r="G18" s="229">
        <f t="shared" si="4"/>
        <v>26.032</v>
      </c>
      <c r="H18" s="230">
        <f t="shared" si="5"/>
        <v>0</v>
      </c>
      <c r="I18" s="228">
        <f t="shared" si="6"/>
        <v>0</v>
      </c>
      <c r="J18" s="228">
        <f t="shared" si="7"/>
        <v>0</v>
      </c>
      <c r="K18" s="229">
        <f t="shared" si="8"/>
        <v>7.0910000000000002</v>
      </c>
      <c r="L18" s="230">
        <f t="shared" si="9"/>
        <v>0</v>
      </c>
      <c r="M18" s="228">
        <f t="shared" si="10"/>
        <v>0</v>
      </c>
      <c r="N18" s="228">
        <f t="shared" si="11"/>
        <v>0</v>
      </c>
      <c r="O18" s="229">
        <f t="shared" si="12"/>
        <v>0.79600000000000004</v>
      </c>
      <c r="P18" s="230">
        <f t="shared" si="13"/>
        <v>0</v>
      </c>
      <c r="Q18" s="228">
        <f t="shared" si="14"/>
        <v>0</v>
      </c>
      <c r="R18" s="228">
        <f t="shared" si="15"/>
        <v>0</v>
      </c>
      <c r="S18" s="229">
        <f t="shared" si="16"/>
        <v>47.831000000000003</v>
      </c>
      <c r="T18" s="230">
        <f t="shared" si="17"/>
        <v>0</v>
      </c>
      <c r="U18" s="228">
        <f t="shared" si="18"/>
        <v>0</v>
      </c>
      <c r="V18" s="228">
        <f t="shared" si="19"/>
        <v>0</v>
      </c>
      <c r="W18" s="229">
        <f t="shared" si="20"/>
        <v>58.03</v>
      </c>
      <c r="X18" s="230">
        <f t="shared" si="21"/>
        <v>0</v>
      </c>
      <c r="Y18" s="228">
        <f t="shared" si="22"/>
        <v>0</v>
      </c>
      <c r="Z18" s="228">
        <f t="shared" si="23"/>
        <v>0</v>
      </c>
      <c r="AA18" s="229">
        <f t="shared" si="24"/>
        <v>109.56100000000001</v>
      </c>
      <c r="AB18" s="230">
        <f t="shared" si="25"/>
        <v>0</v>
      </c>
      <c r="AC18" s="228">
        <f t="shared" si="26"/>
        <v>0</v>
      </c>
      <c r="AD18" s="228">
        <f t="shared" si="70"/>
        <v>0</v>
      </c>
      <c r="AE18" s="229">
        <f t="shared" si="27"/>
        <v>0</v>
      </c>
      <c r="AF18" s="230">
        <f t="shared" si="28"/>
        <v>0</v>
      </c>
      <c r="AG18" s="228">
        <f t="shared" si="29"/>
        <v>0</v>
      </c>
      <c r="AH18" s="228">
        <f t="shared" si="71"/>
        <v>0</v>
      </c>
      <c r="AI18" s="229">
        <f t="shared" si="30"/>
        <v>0</v>
      </c>
      <c r="AJ18" s="230">
        <f t="shared" si="31"/>
        <v>0</v>
      </c>
      <c r="AK18" s="228">
        <f t="shared" si="72"/>
        <v>0</v>
      </c>
      <c r="AL18" s="228">
        <f t="shared" si="73"/>
        <v>70.168000000000006</v>
      </c>
      <c r="AM18" s="229">
        <f t="shared" si="32"/>
        <v>-16.314000000000007</v>
      </c>
      <c r="AN18" s="230">
        <f t="shared" si="33"/>
        <v>0</v>
      </c>
      <c r="AO18" s="228">
        <f t="shared" si="74"/>
        <v>26.303999999999998</v>
      </c>
      <c r="AP18" s="228">
        <f t="shared" si="75"/>
        <v>-6.5919999999999987</v>
      </c>
      <c r="AQ18" s="229">
        <f t="shared" si="34"/>
        <v>-1.9100000000000001</v>
      </c>
      <c r="AR18" s="230">
        <f t="shared" si="35"/>
        <v>2.0129999999999999</v>
      </c>
      <c r="AS18" s="228">
        <f t="shared" si="76"/>
        <v>-0.8839999999999999</v>
      </c>
      <c r="AT18" s="228">
        <f t="shared" si="77"/>
        <v>48.306000000000004</v>
      </c>
      <c r="AU18" s="229">
        <f t="shared" si="36"/>
        <v>-5.3070000000000039</v>
      </c>
      <c r="AV18" s="230">
        <f t="shared" si="37"/>
        <v>-1.4930000000000001</v>
      </c>
      <c r="AW18" s="228">
        <f t="shared" si="78"/>
        <v>34.1</v>
      </c>
      <c r="AX18" s="228">
        <f t="shared" si="79"/>
        <v>42.010000000000005</v>
      </c>
      <c r="AY18" s="228">
        <f t="shared" si="38"/>
        <v>-7.1350000000000069</v>
      </c>
      <c r="AZ18" s="230">
        <f t="shared" si="39"/>
        <v>26.058</v>
      </c>
      <c r="BA18" s="228">
        <f t="shared" si="80"/>
        <v>12.148000000000003</v>
      </c>
      <c r="BB18" s="228">
        <f t="shared" si="81"/>
        <v>-401.17500000000001</v>
      </c>
      <c r="BC18" s="232">
        <v>0</v>
      </c>
      <c r="BD18" s="231">
        <v>0</v>
      </c>
      <c r="BE18" s="231">
        <v>0</v>
      </c>
      <c r="BF18" s="231">
        <v>0</v>
      </c>
      <c r="BG18" s="232">
        <v>0</v>
      </c>
      <c r="BH18" s="231">
        <v>0</v>
      </c>
      <c r="BI18" s="231">
        <v>0</v>
      </c>
      <c r="BJ18" s="231">
        <v>0</v>
      </c>
      <c r="BK18" s="232">
        <v>0</v>
      </c>
      <c r="BL18" s="20"/>
      <c r="BM18" s="228">
        <f t="shared" si="41"/>
        <v>26.032</v>
      </c>
      <c r="BN18" s="228">
        <f t="shared" si="42"/>
        <v>7.0910000000000002</v>
      </c>
      <c r="BO18" s="228">
        <f t="shared" si="43"/>
        <v>0.79600000000000004</v>
      </c>
      <c r="BP18" s="228">
        <f t="shared" si="44"/>
        <v>47.831000000000003</v>
      </c>
      <c r="BQ18" s="228">
        <f t="shared" si="45"/>
        <v>58.03</v>
      </c>
      <c r="BR18" s="228">
        <f t="shared" si="46"/>
        <v>109.56100000000001</v>
      </c>
      <c r="BS18" s="228">
        <f t="shared" si="47"/>
        <v>0</v>
      </c>
      <c r="BT18" s="228">
        <f t="shared" si="48"/>
        <v>0</v>
      </c>
      <c r="BU18" s="228">
        <f t="shared" si="49"/>
        <v>53.853999999999999</v>
      </c>
      <c r="BV18" s="228">
        <f t="shared" si="50"/>
        <v>17.802</v>
      </c>
      <c r="BW18" s="228">
        <f t="shared" si="51"/>
        <v>44.128</v>
      </c>
      <c r="BX18" s="228">
        <f t="shared" si="52"/>
        <v>67.481999999999999</v>
      </c>
      <c r="BY18" s="228">
        <f t="shared" si="53"/>
        <v>-362.96899999999999</v>
      </c>
      <c r="BZ18" s="228">
        <f t="shared" si="54"/>
        <v>0</v>
      </c>
      <c r="CA18" s="228">
        <f t="shared" si="55"/>
        <v>0</v>
      </c>
      <c r="CB18" s="997">
        <v>0</v>
      </c>
      <c r="CC18" s="20"/>
      <c r="CD18" s="228">
        <f t="shared" si="56"/>
        <v>26.032</v>
      </c>
      <c r="CE18" s="228">
        <f t="shared" si="57"/>
        <v>7.0910000000000002</v>
      </c>
      <c r="CF18" s="228">
        <f t="shared" si="58"/>
        <v>0.79600000000000004</v>
      </c>
      <c r="CG18" s="228">
        <f t="shared" si="59"/>
        <v>47.831000000000003</v>
      </c>
      <c r="CH18" s="228">
        <f t="shared" si="60"/>
        <v>58.03</v>
      </c>
      <c r="CI18" s="228">
        <f t="shared" si="61"/>
        <v>109.56100000000001</v>
      </c>
      <c r="CJ18" s="228">
        <f t="shared" si="62"/>
        <v>0</v>
      </c>
      <c r="CK18" s="228">
        <f t="shared" si="63"/>
        <v>70.168000000000006</v>
      </c>
      <c r="CL18" s="228">
        <f t="shared" si="64"/>
        <v>3.3979999999999926</v>
      </c>
      <c r="CM18" s="228">
        <f t="shared" si="65"/>
        <v>47.525000000000006</v>
      </c>
      <c r="CN18" s="228">
        <f t="shared" si="66"/>
        <v>69.31</v>
      </c>
      <c r="CO18" s="228">
        <f t="shared" si="67"/>
        <v>-370.10400000000004</v>
      </c>
      <c r="CP18" s="228">
        <f t="shared" si="68"/>
        <v>0</v>
      </c>
      <c r="CQ18" s="229">
        <f t="shared" si="69"/>
        <v>0</v>
      </c>
      <c r="CR18" s="770"/>
      <c r="CS18" s="889"/>
    </row>
    <row r="19" spans="1:97" ht="14.25" customHeight="1">
      <c r="A19" s="8"/>
      <c r="B19" s="55" t="str">
        <f t="shared" si="0"/>
        <v>Other operating activities</v>
      </c>
      <c r="C19" s="56"/>
      <c r="D19" s="230">
        <f t="shared" si="1"/>
        <v>7.1</v>
      </c>
      <c r="E19" s="228">
        <f t="shared" si="2"/>
        <v>12.211</v>
      </c>
      <c r="F19" s="228">
        <f t="shared" si="3"/>
        <v>9.6160000000000014</v>
      </c>
      <c r="G19" s="229">
        <f t="shared" si="4"/>
        <v>16.903999999999996</v>
      </c>
      <c r="H19" s="230">
        <f t="shared" si="5"/>
        <v>0.12300000000000111</v>
      </c>
      <c r="I19" s="228">
        <f t="shared" si="6"/>
        <v>4.5999999999999375E-2</v>
      </c>
      <c r="J19" s="228">
        <f t="shared" si="7"/>
        <v>3.2479999999999976</v>
      </c>
      <c r="K19" s="229">
        <f t="shared" si="8"/>
        <v>4.5320000000000036</v>
      </c>
      <c r="L19" s="230">
        <f t="shared" si="9"/>
        <v>-0.35600000000000076</v>
      </c>
      <c r="M19" s="228">
        <f t="shared" si="10"/>
        <v>0.15600000000000147</v>
      </c>
      <c r="N19" s="228">
        <f t="shared" si="11"/>
        <v>3.2999999999999474E-2</v>
      </c>
      <c r="O19" s="229">
        <f t="shared" si="12"/>
        <v>-6.243999999999998</v>
      </c>
      <c r="P19" s="230">
        <f t="shared" si="13"/>
        <v>-0.84999999999999964</v>
      </c>
      <c r="Q19" s="228">
        <f t="shared" si="14"/>
        <v>-2.7060000000000004</v>
      </c>
      <c r="R19" s="228">
        <f t="shared" si="15"/>
        <v>-58.026999999999994</v>
      </c>
      <c r="S19" s="229">
        <f t="shared" si="16"/>
        <v>-14.083999999999994</v>
      </c>
      <c r="T19" s="230">
        <f t="shared" si="17"/>
        <v>15.985000000000001</v>
      </c>
      <c r="U19" s="228">
        <f t="shared" si="18"/>
        <v>3.488999999999999</v>
      </c>
      <c r="V19" s="228">
        <f t="shared" si="19"/>
        <v>-11.81</v>
      </c>
      <c r="W19" s="229">
        <f t="shared" si="20"/>
        <v>-11.905000000000001</v>
      </c>
      <c r="X19" s="230">
        <f t="shared" si="21"/>
        <v>-0.34899999999999998</v>
      </c>
      <c r="Y19" s="228">
        <f t="shared" si="22"/>
        <v>-0.70800000000000018</v>
      </c>
      <c r="Z19" s="228">
        <f t="shared" si="23"/>
        <v>-1.2939999999999998</v>
      </c>
      <c r="AA19" s="229">
        <f t="shared" si="24"/>
        <v>-0.30699999999999994</v>
      </c>
      <c r="AB19" s="230">
        <f t="shared" si="25"/>
        <v>-1.0859999999999994</v>
      </c>
      <c r="AC19" s="228">
        <f t="shared" si="26"/>
        <v>0.77999999999999936</v>
      </c>
      <c r="AD19" s="228">
        <f t="shared" si="70"/>
        <v>-0.77800000000000047</v>
      </c>
      <c r="AE19" s="229">
        <f t="shared" si="27"/>
        <v>78.413999999999987</v>
      </c>
      <c r="AF19" s="230">
        <f t="shared" si="28"/>
        <v>0.43999999999999995</v>
      </c>
      <c r="AG19" s="228">
        <f t="shared" si="29"/>
        <v>-1.2810000000000001</v>
      </c>
      <c r="AH19" s="228">
        <f t="shared" si="71"/>
        <v>0.32000000000000028</v>
      </c>
      <c r="AI19" s="229">
        <f t="shared" si="30"/>
        <v>-41.971999999999994</v>
      </c>
      <c r="AJ19" s="230">
        <f t="shared" si="31"/>
        <v>-0.49899999999999983</v>
      </c>
      <c r="AK19" s="228">
        <f t="shared" si="72"/>
        <v>-19.106000000000002</v>
      </c>
      <c r="AL19" s="228">
        <f t="shared" si="73"/>
        <v>-2.1550000000000011</v>
      </c>
      <c r="AM19" s="229">
        <f t="shared" si="32"/>
        <v>-10.611999999999997</v>
      </c>
      <c r="AN19" s="230">
        <f t="shared" si="33"/>
        <v>-2.66</v>
      </c>
      <c r="AO19" s="228">
        <f t="shared" si="74"/>
        <v>-11.115</v>
      </c>
      <c r="AP19" s="228">
        <f t="shared" si="75"/>
        <v>-2.8940000000000001</v>
      </c>
      <c r="AQ19" s="229">
        <f t="shared" si="34"/>
        <v>-2.8710000000000004</v>
      </c>
      <c r="AR19" s="230">
        <f t="shared" si="35"/>
        <v>-3.839</v>
      </c>
      <c r="AS19" s="228">
        <f t="shared" si="76"/>
        <v>-6.6159999999999997</v>
      </c>
      <c r="AT19" s="228">
        <f t="shared" si="77"/>
        <v>-1.8710000000000004</v>
      </c>
      <c r="AU19" s="229">
        <f t="shared" si="36"/>
        <v>-1.8269999999999986</v>
      </c>
      <c r="AV19" s="230">
        <f t="shared" si="37"/>
        <v>0</v>
      </c>
      <c r="AW19" s="228">
        <f t="shared" si="78"/>
        <v>0</v>
      </c>
      <c r="AX19" s="228">
        <f t="shared" si="79"/>
        <v>0</v>
      </c>
      <c r="AY19" s="228">
        <f t="shared" si="38"/>
        <v>1.698</v>
      </c>
      <c r="AZ19" s="230">
        <f t="shared" si="39"/>
        <v>0</v>
      </c>
      <c r="BA19" s="228">
        <f t="shared" si="80"/>
        <v>1.5</v>
      </c>
      <c r="BB19" s="228">
        <f t="shared" si="81"/>
        <v>0</v>
      </c>
      <c r="BC19" s="232">
        <v>0</v>
      </c>
      <c r="BD19" s="231">
        <v>0</v>
      </c>
      <c r="BE19" s="231">
        <v>0</v>
      </c>
      <c r="BF19" s="231">
        <v>0</v>
      </c>
      <c r="BG19" s="232">
        <v>0</v>
      </c>
      <c r="BH19" s="231">
        <v>0</v>
      </c>
      <c r="BI19" s="231">
        <v>0</v>
      </c>
      <c r="BJ19" s="231">
        <v>0</v>
      </c>
      <c r="BK19" s="232">
        <v>0</v>
      </c>
      <c r="BL19" s="20"/>
      <c r="BM19" s="228">
        <f t="shared" si="41"/>
        <v>45.830999999999996</v>
      </c>
      <c r="BN19" s="228">
        <f t="shared" si="42"/>
        <v>7.9490000000000016</v>
      </c>
      <c r="BO19" s="228">
        <f t="shared" si="43"/>
        <v>-6.4109999999999978</v>
      </c>
      <c r="BP19" s="228">
        <f t="shared" si="44"/>
        <v>-75.666999999999987</v>
      </c>
      <c r="BQ19" s="228">
        <f t="shared" si="45"/>
        <v>-4.2410000000000014</v>
      </c>
      <c r="BR19" s="228">
        <f t="shared" si="46"/>
        <v>-2.6579999999999999</v>
      </c>
      <c r="BS19" s="228">
        <f t="shared" si="47"/>
        <v>77.329999999999984</v>
      </c>
      <c r="BT19" s="228">
        <f t="shared" si="48"/>
        <v>-42.492999999999995</v>
      </c>
      <c r="BU19" s="228">
        <f t="shared" si="49"/>
        <v>-32.372</v>
      </c>
      <c r="BV19" s="228">
        <f t="shared" si="50"/>
        <v>-19.54</v>
      </c>
      <c r="BW19" s="228">
        <f t="shared" si="51"/>
        <v>-14.152999999999999</v>
      </c>
      <c r="BX19" s="228">
        <f t="shared" si="52"/>
        <v>1.698</v>
      </c>
      <c r="BY19" s="228">
        <f t="shared" si="53"/>
        <v>1.5</v>
      </c>
      <c r="BZ19" s="228">
        <f t="shared" si="54"/>
        <v>0</v>
      </c>
      <c r="CA19" s="228">
        <f t="shared" si="55"/>
        <v>0</v>
      </c>
      <c r="CB19" s="997">
        <v>0</v>
      </c>
      <c r="CC19" s="20"/>
      <c r="CD19" s="228">
        <f t="shared" si="56"/>
        <v>20.320999999999994</v>
      </c>
      <c r="CE19" s="228">
        <f t="shared" si="57"/>
        <v>4.3650000000000038</v>
      </c>
      <c r="CF19" s="228">
        <f t="shared" si="58"/>
        <v>-67.826999999999998</v>
      </c>
      <c r="CG19" s="228">
        <f t="shared" si="59"/>
        <v>-6.4199999999999946</v>
      </c>
      <c r="CH19" s="228">
        <f t="shared" si="60"/>
        <v>-14.256000000000002</v>
      </c>
      <c r="CI19" s="228">
        <f t="shared" si="61"/>
        <v>-1.3910000000000005</v>
      </c>
      <c r="CJ19" s="228">
        <f t="shared" si="62"/>
        <v>77.892999999999972</v>
      </c>
      <c r="CK19" s="228">
        <f t="shared" si="63"/>
        <v>-63.731999999999999</v>
      </c>
      <c r="CL19" s="228">
        <f t="shared" si="64"/>
        <v>-27.280999999999999</v>
      </c>
      <c r="CM19" s="228">
        <f t="shared" si="65"/>
        <v>-15.197000000000001</v>
      </c>
      <c r="CN19" s="228">
        <f t="shared" si="66"/>
        <v>-1.8269999999999986</v>
      </c>
      <c r="CO19" s="228">
        <f t="shared" si="67"/>
        <v>3.198</v>
      </c>
      <c r="CP19" s="228">
        <f t="shared" si="68"/>
        <v>0</v>
      </c>
      <c r="CQ19" s="229">
        <f t="shared" si="69"/>
        <v>0</v>
      </c>
      <c r="CR19" s="770"/>
      <c r="CS19" s="889"/>
    </row>
    <row r="20" spans="1:97" ht="14.25" customHeight="1">
      <c r="A20" s="8"/>
      <c r="B20" s="28" t="str">
        <f t="shared" si="0"/>
        <v>Changes in current assets and liabilities:</v>
      </c>
      <c r="C20" s="29"/>
      <c r="D20" s="230"/>
      <c r="E20" s="228"/>
      <c r="F20" s="228"/>
      <c r="G20" s="229"/>
      <c r="H20" s="230"/>
      <c r="I20" s="228"/>
      <c r="J20" s="228"/>
      <c r="K20" s="229"/>
      <c r="L20" s="230"/>
      <c r="M20" s="228"/>
      <c r="N20" s="228"/>
      <c r="O20" s="229"/>
      <c r="P20" s="230"/>
      <c r="Q20" s="228"/>
      <c r="R20" s="228"/>
      <c r="S20" s="229"/>
      <c r="T20" s="230"/>
      <c r="U20" s="228"/>
      <c r="V20" s="228"/>
      <c r="W20" s="229"/>
      <c r="X20" s="230"/>
      <c r="Y20" s="228"/>
      <c r="Z20" s="228"/>
      <c r="AA20" s="229"/>
      <c r="AB20" s="230"/>
      <c r="AC20" s="231"/>
      <c r="AD20" s="228">
        <f t="shared" si="70"/>
        <v>0</v>
      </c>
      <c r="AE20" s="229"/>
      <c r="AF20" s="230"/>
      <c r="AG20" s="231"/>
      <c r="AH20" s="228">
        <f t="shared" si="71"/>
        <v>0</v>
      </c>
      <c r="AI20" s="229"/>
      <c r="AJ20" s="230"/>
      <c r="AK20" s="231"/>
      <c r="AL20" s="228">
        <f t="shared" si="73"/>
        <v>0</v>
      </c>
      <c r="AM20" s="229"/>
      <c r="AN20" s="230"/>
      <c r="AO20" s="231"/>
      <c r="AP20" s="228">
        <f t="shared" si="75"/>
        <v>0</v>
      </c>
      <c r="AQ20" s="229"/>
      <c r="AR20" s="230"/>
      <c r="AS20" s="231"/>
      <c r="AT20" s="228">
        <f t="shared" si="77"/>
        <v>0</v>
      </c>
      <c r="AU20" s="229"/>
      <c r="AV20" s="230"/>
      <c r="AW20" s="231"/>
      <c r="AX20" s="228">
        <f t="shared" si="79"/>
        <v>0</v>
      </c>
      <c r="AY20" s="228"/>
      <c r="AZ20" s="230"/>
      <c r="BA20" s="231"/>
      <c r="BB20" s="228">
        <f t="shared" si="81"/>
        <v>0</v>
      </c>
      <c r="BC20" s="232"/>
      <c r="BD20" s="231"/>
      <c r="BE20" s="231"/>
      <c r="BF20" s="231"/>
      <c r="BG20" s="232"/>
      <c r="BH20" s="231"/>
      <c r="BI20" s="231"/>
      <c r="BJ20" s="231"/>
      <c r="BK20" s="232"/>
      <c r="BL20" s="20"/>
      <c r="BM20" s="228"/>
      <c r="BN20" s="228"/>
      <c r="BO20" s="228"/>
      <c r="BP20" s="228"/>
      <c r="BQ20" s="228"/>
      <c r="BR20" s="228"/>
      <c r="BS20" s="228"/>
      <c r="BT20" s="228"/>
      <c r="BU20" s="228"/>
      <c r="BV20" s="228"/>
      <c r="BW20" s="228"/>
      <c r="BX20" s="228"/>
      <c r="BY20" s="228"/>
      <c r="BZ20" s="228"/>
      <c r="CA20" s="228"/>
      <c r="CB20" s="996"/>
      <c r="CC20" s="20"/>
      <c r="CD20" s="228"/>
      <c r="CE20" s="228"/>
      <c r="CF20" s="228"/>
      <c r="CG20" s="228"/>
      <c r="CH20" s="228"/>
      <c r="CI20" s="228"/>
      <c r="CJ20" s="228"/>
      <c r="CK20" s="228"/>
      <c r="CL20" s="228"/>
      <c r="CM20" s="228"/>
      <c r="CN20" s="228"/>
      <c r="CO20" s="228"/>
      <c r="CP20" s="228"/>
      <c r="CQ20" s="229"/>
      <c r="CR20" s="770"/>
      <c r="CS20" s="889"/>
    </row>
    <row r="21" spans="1:97" ht="14.25" customHeight="1">
      <c r="A21" s="8"/>
      <c r="B21" s="55" t="str">
        <f t="shared" si="0"/>
        <v>Accounts receivable</v>
      </c>
      <c r="C21" s="56"/>
      <c r="D21" s="230">
        <f t="shared" ref="D21:D29" si="83">D103</f>
        <v>18.858000000000001</v>
      </c>
      <c r="E21" s="228">
        <f t="shared" ref="E21:E29" si="84">E103-D21</f>
        <v>3.0889999999999986</v>
      </c>
      <c r="F21" s="228">
        <f t="shared" ref="F21:F29" si="85">F103-E21-D21</f>
        <v>49.241</v>
      </c>
      <c r="G21" s="229">
        <f t="shared" ref="G21:G29" si="86">G103-F21-E21-D21</f>
        <v>-51.808000000000007</v>
      </c>
      <c r="H21" s="230">
        <f t="shared" ref="H21:H29" si="87">H103</f>
        <v>41.991999999999997</v>
      </c>
      <c r="I21" s="228">
        <f t="shared" ref="I21:I29" si="88">I103-H21</f>
        <v>-34.01</v>
      </c>
      <c r="J21" s="228">
        <f t="shared" ref="J21:J29" si="89">J103-I21-H21</f>
        <v>38.511999999999993</v>
      </c>
      <c r="K21" s="229">
        <f t="shared" ref="K21:K29" si="90">K103-J21-I21-H21</f>
        <v>-34.582999999999991</v>
      </c>
      <c r="L21" s="230">
        <f t="shared" ref="L21:L29" si="91">L103</f>
        <v>-26.097999999999999</v>
      </c>
      <c r="M21" s="228">
        <f t="shared" ref="M21:M29" si="92">M103-L21</f>
        <v>-28.207000000000001</v>
      </c>
      <c r="N21" s="228">
        <f t="shared" ref="N21:N29" si="93">N103-M21-L21</f>
        <v>7.3070000000000022</v>
      </c>
      <c r="O21" s="229">
        <f t="shared" ref="O21:O29" si="94">O103-N21-M21-L21</f>
        <v>-19.854999999999997</v>
      </c>
      <c r="P21" s="230">
        <f t="shared" ref="P21:P29" si="95">P103</f>
        <v>43.667999999999999</v>
      </c>
      <c r="Q21" s="228">
        <f t="shared" ref="Q21:Q29" si="96">Q103-P21</f>
        <v>-28.598999999999997</v>
      </c>
      <c r="R21" s="228">
        <f t="shared" ref="R21:R29" si="97">R103-Q21-P21</f>
        <v>20.488000000000007</v>
      </c>
      <c r="S21" s="229">
        <f t="shared" ref="S21:S29" si="98">S103-R21-Q21-P21</f>
        <v>-2.8000000000000114</v>
      </c>
      <c r="T21" s="230">
        <f t="shared" ref="T21:T29" si="99">T103</f>
        <v>20.46</v>
      </c>
      <c r="U21" s="228">
        <f t="shared" ref="U21:U29" si="100">U103-T21</f>
        <v>-30.743000000000002</v>
      </c>
      <c r="V21" s="228">
        <f t="shared" ref="V21:V29" si="101">V103-U21-T21</f>
        <v>-4.4050000000000011</v>
      </c>
      <c r="W21" s="229">
        <f t="shared" ref="W21:W29" si="102">W103-V21-U21-T21</f>
        <v>-31.656999999999996</v>
      </c>
      <c r="X21" s="230">
        <f t="shared" ref="X21:X29" si="103">X103</f>
        <v>-92.671000000000006</v>
      </c>
      <c r="Y21" s="228">
        <f t="shared" ref="Y21:Y29" si="104">Y103-X21</f>
        <v>-201.36</v>
      </c>
      <c r="Z21" s="228">
        <f t="shared" ref="Z21:Z29" si="105">Z103-Y21-X21</f>
        <v>187.10900000000004</v>
      </c>
      <c r="AA21" s="229">
        <f t="shared" ref="AA21:AA29" si="106">AA103-Z21-Y21-X21</f>
        <v>83.222999999999971</v>
      </c>
      <c r="AB21" s="230">
        <f t="shared" ref="AB21:AB29" si="107">AB103</f>
        <v>41.780999999999999</v>
      </c>
      <c r="AC21" s="228">
        <f t="shared" ref="AC21:AC29" si="108">AC103-AB21</f>
        <v>28.267000000000003</v>
      </c>
      <c r="AD21" s="228">
        <f t="shared" si="70"/>
        <v>5.2839999999999918</v>
      </c>
      <c r="AE21" s="229">
        <f t="shared" ref="AE21:AE29" si="109">AE103-AD21-AC21-AB21</f>
        <v>-3.8329999999999984</v>
      </c>
      <c r="AF21" s="230">
        <f t="shared" ref="AF21:AF29" si="110">AF103</f>
        <v>-42.978999999999999</v>
      </c>
      <c r="AG21" s="228">
        <f t="shared" ref="AG21:AG29" si="111">AG103-AF21</f>
        <v>35.673999999999999</v>
      </c>
      <c r="AH21" s="228">
        <f t="shared" si="71"/>
        <v>-9.9870000000000019</v>
      </c>
      <c r="AI21" s="229">
        <f t="shared" ref="AI21:AI29" si="112">AI103-AH21-AG21-AF21</f>
        <v>3.0820000000000007</v>
      </c>
      <c r="AJ21" s="230">
        <f t="shared" ref="AJ21:AJ29" si="113">AJ103</f>
        <v>-38.978000000000002</v>
      </c>
      <c r="AK21" s="228">
        <f t="shared" ref="AK21:AK29" si="114">AK103-AJ21</f>
        <v>-9.3859999999999957</v>
      </c>
      <c r="AL21" s="228">
        <f t="shared" si="73"/>
        <v>70.290999999999997</v>
      </c>
      <c r="AM21" s="229">
        <f t="shared" ref="AM21:AM29" si="115">AM103-AL21-AK21-AJ21</f>
        <v>-60.585000000000001</v>
      </c>
      <c r="AN21" s="230">
        <f t="shared" ref="AN21:AN29" si="116">AN103</f>
        <v>-13.500999999999999</v>
      </c>
      <c r="AO21" s="228">
        <f t="shared" ref="AO21:AO29" si="117">AO103-AN21</f>
        <v>-9.2949999999999999</v>
      </c>
      <c r="AP21" s="228">
        <f t="shared" si="75"/>
        <v>103.13300000000001</v>
      </c>
      <c r="AQ21" s="229">
        <f t="shared" ref="AQ21:AQ29" si="118">AQ103-AP21-AO21-AN21</f>
        <v>-59.118000000000016</v>
      </c>
      <c r="AR21" s="230">
        <f t="shared" ref="AR21:AR29" si="119">AR103</f>
        <v>-5.3730000000000002</v>
      </c>
      <c r="AS21" s="228">
        <f t="shared" ref="AS21:AS29" si="120">AS103-AR21</f>
        <v>-30.639999999999997</v>
      </c>
      <c r="AT21" s="228">
        <f t="shared" si="77"/>
        <v>79.451999999999998</v>
      </c>
      <c r="AU21" s="229">
        <f t="shared" ref="AU21:AU29" si="121">AU103-AT21-AS21-AR21</f>
        <v>-104.28200000000001</v>
      </c>
      <c r="AV21" s="230">
        <f t="shared" ref="AV21:AV29" si="122">AV103</f>
        <v>90.444000000000003</v>
      </c>
      <c r="AW21" s="228">
        <f t="shared" ref="AW21:AW29" si="123">AW103-AV21</f>
        <v>-10.744</v>
      </c>
      <c r="AX21" s="228">
        <f t="shared" si="79"/>
        <v>-113.095</v>
      </c>
      <c r="AY21" s="228">
        <f t="shared" ref="AY21:AY29" si="124">AY103-AX21-AW21-AV21</f>
        <v>96.938000000000002</v>
      </c>
      <c r="AZ21" s="230">
        <f t="shared" ref="AZ21:AZ29" si="125">AZ103</f>
        <v>-24.341999999999999</v>
      </c>
      <c r="BA21" s="228">
        <f t="shared" ref="BA21:BA29" si="126">BA103-AZ21</f>
        <v>-18.597999999999999</v>
      </c>
      <c r="BB21" s="228">
        <f t="shared" si="81"/>
        <v>-65.994</v>
      </c>
      <c r="BC21" s="229">
        <f>BS!BB13-BS!BC13</f>
        <v>-23.680000000000007</v>
      </c>
      <c r="BD21" s="228">
        <f>BS!BC13-BS!BD13</f>
        <v>34.400919100000067</v>
      </c>
      <c r="BE21" s="228">
        <f>BS!BD13-BS!BE13</f>
        <v>35.824070029333257</v>
      </c>
      <c r="BF21" s="228">
        <f>BS!BE13-BS!BF13</f>
        <v>0.60540534162680615</v>
      </c>
      <c r="BG21" s="229">
        <f>BS!BF13-BS!BG13</f>
        <v>-7.4312617955408768</v>
      </c>
      <c r="BH21" s="228">
        <f>BS!BG13-BS!BH13</f>
        <v>21.590037347818281</v>
      </c>
      <c r="BI21" s="228">
        <f>BS!BH13-BS!BI13</f>
        <v>-2.4906296849483738</v>
      </c>
      <c r="BJ21" s="228">
        <f>BS!BI13-BS!BJ13</f>
        <v>2.3901058232186188</v>
      </c>
      <c r="BK21" s="229">
        <f>BS!BJ13-BS!BK13</f>
        <v>-4.9966999119005209</v>
      </c>
      <c r="BL21" s="20"/>
      <c r="BM21" s="228">
        <f t="shared" ref="BM21:BM29" si="127">SUM(D21:G21)</f>
        <v>19.379999999999995</v>
      </c>
      <c r="BN21" s="228">
        <f t="shared" ref="BN21:BN29" si="128">SUM(H21:K21)</f>
        <v>11.911000000000001</v>
      </c>
      <c r="BO21" s="228">
        <f t="shared" ref="BO21:BO29" si="129">SUM(L21:O21)</f>
        <v>-66.852999999999994</v>
      </c>
      <c r="BP21" s="228">
        <f t="shared" ref="BP21:BP29" si="130">SUM(P21:S21)</f>
        <v>32.756999999999998</v>
      </c>
      <c r="BQ21" s="228">
        <f t="shared" ref="BQ21:BQ29" si="131">SUM(T21:W21)</f>
        <v>-46.344999999999999</v>
      </c>
      <c r="BR21" s="228">
        <f t="shared" ref="BR21:BR29" si="132">SUM(X21:AA21)</f>
        <v>-23.698999999999998</v>
      </c>
      <c r="BS21" s="228">
        <f t="shared" ref="BS21:BS29" si="133">SUM(AB21:AE21)</f>
        <v>71.498999999999995</v>
      </c>
      <c r="BT21" s="228">
        <f t="shared" ref="BT21:BT29" si="134">SUM(AF21:AI21)</f>
        <v>-14.21</v>
      </c>
      <c r="BU21" s="228">
        <f t="shared" ref="BU21:BU29" si="135">SUM(AJ21:AM21)</f>
        <v>-38.658000000000001</v>
      </c>
      <c r="BV21" s="228">
        <f t="shared" ref="BV21:BV29" si="136">SUM(AN21:AQ21)</f>
        <v>21.219000000000001</v>
      </c>
      <c r="BW21" s="228">
        <f t="shared" si="51"/>
        <v>-60.843000000000011</v>
      </c>
      <c r="BX21" s="228">
        <f t="shared" si="52"/>
        <v>63.543000000000006</v>
      </c>
      <c r="BY21" s="228">
        <f t="shared" si="53"/>
        <v>-132.614</v>
      </c>
      <c r="BZ21" s="228">
        <f t="shared" si="54"/>
        <v>63.399132675419253</v>
      </c>
      <c r="CA21" s="228">
        <f t="shared" si="55"/>
        <v>16.492813574188006</v>
      </c>
      <c r="CB21" s="996">
        <f>BS!CA13-BS!CB13</f>
        <v>-20.453578472162576</v>
      </c>
      <c r="CC21" s="20"/>
      <c r="CD21" s="228">
        <f t="shared" ref="CD21:CD29" si="137">SUM(G21:J21)</f>
        <v>-5.3140000000000143</v>
      </c>
      <c r="CE21" s="228">
        <f t="shared" ref="CE21:CE29" si="138">SUM(K21:N21)</f>
        <v>-81.580999999999989</v>
      </c>
      <c r="CF21" s="228">
        <f t="shared" ref="CF21:CF29" si="139">SUM(O21:R21)</f>
        <v>15.702000000000012</v>
      </c>
      <c r="CG21" s="228">
        <f t="shared" ref="CG21:CG29" si="140">SUM(S21:V21)</f>
        <v>-17.488000000000014</v>
      </c>
      <c r="CH21" s="228">
        <f t="shared" ref="CH21:CH29" si="141">SUM(W21:Z21)</f>
        <v>-138.57899999999995</v>
      </c>
      <c r="CI21" s="228">
        <f t="shared" ref="CI21:CI29" si="142">SUM(AA21:AD21)</f>
        <v>158.55499999999995</v>
      </c>
      <c r="CJ21" s="228">
        <f t="shared" ref="CJ21:CJ29" si="143">SUM(AE21:AH21)</f>
        <v>-21.125</v>
      </c>
      <c r="CK21" s="228">
        <f t="shared" ref="CK21:CK29" si="144">SUM(AI21:AL21)</f>
        <v>25.009</v>
      </c>
      <c r="CL21" s="228">
        <f t="shared" ref="CL21:CL29" si="145">SUM(AM21:AP21)</f>
        <v>19.75200000000001</v>
      </c>
      <c r="CM21" s="228">
        <f t="shared" ref="CM21:CM29" si="146">SUM(AQ21:AT21)</f>
        <v>-15.679000000000016</v>
      </c>
      <c r="CN21" s="228">
        <f t="shared" ref="CN21:CN29" si="147">SUM(AU21:AX21)</f>
        <v>-137.67700000000002</v>
      </c>
      <c r="CO21" s="228">
        <f t="shared" ref="CO21:CO29" si="148">SUM(AY21:BB21)</f>
        <v>-11.995999999999995</v>
      </c>
      <c r="CP21" s="228">
        <f t="shared" ref="CP21:CP29" si="149">SUM(BC21:BF21)</f>
        <v>47.150394470960123</v>
      </c>
      <c r="CQ21" s="229">
        <f t="shared" si="69"/>
        <v>14.05825169054765</v>
      </c>
      <c r="CR21" s="770"/>
      <c r="CS21" s="889"/>
    </row>
    <row r="22" spans="1:97" ht="14.25" customHeight="1">
      <c r="A22" s="8"/>
      <c r="B22" s="55" t="str">
        <f t="shared" si="0"/>
        <v>Inventory</v>
      </c>
      <c r="C22" s="56"/>
      <c r="D22" s="230">
        <f t="shared" si="83"/>
        <v>3.726</v>
      </c>
      <c r="E22" s="228">
        <f t="shared" si="84"/>
        <v>-17.670999999999999</v>
      </c>
      <c r="F22" s="228">
        <f t="shared" si="85"/>
        <v>-12.215</v>
      </c>
      <c r="G22" s="229">
        <f t="shared" si="86"/>
        <v>10.852999999999998</v>
      </c>
      <c r="H22" s="230">
        <f t="shared" si="87"/>
        <v>9.5619999999999994</v>
      </c>
      <c r="I22" s="228">
        <f t="shared" si="88"/>
        <v>-4.730999999999999</v>
      </c>
      <c r="J22" s="228">
        <f t="shared" si="89"/>
        <v>13.372999999999999</v>
      </c>
      <c r="K22" s="229">
        <f t="shared" si="90"/>
        <v>10.413000000000002</v>
      </c>
      <c r="L22" s="230">
        <f t="shared" si="91"/>
        <v>28.553999999999998</v>
      </c>
      <c r="M22" s="228">
        <f t="shared" si="92"/>
        <v>16.805000000000003</v>
      </c>
      <c r="N22" s="228">
        <f t="shared" si="93"/>
        <v>-3.2839999999999989</v>
      </c>
      <c r="O22" s="229">
        <f t="shared" si="94"/>
        <v>1.5719999999999956</v>
      </c>
      <c r="P22" s="230">
        <f t="shared" si="95"/>
        <v>-10.212999999999999</v>
      </c>
      <c r="Q22" s="228">
        <f t="shared" si="96"/>
        <v>-1.484</v>
      </c>
      <c r="R22" s="228">
        <f t="shared" si="97"/>
        <v>-7.6000000000000032</v>
      </c>
      <c r="S22" s="229">
        <f t="shared" si="98"/>
        <v>29.319000000000003</v>
      </c>
      <c r="T22" s="230">
        <f t="shared" si="99"/>
        <v>18.744</v>
      </c>
      <c r="U22" s="228">
        <f t="shared" si="100"/>
        <v>0.11799999999999855</v>
      </c>
      <c r="V22" s="228">
        <f t="shared" si="101"/>
        <v>-27.744999999999997</v>
      </c>
      <c r="W22" s="229">
        <f t="shared" si="102"/>
        <v>-1.8960000000000008</v>
      </c>
      <c r="X22" s="230">
        <f t="shared" si="103"/>
        <v>-20.966000000000001</v>
      </c>
      <c r="Y22" s="228">
        <f>Y104-X22</f>
        <v>-18.57</v>
      </c>
      <c r="Z22" s="228">
        <f t="shared" si="105"/>
        <v>-72.138999999999982</v>
      </c>
      <c r="AA22" s="229">
        <f t="shared" si="106"/>
        <v>-22.049000000000007</v>
      </c>
      <c r="AB22" s="230">
        <f t="shared" si="107"/>
        <v>14.484</v>
      </c>
      <c r="AC22" s="228">
        <f>AC104-AB22</f>
        <v>2.7870000000000008</v>
      </c>
      <c r="AD22" s="228">
        <f t="shared" si="70"/>
        <v>2.3550000000000004</v>
      </c>
      <c r="AE22" s="229">
        <f t="shared" si="109"/>
        <v>40.495000000000005</v>
      </c>
      <c r="AF22" s="230">
        <f t="shared" si="110"/>
        <v>11.137</v>
      </c>
      <c r="AG22" s="228">
        <f>AG104-AF22</f>
        <v>-10.462</v>
      </c>
      <c r="AH22" s="228">
        <f t="shared" si="71"/>
        <v>-21.693000000000001</v>
      </c>
      <c r="AI22" s="229">
        <f t="shared" si="112"/>
        <v>24.906999999999996</v>
      </c>
      <c r="AJ22" s="230">
        <f t="shared" si="113"/>
        <v>14.372999999999999</v>
      </c>
      <c r="AK22" s="228">
        <f>AK104-AJ22</f>
        <v>3.261000000000001</v>
      </c>
      <c r="AL22" s="228">
        <f t="shared" si="73"/>
        <v>-22.841999999999999</v>
      </c>
      <c r="AM22" s="229">
        <f t="shared" si="115"/>
        <v>-27.125</v>
      </c>
      <c r="AN22" s="230">
        <f t="shared" si="116"/>
        <v>-22.879000000000001</v>
      </c>
      <c r="AO22" s="228">
        <f>AO104-AN22</f>
        <v>-5.5299999999999976</v>
      </c>
      <c r="AP22" s="228">
        <f t="shared" si="75"/>
        <v>16.11</v>
      </c>
      <c r="AQ22" s="229">
        <f t="shared" si="118"/>
        <v>14.962999999999999</v>
      </c>
      <c r="AR22" s="230">
        <f t="shared" si="119"/>
        <v>9.1120000000000001</v>
      </c>
      <c r="AS22" s="228">
        <f>AS104-AR22</f>
        <v>9.0069999999999997</v>
      </c>
      <c r="AT22" s="228">
        <f t="shared" si="77"/>
        <v>16.930999999999997</v>
      </c>
      <c r="AU22" s="229">
        <f t="shared" si="121"/>
        <v>17.273000000000003</v>
      </c>
      <c r="AV22" s="230">
        <f t="shared" si="122"/>
        <v>-16.827999999999999</v>
      </c>
      <c r="AW22" s="228">
        <f>AW104-AV22</f>
        <v>-1.5809999999999995</v>
      </c>
      <c r="AX22" s="228">
        <f t="shared" si="79"/>
        <v>-8.8860000000000028</v>
      </c>
      <c r="AY22" s="228">
        <f t="shared" si="124"/>
        <v>-20.949000000000002</v>
      </c>
      <c r="AZ22" s="230">
        <f t="shared" si="125"/>
        <v>11.691000000000001</v>
      </c>
      <c r="BA22" s="228">
        <f>BA104-AZ22</f>
        <v>-0.18700000000000117</v>
      </c>
      <c r="BB22" s="228">
        <f t="shared" si="81"/>
        <v>-11.137</v>
      </c>
      <c r="BC22" s="229">
        <f>BS!BB14-BS!BC14</f>
        <v>-9.5440000000000111</v>
      </c>
      <c r="BD22" s="228">
        <f>BS!BC14-BS!BD14</f>
        <v>-0.34315663000000995</v>
      </c>
      <c r="BE22" s="228">
        <f>BS!BD14-BS!BE14</f>
        <v>-1.3410644306500501</v>
      </c>
      <c r="BF22" s="228">
        <f>BS!BE14-BS!BF14</f>
        <v>11.77601691387008</v>
      </c>
      <c r="BG22" s="229">
        <f>BS!BF14-BS!BG14</f>
        <v>-5.5734463466556292</v>
      </c>
      <c r="BH22" s="228">
        <f>BS!BG14-BS!BH14</f>
        <v>-7.7370411538664996</v>
      </c>
      <c r="BI22" s="228">
        <f>BS!BH14-BS!BI14</f>
        <v>-2.0755247374569592</v>
      </c>
      <c r="BJ22" s="228">
        <f>BS!BI14-BS!BJ14</f>
        <v>1.9917548526821633</v>
      </c>
      <c r="BK22" s="229">
        <f>BS!BJ14-BS!BK14</f>
        <v>-4.1639165932504341</v>
      </c>
      <c r="BL22" s="20"/>
      <c r="BM22" s="228">
        <f t="shared" si="127"/>
        <v>-15.307000000000002</v>
      </c>
      <c r="BN22" s="228">
        <f t="shared" si="128"/>
        <v>28.617000000000004</v>
      </c>
      <c r="BO22" s="228">
        <f t="shared" si="129"/>
        <v>43.646999999999998</v>
      </c>
      <c r="BP22" s="228">
        <f t="shared" si="130"/>
        <v>10.021999999999998</v>
      </c>
      <c r="BQ22" s="228">
        <f t="shared" si="131"/>
        <v>-10.779</v>
      </c>
      <c r="BR22" s="228">
        <f t="shared" si="132"/>
        <v>-133.72399999999999</v>
      </c>
      <c r="BS22" s="228">
        <f t="shared" si="133"/>
        <v>60.121000000000009</v>
      </c>
      <c r="BT22" s="228">
        <f t="shared" si="134"/>
        <v>3.8889999999999958</v>
      </c>
      <c r="BU22" s="228">
        <f t="shared" si="135"/>
        <v>-32.332999999999998</v>
      </c>
      <c r="BV22" s="228">
        <f t="shared" si="136"/>
        <v>2.6639999999999997</v>
      </c>
      <c r="BW22" s="228">
        <f t="shared" si="51"/>
        <v>52.323</v>
      </c>
      <c r="BX22" s="228">
        <f t="shared" si="52"/>
        <v>-48.244</v>
      </c>
      <c r="BY22" s="228">
        <f t="shared" si="53"/>
        <v>-9.177000000000012</v>
      </c>
      <c r="BZ22" s="228">
        <f t="shared" si="54"/>
        <v>4.518349506564391</v>
      </c>
      <c r="CA22" s="228">
        <f t="shared" si="55"/>
        <v>-11.98472763189173</v>
      </c>
      <c r="CB22" s="996">
        <f>BS!CA14-BS!CB14</f>
        <v>-17.044648726802137</v>
      </c>
      <c r="CC22" s="20"/>
      <c r="CD22" s="228">
        <f t="shared" si="137"/>
        <v>29.057000000000002</v>
      </c>
      <c r="CE22" s="228">
        <f t="shared" si="138"/>
        <v>52.488000000000007</v>
      </c>
      <c r="CF22" s="228">
        <f t="shared" si="139"/>
        <v>-17.725000000000009</v>
      </c>
      <c r="CG22" s="228">
        <f t="shared" si="140"/>
        <v>20.436</v>
      </c>
      <c r="CH22" s="228">
        <f t="shared" si="141"/>
        <v>-113.57099999999998</v>
      </c>
      <c r="CI22" s="228">
        <f t="shared" si="142"/>
        <v>-2.4230000000000054</v>
      </c>
      <c r="CJ22" s="228">
        <f t="shared" si="143"/>
        <v>19.477</v>
      </c>
      <c r="CK22" s="228">
        <f t="shared" si="144"/>
        <v>19.698999999999998</v>
      </c>
      <c r="CL22" s="228">
        <f t="shared" si="145"/>
        <v>-39.424000000000007</v>
      </c>
      <c r="CM22" s="228">
        <f t="shared" si="146"/>
        <v>50.012999999999998</v>
      </c>
      <c r="CN22" s="228">
        <f t="shared" si="147"/>
        <v>-10.021999999999998</v>
      </c>
      <c r="CO22" s="228">
        <f t="shared" si="148"/>
        <v>-20.582000000000001</v>
      </c>
      <c r="CP22" s="228">
        <f t="shared" si="149"/>
        <v>0.54779585322000912</v>
      </c>
      <c r="CQ22" s="229">
        <f t="shared" si="69"/>
        <v>-13.394257385296925</v>
      </c>
      <c r="CR22" s="770"/>
      <c r="CS22" s="889"/>
    </row>
    <row r="23" spans="1:97" ht="14.25" customHeight="1">
      <c r="A23" s="8"/>
      <c r="B23" s="55" t="str">
        <f t="shared" si="0"/>
        <v>Deferred income taxes</v>
      </c>
      <c r="C23" s="56"/>
      <c r="D23" s="230">
        <f t="shared" si="83"/>
        <v>-3.4769999999999999</v>
      </c>
      <c r="E23" s="228">
        <f t="shared" si="84"/>
        <v>1.569</v>
      </c>
      <c r="F23" s="228">
        <f t="shared" si="85"/>
        <v>-3.2710000000000004</v>
      </c>
      <c r="G23" s="229">
        <f t="shared" si="86"/>
        <v>3.2880000000000003</v>
      </c>
      <c r="H23" s="230">
        <f t="shared" si="87"/>
        <v>1.2410000000000001</v>
      </c>
      <c r="I23" s="228">
        <f t="shared" si="88"/>
        <v>3.1869999999999998</v>
      </c>
      <c r="J23" s="228">
        <f t="shared" si="89"/>
        <v>-24.317</v>
      </c>
      <c r="K23" s="229">
        <f t="shared" si="90"/>
        <v>23.420999999999999</v>
      </c>
      <c r="L23" s="230">
        <f t="shared" si="91"/>
        <v>18.704000000000001</v>
      </c>
      <c r="M23" s="228">
        <f t="shared" si="92"/>
        <v>9.5829999999999984</v>
      </c>
      <c r="N23" s="228">
        <f t="shared" si="93"/>
        <v>22.774000000000001</v>
      </c>
      <c r="O23" s="229">
        <f t="shared" si="94"/>
        <v>-51.951999999999998</v>
      </c>
      <c r="P23" s="230">
        <f t="shared" si="95"/>
        <v>25.196999999999999</v>
      </c>
      <c r="Q23" s="228">
        <f t="shared" si="96"/>
        <v>23.058000000000003</v>
      </c>
      <c r="R23" s="228">
        <f t="shared" si="97"/>
        <v>15.197999999999997</v>
      </c>
      <c r="S23" s="229">
        <f t="shared" si="98"/>
        <v>-73.09</v>
      </c>
      <c r="T23" s="230">
        <f t="shared" si="99"/>
        <v>9.8629999999999995</v>
      </c>
      <c r="U23" s="228">
        <f t="shared" si="100"/>
        <v>-10.625</v>
      </c>
      <c r="V23" s="228">
        <f t="shared" si="101"/>
        <v>36.069000000000003</v>
      </c>
      <c r="W23" s="229">
        <f t="shared" si="102"/>
        <v>-35.307000000000002</v>
      </c>
      <c r="X23" s="230">
        <f t="shared" si="103"/>
        <v>29.158999999999999</v>
      </c>
      <c r="Y23" s="228">
        <f t="shared" si="104"/>
        <v>32.856000000000002</v>
      </c>
      <c r="Z23" s="228">
        <f t="shared" si="105"/>
        <v>16.337000000000003</v>
      </c>
      <c r="AA23" s="229">
        <f t="shared" si="106"/>
        <v>-78.352000000000004</v>
      </c>
      <c r="AB23" s="230">
        <f t="shared" si="107"/>
        <v>16.02</v>
      </c>
      <c r="AC23" s="228">
        <f t="shared" si="108"/>
        <v>14.013999999999999</v>
      </c>
      <c r="AD23" s="228">
        <f t="shared" si="70"/>
        <v>23.137</v>
      </c>
      <c r="AE23" s="229">
        <f t="shared" si="109"/>
        <v>-53.170999999999992</v>
      </c>
      <c r="AF23" s="230">
        <f t="shared" si="110"/>
        <v>19.535</v>
      </c>
      <c r="AG23" s="228">
        <f t="shared" si="111"/>
        <v>16.364999999999998</v>
      </c>
      <c r="AH23" s="228">
        <f t="shared" si="71"/>
        <v>12.402000000000001</v>
      </c>
      <c r="AI23" s="229">
        <f t="shared" si="112"/>
        <v>-48.302</v>
      </c>
      <c r="AJ23" s="230">
        <f t="shared" si="113"/>
        <v>22.736000000000001</v>
      </c>
      <c r="AK23" s="228">
        <f t="shared" si="114"/>
        <v>21.017999999999997</v>
      </c>
      <c r="AL23" s="228">
        <f t="shared" si="73"/>
        <v>-43.753999999999998</v>
      </c>
      <c r="AM23" s="229">
        <f t="shared" si="115"/>
        <v>0</v>
      </c>
      <c r="AN23" s="230">
        <f t="shared" si="116"/>
        <v>5.7889999999999997</v>
      </c>
      <c r="AO23" s="228">
        <f t="shared" si="117"/>
        <v>-5.7889999999999997</v>
      </c>
      <c r="AP23" s="228">
        <f t="shared" si="75"/>
        <v>0</v>
      </c>
      <c r="AQ23" s="229">
        <f t="shared" si="118"/>
        <v>0</v>
      </c>
      <c r="AR23" s="230">
        <f t="shared" si="119"/>
        <v>0</v>
      </c>
      <c r="AS23" s="228">
        <f t="shared" si="120"/>
        <v>0</v>
      </c>
      <c r="AT23" s="228">
        <f t="shared" si="77"/>
        <v>0</v>
      </c>
      <c r="AU23" s="229">
        <f t="shared" si="121"/>
        <v>0</v>
      </c>
      <c r="AV23" s="230">
        <f t="shared" si="122"/>
        <v>0</v>
      </c>
      <c r="AW23" s="228">
        <f t="shared" si="123"/>
        <v>0</v>
      </c>
      <c r="AX23" s="228">
        <f t="shared" si="79"/>
        <v>0</v>
      </c>
      <c r="AY23" s="228">
        <f t="shared" si="124"/>
        <v>0</v>
      </c>
      <c r="AZ23" s="230">
        <f t="shared" si="125"/>
        <v>0</v>
      </c>
      <c r="BA23" s="228">
        <f t="shared" si="126"/>
        <v>0</v>
      </c>
      <c r="BB23" s="228">
        <f t="shared" si="81"/>
        <v>0</v>
      </c>
      <c r="BC23" s="229">
        <f>BS!BB15-BS!BC15</f>
        <v>0</v>
      </c>
      <c r="BD23" s="228">
        <f>BS!BC15-BS!BD15</f>
        <v>0</v>
      </c>
      <c r="BE23" s="228">
        <f>BS!BD15-BS!BE15</f>
        <v>0</v>
      </c>
      <c r="BF23" s="228">
        <f>BS!BE15-BS!BF15</f>
        <v>0</v>
      </c>
      <c r="BG23" s="229">
        <f>BS!BF15-BS!BG15</f>
        <v>0</v>
      </c>
      <c r="BH23" s="228">
        <f>BS!BG15-BS!BH15</f>
        <v>0</v>
      </c>
      <c r="BI23" s="228">
        <f>BS!BH15-BS!BI15</f>
        <v>0</v>
      </c>
      <c r="BJ23" s="228">
        <f>BS!BI15-BS!BJ15</f>
        <v>0</v>
      </c>
      <c r="BK23" s="229">
        <f>BS!BJ15-BS!BK15</f>
        <v>0</v>
      </c>
      <c r="BL23" s="20"/>
      <c r="BM23" s="228">
        <f t="shared" si="127"/>
        <v>-1.891</v>
      </c>
      <c r="BN23" s="228">
        <f t="shared" si="128"/>
        <v>3.532</v>
      </c>
      <c r="BO23" s="228">
        <f t="shared" si="129"/>
        <v>-0.89099999999999824</v>
      </c>
      <c r="BP23" s="228">
        <f t="shared" si="130"/>
        <v>-9.6370000000000005</v>
      </c>
      <c r="BQ23" s="228">
        <f t="shared" si="131"/>
        <v>0</v>
      </c>
      <c r="BR23" s="228">
        <f t="shared" si="132"/>
        <v>0</v>
      </c>
      <c r="BS23" s="228">
        <f t="shared" si="133"/>
        <v>0</v>
      </c>
      <c r="BT23" s="228">
        <f t="shared" si="134"/>
        <v>0</v>
      </c>
      <c r="BU23" s="228">
        <f t="shared" si="135"/>
        <v>0</v>
      </c>
      <c r="BV23" s="228">
        <f t="shared" si="136"/>
        <v>0</v>
      </c>
      <c r="BW23" s="228">
        <f t="shared" si="51"/>
        <v>0</v>
      </c>
      <c r="BX23" s="228">
        <f t="shared" si="52"/>
        <v>0</v>
      </c>
      <c r="BY23" s="228">
        <f t="shared" si="53"/>
        <v>0</v>
      </c>
      <c r="BZ23" s="228">
        <f t="shared" si="54"/>
        <v>0</v>
      </c>
      <c r="CA23" s="228">
        <f t="shared" si="55"/>
        <v>0</v>
      </c>
      <c r="CB23" s="996">
        <f>BS!CA15-BS!CB15</f>
        <v>0</v>
      </c>
      <c r="CC23" s="20"/>
      <c r="CD23" s="228">
        <f t="shared" si="137"/>
        <v>-16.600999999999999</v>
      </c>
      <c r="CE23" s="228">
        <f t="shared" si="138"/>
        <v>74.481999999999999</v>
      </c>
      <c r="CF23" s="228">
        <f t="shared" si="139"/>
        <v>11.501000000000001</v>
      </c>
      <c r="CG23" s="228">
        <f t="shared" si="140"/>
        <v>-37.783000000000001</v>
      </c>
      <c r="CH23" s="228">
        <f t="shared" si="141"/>
        <v>43.045000000000002</v>
      </c>
      <c r="CI23" s="228">
        <f t="shared" si="142"/>
        <v>-25.181000000000012</v>
      </c>
      <c r="CJ23" s="228">
        <f t="shared" si="143"/>
        <v>-4.8689999999999962</v>
      </c>
      <c r="CK23" s="228">
        <f t="shared" si="144"/>
        <v>-48.302</v>
      </c>
      <c r="CL23" s="228">
        <f t="shared" si="145"/>
        <v>0</v>
      </c>
      <c r="CM23" s="228">
        <f t="shared" si="146"/>
        <v>0</v>
      </c>
      <c r="CN23" s="228">
        <f t="shared" si="147"/>
        <v>0</v>
      </c>
      <c r="CO23" s="228">
        <f t="shared" si="148"/>
        <v>0</v>
      </c>
      <c r="CP23" s="228">
        <f t="shared" si="149"/>
        <v>0</v>
      </c>
      <c r="CQ23" s="229">
        <f t="shared" si="69"/>
        <v>0</v>
      </c>
      <c r="CR23" s="770"/>
      <c r="CS23" s="889"/>
    </row>
    <row r="24" spans="1:97" ht="14.25" customHeight="1">
      <c r="A24" s="8"/>
      <c r="B24" s="55" t="str">
        <f t="shared" si="0"/>
        <v>Prepaid expenses and other current assets</v>
      </c>
      <c r="C24" s="56"/>
      <c r="D24" s="230">
        <f t="shared" si="83"/>
        <v>-3.5760000000000001</v>
      </c>
      <c r="E24" s="228">
        <f t="shared" si="84"/>
        <v>-30.014000000000003</v>
      </c>
      <c r="F24" s="228">
        <f t="shared" si="85"/>
        <v>-4.5399999999999991</v>
      </c>
      <c r="G24" s="229">
        <f t="shared" si="86"/>
        <v>3.2330000000000036</v>
      </c>
      <c r="H24" s="230">
        <f t="shared" si="87"/>
        <v>-3.8170000000000002</v>
      </c>
      <c r="I24" s="228">
        <f t="shared" si="88"/>
        <v>16.05</v>
      </c>
      <c r="J24" s="228">
        <f t="shared" si="89"/>
        <v>9.8709999999999987</v>
      </c>
      <c r="K24" s="229">
        <f t="shared" si="90"/>
        <v>13.548000000000002</v>
      </c>
      <c r="L24" s="230">
        <f t="shared" si="91"/>
        <v>2.847</v>
      </c>
      <c r="M24" s="228">
        <f t="shared" si="92"/>
        <v>8.2010000000000005</v>
      </c>
      <c r="N24" s="228">
        <f t="shared" si="93"/>
        <v>10.569999999999999</v>
      </c>
      <c r="O24" s="229">
        <f t="shared" si="94"/>
        <v>13.541999999999996</v>
      </c>
      <c r="P24" s="230">
        <f t="shared" si="95"/>
        <v>-14.888</v>
      </c>
      <c r="Q24" s="228">
        <f t="shared" si="96"/>
        <v>-12.157999999999999</v>
      </c>
      <c r="R24" s="228">
        <f t="shared" si="97"/>
        <v>33.225999999999999</v>
      </c>
      <c r="S24" s="229">
        <f t="shared" si="98"/>
        <v>4.1289999999999978</v>
      </c>
      <c r="T24" s="230">
        <f t="shared" si="99"/>
        <v>-22.201000000000001</v>
      </c>
      <c r="U24" s="228">
        <f t="shared" si="100"/>
        <v>20.411000000000001</v>
      </c>
      <c r="V24" s="228">
        <f t="shared" si="101"/>
        <v>-3.4819999999999993</v>
      </c>
      <c r="W24" s="229">
        <f t="shared" si="102"/>
        <v>-3.902000000000001</v>
      </c>
      <c r="X24" s="230">
        <f t="shared" si="103"/>
        <v>-41.290999999999997</v>
      </c>
      <c r="Y24" s="228">
        <f t="shared" si="104"/>
        <v>32.024999999999999</v>
      </c>
      <c r="Z24" s="228">
        <f t="shared" si="105"/>
        <v>4.2639999999999958</v>
      </c>
      <c r="AA24" s="229">
        <f t="shared" si="106"/>
        <v>0.14800000000000324</v>
      </c>
      <c r="AB24" s="230">
        <f t="shared" si="107"/>
        <v>-7.7460000000000004</v>
      </c>
      <c r="AC24" s="228">
        <f t="shared" si="108"/>
        <v>8.7000000000000632E-2</v>
      </c>
      <c r="AD24" s="228">
        <f t="shared" si="70"/>
        <v>2.1609999999999996</v>
      </c>
      <c r="AE24" s="229">
        <f t="shared" si="109"/>
        <v>-1.9030000000000005</v>
      </c>
      <c r="AF24" s="230">
        <f t="shared" si="110"/>
        <v>2.6480000000000001</v>
      </c>
      <c r="AG24" s="228">
        <f t="shared" si="111"/>
        <v>3.2829999999999999</v>
      </c>
      <c r="AH24" s="228">
        <f t="shared" si="71"/>
        <v>-0.91000000000000014</v>
      </c>
      <c r="AI24" s="229">
        <f t="shared" si="112"/>
        <v>-2.0999999999999908E-2</v>
      </c>
      <c r="AJ24" s="230">
        <f t="shared" si="113"/>
        <v>-1.05</v>
      </c>
      <c r="AK24" s="228">
        <f t="shared" si="114"/>
        <v>-5.617</v>
      </c>
      <c r="AL24" s="228">
        <f t="shared" si="73"/>
        <v>-1.2620000000000005</v>
      </c>
      <c r="AM24" s="229">
        <f t="shared" si="115"/>
        <v>3.1750000000000007</v>
      </c>
      <c r="AN24" s="230">
        <f t="shared" si="116"/>
        <v>-4.7510000000000003</v>
      </c>
      <c r="AO24" s="228">
        <f t="shared" si="117"/>
        <v>-8.4989999999999988</v>
      </c>
      <c r="AP24" s="228">
        <f t="shared" si="75"/>
        <v>1.5470000000000006</v>
      </c>
      <c r="AQ24" s="229">
        <f t="shared" si="118"/>
        <v>-1.4150000000000018</v>
      </c>
      <c r="AR24" s="230">
        <f t="shared" si="119"/>
        <v>-0.34699999999999998</v>
      </c>
      <c r="AS24" s="228">
        <f t="shared" si="120"/>
        <v>-8.7040000000000006</v>
      </c>
      <c r="AT24" s="228">
        <f t="shared" si="77"/>
        <v>8.9030000000000005</v>
      </c>
      <c r="AU24" s="229">
        <f t="shared" si="121"/>
        <v>-1.1129999999999991</v>
      </c>
      <c r="AV24" s="230">
        <f t="shared" si="122"/>
        <v>3.044</v>
      </c>
      <c r="AW24" s="228">
        <f t="shared" si="123"/>
        <v>-6.8090000000000002</v>
      </c>
      <c r="AX24" s="228">
        <f t="shared" si="79"/>
        <v>-4.8539999999999992</v>
      </c>
      <c r="AY24" s="228">
        <f t="shared" si="124"/>
        <v>7.6189999999999998</v>
      </c>
      <c r="AZ24" s="230">
        <f t="shared" si="125"/>
        <v>-5.0229999999999997</v>
      </c>
      <c r="BA24" s="228">
        <f t="shared" si="126"/>
        <v>-13.36</v>
      </c>
      <c r="BB24" s="228">
        <f t="shared" si="81"/>
        <v>9.7269999999999985</v>
      </c>
      <c r="BC24" s="229">
        <f>-BS!BC20+BS!BB20+BS!BC59-BS!BB59+BS!BB16-BS!BC16</f>
        <v>1.1800000000002484</v>
      </c>
      <c r="BD24" s="228">
        <f>-BS!BD20+BS!BC20+BS!BD59-BS!BC59+BS!BC16-BS!BD16</f>
        <v>0</v>
      </c>
      <c r="BE24" s="228">
        <f>-BS!BE20+BS!BD20+BS!BE59-BS!BD59+BS!BD16-BS!BE16</f>
        <v>0</v>
      </c>
      <c r="BF24" s="228">
        <f>-BS!BF20+BS!BE20+BS!BF59-BS!BE59+BS!BE16-BS!BF16</f>
        <v>0</v>
      </c>
      <c r="BG24" s="229">
        <f>-BS!BG20+BS!BF20+BS!BG59-BS!BF59+BS!BF16-BS!BG16</f>
        <v>0</v>
      </c>
      <c r="BH24" s="228">
        <f>-BS!BH20+BS!BG20+BS!BH59-BS!BG59+BS!BG16-BS!BH16</f>
        <v>0</v>
      </c>
      <c r="BI24" s="228">
        <f>-BS!BI20+BS!BH20+BS!BI59-BS!BH59+BS!BH16-BS!BI16</f>
        <v>0</v>
      </c>
      <c r="BJ24" s="228">
        <f>-BS!BJ20+BS!BI20+BS!BJ59-BS!BI59+BS!BI16-BS!BJ16</f>
        <v>0</v>
      </c>
      <c r="BK24" s="229">
        <f>-BS!BK20+BS!BJ20+BS!BK59-BS!BJ59+BS!BJ16-BS!BK16</f>
        <v>0</v>
      </c>
      <c r="BL24" s="20"/>
      <c r="BM24" s="228">
        <f t="shared" si="127"/>
        <v>-34.896999999999998</v>
      </c>
      <c r="BN24" s="228">
        <f t="shared" si="128"/>
        <v>35.652000000000001</v>
      </c>
      <c r="BO24" s="228">
        <f t="shared" si="129"/>
        <v>35.159999999999997</v>
      </c>
      <c r="BP24" s="228">
        <f t="shared" si="130"/>
        <v>10.308999999999997</v>
      </c>
      <c r="BQ24" s="228">
        <f t="shared" si="131"/>
        <v>-9.1739999999999995</v>
      </c>
      <c r="BR24" s="228">
        <f t="shared" si="132"/>
        <v>-4.8539999999999992</v>
      </c>
      <c r="BS24" s="228">
        <f t="shared" si="133"/>
        <v>-7.4010000000000007</v>
      </c>
      <c r="BT24" s="228">
        <f t="shared" si="134"/>
        <v>5</v>
      </c>
      <c r="BU24" s="228">
        <f t="shared" si="135"/>
        <v>-4.7539999999999996</v>
      </c>
      <c r="BV24" s="228">
        <f t="shared" si="136"/>
        <v>-13.118000000000002</v>
      </c>
      <c r="BW24" s="228">
        <f t="shared" si="51"/>
        <v>-1.2609999999999988</v>
      </c>
      <c r="BX24" s="228">
        <f t="shared" si="52"/>
        <v>-1</v>
      </c>
      <c r="BY24" s="228">
        <f t="shared" si="53"/>
        <v>-7.4759999999997522</v>
      </c>
      <c r="BZ24" s="228">
        <f t="shared" si="54"/>
        <v>0</v>
      </c>
      <c r="CA24" s="228">
        <f t="shared" si="55"/>
        <v>0</v>
      </c>
      <c r="CB24" s="996">
        <f>-BS!CB20+BS!CA20+BS!CB59-BS!CA59+BS!CA16-BS!CB16</f>
        <v>0</v>
      </c>
      <c r="CC24" s="20"/>
      <c r="CD24" s="228">
        <f t="shared" si="137"/>
        <v>25.337000000000003</v>
      </c>
      <c r="CE24" s="228">
        <f t="shared" si="138"/>
        <v>35.166000000000004</v>
      </c>
      <c r="CF24" s="228">
        <f t="shared" si="139"/>
        <v>19.721999999999994</v>
      </c>
      <c r="CG24" s="228">
        <f t="shared" si="140"/>
        <v>-1.1430000000000007</v>
      </c>
      <c r="CH24" s="228">
        <f t="shared" si="141"/>
        <v>-8.9040000000000035</v>
      </c>
      <c r="CI24" s="228">
        <f t="shared" si="142"/>
        <v>-5.349999999999997</v>
      </c>
      <c r="CJ24" s="228">
        <f t="shared" si="143"/>
        <v>3.1179999999999994</v>
      </c>
      <c r="CK24" s="228">
        <f t="shared" si="144"/>
        <v>-7.95</v>
      </c>
      <c r="CL24" s="228">
        <f t="shared" si="145"/>
        <v>-8.5279999999999987</v>
      </c>
      <c r="CM24" s="228">
        <f t="shared" si="146"/>
        <v>-1.5630000000000024</v>
      </c>
      <c r="CN24" s="228">
        <f t="shared" si="147"/>
        <v>-9.7319999999999993</v>
      </c>
      <c r="CO24" s="228">
        <f t="shared" si="148"/>
        <v>-1.0370000000000008</v>
      </c>
      <c r="CP24" s="228">
        <f t="shared" si="149"/>
        <v>1.1800000000002484</v>
      </c>
      <c r="CQ24" s="229">
        <f t="shared" si="69"/>
        <v>0</v>
      </c>
      <c r="CR24" s="770"/>
      <c r="CS24" s="889"/>
    </row>
    <row r="25" spans="1:97" ht="14.25" customHeight="1">
      <c r="A25" s="8"/>
      <c r="B25" s="55" t="str">
        <f t="shared" si="0"/>
        <v>Other assets</v>
      </c>
      <c r="C25" s="56"/>
      <c r="D25" s="230">
        <f t="shared" si="83"/>
        <v>-12.503</v>
      </c>
      <c r="E25" s="228">
        <f t="shared" si="84"/>
        <v>-46.054000000000002</v>
      </c>
      <c r="F25" s="228">
        <f t="shared" si="85"/>
        <v>10.792999999999999</v>
      </c>
      <c r="G25" s="229">
        <f t="shared" si="86"/>
        <v>17.853999999999999</v>
      </c>
      <c r="H25" s="230">
        <f t="shared" si="87"/>
        <v>-1.218</v>
      </c>
      <c r="I25" s="228">
        <f t="shared" si="88"/>
        <v>-6.6820000000000004</v>
      </c>
      <c r="J25" s="228">
        <f t="shared" si="89"/>
        <v>-9.859</v>
      </c>
      <c r="K25" s="229">
        <f t="shared" si="90"/>
        <v>2.1230000000000011</v>
      </c>
      <c r="L25" s="230">
        <f t="shared" si="91"/>
        <v>-1.6659999999999999</v>
      </c>
      <c r="M25" s="228">
        <f t="shared" si="92"/>
        <v>-1.0289999999999999</v>
      </c>
      <c r="N25" s="228">
        <f t="shared" si="93"/>
        <v>-7.34</v>
      </c>
      <c r="O25" s="229">
        <f t="shared" si="94"/>
        <v>14.439</v>
      </c>
      <c r="P25" s="230">
        <f t="shared" si="95"/>
        <v>-7.5549999999999997</v>
      </c>
      <c r="Q25" s="228">
        <f t="shared" si="96"/>
        <v>-4.9060000000000006</v>
      </c>
      <c r="R25" s="228">
        <f t="shared" si="97"/>
        <v>-2.7590000000000003</v>
      </c>
      <c r="S25" s="229">
        <f t="shared" si="98"/>
        <v>-2.2059999999999977</v>
      </c>
      <c r="T25" s="230">
        <f t="shared" si="99"/>
        <v>33.909999999999997</v>
      </c>
      <c r="U25" s="228">
        <f t="shared" si="100"/>
        <v>-3.3329999999999949</v>
      </c>
      <c r="V25" s="228">
        <f t="shared" si="101"/>
        <v>-5.5350000000000001</v>
      </c>
      <c r="W25" s="229">
        <f t="shared" si="102"/>
        <v>-40.383000000000003</v>
      </c>
      <c r="X25" s="230">
        <f t="shared" si="103"/>
        <v>35.929000000000002</v>
      </c>
      <c r="Y25" s="228">
        <f t="shared" si="104"/>
        <v>-29.800000000000004</v>
      </c>
      <c r="Z25" s="228">
        <f t="shared" si="105"/>
        <v>1.2280000000000015</v>
      </c>
      <c r="AA25" s="229">
        <f t="shared" si="106"/>
        <v>-8.1980000000000004</v>
      </c>
      <c r="AB25" s="230">
        <f t="shared" si="107"/>
        <v>-3.2040000000000002</v>
      </c>
      <c r="AC25" s="228">
        <f t="shared" si="108"/>
        <v>12.566000000000001</v>
      </c>
      <c r="AD25" s="228">
        <f t="shared" si="70"/>
        <v>-4.9909999999999997</v>
      </c>
      <c r="AE25" s="229">
        <f t="shared" si="109"/>
        <v>-2.9440000000000013</v>
      </c>
      <c r="AF25" s="230">
        <f t="shared" si="110"/>
        <v>0.16300000000000001</v>
      </c>
      <c r="AG25" s="228">
        <f t="shared" si="111"/>
        <v>-1.913</v>
      </c>
      <c r="AH25" s="228">
        <f t="shared" si="71"/>
        <v>-4.4580000000000002</v>
      </c>
      <c r="AI25" s="229">
        <f t="shared" si="112"/>
        <v>-7.7240000000000002</v>
      </c>
      <c r="AJ25" s="230">
        <f t="shared" si="113"/>
        <v>-5.0199999999999996</v>
      </c>
      <c r="AK25" s="228">
        <f t="shared" si="114"/>
        <v>-1.9960000000000004</v>
      </c>
      <c r="AL25" s="228">
        <f t="shared" si="73"/>
        <v>-8.6790000000000003</v>
      </c>
      <c r="AM25" s="229">
        <f t="shared" si="115"/>
        <v>-5.6400000000000006</v>
      </c>
      <c r="AN25" s="230">
        <f t="shared" si="116"/>
        <v>-5.1879999999999997</v>
      </c>
      <c r="AO25" s="228">
        <f t="shared" si="117"/>
        <v>2.3169999999999997</v>
      </c>
      <c r="AP25" s="228">
        <f t="shared" si="75"/>
        <v>2.5489999999999999</v>
      </c>
      <c r="AQ25" s="229">
        <f t="shared" si="118"/>
        <v>-0.20900000000000052</v>
      </c>
      <c r="AR25" s="230">
        <f t="shared" si="119"/>
        <v>-2.843</v>
      </c>
      <c r="AS25" s="228">
        <f t="shared" si="120"/>
        <v>-0.2629999999999999</v>
      </c>
      <c r="AT25" s="228">
        <f t="shared" si="77"/>
        <v>-0.18500000000000005</v>
      </c>
      <c r="AU25" s="229">
        <f t="shared" si="121"/>
        <v>-8.6539999999999999</v>
      </c>
      <c r="AV25" s="230">
        <f t="shared" si="122"/>
        <v>-3.5720000000000001</v>
      </c>
      <c r="AW25" s="228">
        <f t="shared" si="123"/>
        <v>-1.4639999999999995</v>
      </c>
      <c r="AX25" s="228">
        <f t="shared" si="79"/>
        <v>-6.1240000000000006</v>
      </c>
      <c r="AY25" s="228">
        <f t="shared" si="124"/>
        <v>-9.3969999999999985</v>
      </c>
      <c r="AZ25" s="230">
        <f t="shared" si="125"/>
        <v>-8.69</v>
      </c>
      <c r="BA25" s="228">
        <f t="shared" si="126"/>
        <v>-3.9550000000000001</v>
      </c>
      <c r="BB25" s="228">
        <f t="shared" si="81"/>
        <v>-14.647000000000002</v>
      </c>
      <c r="BC25" s="229">
        <f>BS!BB21-BS!BC21+BS!BB22-BS!BC22+BS!BB23-BS!BC23</f>
        <v>6.1890000000000214</v>
      </c>
      <c r="BD25" s="228">
        <f>BS!BC21-BS!BD21+BS!BC22-BS!BD22+BS!BC23-BS!BD23</f>
        <v>0</v>
      </c>
      <c r="BE25" s="228">
        <f>BS!BD21-BS!BE21+BS!BD22-BS!BE22+BS!BD23-BS!BE23</f>
        <v>0</v>
      </c>
      <c r="BF25" s="228">
        <f>BS!BE21-BS!BF21+BS!BE22-BS!BF22+BS!BE23-BS!BF23</f>
        <v>0</v>
      </c>
      <c r="BG25" s="229">
        <f>BS!BF21-BS!BG21+BS!BF22-BS!BG22+BS!BF23-BS!BG23</f>
        <v>0</v>
      </c>
      <c r="BH25" s="228">
        <f>BS!BG21-BS!BH21+BS!BG22-BS!BH22+BS!BG23-BS!BH23</f>
        <v>0</v>
      </c>
      <c r="BI25" s="228">
        <f>BS!BH21-BS!BI21+BS!BH22-BS!BI22+BS!BH23-BS!BI23</f>
        <v>0</v>
      </c>
      <c r="BJ25" s="228">
        <f>BS!BI21-BS!BJ21+BS!BI22-BS!BJ22+BS!BI23-BS!BJ23</f>
        <v>0</v>
      </c>
      <c r="BK25" s="229">
        <f>BS!BJ21-BS!BK21+BS!BJ22-BS!BK22+BS!BJ23-BS!BK23</f>
        <v>0</v>
      </c>
      <c r="BL25" s="20"/>
      <c r="BM25" s="228">
        <f t="shared" si="127"/>
        <v>-29.910000000000004</v>
      </c>
      <c r="BN25" s="228">
        <f t="shared" si="128"/>
        <v>-15.635999999999999</v>
      </c>
      <c r="BO25" s="228">
        <f t="shared" si="129"/>
        <v>4.4039999999999999</v>
      </c>
      <c r="BP25" s="228">
        <f t="shared" si="130"/>
        <v>-17.425999999999998</v>
      </c>
      <c r="BQ25" s="228">
        <f t="shared" si="131"/>
        <v>-15.341000000000001</v>
      </c>
      <c r="BR25" s="228">
        <f t="shared" si="132"/>
        <v>-0.84100000000000108</v>
      </c>
      <c r="BS25" s="228">
        <f t="shared" si="133"/>
        <v>1.4269999999999992</v>
      </c>
      <c r="BT25" s="228">
        <f t="shared" si="134"/>
        <v>-13.932</v>
      </c>
      <c r="BU25" s="228">
        <f t="shared" si="135"/>
        <v>-21.335000000000001</v>
      </c>
      <c r="BV25" s="228">
        <f t="shared" si="136"/>
        <v>-0.53100000000000058</v>
      </c>
      <c r="BW25" s="228">
        <f t="shared" si="51"/>
        <v>-11.945</v>
      </c>
      <c r="BX25" s="228">
        <f t="shared" si="52"/>
        <v>-20.556999999999999</v>
      </c>
      <c r="BY25" s="228">
        <f t="shared" si="53"/>
        <v>-21.10299999999998</v>
      </c>
      <c r="BZ25" s="228">
        <f t="shared" si="54"/>
        <v>0</v>
      </c>
      <c r="CA25" s="228">
        <f t="shared" si="55"/>
        <v>0</v>
      </c>
      <c r="CB25" s="996">
        <f>BS!CA12-BS!CB12+BS!CA21-BS!CB21+BS!CA22-BS!CB22+BS!CA23-BS!CB23</f>
        <v>0</v>
      </c>
      <c r="CC25" s="20"/>
      <c r="CD25" s="228">
        <f t="shared" si="137"/>
        <v>9.4999999999998863E-2</v>
      </c>
      <c r="CE25" s="228">
        <f t="shared" si="138"/>
        <v>-7.911999999999999</v>
      </c>
      <c r="CF25" s="228">
        <f t="shared" si="139"/>
        <v>-0.78100000000000058</v>
      </c>
      <c r="CG25" s="228">
        <f t="shared" si="140"/>
        <v>22.836000000000006</v>
      </c>
      <c r="CH25" s="228">
        <f t="shared" si="141"/>
        <v>-33.026000000000003</v>
      </c>
      <c r="CI25" s="228">
        <f t="shared" si="142"/>
        <v>-3.827</v>
      </c>
      <c r="CJ25" s="228">
        <f t="shared" si="143"/>
        <v>-9.152000000000001</v>
      </c>
      <c r="CK25" s="228">
        <f t="shared" si="144"/>
        <v>-23.419</v>
      </c>
      <c r="CL25" s="228">
        <f t="shared" si="145"/>
        <v>-5.9619999999999997</v>
      </c>
      <c r="CM25" s="228">
        <f t="shared" si="146"/>
        <v>-3.5000000000000004</v>
      </c>
      <c r="CN25" s="228">
        <f t="shared" si="147"/>
        <v>-19.814</v>
      </c>
      <c r="CO25" s="228">
        <f t="shared" si="148"/>
        <v>-36.688999999999993</v>
      </c>
      <c r="CP25" s="228">
        <f t="shared" si="149"/>
        <v>6.1890000000000214</v>
      </c>
      <c r="CQ25" s="229">
        <f t="shared" si="69"/>
        <v>0</v>
      </c>
      <c r="CR25" s="770"/>
      <c r="CS25" s="889"/>
    </row>
    <row r="26" spans="1:97" ht="14.25" customHeight="1">
      <c r="A26" s="8"/>
      <c r="B26" s="55" t="str">
        <f t="shared" si="0"/>
        <v>Accounts payable</v>
      </c>
      <c r="C26" s="56"/>
      <c r="D26" s="230">
        <f t="shared" si="83"/>
        <v>13.260999999999999</v>
      </c>
      <c r="E26" s="228">
        <f t="shared" si="84"/>
        <v>13.782</v>
      </c>
      <c r="F26" s="228">
        <f t="shared" si="85"/>
        <v>-11.404999999999999</v>
      </c>
      <c r="G26" s="229">
        <f t="shared" si="86"/>
        <v>-7.8269999999999982</v>
      </c>
      <c r="H26" s="230">
        <f t="shared" si="87"/>
        <v>1.5289999999999999</v>
      </c>
      <c r="I26" s="228">
        <f t="shared" si="88"/>
        <v>1.2970000000000002</v>
      </c>
      <c r="J26" s="228">
        <f t="shared" si="89"/>
        <v>-13.759</v>
      </c>
      <c r="K26" s="229">
        <f t="shared" si="90"/>
        <v>18.841000000000001</v>
      </c>
      <c r="L26" s="230">
        <f t="shared" si="91"/>
        <v>-19.042999999999999</v>
      </c>
      <c r="M26" s="228">
        <f t="shared" si="92"/>
        <v>18.347999999999999</v>
      </c>
      <c r="N26" s="228">
        <f t="shared" si="93"/>
        <v>-0.48300000000000054</v>
      </c>
      <c r="O26" s="229">
        <f t="shared" si="94"/>
        <v>-18.330999999999996</v>
      </c>
      <c r="P26" s="230">
        <f t="shared" si="95"/>
        <v>4.4649999999999999</v>
      </c>
      <c r="Q26" s="228">
        <f t="shared" si="96"/>
        <v>19.02</v>
      </c>
      <c r="R26" s="228">
        <f t="shared" si="97"/>
        <v>-29.480999999999998</v>
      </c>
      <c r="S26" s="229">
        <f t="shared" si="98"/>
        <v>-5.2050000000000018</v>
      </c>
      <c r="T26" s="230">
        <f t="shared" si="99"/>
        <v>20.247</v>
      </c>
      <c r="U26" s="228">
        <f t="shared" si="100"/>
        <v>23.718000000000004</v>
      </c>
      <c r="V26" s="228">
        <f t="shared" si="101"/>
        <v>16.284999999999997</v>
      </c>
      <c r="W26" s="229">
        <f t="shared" si="102"/>
        <v>-12.283000000000001</v>
      </c>
      <c r="X26" s="230">
        <f t="shared" si="103"/>
        <v>26.193000000000001</v>
      </c>
      <c r="Y26" s="228">
        <f t="shared" si="104"/>
        <v>8.6459999999999972</v>
      </c>
      <c r="Z26" s="228">
        <f t="shared" si="105"/>
        <v>16.151999999999997</v>
      </c>
      <c r="AA26" s="229">
        <f t="shared" si="106"/>
        <v>-48.158000000000001</v>
      </c>
      <c r="AB26" s="230">
        <f t="shared" si="107"/>
        <v>-12.843</v>
      </c>
      <c r="AC26" s="228">
        <f t="shared" si="108"/>
        <v>-2.2240000000000002</v>
      </c>
      <c r="AD26" s="228">
        <f t="shared" si="70"/>
        <v>14.667999999999999</v>
      </c>
      <c r="AE26" s="229">
        <f t="shared" si="109"/>
        <v>-20.241000000000003</v>
      </c>
      <c r="AF26" s="230">
        <f t="shared" si="110"/>
        <v>23.065000000000001</v>
      </c>
      <c r="AG26" s="228">
        <f t="shared" si="111"/>
        <v>-5.2000000000000028</v>
      </c>
      <c r="AH26" s="228">
        <f t="shared" si="71"/>
        <v>2.088000000000001</v>
      </c>
      <c r="AI26" s="229">
        <f t="shared" si="112"/>
        <v>-25.798999999999999</v>
      </c>
      <c r="AJ26" s="230">
        <f t="shared" si="113"/>
        <v>-3.5249999999999999</v>
      </c>
      <c r="AK26" s="228">
        <f t="shared" si="114"/>
        <v>19.706</v>
      </c>
      <c r="AL26" s="228">
        <f t="shared" si="73"/>
        <v>1.1759999999999984</v>
      </c>
      <c r="AM26" s="229">
        <f t="shared" si="115"/>
        <v>59.571999999999996</v>
      </c>
      <c r="AN26" s="230">
        <f t="shared" si="116"/>
        <v>-50.122999999999998</v>
      </c>
      <c r="AO26" s="228">
        <f t="shared" si="117"/>
        <v>6.1169999999999973</v>
      </c>
      <c r="AP26" s="228">
        <f t="shared" si="75"/>
        <v>-47.457999999999998</v>
      </c>
      <c r="AQ26" s="229">
        <f t="shared" si="118"/>
        <v>21.881</v>
      </c>
      <c r="AR26" s="230">
        <f t="shared" si="119"/>
        <v>1.784</v>
      </c>
      <c r="AS26" s="228">
        <f t="shared" si="120"/>
        <v>-6.6179999999999994</v>
      </c>
      <c r="AT26" s="228">
        <f t="shared" si="77"/>
        <v>-0.67700000000000049</v>
      </c>
      <c r="AU26" s="229">
        <f t="shared" si="121"/>
        <v>26.933</v>
      </c>
      <c r="AV26" s="230">
        <f t="shared" si="122"/>
        <v>11.784000000000001</v>
      </c>
      <c r="AW26" s="228">
        <f t="shared" si="123"/>
        <v>-10.083</v>
      </c>
      <c r="AX26" s="228">
        <f t="shared" si="79"/>
        <v>13.052999999999999</v>
      </c>
      <c r="AY26" s="228">
        <f t="shared" si="124"/>
        <v>-3.770999999999999</v>
      </c>
      <c r="AZ26" s="230">
        <f t="shared" si="125"/>
        <v>-3.0489999999999999</v>
      </c>
      <c r="BA26" s="228">
        <f t="shared" si="126"/>
        <v>-17.536000000000001</v>
      </c>
      <c r="BB26" s="228">
        <f t="shared" si="81"/>
        <v>1.6189999999999998</v>
      </c>
      <c r="BC26" s="229">
        <f>BS!BC28-BS!BB28</f>
        <v>109.208</v>
      </c>
      <c r="BD26" s="228">
        <f>BS!BD28-BS!BC28</f>
        <v>-68.69876764</v>
      </c>
      <c r="BE26" s="228">
        <f>BS!BE28-BS!BD28</f>
        <v>0.76632253180002863</v>
      </c>
      <c r="BF26" s="228">
        <f>BS!BF28-BS!BE28</f>
        <v>-0.27243240373204003</v>
      </c>
      <c r="BG26" s="229">
        <f>BS!BG28-BS!BF28</f>
        <v>3.3440678079933832</v>
      </c>
      <c r="BH26" s="228">
        <f>BS!BH28-BS!BG28</f>
        <v>-7.3225598900451985</v>
      </c>
      <c r="BI26" s="228">
        <f>BS!BI28-BS!BH28</f>
        <v>1.1415386056013119</v>
      </c>
      <c r="BJ26" s="228">
        <f>BS!BJ28-BS!BI28</f>
        <v>-1.0954651689751813</v>
      </c>
      <c r="BK26" s="229">
        <f>BS!BK28-BS!BJ28</f>
        <v>2.2901541262877458</v>
      </c>
      <c r="BL26" s="20"/>
      <c r="BM26" s="228">
        <f t="shared" si="127"/>
        <v>7.8110000000000017</v>
      </c>
      <c r="BN26" s="228">
        <f t="shared" si="128"/>
        <v>7.9080000000000013</v>
      </c>
      <c r="BO26" s="228">
        <f t="shared" si="129"/>
        <v>-19.508999999999997</v>
      </c>
      <c r="BP26" s="228">
        <f t="shared" si="130"/>
        <v>-11.201000000000001</v>
      </c>
      <c r="BQ26" s="228">
        <f t="shared" si="131"/>
        <v>47.966999999999999</v>
      </c>
      <c r="BR26" s="228">
        <f t="shared" si="132"/>
        <v>2.8329999999999984</v>
      </c>
      <c r="BS26" s="228">
        <f t="shared" si="133"/>
        <v>-20.640000000000004</v>
      </c>
      <c r="BT26" s="228">
        <f t="shared" si="134"/>
        <v>-5.8460000000000001</v>
      </c>
      <c r="BU26" s="228">
        <f t="shared" si="135"/>
        <v>76.929000000000002</v>
      </c>
      <c r="BV26" s="228">
        <f t="shared" si="136"/>
        <v>-69.582999999999998</v>
      </c>
      <c r="BW26" s="228">
        <f t="shared" si="51"/>
        <v>21.422000000000001</v>
      </c>
      <c r="BX26" s="228">
        <f t="shared" si="52"/>
        <v>10.983000000000001</v>
      </c>
      <c r="BY26" s="228">
        <f t="shared" si="53"/>
        <v>90.24199999999999</v>
      </c>
      <c r="BZ26" s="228">
        <f t="shared" si="54"/>
        <v>-64.860809703938628</v>
      </c>
      <c r="CA26" s="228">
        <f t="shared" si="55"/>
        <v>-4.986332327131322</v>
      </c>
      <c r="CB26" s="996">
        <f>BS!CB28-BS!CA28</f>
        <v>9.3745567997411854</v>
      </c>
      <c r="CC26" s="20"/>
      <c r="CD26" s="228">
        <f t="shared" si="137"/>
        <v>-18.759999999999998</v>
      </c>
      <c r="CE26" s="228">
        <f t="shared" si="138"/>
        <v>17.663</v>
      </c>
      <c r="CF26" s="228">
        <f t="shared" si="139"/>
        <v>-24.326999999999995</v>
      </c>
      <c r="CG26" s="228">
        <f t="shared" si="140"/>
        <v>55.045000000000002</v>
      </c>
      <c r="CH26" s="228">
        <f t="shared" si="141"/>
        <v>38.707999999999998</v>
      </c>
      <c r="CI26" s="228">
        <f t="shared" si="142"/>
        <v>-48.557000000000009</v>
      </c>
      <c r="CJ26" s="228">
        <f t="shared" si="143"/>
        <v>-0.28800000000000381</v>
      </c>
      <c r="CK26" s="228">
        <f t="shared" si="144"/>
        <v>-8.4420000000000002</v>
      </c>
      <c r="CL26" s="228">
        <f t="shared" si="145"/>
        <v>-31.892000000000003</v>
      </c>
      <c r="CM26" s="228">
        <f t="shared" si="146"/>
        <v>16.37</v>
      </c>
      <c r="CN26" s="228">
        <f t="shared" si="147"/>
        <v>41.686999999999998</v>
      </c>
      <c r="CO26" s="228">
        <f t="shared" si="148"/>
        <v>-22.737000000000002</v>
      </c>
      <c r="CP26" s="228">
        <f t="shared" si="149"/>
        <v>41.003122488067987</v>
      </c>
      <c r="CQ26" s="229">
        <f t="shared" si="69"/>
        <v>-3.9324186454256846</v>
      </c>
      <c r="CR26" s="770"/>
      <c r="CS26" s="889"/>
    </row>
    <row r="27" spans="1:97" ht="14.25" customHeight="1">
      <c r="A27" s="8"/>
      <c r="B27" s="55" t="str">
        <f t="shared" si="0"/>
        <v>Accounts payable and accrued liabilities</v>
      </c>
      <c r="C27" s="56"/>
      <c r="D27" s="230">
        <f t="shared" si="83"/>
        <v>10.545999999999999</v>
      </c>
      <c r="E27" s="228">
        <f t="shared" si="84"/>
        <v>-2.5</v>
      </c>
      <c r="F27" s="228">
        <f t="shared" si="85"/>
        <v>12.688000000000002</v>
      </c>
      <c r="G27" s="229">
        <f t="shared" si="86"/>
        <v>-1.8170000000000002</v>
      </c>
      <c r="H27" s="230">
        <f t="shared" si="87"/>
        <v>0.186</v>
      </c>
      <c r="I27" s="228">
        <f t="shared" si="88"/>
        <v>-9.9220000000000006</v>
      </c>
      <c r="J27" s="228">
        <f t="shared" si="89"/>
        <v>3.0740000000000007</v>
      </c>
      <c r="K27" s="229">
        <f t="shared" si="90"/>
        <v>-4.277000000000001</v>
      </c>
      <c r="L27" s="230">
        <f t="shared" si="91"/>
        <v>19.867000000000001</v>
      </c>
      <c r="M27" s="228">
        <f t="shared" si="92"/>
        <v>-15.316000000000001</v>
      </c>
      <c r="N27" s="228">
        <f t="shared" si="93"/>
        <v>25.165000000000003</v>
      </c>
      <c r="O27" s="229">
        <f t="shared" si="94"/>
        <v>-10.440000000000003</v>
      </c>
      <c r="P27" s="230">
        <f t="shared" si="95"/>
        <v>36.709000000000003</v>
      </c>
      <c r="Q27" s="228">
        <f t="shared" si="96"/>
        <v>-36.643000000000001</v>
      </c>
      <c r="R27" s="228">
        <f t="shared" si="97"/>
        <v>18.705999999999996</v>
      </c>
      <c r="S27" s="229">
        <f t="shared" si="98"/>
        <v>-43.125</v>
      </c>
      <c r="T27" s="230">
        <f t="shared" si="99"/>
        <v>17.419</v>
      </c>
      <c r="U27" s="228">
        <f t="shared" si="100"/>
        <v>-6.620000000000001</v>
      </c>
      <c r="V27" s="228">
        <f t="shared" si="101"/>
        <v>47.094000000000008</v>
      </c>
      <c r="W27" s="229">
        <f t="shared" si="102"/>
        <v>-7.7900000000000063</v>
      </c>
      <c r="X27" s="230">
        <f t="shared" si="103"/>
        <v>-10.646000000000001</v>
      </c>
      <c r="Y27" s="228">
        <f t="shared" si="104"/>
        <v>6.4280000000000008</v>
      </c>
      <c r="Z27" s="228">
        <f t="shared" si="105"/>
        <v>-13.91</v>
      </c>
      <c r="AA27" s="229">
        <f t="shared" si="106"/>
        <v>14.632</v>
      </c>
      <c r="AB27" s="230">
        <f t="shared" si="107"/>
        <v>4.6769999999999996</v>
      </c>
      <c r="AC27" s="228">
        <f t="shared" si="108"/>
        <v>-4.3969999999999994</v>
      </c>
      <c r="AD27" s="228">
        <f t="shared" si="70"/>
        <v>5.0830000000000002</v>
      </c>
      <c r="AE27" s="229">
        <f t="shared" si="109"/>
        <v>8.8350000000000009</v>
      </c>
      <c r="AF27" s="230">
        <f t="shared" si="110"/>
        <v>-10.215999999999999</v>
      </c>
      <c r="AG27" s="228">
        <f t="shared" si="111"/>
        <v>11.66</v>
      </c>
      <c r="AH27" s="228">
        <f t="shared" si="71"/>
        <v>1.6439999999999992</v>
      </c>
      <c r="AI27" s="229">
        <f t="shared" si="112"/>
        <v>-5.407</v>
      </c>
      <c r="AJ27" s="230">
        <f t="shared" si="113"/>
        <v>11.209</v>
      </c>
      <c r="AK27" s="228">
        <f t="shared" si="114"/>
        <v>60.450999999999993</v>
      </c>
      <c r="AL27" s="228">
        <f t="shared" si="73"/>
        <v>-43.356999999999999</v>
      </c>
      <c r="AM27" s="229">
        <f t="shared" si="115"/>
        <v>-8.6439999999999948</v>
      </c>
      <c r="AN27" s="230">
        <f t="shared" si="116"/>
        <v>-12.388999999999999</v>
      </c>
      <c r="AO27" s="228">
        <f t="shared" si="117"/>
        <v>19.454999999999998</v>
      </c>
      <c r="AP27" s="228">
        <f t="shared" si="75"/>
        <v>-5.4259999999999993</v>
      </c>
      <c r="AQ27" s="229">
        <f t="shared" si="118"/>
        <v>0.15500000000000114</v>
      </c>
      <c r="AR27" s="230">
        <f t="shared" si="119"/>
        <v>0.27700000000000002</v>
      </c>
      <c r="AS27" s="228">
        <f t="shared" si="120"/>
        <v>-12.186</v>
      </c>
      <c r="AT27" s="228">
        <f t="shared" si="77"/>
        <v>16.818000000000001</v>
      </c>
      <c r="AU27" s="229">
        <f t="shared" si="121"/>
        <v>-21.500999999999998</v>
      </c>
      <c r="AV27" s="230">
        <f t="shared" si="122"/>
        <v>6.633</v>
      </c>
      <c r="AW27" s="228">
        <f t="shared" si="123"/>
        <v>12.413</v>
      </c>
      <c r="AX27" s="228">
        <f t="shared" si="79"/>
        <v>9.972999999999999</v>
      </c>
      <c r="AY27" s="228">
        <f t="shared" si="124"/>
        <v>4.7689999999999975</v>
      </c>
      <c r="AZ27" s="230">
        <f t="shared" si="125"/>
        <v>2.5190000000000001</v>
      </c>
      <c r="BA27" s="228">
        <f t="shared" si="126"/>
        <v>20.914999999999999</v>
      </c>
      <c r="BB27" s="228">
        <f t="shared" si="81"/>
        <v>35.088000000000001</v>
      </c>
      <c r="BC27" s="229">
        <f>BS!BC29-BS!BB29+BS!BC36-BS!BB36+BS!BC37-BS!BB37</f>
        <v>11.430000000000064</v>
      </c>
      <c r="BD27" s="228">
        <f>BS!BD29-BS!BC29+BS!BD36-BS!BC36+BS!BD37-BS!BC37</f>
        <v>0</v>
      </c>
      <c r="BE27" s="228">
        <f>BS!BE29-BS!BD29+BS!BE36-BS!BD36+BS!BE37-BS!BD37</f>
        <v>0</v>
      </c>
      <c r="BF27" s="228">
        <f>BS!BF29-BS!BE29+BS!BF36-BS!BE36+BS!BF37-BS!BE37</f>
        <v>0</v>
      </c>
      <c r="BG27" s="229">
        <f>BS!BG29-BS!BF29+BS!BG36-BS!BF36+BS!BG37-BS!BF37</f>
        <v>0</v>
      </c>
      <c r="BH27" s="228">
        <f>BS!BH29-BS!BG29+BS!BH36-BS!BG36+BS!BH37-BS!BG37</f>
        <v>0</v>
      </c>
      <c r="BI27" s="228">
        <f>BS!BI29-BS!BH29+BS!BI36-BS!BH36+BS!BI37-BS!BH37</f>
        <v>0</v>
      </c>
      <c r="BJ27" s="228">
        <f>BS!BJ29-BS!BI29+BS!BJ36-BS!BI36+BS!BJ37-BS!BI37</f>
        <v>0</v>
      </c>
      <c r="BK27" s="229">
        <f>BS!BK29-BS!BJ29+BS!BK36-BS!BJ36+BS!BK37-BS!BJ37</f>
        <v>0</v>
      </c>
      <c r="BL27" s="20"/>
      <c r="BM27" s="228">
        <f t="shared" si="127"/>
        <v>18.917000000000002</v>
      </c>
      <c r="BN27" s="228">
        <f t="shared" si="128"/>
        <v>-10.939</v>
      </c>
      <c r="BO27" s="228">
        <f t="shared" si="129"/>
        <v>19.275999999999996</v>
      </c>
      <c r="BP27" s="228">
        <f t="shared" si="130"/>
        <v>-24.353000000000002</v>
      </c>
      <c r="BQ27" s="228">
        <f t="shared" si="131"/>
        <v>50.103000000000002</v>
      </c>
      <c r="BR27" s="228">
        <f t="shared" si="132"/>
        <v>-3.4960000000000004</v>
      </c>
      <c r="BS27" s="228">
        <f t="shared" si="133"/>
        <v>14.198</v>
      </c>
      <c r="BT27" s="228">
        <f t="shared" si="134"/>
        <v>-2.319</v>
      </c>
      <c r="BU27" s="228">
        <f t="shared" si="135"/>
        <v>19.659000000000002</v>
      </c>
      <c r="BV27" s="228">
        <f t="shared" si="136"/>
        <v>1.7950000000000008</v>
      </c>
      <c r="BW27" s="228">
        <f t="shared" si="51"/>
        <v>-16.591999999999999</v>
      </c>
      <c r="BX27" s="228">
        <f t="shared" si="52"/>
        <v>33.787999999999997</v>
      </c>
      <c r="BY27" s="228">
        <f t="shared" si="53"/>
        <v>69.952000000000055</v>
      </c>
      <c r="BZ27" s="228">
        <f t="shared" si="54"/>
        <v>0</v>
      </c>
      <c r="CA27" s="228">
        <f t="shared" si="55"/>
        <v>0</v>
      </c>
      <c r="CB27" s="996">
        <f>BS!CB29-BS!CA29+BS!CB32-BS!CA32+BS!CB36-BS!CA36+BS!CB37-BS!CA37</f>
        <v>0</v>
      </c>
      <c r="CC27" s="20"/>
      <c r="CD27" s="228">
        <f t="shared" si="137"/>
        <v>-8.4789999999999992</v>
      </c>
      <c r="CE27" s="228">
        <f t="shared" si="138"/>
        <v>25.439</v>
      </c>
      <c r="CF27" s="228">
        <f t="shared" si="139"/>
        <v>8.3319999999999936</v>
      </c>
      <c r="CG27" s="228">
        <f t="shared" si="140"/>
        <v>14.768000000000008</v>
      </c>
      <c r="CH27" s="228">
        <f t="shared" si="141"/>
        <v>-25.918000000000006</v>
      </c>
      <c r="CI27" s="228">
        <f t="shared" si="142"/>
        <v>19.994999999999997</v>
      </c>
      <c r="CJ27" s="228">
        <f t="shared" si="143"/>
        <v>11.923000000000002</v>
      </c>
      <c r="CK27" s="228">
        <f t="shared" si="144"/>
        <v>22.895999999999987</v>
      </c>
      <c r="CL27" s="228">
        <f t="shared" si="145"/>
        <v>-7.0039999999999951</v>
      </c>
      <c r="CM27" s="228">
        <f t="shared" si="146"/>
        <v>5.0640000000000018</v>
      </c>
      <c r="CN27" s="228">
        <f t="shared" si="147"/>
        <v>7.5180000000000007</v>
      </c>
      <c r="CO27" s="228">
        <f t="shared" si="148"/>
        <v>63.290999999999997</v>
      </c>
      <c r="CP27" s="228">
        <f t="shared" si="149"/>
        <v>11.430000000000064</v>
      </c>
      <c r="CQ27" s="229">
        <f t="shared" si="69"/>
        <v>0</v>
      </c>
      <c r="CR27" s="770"/>
      <c r="CS27" s="889"/>
    </row>
    <row r="28" spans="1:97" ht="14.25" customHeight="1">
      <c r="A28" s="8"/>
      <c r="B28" s="55" t="str">
        <f t="shared" si="0"/>
        <v>Income Taxes payable</v>
      </c>
      <c r="C28" s="56"/>
      <c r="D28" s="230">
        <f t="shared" si="83"/>
        <v>16.827999999999999</v>
      </c>
      <c r="E28" s="228">
        <f t="shared" si="84"/>
        <v>25.303000000000001</v>
      </c>
      <c r="F28" s="228">
        <f t="shared" si="85"/>
        <v>39.272999999999996</v>
      </c>
      <c r="G28" s="229">
        <f t="shared" si="86"/>
        <v>-82.090999999999994</v>
      </c>
      <c r="H28" s="230">
        <f t="shared" si="87"/>
        <v>-2.8450000000000002</v>
      </c>
      <c r="I28" s="228">
        <f t="shared" si="88"/>
        <v>17.23</v>
      </c>
      <c r="J28" s="228">
        <f t="shared" si="89"/>
        <v>39.435000000000002</v>
      </c>
      <c r="K28" s="229">
        <f t="shared" si="90"/>
        <v>-59.064000000000007</v>
      </c>
      <c r="L28" s="230">
        <f t="shared" si="91"/>
        <v>-24.22</v>
      </c>
      <c r="M28" s="228">
        <f t="shared" si="92"/>
        <v>8.1310000000000002</v>
      </c>
      <c r="N28" s="228">
        <f t="shared" si="93"/>
        <v>11.183</v>
      </c>
      <c r="O28" s="229">
        <f t="shared" si="94"/>
        <v>33.369999999999997</v>
      </c>
      <c r="P28" s="230">
        <f t="shared" si="95"/>
        <v>-28.838000000000001</v>
      </c>
      <c r="Q28" s="228">
        <f t="shared" si="96"/>
        <v>5.0790000000000006</v>
      </c>
      <c r="R28" s="228">
        <f t="shared" si="97"/>
        <v>-9.9399999999999977</v>
      </c>
      <c r="S28" s="229">
        <f t="shared" si="98"/>
        <v>19.153999999999996</v>
      </c>
      <c r="T28" s="230">
        <f t="shared" si="99"/>
        <v>-25.890999999999998</v>
      </c>
      <c r="U28" s="228">
        <f t="shared" si="100"/>
        <v>3.4259999999999984</v>
      </c>
      <c r="V28" s="228">
        <f t="shared" si="101"/>
        <v>-5.0749999999999993</v>
      </c>
      <c r="W28" s="229">
        <f t="shared" si="102"/>
        <v>7.3699999999999974</v>
      </c>
      <c r="X28" s="230">
        <f t="shared" si="103"/>
        <v>-3.5470000000000002</v>
      </c>
      <c r="Y28" s="228">
        <f t="shared" si="104"/>
        <v>-8.8609999999999989</v>
      </c>
      <c r="Z28" s="228">
        <f t="shared" si="105"/>
        <v>21.931999999999999</v>
      </c>
      <c r="AA28" s="229">
        <f t="shared" si="106"/>
        <v>-25.154</v>
      </c>
      <c r="AB28" s="230">
        <f t="shared" si="107"/>
        <v>4.1779999999999999</v>
      </c>
      <c r="AC28" s="228">
        <f t="shared" si="108"/>
        <v>3.2789999999999999</v>
      </c>
      <c r="AD28" s="228">
        <f t="shared" si="70"/>
        <v>-22.823</v>
      </c>
      <c r="AE28" s="229">
        <f t="shared" si="109"/>
        <v>-4.5429999999999984</v>
      </c>
      <c r="AF28" s="230">
        <f t="shared" si="110"/>
        <v>-0.08</v>
      </c>
      <c r="AG28" s="228">
        <f t="shared" si="111"/>
        <v>-5.9749999999999996</v>
      </c>
      <c r="AH28" s="228">
        <f t="shared" si="71"/>
        <v>-3.6330000000000009</v>
      </c>
      <c r="AI28" s="229">
        <f t="shared" si="112"/>
        <v>97.756999999999991</v>
      </c>
      <c r="AJ28" s="230">
        <f t="shared" si="113"/>
        <v>-60.43</v>
      </c>
      <c r="AK28" s="228">
        <f t="shared" si="114"/>
        <v>-11.949999999999996</v>
      </c>
      <c r="AL28" s="228">
        <f t="shared" si="73"/>
        <v>-5.5250000000000057</v>
      </c>
      <c r="AM28" s="229">
        <f t="shared" si="115"/>
        <v>33.618000000000002</v>
      </c>
      <c r="AN28" s="230">
        <f t="shared" si="116"/>
        <v>4.9390000000000001</v>
      </c>
      <c r="AO28" s="228">
        <f t="shared" si="117"/>
        <v>-22.175999999999998</v>
      </c>
      <c r="AP28" s="228">
        <f t="shared" si="75"/>
        <v>22.946999999999999</v>
      </c>
      <c r="AQ28" s="229">
        <f t="shared" si="118"/>
        <v>10.257</v>
      </c>
      <c r="AR28" s="230">
        <f t="shared" si="119"/>
        <v>-1.7130000000000001</v>
      </c>
      <c r="AS28" s="228">
        <f t="shared" si="120"/>
        <v>-8.7680000000000007</v>
      </c>
      <c r="AT28" s="228">
        <f t="shared" si="77"/>
        <v>-25.500999999999998</v>
      </c>
      <c r="AU28" s="229">
        <f t="shared" si="121"/>
        <v>24.347000000000001</v>
      </c>
      <c r="AV28" s="230">
        <f t="shared" si="122"/>
        <v>18.248000000000001</v>
      </c>
      <c r="AW28" s="228">
        <f t="shared" si="123"/>
        <v>-29.687000000000001</v>
      </c>
      <c r="AX28" s="228">
        <f t="shared" si="79"/>
        <v>-14.497</v>
      </c>
      <c r="AY28" s="228">
        <f t="shared" si="124"/>
        <v>33.408999999999992</v>
      </c>
      <c r="AZ28" s="230">
        <f t="shared" si="125"/>
        <v>-12.91</v>
      </c>
      <c r="BA28" s="228">
        <f t="shared" si="126"/>
        <v>-5.0500000000000007</v>
      </c>
      <c r="BB28" s="228">
        <f t="shared" si="81"/>
        <v>581.13800000000003</v>
      </c>
      <c r="BC28" s="229">
        <f>BS!BC30-BS!BB30</f>
        <v>-37.280999999999999</v>
      </c>
      <c r="BD28" s="228">
        <f>BS!BD30-BS!BC30</f>
        <v>0</v>
      </c>
      <c r="BE28" s="228">
        <f>BS!BE30-BS!BD30</f>
        <v>0</v>
      </c>
      <c r="BF28" s="228">
        <f>BS!BF30-BS!BE30</f>
        <v>0</v>
      </c>
      <c r="BG28" s="229">
        <f>BS!BG30-BS!BF30</f>
        <v>0</v>
      </c>
      <c r="BH28" s="228">
        <f>BS!BH30-BS!BG30</f>
        <v>0</v>
      </c>
      <c r="BI28" s="228">
        <f>BS!BI30-BS!BH30</f>
        <v>0</v>
      </c>
      <c r="BJ28" s="228">
        <f>BS!BJ30-BS!BI30</f>
        <v>0</v>
      </c>
      <c r="BK28" s="229">
        <f>BS!BK30-BS!BJ30</f>
        <v>0</v>
      </c>
      <c r="BL28" s="20"/>
      <c r="BM28" s="228">
        <f t="shared" si="127"/>
        <v>-0.68699999999999761</v>
      </c>
      <c r="BN28" s="228">
        <f t="shared" si="128"/>
        <v>-5.2440000000000069</v>
      </c>
      <c r="BO28" s="228">
        <f t="shared" si="129"/>
        <v>28.463999999999999</v>
      </c>
      <c r="BP28" s="228">
        <f t="shared" si="130"/>
        <v>-14.545000000000002</v>
      </c>
      <c r="BQ28" s="228">
        <f t="shared" si="131"/>
        <v>-20.170000000000002</v>
      </c>
      <c r="BR28" s="228">
        <f t="shared" si="132"/>
        <v>-15.63</v>
      </c>
      <c r="BS28" s="228">
        <f t="shared" si="133"/>
        <v>-19.908999999999999</v>
      </c>
      <c r="BT28" s="228">
        <f t="shared" si="134"/>
        <v>88.068999999999988</v>
      </c>
      <c r="BU28" s="228">
        <f t="shared" si="135"/>
        <v>-44.286999999999999</v>
      </c>
      <c r="BV28" s="228">
        <f t="shared" si="136"/>
        <v>15.967000000000001</v>
      </c>
      <c r="BW28" s="228">
        <f t="shared" si="51"/>
        <v>-11.634999999999998</v>
      </c>
      <c r="BX28" s="228">
        <f t="shared" si="52"/>
        <v>7.4729999999999919</v>
      </c>
      <c r="BY28" s="228">
        <f t="shared" si="53"/>
        <v>525.89700000000005</v>
      </c>
      <c r="BZ28" s="228">
        <f t="shared" si="54"/>
        <v>0</v>
      </c>
      <c r="CA28" s="228">
        <f t="shared" si="55"/>
        <v>0</v>
      </c>
      <c r="CB28" s="996">
        <f>BS!CB30-BS!CA30</f>
        <v>0</v>
      </c>
      <c r="CC28" s="20"/>
      <c r="CD28" s="228">
        <f t="shared" si="137"/>
        <v>-28.270999999999987</v>
      </c>
      <c r="CE28" s="228">
        <f t="shared" si="138"/>
        <v>-63.970000000000006</v>
      </c>
      <c r="CF28" s="228">
        <f t="shared" si="139"/>
        <v>-0.32900000000000063</v>
      </c>
      <c r="CG28" s="228">
        <f t="shared" si="140"/>
        <v>-8.3860000000000028</v>
      </c>
      <c r="CH28" s="228">
        <f t="shared" si="141"/>
        <v>16.893999999999998</v>
      </c>
      <c r="CI28" s="228">
        <f t="shared" si="142"/>
        <v>-40.519999999999996</v>
      </c>
      <c r="CJ28" s="228">
        <f t="shared" si="143"/>
        <v>-14.231</v>
      </c>
      <c r="CK28" s="228">
        <f t="shared" si="144"/>
        <v>19.85199999999999</v>
      </c>
      <c r="CL28" s="228">
        <f t="shared" si="145"/>
        <v>39.328000000000003</v>
      </c>
      <c r="CM28" s="228">
        <f t="shared" si="146"/>
        <v>-25.724999999999998</v>
      </c>
      <c r="CN28" s="228">
        <f t="shared" si="147"/>
        <v>-1.5890000000000022</v>
      </c>
      <c r="CO28" s="228">
        <f t="shared" si="148"/>
        <v>596.58699999999999</v>
      </c>
      <c r="CP28" s="228">
        <f t="shared" si="149"/>
        <v>-37.280999999999999</v>
      </c>
      <c r="CQ28" s="229">
        <f t="shared" si="69"/>
        <v>0</v>
      </c>
      <c r="CR28" s="770"/>
      <c r="CS28" s="889"/>
    </row>
    <row r="29" spans="1:97" ht="14.25" customHeight="1">
      <c r="A29" s="8"/>
      <c r="B29" s="55" t="str">
        <f t="shared" si="0"/>
        <v>Deferred income</v>
      </c>
      <c r="C29" s="56"/>
      <c r="D29" s="230">
        <f t="shared" si="83"/>
        <v>8.2880000000000003</v>
      </c>
      <c r="E29" s="228">
        <f t="shared" si="84"/>
        <v>-0.98099999999999987</v>
      </c>
      <c r="F29" s="228">
        <f t="shared" si="85"/>
        <v>1.9000000000000004</v>
      </c>
      <c r="G29" s="229">
        <f t="shared" si="86"/>
        <v>14.84</v>
      </c>
      <c r="H29" s="230">
        <f t="shared" si="87"/>
        <v>-23.416</v>
      </c>
      <c r="I29" s="228">
        <f t="shared" si="88"/>
        <v>6.6340000000000003</v>
      </c>
      <c r="J29" s="228">
        <f t="shared" si="89"/>
        <v>-13.632000000000001</v>
      </c>
      <c r="K29" s="229">
        <f t="shared" si="90"/>
        <v>-7.0919999999999987</v>
      </c>
      <c r="L29" s="230">
        <f t="shared" si="91"/>
        <v>9.1280000000000001</v>
      </c>
      <c r="M29" s="228">
        <f t="shared" si="92"/>
        <v>3.7639999999999993</v>
      </c>
      <c r="N29" s="228">
        <f t="shared" si="93"/>
        <v>3.7010000000000005</v>
      </c>
      <c r="O29" s="229">
        <f t="shared" si="94"/>
        <v>6.0330000000000013</v>
      </c>
      <c r="P29" s="230">
        <f t="shared" si="95"/>
        <v>-11.888</v>
      </c>
      <c r="Q29" s="228">
        <f t="shared" si="96"/>
        <v>-5.6480000000000015</v>
      </c>
      <c r="R29" s="228">
        <f t="shared" si="97"/>
        <v>-22.631</v>
      </c>
      <c r="S29" s="229">
        <f t="shared" si="98"/>
        <v>-9.1469999999999967</v>
      </c>
      <c r="T29" s="230">
        <f t="shared" si="99"/>
        <v>-12.632999999999999</v>
      </c>
      <c r="U29" s="228">
        <f t="shared" si="100"/>
        <v>26.024000000000001</v>
      </c>
      <c r="V29" s="228">
        <f t="shared" si="101"/>
        <v>1.6399999999999988</v>
      </c>
      <c r="W29" s="229">
        <f t="shared" si="102"/>
        <v>2.7369999999999983</v>
      </c>
      <c r="X29" s="230">
        <f t="shared" si="103"/>
        <v>-5.9249999999999998</v>
      </c>
      <c r="Y29" s="228">
        <f t="shared" si="104"/>
        <v>19.401</v>
      </c>
      <c r="Z29" s="228">
        <f t="shared" si="105"/>
        <v>-13.071999999999999</v>
      </c>
      <c r="AA29" s="229">
        <f t="shared" si="106"/>
        <v>19.227000000000004</v>
      </c>
      <c r="AB29" s="230">
        <f t="shared" si="107"/>
        <v>-7.6379999999999999</v>
      </c>
      <c r="AC29" s="228">
        <f t="shared" si="108"/>
        <v>-19.621000000000002</v>
      </c>
      <c r="AD29" s="228">
        <f t="shared" si="70"/>
        <v>-9.2789999999999964</v>
      </c>
      <c r="AE29" s="229">
        <f t="shared" si="109"/>
        <v>3.7769999999999957</v>
      </c>
      <c r="AF29" s="230">
        <f t="shared" si="110"/>
        <v>-10.302</v>
      </c>
      <c r="AG29" s="228">
        <f t="shared" si="111"/>
        <v>-8.7330000000000005</v>
      </c>
      <c r="AH29" s="228">
        <f t="shared" si="71"/>
        <v>2.0500000000000007</v>
      </c>
      <c r="AI29" s="229">
        <f t="shared" si="112"/>
        <v>3.3409999999999993</v>
      </c>
      <c r="AJ29" s="230">
        <f t="shared" si="113"/>
        <v>4.58</v>
      </c>
      <c r="AK29" s="228">
        <f t="shared" si="114"/>
        <v>10.877000000000001</v>
      </c>
      <c r="AL29" s="228">
        <f t="shared" si="73"/>
        <v>-20.740000000000002</v>
      </c>
      <c r="AM29" s="229">
        <f t="shared" si="115"/>
        <v>7.0240000000000009</v>
      </c>
      <c r="AN29" s="230">
        <f t="shared" si="116"/>
        <v>14.159000000000001</v>
      </c>
      <c r="AO29" s="228">
        <f t="shared" si="117"/>
        <v>-8.4080000000000013</v>
      </c>
      <c r="AP29" s="228">
        <f t="shared" si="75"/>
        <v>-9.363999999999999</v>
      </c>
      <c r="AQ29" s="229">
        <f t="shared" si="118"/>
        <v>14.584999999999999</v>
      </c>
      <c r="AR29" s="230">
        <f t="shared" si="119"/>
        <v>-10.34</v>
      </c>
      <c r="AS29" s="228">
        <f t="shared" si="120"/>
        <v>25.975999999999999</v>
      </c>
      <c r="AT29" s="228">
        <f t="shared" si="77"/>
        <v>-34.69</v>
      </c>
      <c r="AU29" s="229">
        <f t="shared" si="121"/>
        <v>4.7420000000000009</v>
      </c>
      <c r="AV29" s="230">
        <f t="shared" si="122"/>
        <v>19.777999999999999</v>
      </c>
      <c r="AW29" s="228">
        <f t="shared" si="123"/>
        <v>-14.131999999999998</v>
      </c>
      <c r="AX29" s="228">
        <f t="shared" si="79"/>
        <v>-3.7780000000000005</v>
      </c>
      <c r="AY29" s="228">
        <f t="shared" si="124"/>
        <v>0.94099999999999895</v>
      </c>
      <c r="AZ29" s="230">
        <f t="shared" si="125"/>
        <v>-10.818</v>
      </c>
      <c r="BA29" s="228">
        <f t="shared" si="126"/>
        <v>7.2169999999999996</v>
      </c>
      <c r="BB29" s="228">
        <f t="shared" si="81"/>
        <v>-17.993000000000002</v>
      </c>
      <c r="BC29" s="229">
        <f>BC111-BB29-BA29-AZ29</f>
        <v>-79.193000000000382</v>
      </c>
      <c r="BD29" s="228">
        <f>BS!BD31-BS!BC31</f>
        <v>0</v>
      </c>
      <c r="BE29" s="228">
        <f>BS!BE31-BS!BD31</f>
        <v>0</v>
      </c>
      <c r="BF29" s="228">
        <f>BS!BF31-BS!BE31</f>
        <v>0</v>
      </c>
      <c r="BG29" s="229">
        <f>BS!BG31-BS!BF31</f>
        <v>0</v>
      </c>
      <c r="BH29" s="228">
        <f>BS!BH31-BS!BG31</f>
        <v>0</v>
      </c>
      <c r="BI29" s="228">
        <f>BS!BI31-BS!BH31</f>
        <v>0</v>
      </c>
      <c r="BJ29" s="228">
        <f>BS!BJ31-BS!BI31</f>
        <v>0</v>
      </c>
      <c r="BK29" s="229">
        <f>BS!BK31-BS!BJ31</f>
        <v>0</v>
      </c>
      <c r="BL29" s="20"/>
      <c r="BM29" s="228">
        <f t="shared" si="127"/>
        <v>24.047000000000001</v>
      </c>
      <c r="BN29" s="839">
        <f t="shared" si="128"/>
        <v>-37.506</v>
      </c>
      <c r="BO29" s="839">
        <f t="shared" si="129"/>
        <v>22.626000000000001</v>
      </c>
      <c r="BP29" s="839">
        <f t="shared" si="130"/>
        <v>-49.314</v>
      </c>
      <c r="BQ29" s="839">
        <f t="shared" si="131"/>
        <v>17.768000000000001</v>
      </c>
      <c r="BR29" s="839">
        <f t="shared" si="132"/>
        <v>19.631000000000004</v>
      </c>
      <c r="BS29" s="839">
        <f t="shared" si="133"/>
        <v>-32.761000000000003</v>
      </c>
      <c r="BT29" s="839">
        <f t="shared" si="134"/>
        <v>-13.644</v>
      </c>
      <c r="BU29" s="839">
        <f t="shared" si="135"/>
        <v>1.7409999999999997</v>
      </c>
      <c r="BV29" s="839">
        <f t="shared" si="136"/>
        <v>10.972</v>
      </c>
      <c r="BW29" s="839">
        <f t="shared" si="51"/>
        <v>-14.311999999999998</v>
      </c>
      <c r="BX29" s="839">
        <f t="shared" si="52"/>
        <v>2.8089999999999993</v>
      </c>
      <c r="BY29" s="839">
        <f t="shared" si="53"/>
        <v>-100.78700000000038</v>
      </c>
      <c r="BZ29" s="839">
        <f t="shared" si="54"/>
        <v>0</v>
      </c>
      <c r="CA29" s="839">
        <f t="shared" si="55"/>
        <v>0</v>
      </c>
      <c r="CB29" s="996">
        <f>BS!CB31-BS!CA31</f>
        <v>0</v>
      </c>
      <c r="CC29" s="20"/>
      <c r="CD29" s="228">
        <f t="shared" si="137"/>
        <v>-15.574000000000002</v>
      </c>
      <c r="CE29" s="228">
        <f t="shared" si="138"/>
        <v>9.5010000000000012</v>
      </c>
      <c r="CF29" s="228">
        <f t="shared" si="139"/>
        <v>-34.134</v>
      </c>
      <c r="CG29" s="228">
        <f t="shared" si="140"/>
        <v>5.8840000000000057</v>
      </c>
      <c r="CH29" s="228">
        <f t="shared" si="141"/>
        <v>3.1409999999999982</v>
      </c>
      <c r="CI29" s="228">
        <f t="shared" si="142"/>
        <v>-17.310999999999993</v>
      </c>
      <c r="CJ29" s="228">
        <f t="shared" si="143"/>
        <v>-13.208000000000004</v>
      </c>
      <c r="CK29" s="228">
        <f t="shared" si="144"/>
        <v>-1.9420000000000002</v>
      </c>
      <c r="CL29" s="228">
        <f t="shared" si="145"/>
        <v>3.4109999999999996</v>
      </c>
      <c r="CM29" s="228">
        <f t="shared" si="146"/>
        <v>-4.4690000000000012</v>
      </c>
      <c r="CN29" s="228">
        <f t="shared" si="147"/>
        <v>6.6100000000000012</v>
      </c>
      <c r="CO29" s="228">
        <f t="shared" si="148"/>
        <v>-20.653000000000002</v>
      </c>
      <c r="CP29" s="228">
        <f t="shared" si="149"/>
        <v>-79.193000000000382</v>
      </c>
      <c r="CQ29" s="229">
        <f t="shared" si="69"/>
        <v>0</v>
      </c>
      <c r="CR29" s="770"/>
      <c r="CS29" s="889"/>
    </row>
    <row r="30" spans="1:97" ht="14.25" customHeight="1" thickBot="1">
      <c r="A30" s="8"/>
      <c r="B30" s="234" t="str">
        <f t="shared" si="0"/>
        <v>Net cash provided by operating activities</v>
      </c>
      <c r="C30" s="235"/>
      <c r="D30" s="237">
        <f t="shared" ref="D30:AM30" si="150">D11+SUM(D13:D19)+SUM(D21:D29)</f>
        <v>153.52000000000004</v>
      </c>
      <c r="E30" s="236">
        <f t="shared" si="150"/>
        <v>61.958999999999968</v>
      </c>
      <c r="F30" s="236">
        <f t="shared" si="150"/>
        <v>190.161</v>
      </c>
      <c r="G30" s="238">
        <f t="shared" si="150"/>
        <v>83.783000000000015</v>
      </c>
      <c r="H30" s="237">
        <f t="shared" si="150"/>
        <v>153.26499999999999</v>
      </c>
      <c r="I30" s="236">
        <f t="shared" si="150"/>
        <v>119.49700000000001</v>
      </c>
      <c r="J30" s="236">
        <f t="shared" si="150"/>
        <v>173.173</v>
      </c>
      <c r="K30" s="238">
        <f t="shared" si="150"/>
        <v>105.63300000000001</v>
      </c>
      <c r="L30" s="237">
        <f t="shared" si="150"/>
        <v>126.32399999999997</v>
      </c>
      <c r="M30" s="236">
        <f t="shared" si="150"/>
        <v>145.066</v>
      </c>
      <c r="N30" s="236">
        <f t="shared" si="150"/>
        <v>207.744</v>
      </c>
      <c r="O30" s="238">
        <f t="shared" si="150"/>
        <v>101.86600000000001</v>
      </c>
      <c r="P30" s="237">
        <f t="shared" si="150"/>
        <v>158.49700000000001</v>
      </c>
      <c r="Q30" s="236">
        <f t="shared" si="150"/>
        <v>94.699999999999974</v>
      </c>
      <c r="R30" s="236">
        <f t="shared" si="150"/>
        <v>128.47900000000004</v>
      </c>
      <c r="S30" s="238">
        <f t="shared" si="150"/>
        <v>60.854000000000013</v>
      </c>
      <c r="T30" s="237">
        <f t="shared" si="150"/>
        <v>146.96700000000001</v>
      </c>
      <c r="U30" s="236">
        <f t="shared" si="150"/>
        <v>117.97600000000004</v>
      </c>
      <c r="V30" s="236">
        <f t="shared" si="150"/>
        <v>185.47800000000004</v>
      </c>
      <c r="W30" s="238">
        <f t="shared" si="150"/>
        <v>103.86999999999992</v>
      </c>
      <c r="X30" s="237">
        <f t="shared" si="150"/>
        <v>105.04199999999999</v>
      </c>
      <c r="Y30" s="236">
        <f t="shared" si="150"/>
        <v>41.616000000000014</v>
      </c>
      <c r="Z30" s="236">
        <f t="shared" si="150"/>
        <v>332.52700000000016</v>
      </c>
      <c r="AA30" s="238">
        <f t="shared" si="150"/>
        <v>244.96699999999998</v>
      </c>
      <c r="AB30" s="236">
        <f t="shared" si="150"/>
        <v>237.69399999999996</v>
      </c>
      <c r="AC30" s="236">
        <f t="shared" si="150"/>
        <v>199.584</v>
      </c>
      <c r="AD30" s="236">
        <f t="shared" si="150"/>
        <v>180.96999999999997</v>
      </c>
      <c r="AE30" s="238">
        <f t="shared" si="150"/>
        <v>208.49099999999996</v>
      </c>
      <c r="AF30" s="236">
        <f t="shared" si="150"/>
        <v>162.946</v>
      </c>
      <c r="AG30" s="236">
        <f t="shared" si="150"/>
        <v>197.37</v>
      </c>
      <c r="AH30" s="236">
        <f t="shared" si="150"/>
        <v>122.568</v>
      </c>
      <c r="AI30" s="238">
        <f t="shared" si="150"/>
        <v>173.65300000000002</v>
      </c>
      <c r="AJ30" s="236">
        <f t="shared" si="150"/>
        <v>144.20900000000006</v>
      </c>
      <c r="AK30" s="236">
        <f t="shared" si="150"/>
        <v>254.94299999999998</v>
      </c>
      <c r="AL30" s="236">
        <f>AL11+SUM(AL13:AL19)+SUM(AL21:AL29)</f>
        <v>216.39</v>
      </c>
      <c r="AM30" s="238">
        <f t="shared" si="150"/>
        <v>189.37499999999994</v>
      </c>
      <c r="AN30" s="236">
        <f t="shared" ref="AN30:AS30" si="151">AN11+SUM(AN13:AN19)+SUM(AN21:AN29)</f>
        <v>130.11900000000009</v>
      </c>
      <c r="AO30" s="236">
        <f t="shared" si="151"/>
        <v>203.881</v>
      </c>
      <c r="AP30" s="236">
        <f t="shared" si="151"/>
        <v>290.74099999999999</v>
      </c>
      <c r="AQ30" s="238">
        <f t="shared" si="151"/>
        <v>166.03899999999996</v>
      </c>
      <c r="AR30" s="236">
        <f t="shared" si="151"/>
        <v>183.15300000000002</v>
      </c>
      <c r="AS30" s="236">
        <f t="shared" si="151"/>
        <v>133.73000000000005</v>
      </c>
      <c r="AT30" s="236">
        <f t="shared" ref="AT30:AY30" si="152">AT11+SUM(AT13:AT19)+SUM(AT21:AT29)</f>
        <v>290.28500000000003</v>
      </c>
      <c r="AU30" s="238">
        <f t="shared" si="152"/>
        <v>122.93400000000001</v>
      </c>
      <c r="AV30" s="236">
        <f t="shared" si="152"/>
        <v>338.63599999999997</v>
      </c>
      <c r="AW30" s="236">
        <f t="shared" si="152"/>
        <v>183.59299999999996</v>
      </c>
      <c r="AX30" s="236">
        <f t="shared" si="152"/>
        <v>105.58399999999997</v>
      </c>
      <c r="AY30" s="236">
        <f t="shared" si="152"/>
        <v>306.31799999999998</v>
      </c>
      <c r="AZ30" s="237">
        <f t="shared" ref="AZ30:BK30" si="153">AZ11+SUM(AZ13:AZ19)+SUM(AZ21:AZ29)</f>
        <v>190.90799999999996</v>
      </c>
      <c r="BA30" s="236">
        <f t="shared" si="153"/>
        <v>202.14000000000004</v>
      </c>
      <c r="BB30" s="236">
        <f t="shared" si="153"/>
        <v>184.68599999999992</v>
      </c>
      <c r="BC30" s="238">
        <f t="shared" si="153"/>
        <v>217.72399999999988</v>
      </c>
      <c r="BD30" s="236">
        <f t="shared" si="153"/>
        <v>228.99975888096006</v>
      </c>
      <c r="BE30" s="236">
        <f t="shared" si="153"/>
        <v>297.68503849990202</v>
      </c>
      <c r="BF30" s="236">
        <f t="shared" si="153"/>
        <v>273.27280455527807</v>
      </c>
      <c r="BG30" s="238">
        <f t="shared" si="153"/>
        <v>256.35602853725584</v>
      </c>
      <c r="BH30" s="236">
        <f t="shared" si="153"/>
        <v>282.3198073254901</v>
      </c>
      <c r="BI30" s="236">
        <f t="shared" si="153"/>
        <v>276.29782618851357</v>
      </c>
      <c r="BJ30" s="236">
        <f t="shared" si="153"/>
        <v>282.27195809636385</v>
      </c>
      <c r="BK30" s="238">
        <f t="shared" si="153"/>
        <v>276.56830526281658</v>
      </c>
      <c r="BL30" s="20"/>
      <c r="BM30" s="236">
        <f t="shared" ref="BM30:BW30" si="154">BM11+SUM(BM13:BM19)+SUM(BM21:BM29)</f>
        <v>489.42300000000006</v>
      </c>
      <c r="BN30" s="182">
        <f t="shared" si="154"/>
        <v>551.56799999999998</v>
      </c>
      <c r="BO30" s="182">
        <f t="shared" si="154"/>
        <v>581</v>
      </c>
      <c r="BP30" s="182">
        <f t="shared" si="154"/>
        <v>442.53000000000009</v>
      </c>
      <c r="BQ30" s="182">
        <f t="shared" si="154"/>
        <v>554.29100000000005</v>
      </c>
      <c r="BR30" s="182">
        <f t="shared" si="154"/>
        <v>724.15200000000016</v>
      </c>
      <c r="BS30" s="182">
        <f t="shared" si="154"/>
        <v>826.73899999999992</v>
      </c>
      <c r="BT30" s="182">
        <f t="shared" si="154"/>
        <v>656.53700000000003</v>
      </c>
      <c r="BU30" s="182">
        <f t="shared" si="154"/>
        <v>804.91699999999992</v>
      </c>
      <c r="BV30" s="182">
        <f t="shared" si="154"/>
        <v>790.77999999999986</v>
      </c>
      <c r="BW30" s="182">
        <f t="shared" si="154"/>
        <v>730.10200000000009</v>
      </c>
      <c r="BX30" s="182">
        <f>BX11+SUM(BX13:BX19)+SUM(BX21:BX29)</f>
        <v>934.13099999999974</v>
      </c>
      <c r="BY30" s="182">
        <f>BY11+SUM(BY13:BY19)+SUM(BY21:BY29)</f>
        <v>795.45799999999997</v>
      </c>
      <c r="BZ30" s="182">
        <f>BZ11+SUM(BZ13:BZ19)+SUM(BZ21:BZ29)</f>
        <v>1056.3136304733962</v>
      </c>
      <c r="CA30" s="182">
        <f>CA11+SUM(CA13:CA19)+SUM(CA21:CA29)</f>
        <v>1117.4578968731842</v>
      </c>
      <c r="CB30" s="978">
        <f>CB11+SUM(CB13:CB19)+SUM(CB21:CB29)</f>
        <v>1105.259668101686</v>
      </c>
      <c r="CC30" s="20"/>
      <c r="CD30" s="236">
        <f t="shared" ref="CD30:CM30" si="155">CD11+SUM(CD13:CD19)+SUM(CD21:CD29)</f>
        <v>529.71800000000007</v>
      </c>
      <c r="CE30" s="236">
        <f t="shared" si="155"/>
        <v>584.76700000000005</v>
      </c>
      <c r="CF30" s="236">
        <f t="shared" si="155"/>
        <v>483.54200000000003</v>
      </c>
      <c r="CG30" s="236">
        <f t="shared" si="155"/>
        <v>511.27500000000009</v>
      </c>
      <c r="CH30" s="236">
        <f t="shared" si="155"/>
        <v>583.05500000000006</v>
      </c>
      <c r="CI30" s="236">
        <f t="shared" si="155"/>
        <v>863.2149999999998</v>
      </c>
      <c r="CJ30" s="236">
        <f t="shared" si="155"/>
        <v>691.375</v>
      </c>
      <c r="CK30" s="236">
        <f t="shared" si="155"/>
        <v>789.19499999999994</v>
      </c>
      <c r="CL30" s="236">
        <f t="shared" si="155"/>
        <v>814.11599999999987</v>
      </c>
      <c r="CM30" s="236">
        <f t="shared" si="155"/>
        <v>773.20700000000011</v>
      </c>
      <c r="CN30" s="236">
        <f>CN11+SUM(CN13:CN19)+SUM(CN21:CN29)</f>
        <v>750.74699999999996</v>
      </c>
      <c r="CO30" s="236">
        <f>CO11+SUM(CO13:CO19)+SUM(CO21:CO29)</f>
        <v>884.05199999999991</v>
      </c>
      <c r="CP30" s="236">
        <f>CP11+SUM(CP13:CP19)+SUM(CP21:CP29)</f>
        <v>1017.6816019361402</v>
      </c>
      <c r="CQ30" s="238">
        <f>CQ11+SUM(CQ13:CQ19)+SUM(CQ21:CQ29)</f>
        <v>1097.2456201476232</v>
      </c>
      <c r="CR30" s="770"/>
      <c r="CS30" s="889"/>
    </row>
    <row r="31" spans="1:97" ht="14.25" customHeight="1" thickTop="1">
      <c r="A31" s="8"/>
      <c r="B31" s="23"/>
      <c r="C31" s="24"/>
      <c r="D31" s="233"/>
      <c r="E31" s="231"/>
      <c r="F31" s="231"/>
      <c r="G31" s="232"/>
      <c r="H31" s="233"/>
      <c r="I31" s="231"/>
      <c r="J31" s="231"/>
      <c r="K31" s="232"/>
      <c r="L31" s="233"/>
      <c r="M31" s="231"/>
      <c r="N31" s="231"/>
      <c r="O31" s="232"/>
      <c r="P31" s="233"/>
      <c r="Q31" s="231"/>
      <c r="R31" s="231"/>
      <c r="S31" s="232"/>
      <c r="T31" s="233"/>
      <c r="U31" s="231"/>
      <c r="V31" s="231"/>
      <c r="W31" s="232"/>
      <c r="X31" s="233"/>
      <c r="Y31" s="231"/>
      <c r="Z31" s="231"/>
      <c r="AA31" s="232"/>
      <c r="AB31" s="231"/>
      <c r="AC31" s="231"/>
      <c r="AD31" s="231"/>
      <c r="AE31" s="232"/>
      <c r="AF31" s="231"/>
      <c r="AG31" s="231"/>
      <c r="AH31" s="231"/>
      <c r="AI31" s="232"/>
      <c r="AJ31" s="231"/>
      <c r="AK31" s="231"/>
      <c r="AL31" s="231"/>
      <c r="AM31" s="232"/>
      <c r="AN31" s="231"/>
      <c r="AO31" s="231"/>
      <c r="AP31" s="231"/>
      <c r="AQ31" s="232"/>
      <c r="AR31" s="231"/>
      <c r="AS31" s="231"/>
      <c r="AT31" s="231"/>
      <c r="AU31" s="232"/>
      <c r="AV31" s="231"/>
      <c r="AW31" s="231"/>
      <c r="AX31" s="231"/>
      <c r="AY31" s="228"/>
      <c r="AZ31" s="890"/>
      <c r="BA31" s="231"/>
      <c r="BB31" s="231"/>
      <c r="BC31" s="232"/>
      <c r="BD31" s="231"/>
      <c r="BE31" s="231"/>
      <c r="BF31" s="231"/>
      <c r="BG31" s="232"/>
      <c r="BH31" s="231"/>
      <c r="BI31" s="231"/>
      <c r="BJ31" s="231"/>
      <c r="BK31" s="232"/>
      <c r="BL31" s="20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997"/>
      <c r="CC31" s="20"/>
      <c r="CD31" s="231"/>
      <c r="CE31" s="231"/>
      <c r="CF31" s="231"/>
      <c r="CG31" s="231"/>
      <c r="CH31" s="231"/>
      <c r="CI31" s="231"/>
      <c r="CJ31" s="231"/>
      <c r="CK31" s="231"/>
      <c r="CL31" s="231"/>
      <c r="CM31" s="231"/>
      <c r="CN31" s="231"/>
      <c r="CO31" s="231"/>
      <c r="CP31" s="231"/>
      <c r="CQ31" s="232"/>
      <c r="CR31" s="770"/>
      <c r="CS31" s="889"/>
    </row>
    <row r="32" spans="1:97" ht="14.25" customHeight="1">
      <c r="A32" s="8"/>
      <c r="B32" s="50" t="str">
        <f t="shared" ref="B32:B38" si="156">B114</f>
        <v>Cash flows from investing activities:</v>
      </c>
      <c r="C32" s="51"/>
      <c r="D32" s="233"/>
      <c r="E32" s="231"/>
      <c r="F32" s="231"/>
      <c r="G32" s="232"/>
      <c r="H32" s="233"/>
      <c r="I32" s="231"/>
      <c r="J32" s="231"/>
      <c r="K32" s="232"/>
      <c r="L32" s="233"/>
      <c r="M32" s="231"/>
      <c r="N32" s="231"/>
      <c r="O32" s="232"/>
      <c r="P32" s="233"/>
      <c r="Q32" s="231"/>
      <c r="R32" s="231"/>
      <c r="S32" s="232"/>
      <c r="T32" s="233"/>
      <c r="U32" s="231"/>
      <c r="V32" s="231"/>
      <c r="W32" s="232"/>
      <c r="X32" s="233"/>
      <c r="Y32" s="231"/>
      <c r="Z32" s="231"/>
      <c r="AA32" s="232"/>
      <c r="AB32" s="231"/>
      <c r="AC32" s="231"/>
      <c r="AD32" s="231"/>
      <c r="AE32" s="232"/>
      <c r="AF32" s="231"/>
      <c r="AG32" s="231"/>
      <c r="AH32" s="231"/>
      <c r="AI32" s="232"/>
      <c r="AJ32" s="231"/>
      <c r="AK32" s="231"/>
      <c r="AL32" s="231"/>
      <c r="AM32" s="232"/>
      <c r="AN32" s="231"/>
      <c r="AO32" s="231"/>
      <c r="AP32" s="231"/>
      <c r="AQ32" s="232"/>
      <c r="AR32" s="231"/>
      <c r="AS32" s="231"/>
      <c r="AT32" s="231"/>
      <c r="AU32" s="232"/>
      <c r="AV32" s="231"/>
      <c r="AW32" s="231"/>
      <c r="AX32" s="231"/>
      <c r="AY32" s="228"/>
      <c r="AZ32" s="233"/>
      <c r="BA32" s="231"/>
      <c r="BB32" s="231"/>
      <c r="BC32" s="232"/>
      <c r="BD32" s="231"/>
      <c r="BE32" s="231"/>
      <c r="BF32" s="231"/>
      <c r="BG32" s="232"/>
      <c r="BH32" s="231"/>
      <c r="BI32" s="231"/>
      <c r="BJ32" s="231"/>
      <c r="BK32" s="232"/>
      <c r="BL32" s="20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997"/>
      <c r="CC32" s="20"/>
      <c r="CD32" s="231"/>
      <c r="CE32" s="231"/>
      <c r="CF32" s="231"/>
      <c r="CG32" s="231"/>
      <c r="CH32" s="231"/>
      <c r="CI32" s="231"/>
      <c r="CJ32" s="231"/>
      <c r="CK32" s="231"/>
      <c r="CL32" s="231"/>
      <c r="CM32" s="231"/>
      <c r="CN32" s="231"/>
      <c r="CO32" s="231"/>
      <c r="CP32" s="231"/>
      <c r="CQ32" s="232"/>
      <c r="CR32" s="770"/>
      <c r="CS32" s="889"/>
    </row>
    <row r="33" spans="1:97" ht="14.25" customHeight="1">
      <c r="A33" s="8"/>
      <c r="B33" s="28" t="str">
        <f t="shared" si="156"/>
        <v>Acquisition of property and equipment</v>
      </c>
      <c r="C33" s="29"/>
      <c r="D33" s="230">
        <f>D115</f>
        <v>-15.006</v>
      </c>
      <c r="E33" s="228">
        <f>E115-D33</f>
        <v>-15.722999999999999</v>
      </c>
      <c r="F33" s="228">
        <f>F115-E33-D33</f>
        <v>-13.826999999999998</v>
      </c>
      <c r="G33" s="229">
        <f>G115-F33-E33-D33</f>
        <v>-22.484000000000009</v>
      </c>
      <c r="H33" s="230">
        <f>H115</f>
        <v>-12.958</v>
      </c>
      <c r="I33" s="228">
        <f>I115-H33</f>
        <v>-14.031000000000001</v>
      </c>
      <c r="J33" s="228">
        <f>J115-I33-H33</f>
        <v>-20.605000000000004</v>
      </c>
      <c r="K33" s="229">
        <f>K115-J33-I33-H33</f>
        <v>-63.182999999999993</v>
      </c>
      <c r="L33" s="230">
        <f>L115</f>
        <v>-15.599</v>
      </c>
      <c r="M33" s="228">
        <f>M115-L33</f>
        <v>-13.018999999999998</v>
      </c>
      <c r="N33" s="228">
        <f>N115-M33-L33</f>
        <v>-10.736999999999998</v>
      </c>
      <c r="O33" s="229">
        <f>O115-N33-M33-L33</f>
        <v>-6.2380000000000102</v>
      </c>
      <c r="P33" s="230">
        <f>P115</f>
        <v>-9.8729999999999993</v>
      </c>
      <c r="Q33" s="228">
        <f>Q115-P33</f>
        <v>-11.776999999999999</v>
      </c>
      <c r="R33" s="228">
        <f>R115-Q33-P33</f>
        <v>-11.060999999999998</v>
      </c>
      <c r="S33" s="229">
        <f>S115-R33-Q33-P33</f>
        <v>-6.3980000000000015</v>
      </c>
      <c r="T33" s="230">
        <f>T115</f>
        <v>-4.7140000000000004</v>
      </c>
      <c r="U33" s="228">
        <f>U115-T33</f>
        <v>-4.1329999999999991</v>
      </c>
      <c r="V33" s="228">
        <f>V115-U33-T33</f>
        <v>-8.6929999999999996</v>
      </c>
      <c r="W33" s="229">
        <f>W115-V33-U33-T33</f>
        <v>-10.612000000000004</v>
      </c>
      <c r="X33" s="230">
        <f>X115</f>
        <v>-18.266999999999999</v>
      </c>
      <c r="Y33" s="228">
        <f>Y115-X33</f>
        <v>-15.177000000000003</v>
      </c>
      <c r="Z33" s="228">
        <f>Z115-Y33-X33</f>
        <v>-14.879999999999992</v>
      </c>
      <c r="AA33" s="229">
        <f>AA115-Z33-Y33-X33</f>
        <v>-16.654999999999998</v>
      </c>
      <c r="AB33" s="230">
        <f>AB115</f>
        <v>-13.789</v>
      </c>
      <c r="AC33" s="228">
        <f>AC115-AB33</f>
        <v>-17.628</v>
      </c>
      <c r="AD33" s="228">
        <f>AD115-SUM(AB33:AC33)</f>
        <v>-18.984000000000002</v>
      </c>
      <c r="AE33" s="229">
        <f>AE115-AD33-AC33-AB33</f>
        <v>-19.669999999999995</v>
      </c>
      <c r="AF33" s="230">
        <f>AF115</f>
        <v>-8.3420000000000005</v>
      </c>
      <c r="AG33" s="228">
        <f>AG115-AF33</f>
        <v>-7.6359999999999992</v>
      </c>
      <c r="AH33" s="228">
        <f>AH115-SUM(AF33:AG33)</f>
        <v>-8.0750000000000011</v>
      </c>
      <c r="AI33" s="229">
        <f>AI115-AH33-AG33-AF33</f>
        <v>-6.211999999999998</v>
      </c>
      <c r="AJ33" s="230">
        <f>AJ115</f>
        <v>-11.301</v>
      </c>
      <c r="AK33" s="228">
        <f>AK115-AJ33</f>
        <v>-8.4410000000000007</v>
      </c>
      <c r="AL33" s="228">
        <f>AL115-SUM(AJ33:AK33)</f>
        <v>-10.974999999999998</v>
      </c>
      <c r="AM33" s="229">
        <f>AM115-AL33-AK33-AJ33</f>
        <v>-14.147999999999998</v>
      </c>
      <c r="AN33" s="230">
        <f>AN115</f>
        <v>-9.1159999999999997</v>
      </c>
      <c r="AO33" s="228">
        <f>AO115-AN33</f>
        <v>-8.4269999999999996</v>
      </c>
      <c r="AP33" s="228">
        <f>AP115-SUM(AN33:AO33)</f>
        <v>-6.1389999999999993</v>
      </c>
      <c r="AQ33" s="229">
        <f>AQ115-AP33-AO33-AN33</f>
        <v>-5.9370000000000012</v>
      </c>
      <c r="AR33" s="230">
        <f>AR115</f>
        <v>-7.6890000000000001</v>
      </c>
      <c r="AS33" s="228">
        <f>AS115-AR33</f>
        <v>-5.3620000000000001</v>
      </c>
      <c r="AT33" s="228">
        <f>AT115-SUM(AR33:AS33)</f>
        <v>-6.1180000000000003</v>
      </c>
      <c r="AU33" s="229">
        <f>AU115-AT33-AS33-AR33</f>
        <v>-14.834999999999994</v>
      </c>
      <c r="AV33" s="230">
        <f>AV115</f>
        <v>-20.637</v>
      </c>
      <c r="AW33" s="228">
        <f>AW115-AV33</f>
        <v>-11.312999999999999</v>
      </c>
      <c r="AX33" s="228">
        <f>AX115-SUM(AV33:AW33)</f>
        <v>-19.875000000000004</v>
      </c>
      <c r="AY33" s="228">
        <f>AY115-AX33-AW33-AV33</f>
        <v>-20.225999999999999</v>
      </c>
      <c r="AZ33" s="230">
        <f>AZ115</f>
        <v>-9.9260000000000002</v>
      </c>
      <c r="BA33" s="228">
        <f>BA115-AZ33</f>
        <v>-12.223000000000001</v>
      </c>
      <c r="BB33" s="228">
        <f>BB115-SUM(AZ33:BA33)</f>
        <v>-6.7910000000000004</v>
      </c>
      <c r="BC33" s="229">
        <f>BC115-BB33-BA33-AZ33</f>
        <v>-20.977999999999994</v>
      </c>
      <c r="BD33" s="228">
        <f t="shared" ref="BD33:BK33" si="157">-BD61-BD62</f>
        <v>-10.132292426999998</v>
      </c>
      <c r="BE33" s="228">
        <f t="shared" si="157"/>
        <v>-10.189766616885001</v>
      </c>
      <c r="BF33" s="228">
        <f t="shared" si="157"/>
        <v>-10.169334186605097</v>
      </c>
      <c r="BG33" s="229">
        <f t="shared" si="157"/>
        <v>-10.420139272204601</v>
      </c>
      <c r="BH33" s="228">
        <f t="shared" si="157"/>
        <v>-10.768306124128591</v>
      </c>
      <c r="BI33" s="228">
        <f t="shared" si="157"/>
        <v>-10.861704737314154</v>
      </c>
      <c r="BJ33" s="228">
        <f t="shared" si="157"/>
        <v>-10.772075768943459</v>
      </c>
      <c r="BK33" s="229">
        <f t="shared" si="157"/>
        <v>-10.959452015639727</v>
      </c>
      <c r="BL33" s="20"/>
      <c r="BM33" s="228">
        <f>SUM(D33:G33)</f>
        <v>-67.040000000000006</v>
      </c>
      <c r="BN33" s="228">
        <f>SUM(H33:K33)</f>
        <v>-110.777</v>
      </c>
      <c r="BO33" s="228">
        <f>SUM(L33:O33)</f>
        <v>-45.593000000000004</v>
      </c>
      <c r="BP33" s="228">
        <f>SUM(P33:S33)</f>
        <v>-39.109000000000002</v>
      </c>
      <c r="BQ33" s="228">
        <f>SUM(T33:W33)</f>
        <v>-28.152000000000001</v>
      </c>
      <c r="BR33" s="228">
        <f>SUM(X33:AA33)</f>
        <v>-64.978999999999999</v>
      </c>
      <c r="BS33" s="228">
        <f>SUM(AB33:AE33)</f>
        <v>-70.070999999999998</v>
      </c>
      <c r="BT33" s="228">
        <f>SUM(AF33:AI33)</f>
        <v>-30.265000000000001</v>
      </c>
      <c r="BU33" s="228">
        <f>SUM(AJ33:AM33)</f>
        <v>-44.864999999999995</v>
      </c>
      <c r="BV33" s="228">
        <f>SUM(AN33:AQ33)</f>
        <v>-29.619</v>
      </c>
      <c r="BW33" s="228">
        <f>SUM(AR33:AU33)</f>
        <v>-34.003999999999991</v>
      </c>
      <c r="BX33" s="228">
        <f>SUM(AV33:AY33)</f>
        <v>-72.051000000000002</v>
      </c>
      <c r="BY33" s="228">
        <f>SUM(AZ33:BC33)</f>
        <v>-49.917999999999992</v>
      </c>
      <c r="BZ33" s="228">
        <f>SUM(BD33:BG33)</f>
        <v>-40.911532502694698</v>
      </c>
      <c r="CA33" s="228">
        <f>SUM(BH33:BK33)</f>
        <v>-43.361538646025934</v>
      </c>
      <c r="CB33" s="996">
        <f>-CB61-CB62</f>
        <v>-61.014237610133094</v>
      </c>
      <c r="CC33" s="20"/>
      <c r="CD33" s="228">
        <f>SUM(G33:J33)</f>
        <v>-70.078000000000003</v>
      </c>
      <c r="CE33" s="228">
        <f>SUM(K33:N33)</f>
        <v>-102.53799999999998</v>
      </c>
      <c r="CF33" s="228">
        <f>SUM(O33:R33)</f>
        <v>-38.949000000000012</v>
      </c>
      <c r="CG33" s="228">
        <f>SUM(S33:V33)</f>
        <v>-23.938000000000002</v>
      </c>
      <c r="CH33" s="228">
        <f>SUM(W33:Z33)</f>
        <v>-58.936000000000007</v>
      </c>
      <c r="CI33" s="228">
        <f>SUM(AA33:AD33)</f>
        <v>-67.055999999999997</v>
      </c>
      <c r="CJ33" s="228">
        <f>SUM(AE33:AH33)</f>
        <v>-43.722999999999999</v>
      </c>
      <c r="CK33" s="228">
        <f>SUM(AI33:AL33)</f>
        <v>-36.929000000000002</v>
      </c>
      <c r="CL33" s="228">
        <f>SUM(AM33:AP33)</f>
        <v>-37.83</v>
      </c>
      <c r="CM33" s="228">
        <f>SUM(AQ33:AT33)</f>
        <v>-25.106000000000002</v>
      </c>
      <c r="CN33" s="228">
        <f>SUM(AU33:AX33)</f>
        <v>-66.66</v>
      </c>
      <c r="CO33" s="228">
        <f>SUM(AY33:BB33)</f>
        <v>-49.165999999999997</v>
      </c>
      <c r="CP33" s="228">
        <f>SUM(BC33:BF33)</f>
        <v>-51.469393230490091</v>
      </c>
      <c r="CQ33" s="229">
        <f>SUM(BG33:BJ33)</f>
        <v>-42.822225902590809</v>
      </c>
      <c r="CR33" s="770"/>
      <c r="CS33" s="889"/>
    </row>
    <row r="34" spans="1:97" ht="14.25" customHeight="1">
      <c r="A34" s="8"/>
      <c r="B34" s="28" t="str">
        <f t="shared" si="156"/>
        <v>Purchases of securities</v>
      </c>
      <c r="C34" s="29"/>
      <c r="D34" s="230">
        <f>D116</f>
        <v>-385.89299999999997</v>
      </c>
      <c r="E34" s="228">
        <f>E116-D34</f>
        <v>-587.04700000000003</v>
      </c>
      <c r="F34" s="228">
        <f>F116-E34-D34</f>
        <v>-335.33700000000005</v>
      </c>
      <c r="G34" s="229">
        <f>G116-F34-E34-D34</f>
        <v>-150.97100000000006</v>
      </c>
      <c r="H34" s="230">
        <f>H116</f>
        <v>-189.489</v>
      </c>
      <c r="I34" s="228">
        <f>I116-H34</f>
        <v>-368.82999999999993</v>
      </c>
      <c r="J34" s="228">
        <f>J116-I34-H34</f>
        <v>-736.78800000000001</v>
      </c>
      <c r="K34" s="229">
        <f>K116-J34-I34-H34</f>
        <v>-569.47500000000014</v>
      </c>
      <c r="L34" s="230">
        <f>L116</f>
        <v>-530.97</v>
      </c>
      <c r="M34" s="228">
        <f>M116-L34</f>
        <v>-590.08400000000006</v>
      </c>
      <c r="N34" s="228">
        <f>N116-M34-L34</f>
        <v>-762.93599999999992</v>
      </c>
      <c r="O34" s="229">
        <f>O116-N34-M34-L34</f>
        <v>-263.83799999999997</v>
      </c>
      <c r="P34" s="230">
        <f>P116</f>
        <v>-270.827</v>
      </c>
      <c r="Q34" s="228">
        <f>Q116-P34</f>
        <v>-394.23299999999995</v>
      </c>
      <c r="R34" s="228">
        <f>R116-Q34-P34</f>
        <v>-167.85900000000004</v>
      </c>
      <c r="S34" s="229">
        <f>S116-R34-Q34-P34</f>
        <v>-112.14999999999998</v>
      </c>
      <c r="T34" s="230">
        <f>T116</f>
        <v>-436.61</v>
      </c>
      <c r="U34" s="228">
        <f>U116-T34</f>
        <v>-366.71199999999999</v>
      </c>
      <c r="V34" s="228">
        <f>V116-U34-T34</f>
        <v>-522.65099999999995</v>
      </c>
      <c r="W34" s="229">
        <f>W116-V34-U34-T34</f>
        <v>-343.17499999999984</v>
      </c>
      <c r="X34" s="230">
        <f>X116</f>
        <v>-583.70699999999999</v>
      </c>
      <c r="Y34" s="228">
        <f>Y116-X34</f>
        <v>-724.1819999999999</v>
      </c>
      <c r="Z34" s="228">
        <f>Z116-Y34-X34</f>
        <v>-516.43200000000013</v>
      </c>
      <c r="AA34" s="229">
        <f>AA116-Z34-Y34-X34</f>
        <v>-754.072</v>
      </c>
      <c r="AB34" s="230">
        <f>AB116</f>
        <v>-1014.822</v>
      </c>
      <c r="AC34" s="228">
        <f>AC116-AB34</f>
        <v>-1272.194</v>
      </c>
      <c r="AD34" s="228">
        <f>AD116-SUM(AB34:AC34)</f>
        <v>-1133.1909999999998</v>
      </c>
      <c r="AE34" s="229">
        <f>AE116-AD34-AC34-AB34</f>
        <v>-913.30100000000004</v>
      </c>
      <c r="AF34" s="230">
        <f>AF116</f>
        <v>-1150.5260000000001</v>
      </c>
      <c r="AG34" s="228">
        <f>AG116-AF34</f>
        <v>-870.26699999999983</v>
      </c>
      <c r="AH34" s="228">
        <f>AH116-SUM(AF34:AG34)</f>
        <v>-944.23299999999995</v>
      </c>
      <c r="AI34" s="229">
        <f>AI116-AH34-AG34-AF34</f>
        <v>-945.37200000000007</v>
      </c>
      <c r="AJ34" s="230">
        <f>AJ116</f>
        <v>-1213.461</v>
      </c>
      <c r="AK34" s="228">
        <f>AK116-AJ34</f>
        <v>-965.10400000000004</v>
      </c>
      <c r="AL34" s="228">
        <f>AL116-SUM(AJ34:AK34)</f>
        <v>-974.16100000000006</v>
      </c>
      <c r="AM34" s="229">
        <f>AM116-AL34-AK34-AJ34</f>
        <v>-690.66899999999987</v>
      </c>
      <c r="AN34" s="230">
        <f>AN116</f>
        <v>-874.36699999999996</v>
      </c>
      <c r="AO34" s="228">
        <f>AO116-AN34</f>
        <v>-691.92200000000003</v>
      </c>
      <c r="AP34" s="228">
        <f>AP116-SUM(AN34:AO34)</f>
        <v>-545.83900000000017</v>
      </c>
      <c r="AQ34" s="229">
        <f>AQ116-AP34-AO34-AN34</f>
        <v>-1630.6140000000003</v>
      </c>
      <c r="AR34" s="230">
        <f>AR116</f>
        <v>-704.899</v>
      </c>
      <c r="AS34" s="228">
        <f>AS116-AR34</f>
        <v>-644.95300000000009</v>
      </c>
      <c r="AT34" s="228">
        <f>AT116-SUM(AR34:AS34)</f>
        <v>-903.98800000000006</v>
      </c>
      <c r="AU34" s="229">
        <f>AU116-AT34-AS34-AR34</f>
        <v>-1008.4840000000003</v>
      </c>
      <c r="AV34" s="230">
        <f>AV116</f>
        <v>-891.18600000000004</v>
      </c>
      <c r="AW34" s="228">
        <f>AW116-AV34</f>
        <v>-1061.7809999999999</v>
      </c>
      <c r="AX34" s="228">
        <f>AX116-SUM(AV34:AW34)</f>
        <v>4638.9439999999995</v>
      </c>
      <c r="AY34" s="228">
        <f>AY116-AX34-AW34-AV34</f>
        <v>-5503.174</v>
      </c>
      <c r="AZ34" s="230">
        <f>AZ116</f>
        <v>-832.70500000000004</v>
      </c>
      <c r="BA34" s="228">
        <f>BA116-AZ34</f>
        <v>-535.26699999999994</v>
      </c>
      <c r="BB34" s="228">
        <f>BB116-SUM(AZ34:BA34)</f>
        <v>-843.39999999999986</v>
      </c>
      <c r="BC34" s="232">
        <v>0</v>
      </c>
      <c r="BD34" s="231">
        <v>0</v>
      </c>
      <c r="BE34" s="231">
        <v>0</v>
      </c>
      <c r="BF34" s="231">
        <v>0</v>
      </c>
      <c r="BG34" s="232">
        <v>0</v>
      </c>
      <c r="BH34" s="231">
        <v>0</v>
      </c>
      <c r="BI34" s="231">
        <v>0</v>
      </c>
      <c r="BJ34" s="231">
        <v>0</v>
      </c>
      <c r="BK34" s="232">
        <v>0</v>
      </c>
      <c r="BL34" s="20"/>
      <c r="BM34" s="228">
        <f>SUM(D34:G34)</f>
        <v>-1459.248</v>
      </c>
      <c r="BN34" s="228">
        <f>SUM(H34:K34)</f>
        <v>-1864.5820000000001</v>
      </c>
      <c r="BO34" s="228">
        <f>SUM(L34:O34)</f>
        <v>-2147.828</v>
      </c>
      <c r="BP34" s="228">
        <f>SUM(P34:S34)</f>
        <v>-945.06899999999996</v>
      </c>
      <c r="BQ34" s="228">
        <f>SUM(T34:W34)</f>
        <v>-1669.1479999999997</v>
      </c>
      <c r="BR34" s="228">
        <f>SUM(X34:AA34)</f>
        <v>-2578.393</v>
      </c>
      <c r="BS34" s="228">
        <f>SUM(AB34:AE34)</f>
        <v>-4333.5079999999998</v>
      </c>
      <c r="BT34" s="228">
        <f>SUM(AF34:AI34)</f>
        <v>-3910.3980000000001</v>
      </c>
      <c r="BU34" s="228">
        <f>SUM(AJ34:AM34)</f>
        <v>-3843.395</v>
      </c>
      <c r="BV34" s="228">
        <f>SUM(AN34:AQ34)</f>
        <v>-3742.7420000000002</v>
      </c>
      <c r="BW34" s="228">
        <f>SUM(AR34:AU34)</f>
        <v>-3262.3240000000005</v>
      </c>
      <c r="BX34" s="228">
        <f>SUM(AV34:AY34)</f>
        <v>-2817.1970000000006</v>
      </c>
      <c r="BY34" s="228">
        <f>SUM(AZ34:BC34)</f>
        <v>-2211.3719999999998</v>
      </c>
      <c r="BZ34" s="228">
        <f>SUM(BD34:BG34)</f>
        <v>0</v>
      </c>
      <c r="CA34" s="228">
        <f>SUM(BH34:BK34)</f>
        <v>0</v>
      </c>
      <c r="CB34" s="997">
        <v>0</v>
      </c>
      <c r="CC34" s="20"/>
      <c r="CD34" s="228">
        <f>SUM(G34:J34)</f>
        <v>-1446.078</v>
      </c>
      <c r="CE34" s="228">
        <f>SUM(K34:N34)</f>
        <v>-2453.4650000000001</v>
      </c>
      <c r="CF34" s="228">
        <f>SUM(O34:R34)</f>
        <v>-1096.7570000000001</v>
      </c>
      <c r="CG34" s="228">
        <f>SUM(S34:V34)</f>
        <v>-1438.123</v>
      </c>
      <c r="CH34" s="228">
        <f>SUM(W34:Z34)</f>
        <v>-2167.4960000000001</v>
      </c>
      <c r="CI34" s="228">
        <f>SUM(AA34:AD34)</f>
        <v>-4174.2789999999995</v>
      </c>
      <c r="CJ34" s="228">
        <f>SUM(AE34:AH34)</f>
        <v>-3878.3270000000002</v>
      </c>
      <c r="CK34" s="228">
        <f>SUM(AI34:AL34)</f>
        <v>-4098.098</v>
      </c>
      <c r="CL34" s="228">
        <f>SUM(AM34:AP34)</f>
        <v>-2802.7969999999996</v>
      </c>
      <c r="CM34" s="228">
        <f>SUM(AQ34:AT34)</f>
        <v>-3884.4540000000006</v>
      </c>
      <c r="CN34" s="228">
        <f>SUM(AU34:AX34)</f>
        <v>1677.4929999999995</v>
      </c>
      <c r="CO34" s="228">
        <f>SUM(AY34:BB34)</f>
        <v>-7714.5459999999994</v>
      </c>
      <c r="CP34" s="228">
        <f>SUM(BC34:BF34)</f>
        <v>0</v>
      </c>
      <c r="CQ34" s="229">
        <f>SUM(BG34:BJ34)</f>
        <v>0</v>
      </c>
      <c r="CR34" s="770"/>
      <c r="CS34" s="889"/>
    </row>
    <row r="35" spans="1:97" ht="14.25" customHeight="1">
      <c r="A35" s="8"/>
      <c r="B35" s="28" t="str">
        <f t="shared" si="156"/>
        <v>Proceeds from sale and maturity of securities</v>
      </c>
      <c r="C35" s="29"/>
      <c r="D35" s="230">
        <f>D117</f>
        <v>382.60599999999999</v>
      </c>
      <c r="E35" s="228">
        <f>E117-D35</f>
        <v>693.18100000000004</v>
      </c>
      <c r="F35" s="228">
        <f>F117-E35-D35</f>
        <v>359.97800000000007</v>
      </c>
      <c r="G35" s="229">
        <f>G117-F35-E35-D35</f>
        <v>376.81499999999983</v>
      </c>
      <c r="H35" s="230">
        <f>H117</f>
        <v>214.303</v>
      </c>
      <c r="I35" s="228">
        <f>I117-H35</f>
        <v>461.904</v>
      </c>
      <c r="J35" s="228">
        <f>J117-I35-H35</f>
        <v>365.85199999999998</v>
      </c>
      <c r="K35" s="229">
        <f>K117-J35-I35-H35</f>
        <v>651.09300000000019</v>
      </c>
      <c r="L35" s="230">
        <f>L117</f>
        <v>401.60199999999998</v>
      </c>
      <c r="M35" s="228">
        <f>M117-L35</f>
        <v>354.36099999999999</v>
      </c>
      <c r="N35" s="228">
        <f>N117-M35-L35</f>
        <v>812.11900000000003</v>
      </c>
      <c r="O35" s="229">
        <f>O117-N35-M35-L35</f>
        <v>811.97299999999984</v>
      </c>
      <c r="P35" s="230">
        <f>P117</f>
        <v>182.08099999999999</v>
      </c>
      <c r="Q35" s="228">
        <f>Q117-P35</f>
        <v>357.57399999999996</v>
      </c>
      <c r="R35" s="228">
        <f>R117-Q35-P35</f>
        <v>538.50600000000009</v>
      </c>
      <c r="S35" s="229">
        <f>S117-R35-Q35-P35</f>
        <v>181.34999999999994</v>
      </c>
      <c r="T35" s="230">
        <f>T117</f>
        <v>120.09699999999999</v>
      </c>
      <c r="U35" s="228">
        <f>U117-T35</f>
        <v>469.77499999999998</v>
      </c>
      <c r="V35" s="228">
        <f>V117-U35-T35</f>
        <v>411.21900000000005</v>
      </c>
      <c r="W35" s="229">
        <f>W117-V35-U35-T35</f>
        <v>361.74699999999996</v>
      </c>
      <c r="X35" s="230">
        <f>X117</f>
        <v>327.66399999999999</v>
      </c>
      <c r="Y35" s="228">
        <f>Y117-X35</f>
        <v>592.96400000000006</v>
      </c>
      <c r="Z35" s="228">
        <f>Z117-Y35-X35</f>
        <v>514.64800000000002</v>
      </c>
      <c r="AA35" s="229">
        <f>AA117-Z35-Y35-X35</f>
        <v>616.7399999999999</v>
      </c>
      <c r="AB35" s="230">
        <f>AB117</f>
        <v>644.44399999999996</v>
      </c>
      <c r="AC35" s="228">
        <f>AC117-AB35</f>
        <v>869.98700000000008</v>
      </c>
      <c r="AD35" s="228">
        <f>AD117-SUM(AB35:AC35)</f>
        <v>1108.953</v>
      </c>
      <c r="AE35" s="229">
        <f>AE117-AD35-AC35-AB35</f>
        <v>858.11700000000019</v>
      </c>
      <c r="AF35" s="230">
        <f>AF117</f>
        <v>876.82299999999998</v>
      </c>
      <c r="AG35" s="228">
        <f>AG117-AF35</f>
        <v>889.39299999999992</v>
      </c>
      <c r="AH35" s="228">
        <f>AH117-SUM(AF35:AG35)</f>
        <v>918.77800000000025</v>
      </c>
      <c r="AI35" s="229">
        <f>AI117-AH35-AG35-AF35</f>
        <v>829.2299999999999</v>
      </c>
      <c r="AJ35" s="230">
        <f>AJ117</f>
        <v>961.53800000000001</v>
      </c>
      <c r="AK35" s="228">
        <f>AK117-AJ35</f>
        <v>805.6400000000001</v>
      </c>
      <c r="AL35" s="228">
        <f>AL117-SUM(AJ35:AK35)</f>
        <v>991.76299999999969</v>
      </c>
      <c r="AM35" s="229">
        <f>AM117-AL35-AK35-AJ35</f>
        <v>1141.9169999999999</v>
      </c>
      <c r="AN35" s="230">
        <f>AN117</f>
        <v>570.04300000000001</v>
      </c>
      <c r="AO35" s="228">
        <f>AO117-AN35</f>
        <v>862.14800000000002</v>
      </c>
      <c r="AP35" s="228">
        <f>AP117-SUM(AN35:AO35)</f>
        <v>1214.2189999999998</v>
      </c>
      <c r="AQ35" s="229">
        <f>AQ117-AP35-AO35-AN35</f>
        <v>1109.6110000000003</v>
      </c>
      <c r="AR35" s="230">
        <f>AR117</f>
        <v>460.791</v>
      </c>
      <c r="AS35" s="228">
        <f>AS117-AR35</f>
        <v>788.14800000000014</v>
      </c>
      <c r="AT35" s="228">
        <f>AT117-SUM(AR35:AS35)</f>
        <v>934.35699999999974</v>
      </c>
      <c r="AU35" s="229">
        <f>AU117-AT35-AS35-AR35</f>
        <v>699.04600000000028</v>
      </c>
      <c r="AV35" s="230">
        <f>AV117</f>
        <v>827.68899999999996</v>
      </c>
      <c r="AW35" s="228">
        <f>AW117-AV35</f>
        <v>1195.625</v>
      </c>
      <c r="AX35" s="228">
        <f>AX117-SUM(AV35:AW35)</f>
        <v>-4274.1239999999998</v>
      </c>
      <c r="AY35" s="228">
        <f>AY117-AX35-AW35-AV35</f>
        <v>5655.3869999999997</v>
      </c>
      <c r="AZ35" s="230">
        <f>AZ117</f>
        <v>613.39599999999996</v>
      </c>
      <c r="BA35" s="228">
        <f>BA117-AZ35</f>
        <v>644.17499999999995</v>
      </c>
      <c r="BB35" s="228">
        <f>BB117-SUM(AZ35:BA35)</f>
        <v>681.67399999999998</v>
      </c>
      <c r="BC35" s="229">
        <f>BB35</f>
        <v>681.67399999999998</v>
      </c>
      <c r="BD35" s="231">
        <v>0</v>
      </c>
      <c r="BE35" s="231">
        <v>0</v>
      </c>
      <c r="BF35" s="231">
        <v>0</v>
      </c>
      <c r="BG35" s="232">
        <f>BF35</f>
        <v>0</v>
      </c>
      <c r="BH35" s="231">
        <v>0</v>
      </c>
      <c r="BI35" s="231">
        <v>0</v>
      </c>
      <c r="BJ35" s="231">
        <v>0</v>
      </c>
      <c r="BK35" s="232">
        <f>BJ35</f>
        <v>0</v>
      </c>
      <c r="BL35" s="20"/>
      <c r="BM35" s="228">
        <f>SUM(D35:G35)</f>
        <v>1812.58</v>
      </c>
      <c r="BN35" s="228">
        <f>SUM(H35:K35)</f>
        <v>1693.152</v>
      </c>
      <c r="BO35" s="228">
        <f>SUM(L35:O35)</f>
        <v>2380.0549999999998</v>
      </c>
      <c r="BP35" s="228">
        <f>SUM(P35:S35)</f>
        <v>1259.511</v>
      </c>
      <c r="BQ35" s="228">
        <f>SUM(T35:W35)</f>
        <v>1362.838</v>
      </c>
      <c r="BR35" s="228">
        <f>SUM(X35:AA35)</f>
        <v>2052.0160000000001</v>
      </c>
      <c r="BS35" s="228">
        <f>SUM(AB35:AE35)</f>
        <v>3481.5010000000002</v>
      </c>
      <c r="BT35" s="228">
        <f>SUM(AF35:AI35)</f>
        <v>3514.2240000000002</v>
      </c>
      <c r="BU35" s="228">
        <f>SUM(AJ35:AM35)</f>
        <v>3900.8579999999997</v>
      </c>
      <c r="BV35" s="228">
        <f>SUM(AN35:AQ35)</f>
        <v>3756.0210000000002</v>
      </c>
      <c r="BW35" s="228">
        <f>SUM(AR35:AU35)</f>
        <v>2882.3420000000001</v>
      </c>
      <c r="BX35" s="228">
        <f>SUM(AV35:AY35)</f>
        <v>3404.5769999999998</v>
      </c>
      <c r="BY35" s="228">
        <f>SUM(AZ35:BC35)</f>
        <v>2620.9189999999999</v>
      </c>
      <c r="BZ35" s="228">
        <f>SUM(BD35:BG35)</f>
        <v>0</v>
      </c>
      <c r="CA35" s="228">
        <f>SUM(BH35:BK35)</f>
        <v>0</v>
      </c>
      <c r="CB35" s="997">
        <v>0</v>
      </c>
      <c r="CC35" s="20"/>
      <c r="CD35" s="228">
        <f>SUM(G35:J35)</f>
        <v>1418.8739999999998</v>
      </c>
      <c r="CE35" s="228">
        <f>SUM(K35:N35)</f>
        <v>2219.1750000000002</v>
      </c>
      <c r="CF35" s="228">
        <f>SUM(O35:R35)</f>
        <v>1890.1339999999998</v>
      </c>
      <c r="CG35" s="228">
        <f>SUM(S35:V35)</f>
        <v>1182.441</v>
      </c>
      <c r="CH35" s="228">
        <f>SUM(W35:Z35)</f>
        <v>1797.0230000000001</v>
      </c>
      <c r="CI35" s="228">
        <f>SUM(AA35:AD35)</f>
        <v>3240.1239999999998</v>
      </c>
      <c r="CJ35" s="228">
        <f>SUM(AE35:AH35)</f>
        <v>3543.1110000000003</v>
      </c>
      <c r="CK35" s="228">
        <f>SUM(AI35:AL35)</f>
        <v>3588.1710000000003</v>
      </c>
      <c r="CL35" s="228">
        <f>SUM(AM35:AP35)</f>
        <v>3788.3270000000002</v>
      </c>
      <c r="CM35" s="228">
        <f>SUM(AQ35:AT35)</f>
        <v>3292.9070000000002</v>
      </c>
      <c r="CN35" s="228">
        <f>SUM(AU35:AX35)</f>
        <v>-1551.7639999999997</v>
      </c>
      <c r="CO35" s="228">
        <f>SUM(AY35:BB35)</f>
        <v>7594.6319999999996</v>
      </c>
      <c r="CP35" s="228">
        <f>SUM(BC35:BF35)</f>
        <v>681.67399999999998</v>
      </c>
      <c r="CQ35" s="229">
        <f>SUM(BG35:BJ35)</f>
        <v>0</v>
      </c>
      <c r="CR35" s="770"/>
      <c r="CS35" s="889"/>
    </row>
    <row r="36" spans="1:97" ht="14.25" customHeight="1">
      <c r="A36" s="8"/>
      <c r="B36" s="28" t="str">
        <f t="shared" si="156"/>
        <v>Acquisition of intangible assets</v>
      </c>
      <c r="C36" s="29"/>
      <c r="D36" s="230">
        <f>D118</f>
        <v>0</v>
      </c>
      <c r="E36" s="228">
        <f>E118-D36</f>
        <v>0</v>
      </c>
      <c r="F36" s="228">
        <f>F118-E36-D36</f>
        <v>0</v>
      </c>
      <c r="G36" s="229">
        <f>G118-F36-E36-D36</f>
        <v>0</v>
      </c>
      <c r="H36" s="230">
        <f>H118</f>
        <v>0</v>
      </c>
      <c r="I36" s="228">
        <f>I118-H36</f>
        <v>0</v>
      </c>
      <c r="J36" s="228">
        <f>J118-I36-H36</f>
        <v>0</v>
      </c>
      <c r="K36" s="229">
        <f>K118-J36-I36-H36</f>
        <v>0</v>
      </c>
      <c r="L36" s="230">
        <f>L118</f>
        <v>0</v>
      </c>
      <c r="M36" s="228">
        <f>M118-L36</f>
        <v>0</v>
      </c>
      <c r="N36" s="228">
        <f>N118-M36-L36</f>
        <v>0</v>
      </c>
      <c r="O36" s="229">
        <f>O118-N36-M36-L36</f>
        <v>0</v>
      </c>
      <c r="P36" s="230">
        <f>P118</f>
        <v>0</v>
      </c>
      <c r="Q36" s="228">
        <f>Q118-P36</f>
        <v>0</v>
      </c>
      <c r="R36" s="228">
        <f>R118-Q36-P36</f>
        <v>0</v>
      </c>
      <c r="S36" s="229">
        <f>S118-R36-Q36-P36</f>
        <v>0</v>
      </c>
      <c r="T36" s="230">
        <f>T118</f>
        <v>0</v>
      </c>
      <c r="U36" s="228">
        <f>U118-T36</f>
        <v>0</v>
      </c>
      <c r="V36" s="228">
        <f>V118-U36-T36</f>
        <v>0</v>
      </c>
      <c r="W36" s="229">
        <f>W118-V36-U36-T36</f>
        <v>0</v>
      </c>
      <c r="X36" s="230">
        <f>X118</f>
        <v>0</v>
      </c>
      <c r="Y36" s="228">
        <f>Y118-X36</f>
        <v>0</v>
      </c>
      <c r="Z36" s="228">
        <f>Z118-Y36-X36</f>
        <v>0</v>
      </c>
      <c r="AA36" s="229">
        <f>AA118-Z36-Y36-X36</f>
        <v>0</v>
      </c>
      <c r="AB36" s="230">
        <f>AB118</f>
        <v>0</v>
      </c>
      <c r="AC36" s="228">
        <f>AC118-AB36</f>
        <v>0</v>
      </c>
      <c r="AD36" s="228">
        <f>AD118-SUM(AB36:AC36)</f>
        <v>0</v>
      </c>
      <c r="AE36" s="229">
        <f>AE118-AD36-AC36-AB36</f>
        <v>0</v>
      </c>
      <c r="AF36" s="230">
        <f>AF118</f>
        <v>0</v>
      </c>
      <c r="AG36" s="228">
        <f>AG118-AF36</f>
        <v>0</v>
      </c>
      <c r="AH36" s="228">
        <f>AH118-SUM(AF36:AG36)</f>
        <v>0</v>
      </c>
      <c r="AI36" s="229">
        <f>AI118-AH36-AG36-AF36</f>
        <v>0</v>
      </c>
      <c r="AJ36" s="230">
        <f>AJ118</f>
        <v>0</v>
      </c>
      <c r="AK36" s="228">
        <f>AK118-AJ36</f>
        <v>0</v>
      </c>
      <c r="AL36" s="228">
        <f>AL118-SUM(AJ36:AK36)</f>
        <v>0</v>
      </c>
      <c r="AM36" s="229">
        <f>AM118-AL36-AK36-AJ36</f>
        <v>0</v>
      </c>
      <c r="AN36" s="230">
        <f>AN118</f>
        <v>0</v>
      </c>
      <c r="AO36" s="228">
        <f>AO118-AN36</f>
        <v>0</v>
      </c>
      <c r="AP36" s="228">
        <f>AP118-SUM(AN36:AO36)</f>
        <v>0</v>
      </c>
      <c r="AQ36" s="229">
        <f>AQ118-AP36-AO36-AN36</f>
        <v>0</v>
      </c>
      <c r="AR36" s="230">
        <f>AR118</f>
        <v>0</v>
      </c>
      <c r="AS36" s="228">
        <f>AS118-AR36</f>
        <v>0</v>
      </c>
      <c r="AT36" s="228">
        <f>AT118-SUM(AR36:AS36)</f>
        <v>0</v>
      </c>
      <c r="AU36" s="229">
        <f>AU118-AT36-AS36-AR36</f>
        <v>0</v>
      </c>
      <c r="AV36" s="230">
        <f>AV118</f>
        <v>0</v>
      </c>
      <c r="AW36" s="228">
        <f>AW118-AV36</f>
        <v>0</v>
      </c>
      <c r="AX36" s="228">
        <f>AX118-SUM(AV36:AW36)</f>
        <v>0</v>
      </c>
      <c r="AY36" s="228">
        <f>AY118-AX36-AW36-AV36</f>
        <v>0</v>
      </c>
      <c r="AZ36" s="230">
        <f>AZ118</f>
        <v>0</v>
      </c>
      <c r="BA36" s="228">
        <f>BA118-AZ36</f>
        <v>0</v>
      </c>
      <c r="BB36" s="228">
        <f>BB118-SUM(AZ36:BA36)</f>
        <v>0</v>
      </c>
      <c r="BC36" s="232">
        <v>0</v>
      </c>
      <c r="BD36" s="231">
        <v>0</v>
      </c>
      <c r="BE36" s="231">
        <v>0</v>
      </c>
      <c r="BF36" s="231">
        <v>0</v>
      </c>
      <c r="BG36" s="232">
        <v>0</v>
      </c>
      <c r="BH36" s="231">
        <v>0</v>
      </c>
      <c r="BI36" s="231">
        <v>0</v>
      </c>
      <c r="BJ36" s="231">
        <v>0</v>
      </c>
      <c r="BK36" s="232">
        <v>0</v>
      </c>
      <c r="BL36" s="20"/>
      <c r="BM36" s="228">
        <f>SUM(D36:G36)</f>
        <v>0</v>
      </c>
      <c r="BN36" s="228">
        <f>SUM(H36:K36)</f>
        <v>0</v>
      </c>
      <c r="BO36" s="228">
        <f>SUM(L36:O36)</f>
        <v>0</v>
      </c>
      <c r="BP36" s="228">
        <f>SUM(P36:S36)</f>
        <v>0</v>
      </c>
      <c r="BQ36" s="228">
        <f>SUM(T36:W36)</f>
        <v>0</v>
      </c>
      <c r="BR36" s="228">
        <f>SUM(X36:AA36)</f>
        <v>0</v>
      </c>
      <c r="BS36" s="228">
        <f>SUM(AB36:AE36)</f>
        <v>0</v>
      </c>
      <c r="BT36" s="228">
        <f>SUM(AF36:AI36)</f>
        <v>0</v>
      </c>
      <c r="BU36" s="228">
        <f>SUM(AJ36:AM36)</f>
        <v>0</v>
      </c>
      <c r="BV36" s="228">
        <f>SUM(AN36:AQ36)</f>
        <v>0</v>
      </c>
      <c r="BW36" s="228">
        <f>SUM(AR36:AU36)</f>
        <v>0</v>
      </c>
      <c r="BX36" s="228">
        <f>SUM(AV36:AY36)</f>
        <v>0</v>
      </c>
      <c r="BY36" s="228">
        <f>SUM(AZ36:BC36)</f>
        <v>0</v>
      </c>
      <c r="BZ36" s="228">
        <f>SUM(BD36:BG36)</f>
        <v>0</v>
      </c>
      <c r="CA36" s="228">
        <f>SUM(BH36:BK36)</f>
        <v>0</v>
      </c>
      <c r="CB36" s="997">
        <v>0</v>
      </c>
      <c r="CC36" s="20"/>
      <c r="CD36" s="228">
        <f>SUM(G36:J36)</f>
        <v>0</v>
      </c>
      <c r="CE36" s="228">
        <f>SUM(K36:N36)</f>
        <v>0</v>
      </c>
      <c r="CF36" s="228">
        <f>SUM(O36:R36)</f>
        <v>0</v>
      </c>
      <c r="CG36" s="228">
        <f>SUM(S36:V36)</f>
        <v>0</v>
      </c>
      <c r="CH36" s="228">
        <f>SUM(W36:Z36)</f>
        <v>0</v>
      </c>
      <c r="CI36" s="228">
        <f>SUM(AA36:AD36)</f>
        <v>0</v>
      </c>
      <c r="CJ36" s="228">
        <f>SUM(AE36:AH36)</f>
        <v>0</v>
      </c>
      <c r="CK36" s="228">
        <f>SUM(AI36:AL36)</f>
        <v>0</v>
      </c>
      <c r="CL36" s="228">
        <f>SUM(AM36:AP36)</f>
        <v>0</v>
      </c>
      <c r="CM36" s="228">
        <f>SUM(AQ36:AT36)</f>
        <v>0</v>
      </c>
      <c r="CN36" s="228">
        <f>SUM(AU36:AX36)</f>
        <v>0</v>
      </c>
      <c r="CO36" s="228">
        <f>SUM(AY36:BB36)</f>
        <v>0</v>
      </c>
      <c r="CP36" s="228">
        <f>SUM(BC36:BF36)</f>
        <v>0</v>
      </c>
      <c r="CQ36" s="229">
        <f>SUM(BG36:BJ36)</f>
        <v>0</v>
      </c>
      <c r="CR36" s="770"/>
      <c r="CS36" s="889"/>
    </row>
    <row r="37" spans="1:97" ht="14.25" customHeight="1">
      <c r="A37" s="11"/>
      <c r="B37" s="28" t="str">
        <f t="shared" si="156"/>
        <v>Other investing activities</v>
      </c>
      <c r="C37" s="29"/>
      <c r="D37" s="230">
        <f>D119</f>
        <v>-11.375999999999999</v>
      </c>
      <c r="E37" s="228">
        <f>E119-D37</f>
        <v>-4.1340000000000003</v>
      </c>
      <c r="F37" s="228">
        <f>F119-E37-D37</f>
        <v>-8.599000000000002</v>
      </c>
      <c r="G37" s="229">
        <f>G119-F37-E37-D37</f>
        <v>-19.802999999999997</v>
      </c>
      <c r="H37" s="230">
        <f>H119</f>
        <v>-0.98099999999999998</v>
      </c>
      <c r="I37" s="228">
        <f>I119-H37</f>
        <v>0</v>
      </c>
      <c r="J37" s="228">
        <f>J119-I37-H37</f>
        <v>-0.58300000000000007</v>
      </c>
      <c r="K37" s="229">
        <f>K119-J37-I37-H37</f>
        <v>0</v>
      </c>
      <c r="L37" s="230">
        <f>L119</f>
        <v>-1.6</v>
      </c>
      <c r="M37" s="228">
        <f>M119-L37</f>
        <v>-1.0409999999999999</v>
      </c>
      <c r="N37" s="228">
        <f>N119-M37-L37</f>
        <v>8.7759999999999998</v>
      </c>
      <c r="O37" s="229">
        <f>O119-N37-M37-L37</f>
        <v>-0.75</v>
      </c>
      <c r="P37" s="230">
        <f>P119</f>
        <v>0</v>
      </c>
      <c r="Q37" s="228">
        <f>Q119-P37</f>
        <v>-0.49299999999999999</v>
      </c>
      <c r="R37" s="228">
        <f>R119-Q37-P37</f>
        <v>0</v>
      </c>
      <c r="S37" s="229">
        <f>S119-R37-Q37-P37</f>
        <v>-0.30000000000000004</v>
      </c>
      <c r="T37" s="230">
        <f>T119</f>
        <v>-0.71599999999999997</v>
      </c>
      <c r="U37" s="228">
        <f>U119-T37</f>
        <v>-2.0999999999999996</v>
      </c>
      <c r="V37" s="228">
        <f>V119-U37-T37</f>
        <v>-0.15600000000000036</v>
      </c>
      <c r="W37" s="229">
        <f>W119-V37-U37-T37</f>
        <v>0.70199999999999974</v>
      </c>
      <c r="X37" s="230">
        <f>X119</f>
        <v>-1</v>
      </c>
      <c r="Y37" s="228">
        <f>Y119-X37</f>
        <v>0</v>
      </c>
      <c r="Z37" s="228">
        <f>Z119-Y37-X37</f>
        <v>-0.39999999999999991</v>
      </c>
      <c r="AA37" s="229">
        <f>AA119-Z37-Y37-X37</f>
        <v>-32.685000000000002</v>
      </c>
      <c r="AB37" s="230">
        <f>AB119</f>
        <v>-29.989000000000001</v>
      </c>
      <c r="AC37" s="228">
        <f>AC119-AB37</f>
        <v>-4.5179999999999971</v>
      </c>
      <c r="AD37" s="228">
        <f>AD119-SUM(AB37:AC37)</f>
        <v>0.62099999999999511</v>
      </c>
      <c r="AE37" s="229">
        <f>AE119-AD37-AC37-AB37</f>
        <v>-4.9329999999999963</v>
      </c>
      <c r="AF37" s="230">
        <f>AF119</f>
        <v>-3.7879999999999998</v>
      </c>
      <c r="AG37" s="228">
        <f>AG119-AF37</f>
        <v>-23.861000000000001</v>
      </c>
      <c r="AH37" s="228">
        <f>AH119-SUM(AF37:AG37)</f>
        <v>-4.6999999999999957</v>
      </c>
      <c r="AI37" s="229">
        <f>AI119-AH37-AG37-AF37</f>
        <v>-52.727000000000004</v>
      </c>
      <c r="AJ37" s="230">
        <f>AJ119</f>
        <v>36.920999999999999</v>
      </c>
      <c r="AK37" s="228">
        <f>AK119-AJ37</f>
        <v>0.29599999999999937</v>
      </c>
      <c r="AL37" s="228">
        <f>AL119-SUM(AJ37:AK37)</f>
        <v>-10.125</v>
      </c>
      <c r="AM37" s="229">
        <f>AM119-AL37-AK37-AJ37</f>
        <v>-11.044</v>
      </c>
      <c r="AN37" s="230">
        <f>AN119</f>
        <v>-3.742</v>
      </c>
      <c r="AO37" s="228">
        <f>AO119-AN37</f>
        <v>-1.5090000000000003</v>
      </c>
      <c r="AP37" s="228">
        <f>AP119-SUM(AN37:AO37)</f>
        <v>-2.1890000000000001</v>
      </c>
      <c r="AQ37" s="229">
        <f>AQ119-AP37-AO37-AN37</f>
        <v>36.735999999999997</v>
      </c>
      <c r="AR37" s="230">
        <f>AR119</f>
        <v>0.33300000000000002</v>
      </c>
      <c r="AS37" s="228">
        <f>AS119-AR37</f>
        <v>-9.1000000000000025E-2</v>
      </c>
      <c r="AT37" s="228">
        <f>AT119-SUM(AR37:AS37)</f>
        <v>-5.9420000000000002</v>
      </c>
      <c r="AU37" s="229">
        <f>AU119-AT37-AS37-AR37</f>
        <v>-4.2499999999999991</v>
      </c>
      <c r="AV37" s="230">
        <f>AV119</f>
        <v>-3.5</v>
      </c>
      <c r="AW37" s="228">
        <f>AW119-AV37</f>
        <v>-12.349</v>
      </c>
      <c r="AX37" s="228">
        <f>AX119-SUM(AV37:AW37)</f>
        <v>-4.9050000000000011</v>
      </c>
      <c r="AY37" s="228">
        <f>AY119-AX37-AW37-AV37</f>
        <v>-0.625</v>
      </c>
      <c r="AZ37" s="840">
        <f>AZ119</f>
        <v>-3.008</v>
      </c>
      <c r="BA37" s="228">
        <f>BA119-AZ37</f>
        <v>-5.4530000000000003</v>
      </c>
      <c r="BB37" s="228">
        <f>BB119-SUM(AZ37:BA37)</f>
        <v>-9.3259999999999987</v>
      </c>
      <c r="BC37" s="232">
        <v>0</v>
      </c>
      <c r="BD37" s="231">
        <v>0</v>
      </c>
      <c r="BE37" s="231">
        <v>0</v>
      </c>
      <c r="BF37" s="231">
        <v>0</v>
      </c>
      <c r="BG37" s="232">
        <v>0</v>
      </c>
      <c r="BH37" s="231">
        <v>0</v>
      </c>
      <c r="BI37" s="231">
        <v>0</v>
      </c>
      <c r="BJ37" s="231">
        <v>0</v>
      </c>
      <c r="BK37" s="232">
        <v>0</v>
      </c>
      <c r="BL37" s="192"/>
      <c r="BM37" s="228">
        <f>SUM(D37:G37)</f>
        <v>-43.911999999999999</v>
      </c>
      <c r="BN37" s="228">
        <f>SUM(H37:K37)</f>
        <v>-1.5640000000000001</v>
      </c>
      <c r="BO37" s="228">
        <f>SUM(L37:O37)</f>
        <v>5.3849999999999998</v>
      </c>
      <c r="BP37" s="228">
        <f>SUM(P37:S37)</f>
        <v>-0.79300000000000004</v>
      </c>
      <c r="BQ37" s="228">
        <f>SUM(T37:W37)</f>
        <v>-2.2700000000000005</v>
      </c>
      <c r="BR37" s="228">
        <f>SUM(X37:AA37)</f>
        <v>-34.085000000000001</v>
      </c>
      <c r="BS37" s="228">
        <f>SUM(AB37:AE37)</f>
        <v>-38.819000000000003</v>
      </c>
      <c r="BT37" s="228">
        <f>SUM(AF37:AI37)</f>
        <v>-85.075999999999993</v>
      </c>
      <c r="BU37" s="228">
        <f>SUM(AJ37:AM37)</f>
        <v>16.047999999999998</v>
      </c>
      <c r="BV37" s="228">
        <f>SUM(AN37:AQ37)</f>
        <v>29.295999999999996</v>
      </c>
      <c r="BW37" s="228">
        <f>SUM(AR37:AU37)</f>
        <v>-9.9499999999999993</v>
      </c>
      <c r="BX37" s="228">
        <f>SUM(AV37:AY37)</f>
        <v>-21.379000000000001</v>
      </c>
      <c r="BY37" s="228">
        <f>SUM(AZ37:BC37)</f>
        <v>-17.786999999999999</v>
      </c>
      <c r="BZ37" s="228">
        <f>SUM(BD37:BG37)</f>
        <v>0</v>
      </c>
      <c r="CA37" s="228">
        <f>SUM(BH37:BK37)</f>
        <v>0</v>
      </c>
      <c r="CB37" s="997">
        <v>0</v>
      </c>
      <c r="CC37" s="192"/>
      <c r="CD37" s="228">
        <f>SUM(G37:J37)</f>
        <v>-21.366999999999997</v>
      </c>
      <c r="CE37" s="228">
        <f>SUM(K37:N37)</f>
        <v>6.1349999999999998</v>
      </c>
      <c r="CF37" s="228">
        <f>SUM(O37:R37)</f>
        <v>-1.2429999999999999</v>
      </c>
      <c r="CG37" s="228">
        <f>SUM(S37:V37)</f>
        <v>-3.2720000000000002</v>
      </c>
      <c r="CH37" s="228">
        <f>SUM(W37:Z37)</f>
        <v>-0.69800000000000018</v>
      </c>
      <c r="CI37" s="228">
        <f>SUM(AA37:AD37)</f>
        <v>-66.571000000000012</v>
      </c>
      <c r="CJ37" s="228">
        <f>SUM(AE37:AH37)</f>
        <v>-37.281999999999989</v>
      </c>
      <c r="CK37" s="228">
        <f>SUM(AI37:AL37)</f>
        <v>-25.635000000000005</v>
      </c>
      <c r="CL37" s="228">
        <f>SUM(AM37:AP37)</f>
        <v>-18.484000000000002</v>
      </c>
      <c r="CM37" s="228">
        <f>SUM(AQ37:AT37)</f>
        <v>31.035999999999994</v>
      </c>
      <c r="CN37" s="228">
        <f>SUM(AU37:AX37)</f>
        <v>-25.004000000000001</v>
      </c>
      <c r="CO37" s="228">
        <f>SUM(AY37:BB37)</f>
        <v>-18.411999999999999</v>
      </c>
      <c r="CP37" s="228">
        <f>SUM(BC37:BF37)</f>
        <v>0</v>
      </c>
      <c r="CQ37" s="229">
        <f>SUM(BG37:BJ37)</f>
        <v>0</v>
      </c>
      <c r="CR37" s="770"/>
      <c r="CS37" s="889"/>
    </row>
    <row r="38" spans="1:97" ht="14.25" customHeight="1" thickBot="1">
      <c r="A38" s="8"/>
      <c r="B38" s="234" t="str">
        <f t="shared" si="156"/>
        <v>Net cash used for investing activities</v>
      </c>
      <c r="C38" s="235"/>
      <c r="D38" s="237">
        <f t="shared" ref="D38:AE38" si="158">SUM(D33:D37)</f>
        <v>-29.669000000000004</v>
      </c>
      <c r="E38" s="236">
        <f t="shared" si="158"/>
        <v>86.277000000000058</v>
      </c>
      <c r="F38" s="236">
        <f t="shared" si="158"/>
        <v>2.2150000000000194</v>
      </c>
      <c r="G38" s="238">
        <f t="shared" si="158"/>
        <v>183.55699999999976</v>
      </c>
      <c r="H38" s="237">
        <f t="shared" si="158"/>
        <v>10.874999999999995</v>
      </c>
      <c r="I38" s="236">
        <f t="shared" si="158"/>
        <v>79.043000000000063</v>
      </c>
      <c r="J38" s="236">
        <f t="shared" si="158"/>
        <v>-392.12400000000008</v>
      </c>
      <c r="K38" s="238">
        <f t="shared" si="158"/>
        <v>18.435000000000059</v>
      </c>
      <c r="L38" s="237">
        <f t="shared" si="158"/>
        <v>-146.56700000000009</v>
      </c>
      <c r="M38" s="236">
        <f t="shared" si="158"/>
        <v>-249.78300000000007</v>
      </c>
      <c r="N38" s="236">
        <f t="shared" si="158"/>
        <v>47.222000000000136</v>
      </c>
      <c r="O38" s="238">
        <f t="shared" si="158"/>
        <v>541.14699999999993</v>
      </c>
      <c r="P38" s="237">
        <f t="shared" si="158"/>
        <v>-98.619</v>
      </c>
      <c r="Q38" s="236">
        <f t="shared" si="158"/>
        <v>-48.928999999999981</v>
      </c>
      <c r="R38" s="236">
        <f t="shared" si="158"/>
        <v>359.58600000000001</v>
      </c>
      <c r="S38" s="238">
        <f t="shared" si="158"/>
        <v>62.501999999999967</v>
      </c>
      <c r="T38" s="237">
        <f t="shared" si="158"/>
        <v>-321.94300000000004</v>
      </c>
      <c r="U38" s="236">
        <f t="shared" si="158"/>
        <v>96.830000000000013</v>
      </c>
      <c r="V38" s="236">
        <f t="shared" si="158"/>
        <v>-120.28099999999989</v>
      </c>
      <c r="W38" s="238">
        <f t="shared" si="158"/>
        <v>8.6620000000000932</v>
      </c>
      <c r="X38" s="237">
        <f t="shared" si="158"/>
        <v>-275.31000000000006</v>
      </c>
      <c r="Y38" s="236">
        <f t="shared" si="158"/>
        <v>-146.39499999999987</v>
      </c>
      <c r="Z38" s="236">
        <f t="shared" si="158"/>
        <v>-17.0640000000001</v>
      </c>
      <c r="AA38" s="238">
        <f t="shared" si="158"/>
        <v>-186.67200000000008</v>
      </c>
      <c r="AB38" s="236">
        <f t="shared" ref="AB38:AM38" si="159">SUM(AB33:AB37)</f>
        <v>-414.15600000000012</v>
      </c>
      <c r="AC38" s="236">
        <f t="shared" si="158"/>
        <v>-424.35299999999978</v>
      </c>
      <c r="AD38" s="236">
        <f t="shared" si="159"/>
        <v>-42.600999999999758</v>
      </c>
      <c r="AE38" s="238">
        <f t="shared" si="158"/>
        <v>-79.786999999999807</v>
      </c>
      <c r="AF38" s="236">
        <f t="shared" si="159"/>
        <v>-285.8330000000002</v>
      </c>
      <c r="AG38" s="236">
        <f t="shared" si="159"/>
        <v>-12.370999999999878</v>
      </c>
      <c r="AH38" s="236">
        <f t="shared" si="159"/>
        <v>-38.229999999999741</v>
      </c>
      <c r="AI38" s="238">
        <f t="shared" si="159"/>
        <v>-175.08100000000016</v>
      </c>
      <c r="AJ38" s="236">
        <f t="shared" si="159"/>
        <v>-226.30299999999994</v>
      </c>
      <c r="AK38" s="236">
        <f t="shared" si="159"/>
        <v>-167.60899999999998</v>
      </c>
      <c r="AL38" s="236">
        <f>SUM(AL33:AL37)</f>
        <v>-3.4980000000003884</v>
      </c>
      <c r="AM38" s="238">
        <f t="shared" si="159"/>
        <v>426.05600000000004</v>
      </c>
      <c r="AN38" s="236">
        <f t="shared" ref="AN38:AS38" si="160">SUM(AN33:AN37)</f>
        <v>-317.18199999999996</v>
      </c>
      <c r="AO38" s="236">
        <f t="shared" si="160"/>
        <v>160.28999999999996</v>
      </c>
      <c r="AP38" s="236">
        <f t="shared" si="160"/>
        <v>660.05199999999968</v>
      </c>
      <c r="AQ38" s="238">
        <f t="shared" si="160"/>
        <v>-490.20399999999984</v>
      </c>
      <c r="AR38" s="236">
        <f t="shared" si="160"/>
        <v>-251.46399999999997</v>
      </c>
      <c r="AS38" s="236">
        <f t="shared" si="160"/>
        <v>137.74200000000008</v>
      </c>
      <c r="AT38" s="236">
        <f t="shared" ref="AT38:AY38" si="161">SUM(AT33:AT37)</f>
        <v>18.308999999999635</v>
      </c>
      <c r="AU38" s="238">
        <f t="shared" si="161"/>
        <v>-328.52300000000002</v>
      </c>
      <c r="AV38" s="236">
        <f t="shared" si="161"/>
        <v>-87.634000000000128</v>
      </c>
      <c r="AW38" s="236">
        <f t="shared" si="161"/>
        <v>110.18199999999995</v>
      </c>
      <c r="AX38" s="236">
        <f t="shared" si="161"/>
        <v>340.03999999999974</v>
      </c>
      <c r="AY38" s="236">
        <f t="shared" si="161"/>
        <v>131.36200000000008</v>
      </c>
      <c r="AZ38" s="237">
        <f t="shared" ref="AZ38:BK38" si="162">SUM(AZ33:AZ37)</f>
        <v>-232.24300000000014</v>
      </c>
      <c r="BA38" s="236">
        <f t="shared" si="162"/>
        <v>91.232000000000056</v>
      </c>
      <c r="BB38" s="236">
        <f t="shared" si="162"/>
        <v>-177.84299999999993</v>
      </c>
      <c r="BC38" s="238">
        <f t="shared" si="162"/>
        <v>660.69600000000003</v>
      </c>
      <c r="BD38" s="236">
        <f t="shared" si="162"/>
        <v>-10.132292426999998</v>
      </c>
      <c r="BE38" s="236">
        <f t="shared" si="162"/>
        <v>-10.189766616885001</v>
      </c>
      <c r="BF38" s="236">
        <f t="shared" si="162"/>
        <v>-10.169334186605097</v>
      </c>
      <c r="BG38" s="238">
        <f t="shared" si="162"/>
        <v>-10.420139272204601</v>
      </c>
      <c r="BH38" s="236">
        <f t="shared" si="162"/>
        <v>-10.768306124128591</v>
      </c>
      <c r="BI38" s="236">
        <f t="shared" si="162"/>
        <v>-10.861704737314154</v>
      </c>
      <c r="BJ38" s="236">
        <f t="shared" si="162"/>
        <v>-10.772075768943459</v>
      </c>
      <c r="BK38" s="238">
        <f t="shared" si="162"/>
        <v>-10.959452015639727</v>
      </c>
      <c r="BL38" s="20"/>
      <c r="BM38" s="236">
        <f t="shared" ref="BM38:BW38" si="163">SUM(BM33:BM37)</f>
        <v>242.37999999999991</v>
      </c>
      <c r="BN38" s="182">
        <f t="shared" si="163"/>
        <v>-283.77100000000013</v>
      </c>
      <c r="BO38" s="182">
        <f t="shared" si="163"/>
        <v>192.01900000000001</v>
      </c>
      <c r="BP38" s="182">
        <f t="shared" si="163"/>
        <v>274.53999999999996</v>
      </c>
      <c r="BQ38" s="182">
        <f t="shared" si="163"/>
        <v>-336.73199999999974</v>
      </c>
      <c r="BR38" s="182">
        <f t="shared" si="163"/>
        <v>-625.4409999999998</v>
      </c>
      <c r="BS38" s="182">
        <f t="shared" si="163"/>
        <v>-960.89699999999948</v>
      </c>
      <c r="BT38" s="182">
        <f t="shared" si="163"/>
        <v>-511.51499999999987</v>
      </c>
      <c r="BU38" s="182">
        <f t="shared" si="163"/>
        <v>28.645999999999955</v>
      </c>
      <c r="BV38" s="182">
        <f t="shared" si="163"/>
        <v>12.95599999999985</v>
      </c>
      <c r="BW38" s="182">
        <f t="shared" si="163"/>
        <v>-423.93600000000032</v>
      </c>
      <c r="BX38" s="182">
        <f>SUM(BX33:BX37)</f>
        <v>493.94999999999925</v>
      </c>
      <c r="BY38" s="182">
        <f>SUM(BY33:BY37)</f>
        <v>341.84199999999993</v>
      </c>
      <c r="BZ38" s="182">
        <f>SUM(BZ33:BZ37)</f>
        <v>-40.911532502694698</v>
      </c>
      <c r="CA38" s="182">
        <f>SUM(CA33:CA37)</f>
        <v>-43.361538646025934</v>
      </c>
      <c r="CB38" s="978">
        <f>SUM(CB33:CB37)</f>
        <v>-61.014237610133094</v>
      </c>
      <c r="CC38" s="20"/>
      <c r="CD38" s="236">
        <f t="shared" ref="CD38:CM38" si="164">SUM(CD33:CD37)</f>
        <v>-118.64900000000014</v>
      </c>
      <c r="CE38" s="236">
        <f t="shared" si="164"/>
        <v>-330.69299999999998</v>
      </c>
      <c r="CF38" s="236">
        <f t="shared" si="164"/>
        <v>753.1849999999996</v>
      </c>
      <c r="CG38" s="236">
        <f t="shared" si="164"/>
        <v>-282.89200000000011</v>
      </c>
      <c r="CH38" s="236">
        <f t="shared" si="164"/>
        <v>-430.10700000000008</v>
      </c>
      <c r="CI38" s="236">
        <f t="shared" si="164"/>
        <v>-1067.7819999999992</v>
      </c>
      <c r="CJ38" s="236">
        <f t="shared" si="164"/>
        <v>-416.22099999999983</v>
      </c>
      <c r="CK38" s="236">
        <f t="shared" si="164"/>
        <v>-572.49099999999976</v>
      </c>
      <c r="CL38" s="236">
        <f t="shared" si="164"/>
        <v>929.21600000000069</v>
      </c>
      <c r="CM38" s="236">
        <f t="shared" si="164"/>
        <v>-585.61700000000076</v>
      </c>
      <c r="CN38" s="236">
        <f>SUM(CN33:CN37)</f>
        <v>34.064999999999728</v>
      </c>
      <c r="CO38" s="236">
        <f>SUM(CO33:CO37)</f>
        <v>-187.49199999999993</v>
      </c>
      <c r="CP38" s="236">
        <f>SUM(CP33:CP37)</f>
        <v>630.20460676950984</v>
      </c>
      <c r="CQ38" s="238">
        <f>SUM(CQ33:CQ37)</f>
        <v>-42.822225902590809</v>
      </c>
      <c r="CR38" s="770"/>
      <c r="CS38" s="889"/>
    </row>
    <row r="39" spans="1:97" ht="14.25" customHeight="1" thickTop="1">
      <c r="A39" s="8"/>
      <c r="B39" s="23"/>
      <c r="C39" s="24"/>
      <c r="D39" s="233"/>
      <c r="E39" s="231"/>
      <c r="F39" s="231"/>
      <c r="G39" s="232"/>
      <c r="H39" s="233"/>
      <c r="I39" s="231"/>
      <c r="J39" s="231"/>
      <c r="K39" s="232"/>
      <c r="L39" s="233"/>
      <c r="M39" s="231"/>
      <c r="N39" s="231"/>
      <c r="O39" s="232"/>
      <c r="P39" s="233"/>
      <c r="Q39" s="231"/>
      <c r="R39" s="231"/>
      <c r="S39" s="232"/>
      <c r="T39" s="233"/>
      <c r="U39" s="231"/>
      <c r="V39" s="231"/>
      <c r="W39" s="232"/>
      <c r="X39" s="233"/>
      <c r="Y39" s="231"/>
      <c r="Z39" s="231"/>
      <c r="AA39" s="232"/>
      <c r="AB39" s="231"/>
      <c r="AC39" s="228"/>
      <c r="AD39" s="231"/>
      <c r="AE39" s="232"/>
      <c r="AF39" s="231"/>
      <c r="AG39" s="228"/>
      <c r="AH39" s="231"/>
      <c r="AI39" s="232"/>
      <c r="AJ39" s="231"/>
      <c r="AK39" s="228"/>
      <c r="AL39" s="231"/>
      <c r="AM39" s="232"/>
      <c r="AN39" s="231"/>
      <c r="AO39" s="228"/>
      <c r="AP39" s="231"/>
      <c r="AQ39" s="232"/>
      <c r="AR39" s="231"/>
      <c r="AS39" s="228"/>
      <c r="AT39" s="231"/>
      <c r="AU39" s="232"/>
      <c r="AV39" s="231"/>
      <c r="AW39" s="228"/>
      <c r="AX39" s="231"/>
      <c r="AY39" s="228"/>
      <c r="AZ39" s="890"/>
      <c r="BA39" s="228"/>
      <c r="BB39" s="231"/>
      <c r="BC39" s="232"/>
      <c r="BD39" s="231"/>
      <c r="BE39" s="231"/>
      <c r="BF39" s="231"/>
      <c r="BG39" s="232"/>
      <c r="BH39" s="231"/>
      <c r="BI39" s="231"/>
      <c r="BJ39" s="231"/>
      <c r="BK39" s="232"/>
      <c r="BL39" s="20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997"/>
      <c r="CC39" s="20"/>
      <c r="CD39" s="231"/>
      <c r="CE39" s="231"/>
      <c r="CF39" s="231"/>
      <c r="CG39" s="231"/>
      <c r="CH39" s="231"/>
      <c r="CI39" s="231"/>
      <c r="CJ39" s="231"/>
      <c r="CK39" s="231"/>
      <c r="CL39" s="231"/>
      <c r="CM39" s="231"/>
      <c r="CN39" s="231"/>
      <c r="CO39" s="231"/>
      <c r="CP39" s="231"/>
      <c r="CQ39" s="232"/>
      <c r="CR39" s="770"/>
      <c r="CS39" s="889"/>
    </row>
    <row r="40" spans="1:97" ht="14.25" customHeight="1">
      <c r="A40" s="8"/>
      <c r="B40" s="239" t="str">
        <f t="shared" ref="B40:B45" si="165">B122</f>
        <v>Cash flows from financing activities:</v>
      </c>
      <c r="C40" s="240"/>
      <c r="D40" s="233"/>
      <c r="E40" s="241"/>
      <c r="F40" s="241"/>
      <c r="G40" s="232"/>
      <c r="H40" s="233"/>
      <c r="I40" s="241"/>
      <c r="J40" s="241"/>
      <c r="K40" s="232"/>
      <c r="L40" s="233"/>
      <c r="M40" s="241"/>
      <c r="N40" s="241"/>
      <c r="O40" s="232"/>
      <c r="P40" s="233"/>
      <c r="Q40" s="241"/>
      <c r="R40" s="241"/>
      <c r="S40" s="232"/>
      <c r="T40" s="233"/>
      <c r="U40" s="241"/>
      <c r="V40" s="241"/>
      <c r="W40" s="232"/>
      <c r="X40" s="233"/>
      <c r="Y40" s="241"/>
      <c r="Z40" s="241"/>
      <c r="AA40" s="232"/>
      <c r="AB40" s="231"/>
      <c r="AC40" s="228"/>
      <c r="AD40" s="231"/>
      <c r="AE40" s="232"/>
      <c r="AF40" s="231"/>
      <c r="AG40" s="228"/>
      <c r="AH40" s="231"/>
      <c r="AI40" s="232"/>
      <c r="AJ40" s="231"/>
      <c r="AK40" s="228"/>
      <c r="AL40" s="231"/>
      <c r="AM40" s="232"/>
      <c r="AN40" s="231"/>
      <c r="AO40" s="228"/>
      <c r="AP40" s="231"/>
      <c r="AQ40" s="232"/>
      <c r="AR40" s="231"/>
      <c r="AS40" s="228"/>
      <c r="AT40" s="231"/>
      <c r="AU40" s="232"/>
      <c r="AV40" s="231"/>
      <c r="AW40" s="228"/>
      <c r="AX40" s="231"/>
      <c r="AY40" s="228"/>
      <c r="AZ40" s="233"/>
      <c r="BA40" s="228"/>
      <c r="BB40" s="231"/>
      <c r="BC40" s="232"/>
      <c r="BD40" s="231"/>
      <c r="BE40" s="231"/>
      <c r="BF40" s="231"/>
      <c r="BG40" s="232"/>
      <c r="BH40" s="231"/>
      <c r="BI40" s="231"/>
      <c r="BJ40" s="231"/>
      <c r="BK40" s="232"/>
      <c r="BL40" s="20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997"/>
      <c r="CC40" s="20"/>
      <c r="CD40" s="231"/>
      <c r="CE40" s="231"/>
      <c r="CF40" s="231"/>
      <c r="CG40" s="231"/>
      <c r="CH40" s="231"/>
      <c r="CI40" s="231"/>
      <c r="CJ40" s="231"/>
      <c r="CK40" s="231"/>
      <c r="CL40" s="231"/>
      <c r="CM40" s="231"/>
      <c r="CN40" s="231"/>
      <c r="CO40" s="231"/>
      <c r="CP40" s="231"/>
      <c r="CQ40" s="232"/>
      <c r="CR40" s="770"/>
      <c r="CS40" s="889"/>
    </row>
    <row r="41" spans="1:97" ht="14.25" customHeight="1">
      <c r="A41" s="8"/>
      <c r="B41" s="28" t="str">
        <f t="shared" si="165"/>
        <v>Payments on (Proceeds from) debt, net</v>
      </c>
      <c r="C41" s="29"/>
      <c r="D41" s="230">
        <f>D123</f>
        <v>0</v>
      </c>
      <c r="E41" s="228">
        <f>E123-D41</f>
        <v>0</v>
      </c>
      <c r="F41" s="228">
        <f>F123-E41-D41</f>
        <v>0</v>
      </c>
      <c r="G41" s="229">
        <f>G123-F41-E41-D41</f>
        <v>0</v>
      </c>
      <c r="H41" s="230">
        <f>H123</f>
        <v>0</v>
      </c>
      <c r="I41" s="228">
        <f>I123-H41</f>
        <v>0</v>
      </c>
      <c r="J41" s="228">
        <f>J123-I41-H41</f>
        <v>0</v>
      </c>
      <c r="K41" s="229">
        <f>K123-J41-I41-H41</f>
        <v>980</v>
      </c>
      <c r="L41" s="230">
        <f>L123</f>
        <v>0</v>
      </c>
      <c r="M41" s="228">
        <f>M123-L41</f>
        <v>0</v>
      </c>
      <c r="N41" s="228">
        <f>N123-M41-L41</f>
        <v>0</v>
      </c>
      <c r="O41" s="229">
        <f>O123-N41-M41-L41</f>
        <v>0</v>
      </c>
      <c r="P41" s="230">
        <f>P123</f>
        <v>0</v>
      </c>
      <c r="Q41" s="228">
        <f>Q123-P41</f>
        <v>0</v>
      </c>
      <c r="R41" s="228">
        <f>R123-Q41-P41</f>
        <v>-146.32400000000001</v>
      </c>
      <c r="S41" s="229">
        <f>S123-R41-Q41-P41</f>
        <v>-46.857999999999976</v>
      </c>
      <c r="T41" s="230">
        <f>T123</f>
        <v>0</v>
      </c>
      <c r="U41" s="228">
        <f>U123-T41</f>
        <v>0</v>
      </c>
      <c r="V41" s="228">
        <f>V123-U41-T41</f>
        <v>0</v>
      </c>
      <c r="W41" s="229">
        <f>W123-V41-U41-T41</f>
        <v>0</v>
      </c>
      <c r="X41" s="230">
        <f>X123</f>
        <v>588</v>
      </c>
      <c r="Y41" s="228">
        <f>Y123-X41</f>
        <v>-0.35599999999999454</v>
      </c>
      <c r="Z41" s="228">
        <f>Z123-Y41-X41</f>
        <v>0</v>
      </c>
      <c r="AA41" s="229">
        <f>AA123-Z41-Y41-X41</f>
        <v>0</v>
      </c>
      <c r="AB41" s="230">
        <f>AB123</f>
        <v>0</v>
      </c>
      <c r="AC41" s="228">
        <f>AC123-AB41</f>
        <v>0</v>
      </c>
      <c r="AD41" s="228">
        <f>AD123-SUM(AB41:AC41)</f>
        <v>0</v>
      </c>
      <c r="AE41" s="229">
        <f>AE123-AD41-AC41-AB41</f>
        <v>0</v>
      </c>
      <c r="AF41" s="230">
        <f>AF123</f>
        <v>0</v>
      </c>
      <c r="AG41" s="228">
        <f>AG123-AF41</f>
        <v>0</v>
      </c>
      <c r="AH41" s="228">
        <f>AH123-SUM(AF41:AG41)</f>
        <v>0</v>
      </c>
      <c r="AI41" s="229">
        <f>AI123-AH41-AG41-AF41</f>
        <v>0</v>
      </c>
      <c r="AJ41" s="230">
        <f>AJ123</f>
        <v>0</v>
      </c>
      <c r="AK41" s="228">
        <f>AK123-AJ41</f>
        <v>0</v>
      </c>
      <c r="AL41" s="228">
        <f>AL123-SUM(AJ41:AK41)</f>
        <v>0</v>
      </c>
      <c r="AM41" s="229">
        <f>AM123-AL41-AK41-AJ41</f>
        <v>990.149</v>
      </c>
      <c r="AN41" s="230">
        <f>AN123</f>
        <v>0</v>
      </c>
      <c r="AO41" s="228">
        <f>AO123-AN41</f>
        <v>0</v>
      </c>
      <c r="AP41" s="228">
        <f>AP123-SUM(AN41:AO41)</f>
        <v>0</v>
      </c>
      <c r="AQ41" s="229">
        <f>AQ123-AP41-AO41-AN41</f>
        <v>0</v>
      </c>
      <c r="AR41" s="230">
        <f>AR123</f>
        <v>0</v>
      </c>
      <c r="AS41" s="228">
        <f>AS123-AR41</f>
        <v>0</v>
      </c>
      <c r="AT41" s="228">
        <f>AT123-SUM(AR41:AS41)</f>
        <v>0</v>
      </c>
      <c r="AU41" s="229">
        <f>AU123-AT41-AS41-AR41</f>
        <v>0</v>
      </c>
      <c r="AV41" s="230">
        <f>AV123</f>
        <v>0</v>
      </c>
      <c r="AW41" s="228">
        <f>AW123-AV41</f>
        <v>0</v>
      </c>
      <c r="AX41" s="228">
        <f>AX123-SUM(AV41:AW41)</f>
        <v>0</v>
      </c>
      <c r="AY41" s="228">
        <f>AY123-AX41-AW41-AV41</f>
        <v>-142.08199999999999</v>
      </c>
      <c r="AZ41" s="230">
        <f>AZ123</f>
        <v>287.95299999999997</v>
      </c>
      <c r="BA41" s="228">
        <f>BA123-AZ41</f>
        <v>457.22199999999998</v>
      </c>
      <c r="BB41" s="228">
        <f>BB123-SUM(AZ41:BA41)</f>
        <v>0</v>
      </c>
      <c r="BC41" s="232">
        <v>0</v>
      </c>
      <c r="BD41" s="231">
        <v>0</v>
      </c>
      <c r="BE41" s="231">
        <v>0</v>
      </c>
      <c r="BF41" s="231">
        <v>0</v>
      </c>
      <c r="BG41" s="232">
        <v>0</v>
      </c>
      <c r="BH41" s="231">
        <v>0</v>
      </c>
      <c r="BI41" s="231">
        <v>0</v>
      </c>
      <c r="BJ41" s="231">
        <v>0</v>
      </c>
      <c r="BK41" s="232">
        <v>0</v>
      </c>
      <c r="BL41" s="20"/>
      <c r="BM41" s="228">
        <f>SUM(D41:G41)</f>
        <v>0</v>
      </c>
      <c r="BN41" s="228">
        <f>SUM(H41:K41)</f>
        <v>980</v>
      </c>
      <c r="BO41" s="228">
        <f>SUM(L41:O41)</f>
        <v>0</v>
      </c>
      <c r="BP41" s="228">
        <f>SUM(P41:S41)</f>
        <v>-193.18199999999999</v>
      </c>
      <c r="BQ41" s="228">
        <f>SUM(T41:W41)</f>
        <v>0</v>
      </c>
      <c r="BR41" s="228">
        <f>SUM(X41:AA41)</f>
        <v>587.64400000000001</v>
      </c>
      <c r="BS41" s="228">
        <f>SUM(AB41:AE41)</f>
        <v>0</v>
      </c>
      <c r="BT41" s="228">
        <f>SUM(AF41:AI41)</f>
        <v>0</v>
      </c>
      <c r="BU41" s="228">
        <f>SUM(AJ41:AM41)</f>
        <v>990.149</v>
      </c>
      <c r="BV41" s="228">
        <f>SUM(AN41:AQ41)</f>
        <v>0</v>
      </c>
      <c r="BW41" s="228">
        <f>SUM(AR41:AU41)</f>
        <v>0</v>
      </c>
      <c r="BX41" s="228">
        <f>SUM(AV41:AY41)</f>
        <v>-142.08199999999999</v>
      </c>
      <c r="BY41" s="228">
        <f>SUM(AZ41:BC41)</f>
        <v>745.17499999999995</v>
      </c>
      <c r="BZ41" s="228">
        <f>SUM(BD41:BG41)</f>
        <v>0</v>
      </c>
      <c r="CA41" s="228">
        <f>SUM(BH41:BK41)</f>
        <v>0</v>
      </c>
      <c r="CB41" s="997">
        <v>0</v>
      </c>
      <c r="CC41" s="20"/>
      <c r="CD41" s="228">
        <f>SUM(G41:J41)</f>
        <v>0</v>
      </c>
      <c r="CE41" s="228">
        <f>SUM(K41:N41)</f>
        <v>980</v>
      </c>
      <c r="CF41" s="228">
        <f>SUM(O41:R41)</f>
        <v>-146.32400000000001</v>
      </c>
      <c r="CG41" s="228">
        <f>SUM(S41:V41)</f>
        <v>-46.857999999999976</v>
      </c>
      <c r="CH41" s="228">
        <f>SUM(W41:Z41)</f>
        <v>587.64400000000001</v>
      </c>
      <c r="CI41" s="228">
        <f>SUM(AA41:AD41)</f>
        <v>0</v>
      </c>
      <c r="CJ41" s="228">
        <f>SUM(AE41:AH41)</f>
        <v>0</v>
      </c>
      <c r="CK41" s="228">
        <f>SUM(AI41:AL41)</f>
        <v>0</v>
      </c>
      <c r="CL41" s="228">
        <f>SUM(AM41:AP41)</f>
        <v>990.149</v>
      </c>
      <c r="CM41" s="228">
        <f>SUM(AQ41:AT41)</f>
        <v>0</v>
      </c>
      <c r="CN41" s="228">
        <f>SUM(AU41:AX41)</f>
        <v>0</v>
      </c>
      <c r="CO41" s="228">
        <f>SUM(AY41:BB41)</f>
        <v>603.09299999999996</v>
      </c>
      <c r="CP41" s="228">
        <f>SUM(BC41:BF41)</f>
        <v>0</v>
      </c>
      <c r="CQ41" s="229">
        <f>SUM(BG41:BJ41)</f>
        <v>0</v>
      </c>
      <c r="CR41" s="770"/>
      <c r="CS41" s="889"/>
    </row>
    <row r="42" spans="1:97" ht="14.25" customHeight="1">
      <c r="A42" s="8"/>
      <c r="B42" s="28" t="str">
        <f t="shared" si="165"/>
        <v>Payments to repurchase stock</v>
      </c>
      <c r="C42" s="29"/>
      <c r="D42" s="230">
        <f>D124</f>
        <v>-64.697000000000003</v>
      </c>
      <c r="E42" s="228">
        <f>E124-D42</f>
        <v>-86.738</v>
      </c>
      <c r="F42" s="228">
        <f>F124-E42-D42</f>
        <v>-125.149</v>
      </c>
      <c r="G42" s="229">
        <f>G124-F42-E42-D42</f>
        <v>-125</v>
      </c>
      <c r="H42" s="230">
        <f>H124</f>
        <v>-125</v>
      </c>
      <c r="I42" s="228">
        <f>I124-H42</f>
        <v>-125</v>
      </c>
      <c r="J42" s="228">
        <f>J124-I42-H42</f>
        <v>-150</v>
      </c>
      <c r="K42" s="229">
        <f>K124-J42-I42-H42</f>
        <v>-1030</v>
      </c>
      <c r="L42" s="230">
        <f>L124</f>
        <v>0</v>
      </c>
      <c r="M42" s="228">
        <f>M124-L42</f>
        <v>-150</v>
      </c>
      <c r="N42" s="228">
        <f>N124-M42-L42</f>
        <v>-200</v>
      </c>
      <c r="O42" s="229">
        <f>O124-N42-M42-L42</f>
        <v>-200</v>
      </c>
      <c r="P42" s="230">
        <f>P124</f>
        <v>-150</v>
      </c>
      <c r="Q42" s="228">
        <f>Q124-P42</f>
        <v>-125</v>
      </c>
      <c r="R42" s="228">
        <f>R124-Q42-P42</f>
        <v>0</v>
      </c>
      <c r="S42" s="229">
        <f>S124-R42-Q42-P42</f>
        <v>0</v>
      </c>
      <c r="T42" s="230">
        <f>T124</f>
        <v>0</v>
      </c>
      <c r="U42" s="228">
        <f>U124-T42</f>
        <v>0</v>
      </c>
      <c r="V42" s="228">
        <f>V124-U42-T42</f>
        <v>-25</v>
      </c>
      <c r="W42" s="229">
        <f>W124-V42-U42-T42</f>
        <v>-124.99700000000001</v>
      </c>
      <c r="X42" s="230">
        <f>X124</f>
        <v>-433.33300000000003</v>
      </c>
      <c r="Y42" s="228">
        <f>Y124-X42</f>
        <v>-32.975999999999999</v>
      </c>
      <c r="Z42" s="228">
        <f>Z124-Y42-X42</f>
        <v>-2.6339999999999577</v>
      </c>
      <c r="AA42" s="229">
        <f>AA124-Z42-Y42-X42</f>
        <v>0</v>
      </c>
      <c r="AB42" s="230">
        <f>AB124</f>
        <v>-65.653999999999996</v>
      </c>
      <c r="AC42" s="228">
        <f>AC124-AB42</f>
        <v>-111.53700000000001</v>
      </c>
      <c r="AD42" s="228">
        <f>AD124-SUM(AB42:AC42)</f>
        <v>-42.447000000000003</v>
      </c>
      <c r="AE42" s="229">
        <f>AE124-AD42-AC42-AB42</f>
        <v>0</v>
      </c>
      <c r="AF42" s="230">
        <f>AF124</f>
        <v>-90.706999999999994</v>
      </c>
      <c r="AG42" s="228">
        <f>AG124-AF42</f>
        <v>-87.441000000000003</v>
      </c>
      <c r="AH42" s="228">
        <f>AH124-SUM(AF42:AG42)</f>
        <v>-19.602000000000004</v>
      </c>
      <c r="AI42" s="229">
        <f>AI124-AH42-AG42-AF42</f>
        <v>6.1000000000007049E-2</v>
      </c>
      <c r="AJ42" s="230">
        <f>AJ124</f>
        <v>0</v>
      </c>
      <c r="AK42" s="228">
        <f>AK124-AJ42</f>
        <v>-69.980999999999995</v>
      </c>
      <c r="AL42" s="228">
        <f>AL124-SUM(AJ42:AK42)</f>
        <v>-97.140000000000015</v>
      </c>
      <c r="AM42" s="229">
        <f>AM124-AL42-AK42-AJ42</f>
        <v>-73.954999999999984</v>
      </c>
      <c r="AN42" s="230">
        <f>AN124</f>
        <v>-101.01600000000001</v>
      </c>
      <c r="AO42" s="228">
        <f>AO124-AN42</f>
        <v>-199.99899999999997</v>
      </c>
      <c r="AP42" s="228">
        <f>AP124-SUM(AN42:AO42)</f>
        <v>-174.99700000000001</v>
      </c>
      <c r="AQ42" s="229">
        <f>AQ124-AP42-AO42-AN42</f>
        <v>-174.99399999999997</v>
      </c>
      <c r="AR42" s="230">
        <f>AR124</f>
        <v>-100</v>
      </c>
      <c r="AS42" s="228">
        <f>AS124-AR42</f>
        <v>-99.99799999999999</v>
      </c>
      <c r="AT42" s="228">
        <f>AT124-SUM(AR42:AS42)</f>
        <v>-100</v>
      </c>
      <c r="AU42" s="229">
        <f>AU124-AT42-AS42-AR42</f>
        <v>-143.18299999999999</v>
      </c>
      <c r="AV42" s="230">
        <f>AV124</f>
        <v>-100.154</v>
      </c>
      <c r="AW42" s="228">
        <f>AW124-AV42</f>
        <v>-99.985000000000014</v>
      </c>
      <c r="AX42" s="228">
        <f>AX124-SUM(AV42:AW42)</f>
        <v>-213.84399999999999</v>
      </c>
      <c r="AY42" s="228">
        <f>AY124-AX42-AW42-AV42</f>
        <v>-108.06199999999995</v>
      </c>
      <c r="AZ42" s="230">
        <f>AZ124</f>
        <v>-67.061999999999998</v>
      </c>
      <c r="BA42" s="228">
        <f>BA124-AZ42</f>
        <v>-170.45400000000001</v>
      </c>
      <c r="BB42" s="228">
        <f>BB124-SUM(AZ42:BA42)</f>
        <v>-73.289999999999964</v>
      </c>
      <c r="BC42" s="229">
        <f>BC124-BB42-BA42-AZ42</f>
        <v>-163.44800000000004</v>
      </c>
      <c r="BD42" s="231">
        <v>-100</v>
      </c>
      <c r="BE42" s="231">
        <f>BD42</f>
        <v>-100</v>
      </c>
      <c r="BF42" s="231">
        <v>-100</v>
      </c>
      <c r="BG42" s="232">
        <v>-100</v>
      </c>
      <c r="BH42" s="231">
        <v>-100</v>
      </c>
      <c r="BI42" s="231">
        <f>BH42</f>
        <v>-100</v>
      </c>
      <c r="BJ42" s="231">
        <v>-100</v>
      </c>
      <c r="BK42" s="232">
        <v>-100</v>
      </c>
      <c r="BL42" s="20"/>
      <c r="BM42" s="228">
        <f>SUM(D42:G42)</f>
        <v>-401.584</v>
      </c>
      <c r="BN42" s="228">
        <f>SUM(H42:K42)</f>
        <v>-1430</v>
      </c>
      <c r="BO42" s="228">
        <f>SUM(L42:O42)</f>
        <v>-550</v>
      </c>
      <c r="BP42" s="228">
        <f>SUM(P42:S42)</f>
        <v>-275</v>
      </c>
      <c r="BQ42" s="228">
        <f>SUM(T42:W42)</f>
        <v>-149.99700000000001</v>
      </c>
      <c r="BR42" s="228">
        <f>SUM(X42:AA42)</f>
        <v>-468.94299999999998</v>
      </c>
      <c r="BS42" s="228">
        <f>SUM(AB42:AE42)</f>
        <v>-219.63800000000001</v>
      </c>
      <c r="BT42" s="228">
        <f>SUM(AF42:AI42)</f>
        <v>-197.68899999999999</v>
      </c>
      <c r="BU42" s="228">
        <f>SUM(AJ42:AM42)</f>
        <v>-241.07599999999999</v>
      </c>
      <c r="BV42" s="228">
        <f>SUM(AN42:AQ42)</f>
        <v>-651.00599999999997</v>
      </c>
      <c r="BW42" s="228">
        <f>SUM(AR42:AU42)</f>
        <v>-443.18099999999998</v>
      </c>
      <c r="BX42" s="228">
        <f>SUM(AV42:AY42)</f>
        <v>-522.04499999999996</v>
      </c>
      <c r="BY42" s="228">
        <f>SUM(AZ42:BC42)</f>
        <v>-474.25400000000002</v>
      </c>
      <c r="BZ42" s="228">
        <f>SUM(BD42:BG42)</f>
        <v>-400</v>
      </c>
      <c r="CA42" s="228">
        <f>SUM(BH42:BK42)</f>
        <v>-400</v>
      </c>
      <c r="CB42" s="996">
        <f>CA42</f>
        <v>-400</v>
      </c>
      <c r="CC42" s="20"/>
      <c r="CD42" s="228">
        <f>SUM(G42:J42)</f>
        <v>-525</v>
      </c>
      <c r="CE42" s="228">
        <f>SUM(K42:N42)</f>
        <v>-1380</v>
      </c>
      <c r="CF42" s="228">
        <f>SUM(O42:R42)</f>
        <v>-475</v>
      </c>
      <c r="CG42" s="228">
        <f>SUM(S42:V42)</f>
        <v>-25</v>
      </c>
      <c r="CH42" s="228">
        <f>SUM(W42:Z42)</f>
        <v>-593.94000000000005</v>
      </c>
      <c r="CI42" s="228">
        <f>SUM(AA42:AD42)</f>
        <v>-219.63800000000001</v>
      </c>
      <c r="CJ42" s="228">
        <f>SUM(AE42:AH42)</f>
        <v>-197.75</v>
      </c>
      <c r="CK42" s="228">
        <f>SUM(AI42:AL42)</f>
        <v>-167.06</v>
      </c>
      <c r="CL42" s="228">
        <f>SUM(AM42:AP42)</f>
        <v>-549.96699999999998</v>
      </c>
      <c r="CM42" s="228">
        <f>SUM(AQ42:AT42)</f>
        <v>-474.99199999999996</v>
      </c>
      <c r="CN42" s="228">
        <f>SUM(AU42:AX42)</f>
        <v>-557.16599999999994</v>
      </c>
      <c r="CO42" s="228">
        <f>SUM(AY42:BB42)</f>
        <v>-418.86799999999994</v>
      </c>
      <c r="CP42" s="228">
        <f>SUM(BC42:BF42)</f>
        <v>-463.44800000000004</v>
      </c>
      <c r="CQ42" s="229">
        <f>SUM(BG42:BJ42)</f>
        <v>-400</v>
      </c>
      <c r="CR42" s="770"/>
      <c r="CS42" s="889"/>
    </row>
    <row r="43" spans="1:97" ht="14.25" customHeight="1">
      <c r="A43" s="8"/>
      <c r="B43" s="28" t="str">
        <f t="shared" si="165"/>
        <v>Issuance of ordinary stock</v>
      </c>
      <c r="C43" s="29"/>
      <c r="D43" s="230">
        <f>D125</f>
        <v>13.16</v>
      </c>
      <c r="E43" s="228">
        <f>E125-D43</f>
        <v>32.92</v>
      </c>
      <c r="F43" s="228">
        <f>F125-E43-D43</f>
        <v>13.635999999999999</v>
      </c>
      <c r="G43" s="229">
        <f>G125-F43-E43-D43</f>
        <v>41.233000000000004</v>
      </c>
      <c r="H43" s="230">
        <f>H125</f>
        <v>28.678999999999998</v>
      </c>
      <c r="I43" s="228">
        <f>I125-H43</f>
        <v>26.963000000000005</v>
      </c>
      <c r="J43" s="228">
        <f>J125-I43-H43</f>
        <v>29.474999999999998</v>
      </c>
      <c r="K43" s="229">
        <f>K125-J43-I43-H43</f>
        <v>43.018999999999991</v>
      </c>
      <c r="L43" s="230">
        <f>L125</f>
        <v>40.203000000000003</v>
      </c>
      <c r="M43" s="228">
        <f>M125-L43</f>
        <v>28.36</v>
      </c>
      <c r="N43" s="228">
        <f>N125-M43-L43</f>
        <v>9.7749999999999915</v>
      </c>
      <c r="O43" s="229">
        <f>O125-N43-M43-L43</f>
        <v>47.274000000000001</v>
      </c>
      <c r="P43" s="230">
        <f>P125</f>
        <v>28.667000000000002</v>
      </c>
      <c r="Q43" s="228">
        <f>Q125-P43</f>
        <v>48.161000000000001</v>
      </c>
      <c r="R43" s="228">
        <f>R125-Q43-P43</f>
        <v>2.7920000000000016</v>
      </c>
      <c r="S43" s="229">
        <f>S125-R43-Q43-P43</f>
        <v>20.23899999999999</v>
      </c>
      <c r="T43" s="230">
        <f>T125</f>
        <v>0.436</v>
      </c>
      <c r="U43" s="228">
        <f>U125-T43</f>
        <v>15.481999999999999</v>
      </c>
      <c r="V43" s="228">
        <f>V125-U43-T43</f>
        <v>13.117000000000001</v>
      </c>
      <c r="W43" s="229">
        <f>W125-V43-U43-T43</f>
        <v>35.835999999999991</v>
      </c>
      <c r="X43" s="230">
        <f>X125</f>
        <v>4.7960000000000003</v>
      </c>
      <c r="Y43" s="228">
        <f>Y125-X43</f>
        <v>40.758000000000003</v>
      </c>
      <c r="Z43" s="228">
        <f>Z125-Y43-X43</f>
        <v>24.393000000000001</v>
      </c>
      <c r="AA43" s="229">
        <f>AA125-Z43-Y43-X43</f>
        <v>100.40599999999999</v>
      </c>
      <c r="AB43" s="230">
        <f>AB125</f>
        <v>25.420999999999999</v>
      </c>
      <c r="AC43" s="228">
        <f>AC125-AB43</f>
        <v>26.47</v>
      </c>
      <c r="AD43" s="228">
        <f>AD125-SUM(AB43:AC43)</f>
        <v>11.372</v>
      </c>
      <c r="AE43" s="229">
        <f>AE125-AD43-AC43-AB43</f>
        <v>45.4</v>
      </c>
      <c r="AF43" s="230">
        <f>AF125</f>
        <v>8.2210000000000001</v>
      </c>
      <c r="AG43" s="228">
        <f>AG125-AF43</f>
        <v>24.666999999999998</v>
      </c>
      <c r="AH43" s="228">
        <f>AH125-SUM(AF43:AG43)</f>
        <v>19.062000000000005</v>
      </c>
      <c r="AI43" s="229">
        <f>AI125-AH43-AG43-AF43</f>
        <v>55.765999999999991</v>
      </c>
      <c r="AJ43" s="230">
        <f>AJ125</f>
        <v>31.936</v>
      </c>
      <c r="AK43" s="228">
        <f>AK125-AJ43</f>
        <v>94.032000000000011</v>
      </c>
      <c r="AL43" s="228">
        <f>AL125-SUM(AJ43:AK43)</f>
        <v>11.394999999999982</v>
      </c>
      <c r="AM43" s="229">
        <f>AM125-AL43-AK43-AJ43</f>
        <v>100.79499999999999</v>
      </c>
      <c r="AN43" s="230">
        <f>AN125</f>
        <v>14.195</v>
      </c>
      <c r="AO43" s="228">
        <f>AO125-AN43</f>
        <v>-8.6630000000000003</v>
      </c>
      <c r="AP43" s="228">
        <f>AP125-SUM(AN43:AO43)</f>
        <v>13.806000000000001</v>
      </c>
      <c r="AQ43" s="229">
        <f>AQ125-AP43-AO43-AN43</f>
        <v>33.323</v>
      </c>
      <c r="AR43" s="230">
        <f>AR125</f>
        <v>18.443999999999999</v>
      </c>
      <c r="AS43" s="228">
        <f>AS125-AR43</f>
        <v>-3.6209999999999987</v>
      </c>
      <c r="AT43" s="228">
        <f>AT125-SUM(AR43:AS43)</f>
        <v>6.8969999999999985</v>
      </c>
      <c r="AU43" s="229">
        <f>AU125-AT43-AS43-AR43</f>
        <v>29.373999999999999</v>
      </c>
      <c r="AV43" s="230">
        <f>AV125</f>
        <v>11.297000000000001</v>
      </c>
      <c r="AW43" s="228">
        <f>AW125-AV43</f>
        <v>-1.7840000000000007</v>
      </c>
      <c r="AX43" s="228">
        <f>AX125-SUM(AV43:AW43)</f>
        <v>1.1950000000000003</v>
      </c>
      <c r="AY43" s="228">
        <f>AY125-AX43-AW43-AV43</f>
        <v>22.083999999999993</v>
      </c>
      <c r="AZ43" s="230">
        <f>AZ125</f>
        <v>2.0030000000000001</v>
      </c>
      <c r="BA43" s="228">
        <f>BA125-AZ43</f>
        <v>17.355</v>
      </c>
      <c r="BB43" s="228">
        <f>BB125-SUM(AZ43:BA43)</f>
        <v>0.24399999999999977</v>
      </c>
      <c r="BC43" s="229">
        <v>0</v>
      </c>
      <c r="BD43" s="231">
        <v>0</v>
      </c>
      <c r="BE43" s="231">
        <v>0</v>
      </c>
      <c r="BF43" s="231">
        <v>0</v>
      </c>
      <c r="BG43" s="232">
        <v>0</v>
      </c>
      <c r="BH43" s="231">
        <v>0</v>
      </c>
      <c r="BI43" s="231">
        <v>0</v>
      </c>
      <c r="BJ43" s="231">
        <v>0</v>
      </c>
      <c r="BK43" s="232">
        <v>0</v>
      </c>
      <c r="BL43" s="20"/>
      <c r="BM43" s="228">
        <f>SUM(D43:G43)</f>
        <v>100.949</v>
      </c>
      <c r="BN43" s="228">
        <f>SUM(H43:K43)</f>
        <v>128.136</v>
      </c>
      <c r="BO43" s="228">
        <f>SUM(L43:O43)</f>
        <v>125.61199999999999</v>
      </c>
      <c r="BP43" s="228">
        <f>SUM(P43:S43)</f>
        <v>99.858999999999995</v>
      </c>
      <c r="BQ43" s="228">
        <f>SUM(T43:W43)</f>
        <v>64.870999999999995</v>
      </c>
      <c r="BR43" s="228">
        <f>SUM(X43:AA43)</f>
        <v>170.35300000000001</v>
      </c>
      <c r="BS43" s="228">
        <f>SUM(AB43:AE43)</f>
        <v>108.663</v>
      </c>
      <c r="BT43" s="228">
        <f>SUM(AF43:AI43)</f>
        <v>107.71599999999999</v>
      </c>
      <c r="BU43" s="228">
        <f>SUM(AJ43:AM43)</f>
        <v>238.15799999999999</v>
      </c>
      <c r="BV43" s="228">
        <f>SUM(AN43:AQ43)</f>
        <v>52.661000000000001</v>
      </c>
      <c r="BW43" s="228">
        <f>SUM(AR43:AU43)</f>
        <v>51.093999999999994</v>
      </c>
      <c r="BX43" s="228">
        <f>SUM(AV43:AY43)</f>
        <v>32.791999999999994</v>
      </c>
      <c r="BY43" s="228">
        <f>SUM(AZ43:BC43)</f>
        <v>19.602</v>
      </c>
      <c r="BZ43" s="228">
        <f>SUM(BD43:BG43)</f>
        <v>0</v>
      </c>
      <c r="CA43" s="228">
        <f>SUM(BH43:BK43)</f>
        <v>0</v>
      </c>
      <c r="CB43" s="997">
        <v>0</v>
      </c>
      <c r="CC43" s="20"/>
      <c r="CD43" s="228">
        <f>SUM(G43:J43)</f>
        <v>126.35000000000001</v>
      </c>
      <c r="CE43" s="228">
        <f>SUM(K43:N43)</f>
        <v>121.35699999999999</v>
      </c>
      <c r="CF43" s="228">
        <f>SUM(O43:R43)</f>
        <v>126.89400000000001</v>
      </c>
      <c r="CG43" s="228">
        <f>SUM(S43:V43)</f>
        <v>49.273999999999987</v>
      </c>
      <c r="CH43" s="228">
        <f>SUM(W43:Z43)</f>
        <v>105.78299999999999</v>
      </c>
      <c r="CI43" s="228">
        <f>SUM(AA43:AD43)</f>
        <v>163.66899999999998</v>
      </c>
      <c r="CJ43" s="228">
        <f>SUM(AE43:AH43)</f>
        <v>97.35</v>
      </c>
      <c r="CK43" s="228">
        <f>SUM(AI43:AL43)</f>
        <v>193.12899999999999</v>
      </c>
      <c r="CL43" s="228">
        <f>SUM(AM43:AP43)</f>
        <v>120.13299999999998</v>
      </c>
      <c r="CM43" s="228">
        <f>SUM(AQ43:AT43)</f>
        <v>55.042999999999999</v>
      </c>
      <c r="CN43" s="228">
        <f>SUM(AU43:AX43)</f>
        <v>40.082000000000001</v>
      </c>
      <c r="CO43" s="228">
        <f>SUM(AY43:BB43)</f>
        <v>41.685999999999993</v>
      </c>
      <c r="CP43" s="228">
        <f>SUM(BC43:BF43)</f>
        <v>0</v>
      </c>
      <c r="CQ43" s="229">
        <f>SUM(BG43:BJ43)</f>
        <v>0</v>
      </c>
      <c r="CR43" s="770"/>
      <c r="CS43" s="889"/>
    </row>
    <row r="44" spans="1:97" ht="14.25" customHeight="1">
      <c r="A44" s="8"/>
      <c r="B44" s="28" t="str">
        <f t="shared" si="165"/>
        <v>Dividend payments to shareholders</v>
      </c>
      <c r="C44" s="29"/>
      <c r="D44" s="230">
        <f>D126</f>
        <v>-24.555</v>
      </c>
      <c r="E44" s="228">
        <f>E126-D44</f>
        <v>-24.539000000000001</v>
      </c>
      <c r="F44" s="228">
        <f>F126-E44-D44</f>
        <v>-23.981999999999992</v>
      </c>
      <c r="G44" s="229">
        <f>G126-F44-E44-D44</f>
        <v>-24.113999999999997</v>
      </c>
      <c r="H44" s="230">
        <f>H126</f>
        <v>-30.83</v>
      </c>
      <c r="I44" s="228">
        <f>I126-H44</f>
        <v>-30.331000000000003</v>
      </c>
      <c r="J44" s="228">
        <f>J126-I44-H44</f>
        <v>-30.058999999999997</v>
      </c>
      <c r="K44" s="229">
        <f>K126-J44-I44-H44</f>
        <v>-29.613</v>
      </c>
      <c r="L44" s="230">
        <f>L126</f>
        <v>-35.718000000000004</v>
      </c>
      <c r="M44" s="228">
        <f>M126-L44</f>
        <v>-35.682999999999993</v>
      </c>
      <c r="N44" s="228">
        <f>N126-M44-L44</f>
        <v>-34.480000000000004</v>
      </c>
      <c r="O44" s="229">
        <f>O126-N44-M44-L44</f>
        <v>-34.092999999999989</v>
      </c>
      <c r="P44" s="230">
        <f>P126</f>
        <v>-38.927999999999997</v>
      </c>
      <c r="Q44" s="228">
        <f>Q126-P44</f>
        <v>-38.697000000000003</v>
      </c>
      <c r="R44" s="228">
        <f>R126-Q44-P44</f>
        <v>-38.356999999999999</v>
      </c>
      <c r="S44" s="229">
        <f>S126-R44-Q44-P44</f>
        <v>-38.551999999999992</v>
      </c>
      <c r="T44" s="230">
        <f>T126</f>
        <v>-38.573999999999998</v>
      </c>
      <c r="U44" s="228">
        <f>U126-T44</f>
        <v>-38.744</v>
      </c>
      <c r="V44" s="228">
        <f>V126-U44-T44</f>
        <v>-44.299000000000007</v>
      </c>
      <c r="W44" s="229">
        <f>W126-V44-U44-T44</f>
        <v>-44.030999999999992</v>
      </c>
      <c r="X44" s="230">
        <f>X126</f>
        <v>-43.817</v>
      </c>
      <c r="Y44" s="228">
        <f>Y126-X44</f>
        <v>-41.645000000000003</v>
      </c>
      <c r="Z44" s="228">
        <f>Z126-Y44-X44</f>
        <v>-41.488999999999983</v>
      </c>
      <c r="AA44" s="229">
        <f>AA126-Z44-Y44-X44</f>
        <v>-42.121000000000016</v>
      </c>
      <c r="AB44" s="230">
        <f>AB126</f>
        <v>-50.456000000000003</v>
      </c>
      <c r="AC44" s="228">
        <f>AC126-AB44</f>
        <v>-50.347999999999999</v>
      </c>
      <c r="AD44" s="228">
        <f>AD126-SUM(AB44:AC44)</f>
        <v>-49.566000000000003</v>
      </c>
      <c r="AE44" s="229">
        <f>AE126-AD44-AC44-AB44</f>
        <v>-49.990999999999985</v>
      </c>
      <c r="AF44" s="230">
        <f>AF126</f>
        <v>-58.066000000000003</v>
      </c>
      <c r="AG44" s="228">
        <f>AG126-AF44</f>
        <v>-57.254999999999995</v>
      </c>
      <c r="AH44" s="228">
        <f>AH126-SUM(AF44:AG44)</f>
        <v>-57.325999999999993</v>
      </c>
      <c r="AI44" s="229">
        <f>AI126-AH44-AG44-AF44</f>
        <v>-57.822000000000003</v>
      </c>
      <c r="AJ44" s="230">
        <f>AJ126</f>
        <v>-66.007000000000005</v>
      </c>
      <c r="AK44" s="228">
        <f>AK126-AJ44</f>
        <v>-67.198000000000008</v>
      </c>
      <c r="AL44" s="228">
        <f>AL126-SUM(AJ44:AK44)</f>
        <v>-67.095999999999975</v>
      </c>
      <c r="AM44" s="229">
        <f>AM126-AL44-AK44-AJ44</f>
        <v>-67.04200000000003</v>
      </c>
      <c r="AN44" s="230">
        <f>AN126</f>
        <v>-77.421000000000006</v>
      </c>
      <c r="AO44" s="228">
        <f>AO126-AN44</f>
        <v>-76.956999999999979</v>
      </c>
      <c r="AP44" s="228">
        <f>AP126-SUM(AN44:AO44)</f>
        <v>-76.172000000000025</v>
      </c>
      <c r="AQ44" s="229">
        <f>AQ126-AP44-AO44-AN44</f>
        <v>-75.60799999999999</v>
      </c>
      <c r="AR44" s="230">
        <f>AR126</f>
        <v>-80.206000000000003</v>
      </c>
      <c r="AS44" s="228">
        <f>AS126-AR44</f>
        <v>-80.195999999999984</v>
      </c>
      <c r="AT44" s="228">
        <f>AT126-SUM(AR44:AS44)</f>
        <v>-79.709000000000003</v>
      </c>
      <c r="AU44" s="229">
        <f>AU126-AT44-AS44-AR44</f>
        <v>-78.877000000000024</v>
      </c>
      <c r="AV44" s="230">
        <f>AV126</f>
        <v>-83.599000000000004</v>
      </c>
      <c r="AW44" s="228">
        <f>AW126-AV44</f>
        <v>-83.878</v>
      </c>
      <c r="AX44" s="228">
        <f>AX126-SUM(AV44:AW44)</f>
        <v>-83.256</v>
      </c>
      <c r="AY44" s="228">
        <f>AY126-AX44-AW44-AV44</f>
        <v>-81.808999999999955</v>
      </c>
      <c r="AZ44" s="230">
        <f>AZ126</f>
        <v>-87.302999999999997</v>
      </c>
      <c r="BA44" s="228">
        <f>BA126-AZ44</f>
        <v>-86.956999999999994</v>
      </c>
      <c r="BB44" s="228">
        <f>BB126-SUM(AZ44:BA44)</f>
        <v>-89.490999999999985</v>
      </c>
      <c r="BC44" s="229">
        <f>BC126-BB44-BA44-AZ44</f>
        <v>-89.302000000000021</v>
      </c>
      <c r="BD44" s="231">
        <f t="shared" ref="BD44:BK44" si="166">BC44</f>
        <v>-89.302000000000021</v>
      </c>
      <c r="BE44" s="231">
        <f t="shared" si="166"/>
        <v>-89.302000000000021</v>
      </c>
      <c r="BF44" s="231">
        <f t="shared" si="166"/>
        <v>-89.302000000000021</v>
      </c>
      <c r="BG44" s="232">
        <f t="shared" si="166"/>
        <v>-89.302000000000021</v>
      </c>
      <c r="BH44" s="231">
        <f t="shared" si="166"/>
        <v>-89.302000000000021</v>
      </c>
      <c r="BI44" s="231">
        <f t="shared" si="166"/>
        <v>-89.302000000000021</v>
      </c>
      <c r="BJ44" s="231">
        <f t="shared" si="166"/>
        <v>-89.302000000000021</v>
      </c>
      <c r="BK44" s="232">
        <f t="shared" si="166"/>
        <v>-89.302000000000021</v>
      </c>
      <c r="BL44" s="20"/>
      <c r="BM44" s="228">
        <f>SUM(D44:G44)</f>
        <v>-97.19</v>
      </c>
      <c r="BN44" s="228">
        <f>SUM(H44:K44)</f>
        <v>-120.833</v>
      </c>
      <c r="BO44" s="228">
        <f>SUM(L44:O44)</f>
        <v>-139.97399999999999</v>
      </c>
      <c r="BP44" s="228">
        <f>SUM(P44:S44)</f>
        <v>-154.53399999999999</v>
      </c>
      <c r="BQ44" s="228">
        <f>SUM(T44:W44)</f>
        <v>-165.648</v>
      </c>
      <c r="BR44" s="228">
        <f>SUM(X44:AA44)</f>
        <v>-169.072</v>
      </c>
      <c r="BS44" s="228">
        <f>SUM(AB44:AE44)</f>
        <v>-200.36099999999999</v>
      </c>
      <c r="BT44" s="228">
        <f>SUM(AF44:AI44)</f>
        <v>-230.46899999999999</v>
      </c>
      <c r="BU44" s="228">
        <f>SUM(AJ44:AM44)</f>
        <v>-267.34300000000002</v>
      </c>
      <c r="BV44" s="228">
        <f>SUM(AN44:AQ44)</f>
        <v>-306.15800000000002</v>
      </c>
      <c r="BW44" s="228">
        <f>SUM(AR44:AU44)</f>
        <v>-318.988</v>
      </c>
      <c r="BX44" s="228">
        <f>SUM(AV44:AY44)</f>
        <v>-332.54199999999997</v>
      </c>
      <c r="BY44" s="228">
        <f>SUM(AZ44:BC44)</f>
        <v>-353.053</v>
      </c>
      <c r="BZ44" s="228">
        <f>SUM(BD44:BG44)</f>
        <v>-357.20800000000008</v>
      </c>
      <c r="CA44" s="228">
        <f>SUM(BH44:BK44)</f>
        <v>-357.20800000000008</v>
      </c>
      <c r="CB44" s="997">
        <v>-243.76</v>
      </c>
      <c r="CC44" s="20"/>
      <c r="CD44" s="228">
        <f>SUM(G44:J44)</f>
        <v>-115.334</v>
      </c>
      <c r="CE44" s="228">
        <f>SUM(K44:N44)</f>
        <v>-135.494</v>
      </c>
      <c r="CF44" s="228">
        <f>SUM(O44:R44)</f>
        <v>-150.07499999999999</v>
      </c>
      <c r="CG44" s="228">
        <f>SUM(S44:V44)</f>
        <v>-160.16899999999998</v>
      </c>
      <c r="CH44" s="228">
        <f>SUM(W44:Z44)</f>
        <v>-170.98199999999997</v>
      </c>
      <c r="CI44" s="228">
        <f>SUM(AA44:AD44)</f>
        <v>-192.49100000000001</v>
      </c>
      <c r="CJ44" s="228">
        <f>SUM(AE44:AH44)</f>
        <v>-222.63799999999998</v>
      </c>
      <c r="CK44" s="228">
        <f>SUM(AI44:AL44)</f>
        <v>-258.12299999999999</v>
      </c>
      <c r="CL44" s="228">
        <f>SUM(AM44:AP44)</f>
        <v>-297.59200000000004</v>
      </c>
      <c r="CM44" s="228">
        <f>SUM(AQ44:AT44)</f>
        <v>-315.71899999999999</v>
      </c>
      <c r="CN44" s="228">
        <f>SUM(AU44:AX44)</f>
        <v>-329.61</v>
      </c>
      <c r="CO44" s="228">
        <f>SUM(AY44:BB44)</f>
        <v>-345.55999999999995</v>
      </c>
      <c r="CP44" s="228">
        <f>SUM(BC44:BF44)</f>
        <v>-357.20800000000008</v>
      </c>
      <c r="CQ44" s="229">
        <f>SUM(BG44:BJ44)</f>
        <v>-357.20800000000008</v>
      </c>
      <c r="CR44" s="770"/>
      <c r="CS44" s="889"/>
    </row>
    <row r="45" spans="1:97" ht="14.25" customHeight="1">
      <c r="A45" s="8"/>
      <c r="B45" s="28" t="str">
        <f t="shared" si="165"/>
        <v>Other financing activities</v>
      </c>
      <c r="C45" s="29"/>
      <c r="D45" s="230">
        <f>D127</f>
        <v>0</v>
      </c>
      <c r="E45" s="228">
        <f>E127-D45</f>
        <v>0</v>
      </c>
      <c r="F45" s="228">
        <f>F127-E45-D45</f>
        <v>0</v>
      </c>
      <c r="G45" s="229">
        <f>G127-F45-E45-D45</f>
        <v>0</v>
      </c>
      <c r="H45" s="230">
        <f>H127</f>
        <v>8.8829999999999991</v>
      </c>
      <c r="I45" s="228">
        <f>I127-H45</f>
        <v>4.1740000000000013</v>
      </c>
      <c r="J45" s="228">
        <f>J127-I45-H45</f>
        <v>5.9990000000000006</v>
      </c>
      <c r="K45" s="229">
        <f>K127-J45-I45-H45</f>
        <v>8.3570000000000029</v>
      </c>
      <c r="L45" s="230">
        <f>L127</f>
        <v>7.843</v>
      </c>
      <c r="M45" s="228">
        <f>M127-L45</f>
        <v>2.3780000000000001</v>
      </c>
      <c r="N45" s="228">
        <f>N127-M45-L45</f>
        <v>1.8349999999999991</v>
      </c>
      <c r="O45" s="229">
        <f>O127-N45-M45-L45</f>
        <v>10.403000000000002</v>
      </c>
      <c r="P45" s="230">
        <f>P127</f>
        <v>2.8639999999999999</v>
      </c>
      <c r="Q45" s="228">
        <f>Q127-P45</f>
        <v>1.6950000000000003</v>
      </c>
      <c r="R45" s="228">
        <f>R127-Q45-P45</f>
        <v>0.20000000000000018</v>
      </c>
      <c r="S45" s="229">
        <f>S127-R45-Q45-P45</f>
        <v>1.9999999999999574E-2</v>
      </c>
      <c r="T45" s="230">
        <f>T127</f>
        <v>-16.492000000000001</v>
      </c>
      <c r="U45" s="228">
        <f>U127-T45</f>
        <v>0.19500000000000028</v>
      </c>
      <c r="V45" s="228">
        <f>V127-U45-T45</f>
        <v>0.42899999999999849</v>
      </c>
      <c r="W45" s="229">
        <f>W127-V45-U45-T45</f>
        <v>14.553000000000003</v>
      </c>
      <c r="X45" s="230">
        <f>X127</f>
        <v>-64.39</v>
      </c>
      <c r="Y45" s="228">
        <f>Y127-X45</f>
        <v>1.0579999999999998</v>
      </c>
      <c r="Z45" s="228">
        <f>Z127-Y45-X45</f>
        <v>30.811999999999998</v>
      </c>
      <c r="AA45" s="229">
        <f>AA127-Z45-Y45-X45</f>
        <v>4.7290000000000063</v>
      </c>
      <c r="AB45" s="230">
        <f>AB127</f>
        <v>6.0289999999999999</v>
      </c>
      <c r="AC45" s="228">
        <f>AC127-AB45</f>
        <v>1.899</v>
      </c>
      <c r="AD45" s="228">
        <f>AD127-SUM(AB45:AC45)</f>
        <v>0.64500000000000046</v>
      </c>
      <c r="AE45" s="229">
        <f>AE127-AD45-AC45-AB45</f>
        <v>3.3840000000000003</v>
      </c>
      <c r="AF45" s="230">
        <f>AF127</f>
        <v>0.80600000000000005</v>
      </c>
      <c r="AG45" s="228">
        <f>AG127-AF45</f>
        <v>3.96</v>
      </c>
      <c r="AH45" s="228">
        <f>AH127-SUM(AF45:AG45)</f>
        <v>1.5460000000000003</v>
      </c>
      <c r="AI45" s="229">
        <f>AI127-AH45-AG45-AF45</f>
        <v>3.8439999999999994</v>
      </c>
      <c r="AJ45" s="230">
        <f>AJ127</f>
        <v>2.0209999999999999</v>
      </c>
      <c r="AK45" s="228">
        <f>AK127-AJ45</f>
        <v>16.893000000000001</v>
      </c>
      <c r="AL45" s="228">
        <f>AL127-SUM(AJ45:AK45)</f>
        <v>1.3339999999999996</v>
      </c>
      <c r="AM45" s="229">
        <f>AM127-AL45-AK45-AJ45</f>
        <v>-1223.5800000000002</v>
      </c>
      <c r="AN45" s="230">
        <f>AN127</f>
        <v>2.66</v>
      </c>
      <c r="AO45" s="228">
        <f>AO127-AN45</f>
        <v>11.115</v>
      </c>
      <c r="AP45" s="228">
        <f>AP127-SUM(AN45:AO45)</f>
        <v>2.8940000000000001</v>
      </c>
      <c r="AQ45" s="229">
        <f>AQ127-AP45-AO45-AN45</f>
        <v>2.9930000000000003</v>
      </c>
      <c r="AR45" s="230">
        <f>AR127</f>
        <v>3.839</v>
      </c>
      <c r="AS45" s="228">
        <f>AS127-AR45</f>
        <v>6.6159999999999997</v>
      </c>
      <c r="AT45" s="228">
        <f>AT127-SUM(AR45:AS45)</f>
        <v>1.8710000000000004</v>
      </c>
      <c r="AU45" s="229">
        <f>AU127-AT45-AS45-AR45</f>
        <v>3.8269999999999986</v>
      </c>
      <c r="AV45" s="230">
        <f>AV127</f>
        <v>0</v>
      </c>
      <c r="AW45" s="228">
        <f>AW127-AV45</f>
        <v>0</v>
      </c>
      <c r="AX45" s="228">
        <f>AX127-SUM(AV45:AW45)</f>
        <v>-0.66300000000000003</v>
      </c>
      <c r="AY45" s="228">
        <f>AY127-AX45-AW45-AV45</f>
        <v>-0.66199999999999992</v>
      </c>
      <c r="AZ45" s="840">
        <f>AZ127</f>
        <v>-1.5960000000000001</v>
      </c>
      <c r="BA45" s="228">
        <f>BA127-AZ45</f>
        <v>-499.7</v>
      </c>
      <c r="BB45" s="228">
        <f>BB127-SUM(AZ45:BA45)</f>
        <v>-3.0380000000000109</v>
      </c>
      <c r="BC45" s="229">
        <v>0</v>
      </c>
      <c r="BD45" s="228">
        <v>0</v>
      </c>
      <c r="BE45" s="228">
        <v>0</v>
      </c>
      <c r="BF45" s="228">
        <v>0</v>
      </c>
      <c r="BG45" s="228">
        <v>0</v>
      </c>
      <c r="BH45" s="228">
        <v>0</v>
      </c>
      <c r="BI45" s="228">
        <v>0</v>
      </c>
      <c r="BJ45" s="228">
        <v>0</v>
      </c>
      <c r="BK45" s="228">
        <v>0</v>
      </c>
      <c r="BL45" s="20"/>
      <c r="BM45" s="228">
        <f>SUM(D45:G45)</f>
        <v>0</v>
      </c>
      <c r="BN45" s="228">
        <f>SUM(H45:K45)</f>
        <v>27.413000000000004</v>
      </c>
      <c r="BO45" s="228">
        <f>SUM(L45:O45)</f>
        <v>22.459000000000003</v>
      </c>
      <c r="BP45" s="228">
        <f>SUM(P45:S45)</f>
        <v>4.7789999999999999</v>
      </c>
      <c r="BQ45" s="228">
        <f>SUM(T45:W45)</f>
        <v>-1.3149999999999995</v>
      </c>
      <c r="BR45" s="228">
        <f>SUM(X45:AA45)</f>
        <v>-27.790999999999997</v>
      </c>
      <c r="BS45" s="228">
        <f>SUM(AB45:AE45)</f>
        <v>11.957000000000001</v>
      </c>
      <c r="BT45" s="228">
        <f>SUM(AF45:AI45)</f>
        <v>10.155999999999999</v>
      </c>
      <c r="BU45" s="228">
        <f>SUM(AJ45:AM45)</f>
        <v>-1203.3320000000001</v>
      </c>
      <c r="BV45" s="228">
        <f>SUM(AN45:AQ45)</f>
        <v>19.661999999999999</v>
      </c>
      <c r="BW45" s="228">
        <f>SUM(AR45:AU45)</f>
        <v>16.152999999999999</v>
      </c>
      <c r="BX45" s="228">
        <f>SUM(AV45:AY45)</f>
        <v>-1.325</v>
      </c>
      <c r="BY45" s="228">
        <f>SUM(AZ45:BC45)</f>
        <v>-504.334</v>
      </c>
      <c r="BZ45" s="228">
        <f>SUM(BD45:BG45)</f>
        <v>0</v>
      </c>
      <c r="CA45" s="228">
        <f>SUM(BH45:BK45)</f>
        <v>0</v>
      </c>
      <c r="CB45" s="998">
        <f>BS!CB35-BS!CA35+BS!CB27-BS!CA27</f>
        <v>0</v>
      </c>
      <c r="CC45" s="20"/>
      <c r="CD45" s="228">
        <f>SUM(G45:J45)</f>
        <v>19.056000000000001</v>
      </c>
      <c r="CE45" s="228">
        <f>SUM(K45:N45)</f>
        <v>20.413000000000004</v>
      </c>
      <c r="CF45" s="228">
        <f>SUM(O45:R45)</f>
        <v>15.162000000000003</v>
      </c>
      <c r="CG45" s="228">
        <f>SUM(S45:V45)</f>
        <v>-15.848000000000003</v>
      </c>
      <c r="CH45" s="228">
        <f>SUM(W45:Z45)</f>
        <v>-17.966999999999999</v>
      </c>
      <c r="CI45" s="228">
        <f>SUM(AA45:AD45)</f>
        <v>13.302000000000007</v>
      </c>
      <c r="CJ45" s="228">
        <f>SUM(AE45:AH45)</f>
        <v>9.6960000000000015</v>
      </c>
      <c r="CK45" s="228">
        <f>SUM(AI45:AL45)</f>
        <v>24.091999999999999</v>
      </c>
      <c r="CL45" s="228">
        <f>SUM(AM45:AP45)</f>
        <v>-1206.9110000000001</v>
      </c>
      <c r="CM45" s="228">
        <f>SUM(AQ45:AT45)</f>
        <v>15.319000000000001</v>
      </c>
      <c r="CN45" s="228">
        <f>SUM(AU45:AX45)</f>
        <v>3.1639999999999988</v>
      </c>
      <c r="CO45" s="228">
        <f>SUM(AY45:BB45)</f>
        <v>-504.99599999999998</v>
      </c>
      <c r="CP45" s="228">
        <f>SUM(BC45:BF45)</f>
        <v>0</v>
      </c>
      <c r="CQ45" s="229">
        <f>SUM(BG45:BJ45)</f>
        <v>0</v>
      </c>
      <c r="CR45" s="770"/>
      <c r="CS45" s="889"/>
    </row>
    <row r="46" spans="1:97" ht="14.25" customHeight="1" thickBot="1">
      <c r="A46" s="8"/>
      <c r="B46" s="234" t="str">
        <f t="shared" ref="B46:B56" si="167">B128</f>
        <v>Net cash used for financing activities</v>
      </c>
      <c r="C46" s="235"/>
      <c r="D46" s="237">
        <f t="shared" ref="D46:AE46" si="168">SUM(D41:D45)</f>
        <v>-76.092000000000013</v>
      </c>
      <c r="E46" s="236">
        <f t="shared" si="168"/>
        <v>-78.356999999999999</v>
      </c>
      <c r="F46" s="236">
        <f t="shared" si="168"/>
        <v>-135.495</v>
      </c>
      <c r="G46" s="238">
        <f t="shared" si="168"/>
        <v>-107.881</v>
      </c>
      <c r="H46" s="237">
        <f t="shared" si="168"/>
        <v>-118.268</v>
      </c>
      <c r="I46" s="236">
        <f t="shared" si="168"/>
        <v>-124.19399999999999</v>
      </c>
      <c r="J46" s="236">
        <f t="shared" si="168"/>
        <v>-144.58500000000001</v>
      </c>
      <c r="K46" s="238">
        <f t="shared" si="168"/>
        <v>-28.237000000000005</v>
      </c>
      <c r="L46" s="237">
        <f t="shared" si="168"/>
        <v>12.327999999999999</v>
      </c>
      <c r="M46" s="236">
        <f t="shared" si="168"/>
        <v>-154.94499999999999</v>
      </c>
      <c r="N46" s="236">
        <f t="shared" si="168"/>
        <v>-222.87000000000003</v>
      </c>
      <c r="O46" s="238">
        <f t="shared" si="168"/>
        <v>-176.416</v>
      </c>
      <c r="P46" s="237">
        <f t="shared" si="168"/>
        <v>-157.39699999999999</v>
      </c>
      <c r="Q46" s="236">
        <f t="shared" si="168"/>
        <v>-113.84100000000001</v>
      </c>
      <c r="R46" s="236">
        <f t="shared" si="168"/>
        <v>-181.68900000000002</v>
      </c>
      <c r="S46" s="238">
        <f t="shared" si="168"/>
        <v>-65.150999999999982</v>
      </c>
      <c r="T46" s="237">
        <f t="shared" si="168"/>
        <v>-54.629999999999995</v>
      </c>
      <c r="U46" s="236">
        <f t="shared" si="168"/>
        <v>-23.067</v>
      </c>
      <c r="V46" s="236">
        <f t="shared" si="168"/>
        <v>-55.753</v>
      </c>
      <c r="W46" s="238">
        <f t="shared" si="168"/>
        <v>-118.63900000000001</v>
      </c>
      <c r="X46" s="237">
        <f t="shared" si="168"/>
        <v>51.255999999999958</v>
      </c>
      <c r="Y46" s="236">
        <f t="shared" si="168"/>
        <v>-33.160999999999994</v>
      </c>
      <c r="Z46" s="236">
        <f t="shared" si="168"/>
        <v>11.082000000000058</v>
      </c>
      <c r="AA46" s="238">
        <f t="shared" si="168"/>
        <v>63.013999999999982</v>
      </c>
      <c r="AB46" s="236">
        <f>SUM(AB41:AB45)</f>
        <v>-84.66</v>
      </c>
      <c r="AC46" s="236">
        <f t="shared" si="168"/>
        <v>-133.51600000000002</v>
      </c>
      <c r="AD46" s="236">
        <f>SUM(AD41:AD45)</f>
        <v>-79.996000000000009</v>
      </c>
      <c r="AE46" s="238">
        <f t="shared" si="168"/>
        <v>-1.2069999999999865</v>
      </c>
      <c r="AF46" s="236">
        <f t="shared" ref="AF46:AO46" si="169">SUM(AF41:AF45)</f>
        <v>-139.74599999999998</v>
      </c>
      <c r="AG46" s="236">
        <f t="shared" si="169"/>
        <v>-116.069</v>
      </c>
      <c r="AH46" s="236">
        <f t="shared" si="169"/>
        <v>-56.319999999999993</v>
      </c>
      <c r="AI46" s="238">
        <f t="shared" si="169"/>
        <v>1.8489999999999949</v>
      </c>
      <c r="AJ46" s="236">
        <f t="shared" si="169"/>
        <v>-32.050000000000004</v>
      </c>
      <c r="AK46" s="236">
        <f t="shared" si="169"/>
        <v>-26.253999999999991</v>
      </c>
      <c r="AL46" s="236">
        <f t="shared" si="169"/>
        <v>-151.50700000000001</v>
      </c>
      <c r="AM46" s="238">
        <f t="shared" si="169"/>
        <v>-273.63300000000027</v>
      </c>
      <c r="AN46" s="236">
        <f t="shared" si="169"/>
        <v>-161.58200000000002</v>
      </c>
      <c r="AO46" s="236">
        <f t="shared" si="169"/>
        <v>-274.50399999999996</v>
      </c>
      <c r="AP46" s="236">
        <f t="shared" ref="AP46:AY46" si="170">SUM(AP41:AP45)</f>
        <v>-234.46900000000002</v>
      </c>
      <c r="AQ46" s="238">
        <f t="shared" si="170"/>
        <v>-214.28599999999994</v>
      </c>
      <c r="AR46" s="236">
        <f t="shared" si="170"/>
        <v>-157.923</v>
      </c>
      <c r="AS46" s="236">
        <f t="shared" si="170"/>
        <v>-177.19899999999996</v>
      </c>
      <c r="AT46" s="236">
        <f t="shared" si="170"/>
        <v>-170.941</v>
      </c>
      <c r="AU46" s="238">
        <f t="shared" si="170"/>
        <v>-188.85900000000004</v>
      </c>
      <c r="AV46" s="236">
        <f t="shared" si="170"/>
        <v>-172.45600000000002</v>
      </c>
      <c r="AW46" s="236">
        <f t="shared" si="170"/>
        <v>-185.64700000000002</v>
      </c>
      <c r="AX46" s="236">
        <f t="shared" si="170"/>
        <v>-296.56799999999998</v>
      </c>
      <c r="AY46" s="236">
        <f t="shared" si="170"/>
        <v>-310.53099999999989</v>
      </c>
      <c r="AZ46" s="237">
        <f t="shared" ref="AZ46:BK46" si="171">SUM(AZ41:AZ45)</f>
        <v>133.99499999999995</v>
      </c>
      <c r="BA46" s="236">
        <f t="shared" si="171"/>
        <v>-282.53399999999999</v>
      </c>
      <c r="BB46" s="236">
        <f t="shared" si="171"/>
        <v>-165.57499999999996</v>
      </c>
      <c r="BC46" s="238">
        <f t="shared" si="171"/>
        <v>-252.75000000000006</v>
      </c>
      <c r="BD46" s="236">
        <f t="shared" si="171"/>
        <v>-189.30200000000002</v>
      </c>
      <c r="BE46" s="236">
        <f t="shared" si="171"/>
        <v>-189.30200000000002</v>
      </c>
      <c r="BF46" s="236">
        <f t="shared" si="171"/>
        <v>-189.30200000000002</v>
      </c>
      <c r="BG46" s="238">
        <f t="shared" si="171"/>
        <v>-189.30200000000002</v>
      </c>
      <c r="BH46" s="236">
        <f t="shared" si="171"/>
        <v>-189.30200000000002</v>
      </c>
      <c r="BI46" s="236">
        <f t="shared" si="171"/>
        <v>-189.30200000000002</v>
      </c>
      <c r="BJ46" s="236">
        <f t="shared" si="171"/>
        <v>-189.30200000000002</v>
      </c>
      <c r="BK46" s="238">
        <f t="shared" si="171"/>
        <v>-189.30200000000002</v>
      </c>
      <c r="BL46" s="20"/>
      <c r="BM46" s="236">
        <f t="shared" ref="BM46:BW46" si="172">SUM(BM41:BM45)</f>
        <v>-397.82499999999999</v>
      </c>
      <c r="BN46" s="182">
        <f t="shared" si="172"/>
        <v>-415.28399999999999</v>
      </c>
      <c r="BO46" s="182">
        <f t="shared" si="172"/>
        <v>-541.90300000000002</v>
      </c>
      <c r="BP46" s="182">
        <f t="shared" si="172"/>
        <v>-518.07799999999997</v>
      </c>
      <c r="BQ46" s="182">
        <f t="shared" si="172"/>
        <v>-252.089</v>
      </c>
      <c r="BR46" s="182">
        <f t="shared" si="172"/>
        <v>92.191000000000031</v>
      </c>
      <c r="BS46" s="182">
        <f t="shared" si="172"/>
        <v>-299.37900000000002</v>
      </c>
      <c r="BT46" s="182">
        <f t="shared" si="172"/>
        <v>-310.286</v>
      </c>
      <c r="BU46" s="182">
        <f t="shared" si="172"/>
        <v>-483.44400000000019</v>
      </c>
      <c r="BV46" s="182">
        <f t="shared" si="172"/>
        <v>-884.84100000000001</v>
      </c>
      <c r="BW46" s="182">
        <f t="shared" si="172"/>
        <v>-694.92200000000003</v>
      </c>
      <c r="BX46" s="182">
        <f>SUM(BX41:BX45)</f>
        <v>-965.202</v>
      </c>
      <c r="BY46" s="182">
        <f>SUM(BY41:BY45)</f>
        <v>-566.86400000000003</v>
      </c>
      <c r="BZ46" s="182">
        <f>SUM(BZ41:BZ45)</f>
        <v>-757.20800000000008</v>
      </c>
      <c r="CA46" s="182">
        <f>SUM(CA41:CA45)</f>
        <v>-757.20800000000008</v>
      </c>
      <c r="CB46" s="978">
        <f>SUM(CB41:CB45)</f>
        <v>-643.76</v>
      </c>
      <c r="CC46" s="20"/>
      <c r="CD46" s="236">
        <f t="shared" ref="CD46:CM46" si="173">SUM(CD41:CD45)</f>
        <v>-494.92799999999994</v>
      </c>
      <c r="CE46" s="236">
        <f t="shared" si="173"/>
        <v>-393.72400000000005</v>
      </c>
      <c r="CF46" s="236">
        <f t="shared" si="173"/>
        <v>-629.34300000000007</v>
      </c>
      <c r="CG46" s="236">
        <f t="shared" si="173"/>
        <v>-198.601</v>
      </c>
      <c r="CH46" s="236">
        <f t="shared" si="173"/>
        <v>-89.462000000000032</v>
      </c>
      <c r="CI46" s="236">
        <f t="shared" si="173"/>
        <v>-235.15800000000002</v>
      </c>
      <c r="CJ46" s="236">
        <f t="shared" si="173"/>
        <v>-313.34199999999998</v>
      </c>
      <c r="CK46" s="236">
        <f t="shared" si="173"/>
        <v>-207.96199999999999</v>
      </c>
      <c r="CL46" s="236">
        <f t="shared" si="173"/>
        <v>-944.1880000000001</v>
      </c>
      <c r="CM46" s="236">
        <f t="shared" si="173"/>
        <v>-720.34899999999993</v>
      </c>
      <c r="CN46" s="236">
        <f>SUM(CN41:CN45)</f>
        <v>-843.53</v>
      </c>
      <c r="CO46" s="236">
        <f>SUM(CO41:CO45)</f>
        <v>-624.64499999999998</v>
      </c>
      <c r="CP46" s="236">
        <f>SUM(CP41:CP45)</f>
        <v>-820.65600000000018</v>
      </c>
      <c r="CQ46" s="238">
        <f>SUM(CQ41:CQ45)</f>
        <v>-757.20800000000008</v>
      </c>
      <c r="CR46" s="770"/>
      <c r="CS46" s="889"/>
    </row>
    <row r="47" spans="1:97" ht="14.25" customHeight="1" thickTop="1">
      <c r="A47" s="8"/>
      <c r="B47" s="50"/>
      <c r="C47" s="51"/>
      <c r="D47" s="243"/>
      <c r="E47" s="242"/>
      <c r="F47" s="242"/>
      <c r="G47" s="244"/>
      <c r="H47" s="243"/>
      <c r="I47" s="242"/>
      <c r="J47" s="242"/>
      <c r="K47" s="244"/>
      <c r="L47" s="243"/>
      <c r="M47" s="242"/>
      <c r="N47" s="242"/>
      <c r="O47" s="244"/>
      <c r="P47" s="243"/>
      <c r="Q47" s="242"/>
      <c r="R47" s="242"/>
      <c r="S47" s="244"/>
      <c r="T47" s="243"/>
      <c r="U47" s="242"/>
      <c r="V47" s="242"/>
      <c r="W47" s="244"/>
      <c r="X47" s="243"/>
      <c r="Y47" s="242"/>
      <c r="Z47" s="242"/>
      <c r="AA47" s="244"/>
      <c r="AB47" s="242"/>
      <c r="AC47" s="242"/>
      <c r="AD47" s="242"/>
      <c r="AE47" s="244"/>
      <c r="AF47" s="242"/>
      <c r="AG47" s="242"/>
      <c r="AH47" s="242"/>
      <c r="AI47" s="244"/>
      <c r="AJ47" s="242"/>
      <c r="AK47" s="242"/>
      <c r="AL47" s="242"/>
      <c r="AM47" s="244"/>
      <c r="AN47" s="242"/>
      <c r="AO47" s="242"/>
      <c r="AP47" s="242"/>
      <c r="AQ47" s="244"/>
      <c r="AR47" s="242"/>
      <c r="AS47" s="242"/>
      <c r="AT47" s="242"/>
      <c r="AU47" s="244"/>
      <c r="AV47" s="242"/>
      <c r="AW47" s="242"/>
      <c r="AX47" s="242"/>
      <c r="AY47" s="242"/>
      <c r="AZ47" s="891"/>
      <c r="BA47" s="242"/>
      <c r="BB47" s="242"/>
      <c r="BC47" s="244"/>
      <c r="BD47" s="242"/>
      <c r="BE47" s="849"/>
      <c r="BF47" s="242"/>
      <c r="BG47" s="244"/>
      <c r="BH47" s="242"/>
      <c r="BI47" s="849"/>
      <c r="BJ47" s="242"/>
      <c r="BK47" s="244"/>
      <c r="BL47" s="20"/>
      <c r="BM47" s="242"/>
      <c r="BN47" s="242"/>
      <c r="BO47" s="242"/>
      <c r="BP47" s="242"/>
      <c r="BQ47" s="242"/>
      <c r="BR47" s="242"/>
      <c r="BS47" s="242"/>
      <c r="BT47" s="242"/>
      <c r="BU47" s="242"/>
      <c r="BV47" s="242"/>
      <c r="BW47" s="242"/>
      <c r="BX47" s="242"/>
      <c r="BY47" s="242"/>
      <c r="BZ47" s="242"/>
      <c r="CA47" s="242"/>
      <c r="CB47" s="999"/>
      <c r="CC47" s="20"/>
      <c r="CD47" s="242"/>
      <c r="CE47" s="242"/>
      <c r="CF47" s="242"/>
      <c r="CG47" s="242"/>
      <c r="CH47" s="242"/>
      <c r="CI47" s="242"/>
      <c r="CJ47" s="242"/>
      <c r="CK47" s="242"/>
      <c r="CL47" s="242"/>
      <c r="CM47" s="242"/>
      <c r="CN47" s="242"/>
      <c r="CO47" s="242"/>
      <c r="CP47" s="242"/>
      <c r="CQ47" s="244"/>
      <c r="CR47" s="770"/>
      <c r="CS47" s="889"/>
    </row>
    <row r="48" spans="1:97" ht="14.25" customHeight="1">
      <c r="A48" s="8"/>
      <c r="B48" s="50" t="str">
        <f t="shared" si="167"/>
        <v>Effect of exchange rate changes on cash and cash equivalents</v>
      </c>
      <c r="C48" s="51"/>
      <c r="D48" s="230">
        <f>D130</f>
        <v>0</v>
      </c>
      <c r="E48" s="228">
        <f>E130-D48</f>
        <v>0</v>
      </c>
      <c r="F48" s="228">
        <f>F130-E48-D48</f>
        <v>0</v>
      </c>
      <c r="G48" s="229">
        <f>G130-F48-E48-D48</f>
        <v>0</v>
      </c>
      <c r="H48" s="230">
        <f>H130</f>
        <v>0</v>
      </c>
      <c r="I48" s="228">
        <f>I130-H48</f>
        <v>0</v>
      </c>
      <c r="J48" s="228">
        <f>J130-I48-H48</f>
        <v>0</v>
      </c>
      <c r="K48" s="229">
        <f>K130-J48-I48-H48</f>
        <v>0</v>
      </c>
      <c r="L48" s="230">
        <f>L130</f>
        <v>0</v>
      </c>
      <c r="M48" s="228">
        <f>M130-L48</f>
        <v>0</v>
      </c>
      <c r="N48" s="228">
        <f>N130-M48-L48</f>
        <v>0</v>
      </c>
      <c r="O48" s="229">
        <f>O130-N48-M48-L48</f>
        <v>0</v>
      </c>
      <c r="P48" s="230">
        <f>P130</f>
        <v>0</v>
      </c>
      <c r="Q48" s="228">
        <f>Q130-P48</f>
        <v>0</v>
      </c>
      <c r="R48" s="228">
        <f>R130-Q48-P48</f>
        <v>0</v>
      </c>
      <c r="S48" s="229">
        <f>S130-R48-Q48-P48</f>
        <v>0</v>
      </c>
      <c r="T48" s="230">
        <f>T130</f>
        <v>0</v>
      </c>
      <c r="U48" s="228">
        <f>U130-T48</f>
        <v>0</v>
      </c>
      <c r="V48" s="228">
        <f>V130-U48-T48</f>
        <v>0</v>
      </c>
      <c r="W48" s="229">
        <f>W130-V48-U48-T48</f>
        <v>0</v>
      </c>
      <c r="X48" s="230">
        <f>X130</f>
        <v>0</v>
      </c>
      <c r="Y48" s="228">
        <f>Y130-X48</f>
        <v>0</v>
      </c>
      <c r="Z48" s="228">
        <f>Z130-Y48-X48</f>
        <v>0</v>
      </c>
      <c r="AA48" s="229">
        <f>AA130-Z48-Y48-X48</f>
        <v>0</v>
      </c>
      <c r="AB48" s="231">
        <v>0</v>
      </c>
      <c r="AC48" s="231">
        <f>AC130-AB48</f>
        <v>0</v>
      </c>
      <c r="AD48" s="231">
        <v>0</v>
      </c>
      <c r="AE48" s="229">
        <f>AE130-AD48-AC48-AB48</f>
        <v>0</v>
      </c>
      <c r="AF48" s="231">
        <v>0</v>
      </c>
      <c r="AG48" s="231">
        <f>AG130-AF48</f>
        <v>0</v>
      </c>
      <c r="AH48" s="231">
        <v>0</v>
      </c>
      <c r="AI48" s="229">
        <f>AI130-AH48-AG48-AF48</f>
        <v>0</v>
      </c>
      <c r="AJ48" s="231">
        <v>0</v>
      </c>
      <c r="AK48" s="231">
        <f>AK130-AJ48</f>
        <v>0</v>
      </c>
      <c r="AL48" s="231">
        <v>0</v>
      </c>
      <c r="AM48" s="229">
        <f>AM130-AL48-AK48-AJ48</f>
        <v>0</v>
      </c>
      <c r="AN48" s="231">
        <v>0</v>
      </c>
      <c r="AO48" s="231">
        <f>AO130-AN48</f>
        <v>0</v>
      </c>
      <c r="AP48" s="231">
        <v>0</v>
      </c>
      <c r="AQ48" s="229">
        <v>0</v>
      </c>
      <c r="AR48" s="231">
        <v>0</v>
      </c>
      <c r="AS48" s="231">
        <f>AS130-AR48</f>
        <v>0</v>
      </c>
      <c r="AT48" s="231">
        <v>0</v>
      </c>
      <c r="AU48" s="229">
        <v>0</v>
      </c>
      <c r="AV48" s="231">
        <v>0</v>
      </c>
      <c r="AW48" s="231">
        <f>AW130-AV48</f>
        <v>0</v>
      </c>
      <c r="AX48" s="231">
        <v>0</v>
      </c>
      <c r="AY48" s="228">
        <v>0</v>
      </c>
      <c r="AZ48" s="233">
        <v>0</v>
      </c>
      <c r="BA48" s="231">
        <f>BA130-AZ48</f>
        <v>0</v>
      </c>
      <c r="BB48" s="231">
        <v>0</v>
      </c>
      <c r="BC48" s="232">
        <v>0</v>
      </c>
      <c r="BD48" s="231">
        <v>0</v>
      </c>
      <c r="BE48" s="231">
        <v>0</v>
      </c>
      <c r="BF48" s="231">
        <v>0</v>
      </c>
      <c r="BG48" s="232">
        <v>0</v>
      </c>
      <c r="BH48" s="231">
        <v>0</v>
      </c>
      <c r="BI48" s="231">
        <v>0</v>
      </c>
      <c r="BJ48" s="231">
        <v>0</v>
      </c>
      <c r="BK48" s="232">
        <v>0</v>
      </c>
      <c r="BL48" s="20"/>
      <c r="BM48" s="228">
        <f>SUM(D48:G48)</f>
        <v>0</v>
      </c>
      <c r="BN48" s="228">
        <f>SUM(H48:K48)</f>
        <v>0</v>
      </c>
      <c r="BO48" s="228">
        <f>SUM(L48:O48)</f>
        <v>0</v>
      </c>
      <c r="BP48" s="228">
        <f>SUM(P48:S48)</f>
        <v>0</v>
      </c>
      <c r="BQ48" s="228">
        <f>SUM(T48:W48)</f>
        <v>0</v>
      </c>
      <c r="BR48" s="228">
        <f>SUM(X48:AA48)</f>
        <v>0</v>
      </c>
      <c r="BS48" s="228">
        <f>SUM(AB48:AE48)</f>
        <v>0</v>
      </c>
      <c r="BT48" s="228">
        <f>SUM(AF48:AI48)</f>
        <v>0</v>
      </c>
      <c r="BU48" s="228">
        <f>SUM(AJ48:AM48)</f>
        <v>0</v>
      </c>
      <c r="BV48" s="228">
        <f>SUM(AN48:AQ48)</f>
        <v>0</v>
      </c>
      <c r="BW48" s="228">
        <f>SUM(AR48:AU48)</f>
        <v>0</v>
      </c>
      <c r="BX48" s="228">
        <f>SUM(AV48:AY48)</f>
        <v>0</v>
      </c>
      <c r="BY48" s="228">
        <f>SUM(AZ48:BC48)</f>
        <v>0</v>
      </c>
      <c r="BZ48" s="228">
        <f>SUM(BD48:BG48)</f>
        <v>0</v>
      </c>
      <c r="CA48" s="228">
        <f>SUM(BH48:BK48)</f>
        <v>0</v>
      </c>
      <c r="CB48" s="996">
        <f>CA48</f>
        <v>0</v>
      </c>
      <c r="CC48" s="20"/>
      <c r="CD48" s="228">
        <f>SUM(G48:J48)</f>
        <v>0</v>
      </c>
      <c r="CE48" s="228">
        <f>SUM(K48:N48)</f>
        <v>0</v>
      </c>
      <c r="CF48" s="228">
        <f>SUM(O48:R48)</f>
        <v>0</v>
      </c>
      <c r="CG48" s="228">
        <f>SUM(S48:V48)</f>
        <v>0</v>
      </c>
      <c r="CH48" s="228">
        <f>SUM(W48:Z48)</f>
        <v>0</v>
      </c>
      <c r="CI48" s="228">
        <f>SUM(AA48:AD48)</f>
        <v>0</v>
      </c>
      <c r="CJ48" s="228">
        <f>SUM(AE48:AH48)</f>
        <v>0</v>
      </c>
      <c r="CK48" s="228">
        <f>SUM(AI48:AL48)</f>
        <v>0</v>
      </c>
      <c r="CL48" s="228">
        <f>SUM(AM48:AP48)</f>
        <v>0</v>
      </c>
      <c r="CM48" s="228">
        <f>SUM(AQ48:AT48)</f>
        <v>0</v>
      </c>
      <c r="CN48" s="228">
        <f>SUM(AU48:AX48)</f>
        <v>0</v>
      </c>
      <c r="CO48" s="228">
        <f>SUM(AY48:BB48)</f>
        <v>0</v>
      </c>
      <c r="CP48" s="228">
        <f>SUM(BC48:BF48)</f>
        <v>0</v>
      </c>
      <c r="CQ48" s="229">
        <f>SUM(BG48:BJ48)</f>
        <v>0</v>
      </c>
      <c r="CR48" s="770"/>
      <c r="CS48" s="889"/>
    </row>
    <row r="49" spans="1:97" ht="14.25" customHeight="1">
      <c r="A49" s="8"/>
      <c r="B49" s="50"/>
      <c r="C49" s="51"/>
      <c r="D49" s="247"/>
      <c r="E49" s="245"/>
      <c r="F49" s="245"/>
      <c r="G49" s="246"/>
      <c r="H49" s="247"/>
      <c r="I49" s="245"/>
      <c r="J49" s="245"/>
      <c r="K49" s="246"/>
      <c r="L49" s="247"/>
      <c r="M49" s="245"/>
      <c r="N49" s="245"/>
      <c r="O49" s="246"/>
      <c r="P49" s="247"/>
      <c r="Q49" s="245"/>
      <c r="R49" s="245"/>
      <c r="S49" s="246"/>
      <c r="T49" s="247"/>
      <c r="U49" s="245"/>
      <c r="V49" s="245"/>
      <c r="W49" s="246"/>
      <c r="X49" s="247"/>
      <c r="Y49" s="245"/>
      <c r="Z49" s="245"/>
      <c r="AA49" s="246"/>
      <c r="AB49" s="247"/>
      <c r="AC49" s="245"/>
      <c r="AD49" s="245"/>
      <c r="AE49" s="246"/>
      <c r="AF49" s="247"/>
      <c r="AG49" s="245"/>
      <c r="AH49" s="245"/>
      <c r="AI49" s="246"/>
      <c r="AJ49" s="247"/>
      <c r="AK49" s="245"/>
      <c r="AL49" s="245"/>
      <c r="AM49" s="246"/>
      <c r="AN49" s="247"/>
      <c r="AO49" s="245"/>
      <c r="AP49" s="245"/>
      <c r="AQ49" s="246"/>
      <c r="AR49" s="247"/>
      <c r="AS49" s="245"/>
      <c r="AT49" s="245"/>
      <c r="AU49" s="246"/>
      <c r="AV49" s="247"/>
      <c r="AW49" s="245"/>
      <c r="AX49" s="245"/>
      <c r="AY49" s="242"/>
      <c r="AZ49" s="247"/>
      <c r="BA49" s="245"/>
      <c r="BB49" s="245"/>
      <c r="BC49" s="246"/>
      <c r="BD49" s="245"/>
      <c r="BE49" s="245"/>
      <c r="BF49" s="245"/>
      <c r="BG49" s="246"/>
      <c r="BH49" s="245"/>
      <c r="BI49" s="245"/>
      <c r="BJ49" s="245"/>
      <c r="BK49" s="246"/>
      <c r="BL49" s="20"/>
      <c r="BM49" s="245"/>
      <c r="BN49" s="245"/>
      <c r="BO49" s="245"/>
      <c r="BP49" s="245"/>
      <c r="BQ49" s="245"/>
      <c r="BR49" s="245"/>
      <c r="BS49" s="245"/>
      <c r="BT49" s="245"/>
      <c r="BU49" s="245"/>
      <c r="BV49" s="245"/>
      <c r="BW49" s="245"/>
      <c r="BX49" s="245"/>
      <c r="BY49" s="245"/>
      <c r="BZ49" s="245"/>
      <c r="CA49" s="245"/>
      <c r="CB49" s="1000"/>
      <c r="CC49" s="20"/>
      <c r="CD49" s="245"/>
      <c r="CE49" s="245"/>
      <c r="CF49" s="245"/>
      <c r="CG49" s="245"/>
      <c r="CH49" s="245"/>
      <c r="CI49" s="245"/>
      <c r="CJ49" s="245"/>
      <c r="CK49" s="245"/>
      <c r="CL49" s="245"/>
      <c r="CM49" s="245"/>
      <c r="CN49" s="245"/>
      <c r="CO49" s="245"/>
      <c r="CP49" s="245"/>
      <c r="CQ49" s="246"/>
      <c r="CR49" s="770"/>
      <c r="CS49" s="889"/>
    </row>
    <row r="50" spans="1:97" ht="14.25" customHeight="1">
      <c r="A50" s="8"/>
      <c r="B50" s="50" t="str">
        <f t="shared" si="167"/>
        <v>Cash and cash equivalents, beginning of period</v>
      </c>
      <c r="C50" s="51"/>
      <c r="D50" s="243">
        <f>D132</f>
        <v>449.38799999999998</v>
      </c>
      <c r="E50" s="242">
        <f>D53</f>
        <v>497.14699999999999</v>
      </c>
      <c r="F50" s="242">
        <f>E53</f>
        <v>567.02600000000007</v>
      </c>
      <c r="G50" s="242">
        <f>F53</f>
        <v>623.90700000000015</v>
      </c>
      <c r="H50" s="243">
        <f t="shared" ref="H50:W50" si="174">G53</f>
        <v>783.36599999999999</v>
      </c>
      <c r="I50" s="242">
        <f t="shared" si="174"/>
        <v>829.23799999999994</v>
      </c>
      <c r="J50" s="242">
        <f t="shared" si="174"/>
        <v>903.58400000000006</v>
      </c>
      <c r="K50" s="242">
        <f t="shared" si="174"/>
        <v>540.048</v>
      </c>
      <c r="L50" s="243">
        <f>L132</f>
        <v>635.87899999999991</v>
      </c>
      <c r="M50" s="242">
        <f t="shared" si="174"/>
        <v>627.96399999999983</v>
      </c>
      <c r="N50" s="242">
        <f t="shared" si="174"/>
        <v>368.30199999999979</v>
      </c>
      <c r="O50" s="242">
        <f t="shared" si="174"/>
        <v>400.39799999999991</v>
      </c>
      <c r="P50" s="243">
        <f t="shared" si="174"/>
        <v>866.99499999999989</v>
      </c>
      <c r="Q50" s="242">
        <f t="shared" si="174"/>
        <v>769.47599999999989</v>
      </c>
      <c r="R50" s="242">
        <f t="shared" si="174"/>
        <v>701.40599999999984</v>
      </c>
      <c r="S50" s="242">
        <f t="shared" si="174"/>
        <v>1007.7819999999999</v>
      </c>
      <c r="T50" s="243">
        <f t="shared" si="174"/>
        <v>1065.9869999999999</v>
      </c>
      <c r="U50" s="242">
        <f t="shared" si="174"/>
        <v>836.38099999999986</v>
      </c>
      <c r="V50" s="242">
        <f t="shared" si="174"/>
        <v>1028.1199999999999</v>
      </c>
      <c r="W50" s="242">
        <f t="shared" si="174"/>
        <v>1037.5640000000001</v>
      </c>
      <c r="X50" s="243">
        <f t="shared" ref="X50:BB50" si="175">W53</f>
        <v>1031.4570000000001</v>
      </c>
      <c r="Y50" s="242">
        <f t="shared" si="175"/>
        <v>912.44500000000005</v>
      </c>
      <c r="Z50" s="242">
        <f t="shared" si="175"/>
        <v>774.50500000000022</v>
      </c>
      <c r="AA50" s="244">
        <f t="shared" si="175"/>
        <v>1101.0500000000004</v>
      </c>
      <c r="AB50" s="243">
        <f t="shared" si="175"/>
        <v>1222.3590000000004</v>
      </c>
      <c r="AC50" s="242">
        <f t="shared" si="175"/>
        <v>961.23700000000019</v>
      </c>
      <c r="AD50" s="242">
        <f t="shared" si="175"/>
        <v>602.95200000000045</v>
      </c>
      <c r="AE50" s="244">
        <f t="shared" si="175"/>
        <v>661.32500000000061</v>
      </c>
      <c r="AF50" s="243">
        <f t="shared" si="175"/>
        <v>788.8220000000008</v>
      </c>
      <c r="AG50" s="242">
        <f t="shared" si="175"/>
        <v>526.18900000000065</v>
      </c>
      <c r="AH50" s="242">
        <f t="shared" si="175"/>
        <v>595.11900000000082</v>
      </c>
      <c r="AI50" s="244">
        <f t="shared" si="175"/>
        <v>623.13700000000108</v>
      </c>
      <c r="AJ50" s="243">
        <f t="shared" si="175"/>
        <v>623.5580000000009</v>
      </c>
      <c r="AK50" s="242">
        <f t="shared" si="175"/>
        <v>509.41400000000101</v>
      </c>
      <c r="AL50" s="242">
        <f t="shared" si="175"/>
        <v>570.49400000000105</v>
      </c>
      <c r="AM50" s="244">
        <f t="shared" si="175"/>
        <v>631.87900000000059</v>
      </c>
      <c r="AN50" s="243">
        <f t="shared" si="175"/>
        <v>973.67700000000036</v>
      </c>
      <c r="AO50" s="242">
        <f t="shared" si="175"/>
        <v>625.03200000000038</v>
      </c>
      <c r="AP50" s="242">
        <f t="shared" si="175"/>
        <v>714.69900000000041</v>
      </c>
      <c r="AQ50" s="244">
        <f t="shared" si="175"/>
        <v>1431.0230000000001</v>
      </c>
      <c r="AR50" s="243">
        <f>AQ53</f>
        <v>892.57200000000034</v>
      </c>
      <c r="AS50" s="242">
        <f t="shared" si="175"/>
        <v>666.33800000000042</v>
      </c>
      <c r="AT50" s="242">
        <f t="shared" si="175"/>
        <v>760.61100000000056</v>
      </c>
      <c r="AU50" s="244">
        <f t="shared" si="175"/>
        <v>898.26400000000024</v>
      </c>
      <c r="AV50" s="243">
        <f>AU53</f>
        <v>503.8160000000002</v>
      </c>
      <c r="AW50" s="242">
        <f t="shared" si="175"/>
        <v>582.36200000000008</v>
      </c>
      <c r="AX50" s="242">
        <f t="shared" si="175"/>
        <v>690.49</v>
      </c>
      <c r="AY50" s="242">
        <f t="shared" si="175"/>
        <v>839.54599999999971</v>
      </c>
      <c r="AZ50" s="243">
        <f>AY53</f>
        <v>966.69499999999994</v>
      </c>
      <c r="BA50" s="242">
        <f t="shared" si="175"/>
        <v>1059.3549999999998</v>
      </c>
      <c r="BB50" s="242">
        <f t="shared" si="175"/>
        <v>1070.193</v>
      </c>
      <c r="BC50" s="244">
        <f t="shared" ref="BC50:BK50" si="176">BB53</f>
        <v>911.46100000000001</v>
      </c>
      <c r="BD50" s="242">
        <f t="shared" si="176"/>
        <v>817.45499999999947</v>
      </c>
      <c r="BE50" s="242">
        <f t="shared" si="176"/>
        <v>847.02046645395944</v>
      </c>
      <c r="BF50" s="242">
        <f t="shared" si="176"/>
        <v>945.21373833697646</v>
      </c>
      <c r="BG50" s="244">
        <f t="shared" si="176"/>
        <v>1019.0152087056495</v>
      </c>
      <c r="BH50" s="242">
        <f t="shared" si="176"/>
        <v>1075.6490979707007</v>
      </c>
      <c r="BI50" s="242">
        <f t="shared" si="176"/>
        <v>1157.8985991720622</v>
      </c>
      <c r="BJ50" s="242">
        <f t="shared" si="176"/>
        <v>1234.0327206232616</v>
      </c>
      <c r="BK50" s="244">
        <f t="shared" si="176"/>
        <v>1316.2306029506819</v>
      </c>
      <c r="BL50" s="20"/>
      <c r="BM50" s="242">
        <f>D50</f>
        <v>449.38799999999998</v>
      </c>
      <c r="BN50" s="242">
        <f>H50</f>
        <v>783.36599999999999</v>
      </c>
      <c r="BO50" s="242">
        <f t="shared" ref="BO50:BZ50" si="177">BN53</f>
        <v>635.87900000000013</v>
      </c>
      <c r="BP50" s="242">
        <f t="shared" si="177"/>
        <v>866.995</v>
      </c>
      <c r="BQ50" s="242">
        <f t="shared" si="177"/>
        <v>1065.9870000000001</v>
      </c>
      <c r="BR50" s="242">
        <f t="shared" si="177"/>
        <v>1031.4570000000003</v>
      </c>
      <c r="BS50" s="242">
        <f t="shared" si="177"/>
        <v>1222.3590000000004</v>
      </c>
      <c r="BT50" s="242">
        <f t="shared" si="177"/>
        <v>788.8220000000008</v>
      </c>
      <c r="BU50" s="242">
        <f t="shared" si="177"/>
        <v>623.5580000000009</v>
      </c>
      <c r="BV50" s="242">
        <f t="shared" si="177"/>
        <v>973.67700000000036</v>
      </c>
      <c r="BW50" s="242">
        <f t="shared" si="177"/>
        <v>892.57200000000023</v>
      </c>
      <c r="BX50" s="242">
        <f t="shared" si="177"/>
        <v>503.81600000000009</v>
      </c>
      <c r="BY50" s="242">
        <f t="shared" si="177"/>
        <v>966.69499999999971</v>
      </c>
      <c r="BZ50" s="242">
        <f t="shared" si="177"/>
        <v>817.45499999999902</v>
      </c>
      <c r="CA50" s="242">
        <f>BZ53</f>
        <v>1075.6490979707003</v>
      </c>
      <c r="CB50" s="999">
        <f>CA53</f>
        <v>1392.5374561978583</v>
      </c>
      <c r="CC50" s="20"/>
      <c r="CD50" s="242">
        <f>G50</f>
        <v>623.90700000000015</v>
      </c>
      <c r="CE50" s="242">
        <f>CD53</f>
        <v>540.048</v>
      </c>
      <c r="CF50" s="242">
        <f t="shared" ref="CF50:CQ50" si="178">CE53</f>
        <v>400.39800000000002</v>
      </c>
      <c r="CG50" s="242">
        <f t="shared" si="178"/>
        <v>1007.782</v>
      </c>
      <c r="CH50" s="242">
        <f t="shared" si="178"/>
        <v>1037.5640000000003</v>
      </c>
      <c r="CI50" s="242">
        <f t="shared" si="178"/>
        <v>1101.0500000000004</v>
      </c>
      <c r="CJ50" s="242">
        <f t="shared" si="178"/>
        <v>661.3250000000005</v>
      </c>
      <c r="CK50" s="242">
        <f t="shared" si="178"/>
        <v>623.13700000000085</v>
      </c>
      <c r="CL50" s="242">
        <f t="shared" si="178"/>
        <v>631.87900000000036</v>
      </c>
      <c r="CM50" s="242">
        <f t="shared" si="178"/>
        <v>1431.0229999999997</v>
      </c>
      <c r="CN50" s="242">
        <f t="shared" si="178"/>
        <v>898.26399999999978</v>
      </c>
      <c r="CO50" s="242">
        <f t="shared" si="178"/>
        <v>839.54599999999914</v>
      </c>
      <c r="CP50" s="242">
        <f t="shared" si="178"/>
        <v>911.46099999999922</v>
      </c>
      <c r="CQ50" s="244">
        <f t="shared" si="178"/>
        <v>1019.0152087056485</v>
      </c>
      <c r="CR50" s="770"/>
      <c r="CS50" s="889"/>
    </row>
    <row r="51" spans="1:97" ht="14.25" customHeight="1">
      <c r="A51" s="8"/>
      <c r="B51" s="50" t="str">
        <f t="shared" si="167"/>
        <v>Change in cash flow due to restatement</v>
      </c>
      <c r="C51" s="51"/>
      <c r="D51" s="247"/>
      <c r="E51" s="245"/>
      <c r="F51" s="245"/>
      <c r="G51" s="245"/>
      <c r="H51" s="247"/>
      <c r="I51" s="245"/>
      <c r="J51" s="245"/>
      <c r="K51" s="245"/>
      <c r="L51" s="247"/>
      <c r="M51" s="245"/>
      <c r="N51" s="245"/>
      <c r="O51" s="245"/>
      <c r="P51" s="247"/>
      <c r="Q51" s="245"/>
      <c r="R51" s="245"/>
      <c r="S51" s="245"/>
      <c r="T51" s="247"/>
      <c r="U51" s="245"/>
      <c r="V51" s="245"/>
      <c r="W51" s="245"/>
      <c r="X51" s="247"/>
      <c r="Y51" s="245"/>
      <c r="Z51" s="245"/>
      <c r="AA51" s="246"/>
      <c r="AB51" s="245"/>
      <c r="AC51" s="245"/>
      <c r="AD51" s="245"/>
      <c r="AE51" s="246"/>
      <c r="AF51" s="245"/>
      <c r="AG51" s="245"/>
      <c r="AH51" s="245"/>
      <c r="AI51" s="246"/>
      <c r="AJ51" s="245"/>
      <c r="AK51" s="245"/>
      <c r="AL51" s="245"/>
      <c r="AM51" s="246"/>
      <c r="AN51" s="245"/>
      <c r="AO51" s="245"/>
      <c r="AP51" s="245"/>
      <c r="AQ51" s="246"/>
      <c r="AR51" s="245">
        <v>0</v>
      </c>
      <c r="AS51" s="245"/>
      <c r="AT51" s="245"/>
      <c r="AU51" s="246"/>
      <c r="AV51" s="245">
        <v>0</v>
      </c>
      <c r="AW51" s="245">
        <v>0</v>
      </c>
      <c r="AX51" s="245"/>
      <c r="AY51" s="228"/>
      <c r="AZ51" s="247">
        <v>0</v>
      </c>
      <c r="BA51" s="245">
        <v>0</v>
      </c>
      <c r="BB51" s="245"/>
      <c r="BC51" s="923">
        <f>BC133</f>
        <v>-719.67600000000039</v>
      </c>
      <c r="BD51" s="245"/>
      <c r="BE51" s="245"/>
      <c r="BF51" s="245"/>
      <c r="BG51" s="246"/>
      <c r="BH51" s="245"/>
      <c r="BI51" s="245"/>
      <c r="BJ51" s="245"/>
      <c r="BK51" s="246"/>
      <c r="BL51" s="20"/>
      <c r="BM51" s="245"/>
      <c r="BN51" s="228"/>
      <c r="BO51" s="228"/>
      <c r="BP51" s="228"/>
      <c r="BQ51" s="228"/>
      <c r="BR51" s="228"/>
      <c r="BS51" s="228">
        <f>SUM(AB51:AE51)</f>
        <v>0</v>
      </c>
      <c r="BT51" s="228">
        <f>SUM(AF51:AI51)</f>
        <v>0</v>
      </c>
      <c r="BU51" s="228">
        <f>SUM(AJ51:AM51)</f>
        <v>0</v>
      </c>
      <c r="BV51" s="228">
        <f>SUM(AN51:AQ51)</f>
        <v>0</v>
      </c>
      <c r="BW51" s="228">
        <f>SUM(AR51:AU51)</f>
        <v>0</v>
      </c>
      <c r="BX51" s="228">
        <f>SUM(AV51:AY51)</f>
        <v>0</v>
      </c>
      <c r="BY51" s="228">
        <f>SUM(AZ51:BC51)</f>
        <v>-719.67600000000039</v>
      </c>
      <c r="BZ51" s="228">
        <f>SUM(BD51:BG51)</f>
        <v>0</v>
      </c>
      <c r="CA51" s="228">
        <f>SUM(BH51:BK51)</f>
        <v>0</v>
      </c>
      <c r="CB51" s="1000"/>
      <c r="CC51" s="20"/>
      <c r="CD51" s="245"/>
      <c r="CE51" s="245"/>
      <c r="CF51" s="245"/>
      <c r="CG51" s="245"/>
      <c r="CH51" s="245"/>
      <c r="CI51" s="245"/>
      <c r="CJ51" s="245"/>
      <c r="CK51" s="740"/>
      <c r="CL51" s="228">
        <f>SUM(AM51:AP51)</f>
        <v>0</v>
      </c>
      <c r="CM51" s="228">
        <f>SUM(AQ51:AT51)</f>
        <v>0</v>
      </c>
      <c r="CN51" s="245">
        <f>BX51</f>
        <v>0</v>
      </c>
      <c r="CO51" s="228">
        <f>SUM(AY51:BB51)</f>
        <v>0</v>
      </c>
      <c r="CP51" s="228">
        <f>SUM(BC51:BF51)</f>
        <v>-719.67600000000039</v>
      </c>
      <c r="CQ51" s="246">
        <f>CA51</f>
        <v>0</v>
      </c>
      <c r="CR51" s="770"/>
      <c r="CS51" s="889"/>
    </row>
    <row r="52" spans="1:97" ht="14.25" customHeight="1">
      <c r="A52" s="8"/>
      <c r="B52" s="239" t="str">
        <f t="shared" si="167"/>
        <v>Net increase (decrease) in cash and cash equivalents</v>
      </c>
      <c r="C52" s="240"/>
      <c r="D52" s="243">
        <f t="shared" ref="D52:AD52" si="179">D46+D38+D30+D48</f>
        <v>47.759000000000015</v>
      </c>
      <c r="E52" s="242">
        <f t="shared" si="179"/>
        <v>69.879000000000019</v>
      </c>
      <c r="F52" s="242">
        <f t="shared" si="179"/>
        <v>56.881000000000029</v>
      </c>
      <c r="G52" s="242">
        <f t="shared" si="179"/>
        <v>159.45899999999978</v>
      </c>
      <c r="H52" s="243">
        <f t="shared" si="179"/>
        <v>45.871999999999986</v>
      </c>
      <c r="I52" s="242">
        <f t="shared" si="179"/>
        <v>74.346000000000089</v>
      </c>
      <c r="J52" s="242">
        <f t="shared" si="179"/>
        <v>-363.53600000000006</v>
      </c>
      <c r="K52" s="242">
        <f t="shared" si="179"/>
        <v>95.83100000000006</v>
      </c>
      <c r="L52" s="243">
        <f t="shared" si="179"/>
        <v>-7.9150000000001199</v>
      </c>
      <c r="M52" s="242">
        <f t="shared" si="179"/>
        <v>-259.66200000000003</v>
      </c>
      <c r="N52" s="242">
        <f t="shared" si="179"/>
        <v>32.096000000000089</v>
      </c>
      <c r="O52" s="242">
        <f t="shared" si="179"/>
        <v>466.59699999999998</v>
      </c>
      <c r="P52" s="243">
        <f t="shared" si="179"/>
        <v>-97.518999999999949</v>
      </c>
      <c r="Q52" s="242">
        <f t="shared" si="179"/>
        <v>-68.070000000000007</v>
      </c>
      <c r="R52" s="242">
        <f t="shared" si="179"/>
        <v>306.37600000000003</v>
      </c>
      <c r="S52" s="242">
        <f t="shared" si="179"/>
        <v>58.204999999999998</v>
      </c>
      <c r="T52" s="243">
        <f t="shared" si="179"/>
        <v>-229.60600000000002</v>
      </c>
      <c r="U52" s="242">
        <f t="shared" si="179"/>
        <v>191.73900000000003</v>
      </c>
      <c r="V52" s="242">
        <f t="shared" si="179"/>
        <v>9.4440000000001589</v>
      </c>
      <c r="W52" s="242">
        <f t="shared" si="179"/>
        <v>-6.1069999999999993</v>
      </c>
      <c r="X52" s="243">
        <f t="shared" si="179"/>
        <v>-119.0120000000001</v>
      </c>
      <c r="Y52" s="242">
        <f t="shared" si="179"/>
        <v>-137.93999999999986</v>
      </c>
      <c r="Z52" s="242">
        <f t="shared" si="179"/>
        <v>326.54500000000013</v>
      </c>
      <c r="AA52" s="244">
        <f t="shared" si="179"/>
        <v>121.30899999999988</v>
      </c>
      <c r="AB52" s="379">
        <f>AB46+AB38+AB30+AB48</f>
        <v>-261.12200000000018</v>
      </c>
      <c r="AC52" s="242">
        <f>AC46+AC38+AC30+AC48</f>
        <v>-358.2849999999998</v>
      </c>
      <c r="AD52" s="242">
        <f t="shared" si="179"/>
        <v>58.373000000000204</v>
      </c>
      <c r="AE52" s="244">
        <f t="shared" ref="AE52:AJ52" si="180">AE46+AE38+AE30+AE48</f>
        <v>127.49700000000016</v>
      </c>
      <c r="AF52" s="379">
        <f t="shared" si="180"/>
        <v>-262.63300000000015</v>
      </c>
      <c r="AG52" s="242">
        <f t="shared" si="180"/>
        <v>68.930000000000121</v>
      </c>
      <c r="AH52" s="242">
        <f t="shared" si="180"/>
        <v>28.018000000000271</v>
      </c>
      <c r="AI52" s="244">
        <f t="shared" si="180"/>
        <v>0.42099999999985016</v>
      </c>
      <c r="AJ52" s="242">
        <f t="shared" si="180"/>
        <v>-114.14399999999989</v>
      </c>
      <c r="AK52" s="242">
        <f t="shared" ref="AK52:AP52" si="181">AK46+AK38+AK30+AK48</f>
        <v>61.080000000000013</v>
      </c>
      <c r="AL52" s="242">
        <f t="shared" si="181"/>
        <v>61.384999999999593</v>
      </c>
      <c r="AM52" s="244">
        <f t="shared" si="181"/>
        <v>341.79799999999972</v>
      </c>
      <c r="AN52" s="242">
        <f t="shared" si="181"/>
        <v>-348.64499999999992</v>
      </c>
      <c r="AO52" s="242">
        <f t="shared" si="181"/>
        <v>89.667000000000002</v>
      </c>
      <c r="AP52" s="242">
        <f t="shared" si="181"/>
        <v>716.32399999999961</v>
      </c>
      <c r="AQ52" s="244">
        <f t="shared" ref="AQ52:AY52" si="182">AQ46+AQ38+AQ30+AQ48</f>
        <v>-538.45099999999979</v>
      </c>
      <c r="AR52" s="242">
        <f t="shared" si="182"/>
        <v>-226.23399999999992</v>
      </c>
      <c r="AS52" s="242">
        <f t="shared" si="182"/>
        <v>94.273000000000167</v>
      </c>
      <c r="AT52" s="242">
        <f t="shared" si="182"/>
        <v>137.65299999999965</v>
      </c>
      <c r="AU52" s="244">
        <f t="shared" si="182"/>
        <v>-394.44800000000004</v>
      </c>
      <c r="AV52" s="242">
        <f t="shared" si="182"/>
        <v>78.545999999999822</v>
      </c>
      <c r="AW52" s="242">
        <f t="shared" si="182"/>
        <v>108.12799999999989</v>
      </c>
      <c r="AX52" s="242">
        <f t="shared" si="182"/>
        <v>149.05599999999973</v>
      </c>
      <c r="AY52" s="242">
        <f t="shared" si="182"/>
        <v>127.14900000000017</v>
      </c>
      <c r="AZ52" s="243">
        <f t="shared" ref="AZ52:BK52" si="183">AZ46+AZ38+AZ30+AZ48</f>
        <v>92.659999999999769</v>
      </c>
      <c r="BA52" s="242">
        <f t="shared" si="183"/>
        <v>10.838000000000108</v>
      </c>
      <c r="BB52" s="242">
        <f t="shared" si="183"/>
        <v>-158.73199999999997</v>
      </c>
      <c r="BC52" s="244">
        <f t="shared" si="183"/>
        <v>625.66999999999985</v>
      </c>
      <c r="BD52" s="242">
        <f t="shared" si="183"/>
        <v>29.565466453960028</v>
      </c>
      <c r="BE52" s="242">
        <f t="shared" si="183"/>
        <v>98.19327188301699</v>
      </c>
      <c r="BF52" s="242">
        <f t="shared" si="183"/>
        <v>73.801470368672966</v>
      </c>
      <c r="BG52" s="244">
        <f t="shared" si="183"/>
        <v>56.633889265051209</v>
      </c>
      <c r="BH52" s="242">
        <f t="shared" si="183"/>
        <v>82.249501201361483</v>
      </c>
      <c r="BI52" s="242">
        <f t="shared" si="183"/>
        <v>76.134121451199405</v>
      </c>
      <c r="BJ52" s="242">
        <f t="shared" si="183"/>
        <v>82.197882327420359</v>
      </c>
      <c r="BK52" s="244">
        <f t="shared" si="183"/>
        <v>76.306853247176832</v>
      </c>
      <c r="BL52" s="20"/>
      <c r="BM52" s="242">
        <f>SUM(D52:G52)</f>
        <v>333.97799999999984</v>
      </c>
      <c r="BN52" s="242">
        <f>SUM(H52:K52)</f>
        <v>-147.48699999999991</v>
      </c>
      <c r="BO52" s="242">
        <f>SUM(L52:O52)</f>
        <v>231.1159999999999</v>
      </c>
      <c r="BP52" s="242">
        <f>SUM(P52:S52)</f>
        <v>198.99200000000008</v>
      </c>
      <c r="BQ52" s="242">
        <f>SUM(T52:W52)</f>
        <v>-34.529999999999831</v>
      </c>
      <c r="BR52" s="242">
        <f>SUM(X52:AA52)</f>
        <v>190.90200000000007</v>
      </c>
      <c r="BS52" s="242">
        <f>SUM(AB52:AE52)</f>
        <v>-433.53699999999958</v>
      </c>
      <c r="BT52" s="242">
        <f>SUM(AF52:AI52)</f>
        <v>-165.26399999999992</v>
      </c>
      <c r="BU52" s="242">
        <f>SUM(AJ52:AM52)</f>
        <v>350.11899999999946</v>
      </c>
      <c r="BV52" s="242">
        <f>SUM(AN52:AQ52)</f>
        <v>-81.105000000000132</v>
      </c>
      <c r="BW52" s="242">
        <f>SUM(AR52:AU52)</f>
        <v>-388.75600000000014</v>
      </c>
      <c r="BX52" s="242">
        <f>SUM(AV52:AY52)</f>
        <v>462.87899999999962</v>
      </c>
      <c r="BY52" s="242">
        <f>SUM(AZ52:BC52)</f>
        <v>570.43599999999969</v>
      </c>
      <c r="BZ52" s="242">
        <f>SUM(BD52:BG52)</f>
        <v>258.19409797070119</v>
      </c>
      <c r="CA52" s="242">
        <f>SUM(BH52:BK52)</f>
        <v>316.88835822715805</v>
      </c>
      <c r="CB52" s="999">
        <f>CB46+CB38+CB30+CB48</f>
        <v>400.48543049155285</v>
      </c>
      <c r="CC52" s="20"/>
      <c r="CD52" s="242">
        <f>SUM(G52:J52)</f>
        <v>-83.859000000000208</v>
      </c>
      <c r="CE52" s="242">
        <f>SUM(K52:N52)</f>
        <v>-139.65</v>
      </c>
      <c r="CF52" s="242">
        <f>SUM(O52:R52)</f>
        <v>607.38400000000001</v>
      </c>
      <c r="CG52" s="242">
        <f>SUM(S52:V52)</f>
        <v>29.782000000000181</v>
      </c>
      <c r="CH52" s="242">
        <f>SUM(W52:Z52)</f>
        <v>63.486000000000161</v>
      </c>
      <c r="CI52" s="242">
        <f>SUM(AA52:AD52)</f>
        <v>-439.72499999999985</v>
      </c>
      <c r="CJ52" s="242">
        <f>SUM(AE52:AH52)</f>
        <v>-38.187999999999604</v>
      </c>
      <c r="CK52" s="242">
        <f>SUM(AI52:AL52)</f>
        <v>8.7419999999995639</v>
      </c>
      <c r="CL52" s="242">
        <f>SUM(AM52:AP52)</f>
        <v>799.14399999999944</v>
      </c>
      <c r="CM52" s="242">
        <f>SUM(AQ52:AT52)</f>
        <v>-532.7589999999999</v>
      </c>
      <c r="CN52" s="242">
        <f>SUM(AU52:AX52)</f>
        <v>-58.718000000000615</v>
      </c>
      <c r="CO52" s="242">
        <f>SUM(AY52:BB52)</f>
        <v>71.915000000000077</v>
      </c>
      <c r="CP52" s="242">
        <f>SUM(BC52:BF52)</f>
        <v>827.23020870564983</v>
      </c>
      <c r="CQ52" s="244">
        <f>SUM(BG52:BJ52)</f>
        <v>297.21539424503248</v>
      </c>
      <c r="CR52" s="770"/>
      <c r="CS52" s="889"/>
    </row>
    <row r="53" spans="1:97" ht="14.25" customHeight="1">
      <c r="A53" s="8"/>
      <c r="B53" s="248" t="str">
        <f t="shared" si="167"/>
        <v>Cash and cash equivalents, end of period</v>
      </c>
      <c r="C53" s="249"/>
      <c r="D53" s="251">
        <f>D52+D50+D51</f>
        <v>497.14699999999999</v>
      </c>
      <c r="E53" s="250">
        <f>E52+E50+E51</f>
        <v>567.02600000000007</v>
      </c>
      <c r="F53" s="250">
        <f>F52+F50+F51</f>
        <v>623.90700000000015</v>
      </c>
      <c r="G53" s="250">
        <f>G52+G50+G51</f>
        <v>783.36599999999999</v>
      </c>
      <c r="H53" s="251">
        <f t="shared" ref="H53:X53" si="184">H52+H50+H51</f>
        <v>829.23799999999994</v>
      </c>
      <c r="I53" s="250">
        <f t="shared" si="184"/>
        <v>903.58400000000006</v>
      </c>
      <c r="J53" s="250">
        <f t="shared" si="184"/>
        <v>540.048</v>
      </c>
      <c r="K53" s="250">
        <f t="shared" si="184"/>
        <v>635.87900000000002</v>
      </c>
      <c r="L53" s="251">
        <f t="shared" si="184"/>
        <v>627.96399999999983</v>
      </c>
      <c r="M53" s="250">
        <f t="shared" si="184"/>
        <v>368.30199999999979</v>
      </c>
      <c r="N53" s="250">
        <f t="shared" si="184"/>
        <v>400.39799999999991</v>
      </c>
      <c r="O53" s="250">
        <f t="shared" si="184"/>
        <v>866.99499999999989</v>
      </c>
      <c r="P53" s="251">
        <f t="shared" si="184"/>
        <v>769.47599999999989</v>
      </c>
      <c r="Q53" s="250">
        <f t="shared" si="184"/>
        <v>701.40599999999984</v>
      </c>
      <c r="R53" s="250">
        <f t="shared" si="184"/>
        <v>1007.7819999999999</v>
      </c>
      <c r="S53" s="250">
        <f t="shared" si="184"/>
        <v>1065.9869999999999</v>
      </c>
      <c r="T53" s="251">
        <f t="shared" si="184"/>
        <v>836.38099999999986</v>
      </c>
      <c r="U53" s="250">
        <f t="shared" si="184"/>
        <v>1028.1199999999999</v>
      </c>
      <c r="V53" s="250">
        <f t="shared" si="184"/>
        <v>1037.5640000000001</v>
      </c>
      <c r="W53" s="250">
        <f t="shared" si="184"/>
        <v>1031.4570000000001</v>
      </c>
      <c r="X53" s="251">
        <f t="shared" si="184"/>
        <v>912.44500000000005</v>
      </c>
      <c r="Y53" s="250">
        <f t="shared" ref="Y53:AM53" si="185">Y52+Y50+Y51</f>
        <v>774.50500000000022</v>
      </c>
      <c r="Z53" s="250">
        <f t="shared" si="185"/>
        <v>1101.0500000000004</v>
      </c>
      <c r="AA53" s="252">
        <f t="shared" si="185"/>
        <v>1222.3590000000004</v>
      </c>
      <c r="AB53" s="378">
        <f t="shared" si="185"/>
        <v>961.23700000000019</v>
      </c>
      <c r="AC53" s="250">
        <f t="shared" si="185"/>
        <v>602.95200000000045</v>
      </c>
      <c r="AD53" s="250">
        <f t="shared" si="185"/>
        <v>661.32500000000061</v>
      </c>
      <c r="AE53" s="252">
        <f t="shared" si="185"/>
        <v>788.8220000000008</v>
      </c>
      <c r="AF53" s="378">
        <f t="shared" si="185"/>
        <v>526.18900000000065</v>
      </c>
      <c r="AG53" s="250">
        <f t="shared" si="185"/>
        <v>595.11900000000082</v>
      </c>
      <c r="AH53" s="250">
        <f t="shared" si="185"/>
        <v>623.13700000000108</v>
      </c>
      <c r="AI53" s="252">
        <f t="shared" si="185"/>
        <v>623.5580000000009</v>
      </c>
      <c r="AJ53" s="250">
        <f t="shared" si="185"/>
        <v>509.41400000000101</v>
      </c>
      <c r="AK53" s="250">
        <f t="shared" si="185"/>
        <v>570.49400000000105</v>
      </c>
      <c r="AL53" s="250">
        <f>AL52+AL50+AL51</f>
        <v>631.87900000000059</v>
      </c>
      <c r="AM53" s="252">
        <f t="shared" si="185"/>
        <v>973.67700000000036</v>
      </c>
      <c r="AN53" s="250">
        <f t="shared" ref="AN53:AS53" si="186">AN52+AN50+AN51</f>
        <v>625.03200000000038</v>
      </c>
      <c r="AO53" s="250">
        <f t="shared" si="186"/>
        <v>714.69900000000041</v>
      </c>
      <c r="AP53" s="250">
        <f t="shared" si="186"/>
        <v>1431.0230000000001</v>
      </c>
      <c r="AQ53" s="252">
        <f t="shared" si="186"/>
        <v>892.57200000000034</v>
      </c>
      <c r="AR53" s="250">
        <f t="shared" si="186"/>
        <v>666.33800000000042</v>
      </c>
      <c r="AS53" s="250">
        <f t="shared" si="186"/>
        <v>760.61100000000056</v>
      </c>
      <c r="AT53" s="250">
        <f t="shared" ref="AT53:AY53" si="187">AT52+AT50+AT51</f>
        <v>898.26400000000024</v>
      </c>
      <c r="AU53" s="252">
        <f t="shared" si="187"/>
        <v>503.8160000000002</v>
      </c>
      <c r="AV53" s="250">
        <f t="shared" si="187"/>
        <v>582.36200000000008</v>
      </c>
      <c r="AW53" s="250">
        <f t="shared" si="187"/>
        <v>690.49</v>
      </c>
      <c r="AX53" s="250">
        <f t="shared" si="187"/>
        <v>839.54599999999971</v>
      </c>
      <c r="AY53" s="250">
        <f t="shared" si="187"/>
        <v>966.69499999999994</v>
      </c>
      <c r="AZ53" s="251">
        <f t="shared" ref="AZ53:BK53" si="188">AZ52+AZ50+AZ51</f>
        <v>1059.3549999999998</v>
      </c>
      <c r="BA53" s="250">
        <f t="shared" si="188"/>
        <v>1070.193</v>
      </c>
      <c r="BB53" s="250">
        <f t="shared" si="188"/>
        <v>911.46100000000001</v>
      </c>
      <c r="BC53" s="252">
        <f t="shared" si="188"/>
        <v>817.45499999999947</v>
      </c>
      <c r="BD53" s="250">
        <f t="shared" si="188"/>
        <v>847.02046645395944</v>
      </c>
      <c r="BE53" s="250">
        <f t="shared" si="188"/>
        <v>945.21373833697646</v>
      </c>
      <c r="BF53" s="250">
        <f t="shared" si="188"/>
        <v>1019.0152087056495</v>
      </c>
      <c r="BG53" s="252">
        <f t="shared" si="188"/>
        <v>1075.6490979707007</v>
      </c>
      <c r="BH53" s="250">
        <f t="shared" si="188"/>
        <v>1157.8985991720622</v>
      </c>
      <c r="BI53" s="250">
        <f t="shared" si="188"/>
        <v>1234.0327206232616</v>
      </c>
      <c r="BJ53" s="250">
        <f t="shared" si="188"/>
        <v>1316.2306029506819</v>
      </c>
      <c r="BK53" s="252">
        <f t="shared" si="188"/>
        <v>1392.5374561978588</v>
      </c>
      <c r="BL53" s="20"/>
      <c r="BM53" s="250">
        <f>BM52+BM50+BM51</f>
        <v>783.36599999999976</v>
      </c>
      <c r="BN53" s="250">
        <f t="shared" ref="BN53:BW53" si="189">BN52+BN50+BN51</f>
        <v>635.87900000000013</v>
      </c>
      <c r="BO53" s="250">
        <f t="shared" si="189"/>
        <v>866.995</v>
      </c>
      <c r="BP53" s="250">
        <f t="shared" si="189"/>
        <v>1065.9870000000001</v>
      </c>
      <c r="BQ53" s="250">
        <f t="shared" si="189"/>
        <v>1031.4570000000003</v>
      </c>
      <c r="BR53" s="250">
        <f t="shared" si="189"/>
        <v>1222.3590000000004</v>
      </c>
      <c r="BS53" s="250">
        <f t="shared" si="189"/>
        <v>788.8220000000008</v>
      </c>
      <c r="BT53" s="250">
        <f t="shared" si="189"/>
        <v>623.5580000000009</v>
      </c>
      <c r="BU53" s="250">
        <f t="shared" si="189"/>
        <v>973.67700000000036</v>
      </c>
      <c r="BV53" s="250">
        <f t="shared" si="189"/>
        <v>892.57200000000023</v>
      </c>
      <c r="BW53" s="250">
        <f t="shared" si="189"/>
        <v>503.81600000000009</v>
      </c>
      <c r="BX53" s="250">
        <f>BX52+BX50+BX51</f>
        <v>966.69499999999971</v>
      </c>
      <c r="BY53" s="250">
        <f>BY52+BY50+BY51</f>
        <v>817.45499999999902</v>
      </c>
      <c r="BZ53" s="250">
        <f>BZ52+BZ50+BZ51</f>
        <v>1075.6490979707003</v>
      </c>
      <c r="CA53" s="250">
        <f>CA52+CA50+CA51</f>
        <v>1392.5374561978583</v>
      </c>
      <c r="CB53" s="1001">
        <f>CB52+CB50+CB51</f>
        <v>1793.0228866894113</v>
      </c>
      <c r="CC53" s="20"/>
      <c r="CD53" s="250">
        <f t="shared" ref="CD53:CM53" si="190">CD52+CD50+CD51</f>
        <v>540.048</v>
      </c>
      <c r="CE53" s="250">
        <f t="shared" si="190"/>
        <v>400.39800000000002</v>
      </c>
      <c r="CF53" s="250">
        <f t="shared" si="190"/>
        <v>1007.782</v>
      </c>
      <c r="CG53" s="250">
        <f t="shared" si="190"/>
        <v>1037.5640000000003</v>
      </c>
      <c r="CH53" s="250">
        <f t="shared" si="190"/>
        <v>1101.0500000000004</v>
      </c>
      <c r="CI53" s="250">
        <f t="shared" si="190"/>
        <v>661.3250000000005</v>
      </c>
      <c r="CJ53" s="250">
        <f t="shared" si="190"/>
        <v>623.13700000000085</v>
      </c>
      <c r="CK53" s="250">
        <f t="shared" si="190"/>
        <v>631.87900000000036</v>
      </c>
      <c r="CL53" s="250">
        <f t="shared" si="190"/>
        <v>1431.0229999999997</v>
      </c>
      <c r="CM53" s="250">
        <f t="shared" si="190"/>
        <v>898.26399999999978</v>
      </c>
      <c r="CN53" s="250">
        <f>CN52+CN50+CN51</f>
        <v>839.54599999999914</v>
      </c>
      <c r="CO53" s="250">
        <f>CO52+CO50+CO51</f>
        <v>911.46099999999922</v>
      </c>
      <c r="CP53" s="250">
        <f>CP52+CP50+CP51</f>
        <v>1019.0152087056485</v>
      </c>
      <c r="CQ53" s="252">
        <f>CQ52+CQ50+CQ51</f>
        <v>1316.230602950681</v>
      </c>
      <c r="CR53" s="770"/>
      <c r="CS53" s="889"/>
    </row>
    <row r="54" spans="1:97" ht="14.25" customHeight="1">
      <c r="A54" s="8"/>
      <c r="B54" s="253"/>
      <c r="C54" s="253"/>
      <c r="D54" s="242"/>
      <c r="E54" s="242"/>
      <c r="F54" s="242"/>
      <c r="G54" s="242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242"/>
      <c r="X54" s="242"/>
      <c r="Y54" s="242"/>
      <c r="Z54" s="242"/>
      <c r="AA54" s="242"/>
      <c r="AB54" s="242"/>
      <c r="AC54" s="242"/>
      <c r="AD54" s="242"/>
      <c r="AE54" s="242"/>
      <c r="AF54" s="242"/>
      <c r="AG54" s="242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4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14"/>
      <c r="BM54" s="254"/>
      <c r="BN54" s="242"/>
      <c r="BO54" s="242"/>
      <c r="BP54" s="242"/>
      <c r="BQ54" s="242"/>
      <c r="BR54" s="242"/>
      <c r="BS54" s="242"/>
      <c r="BT54" s="242"/>
      <c r="BU54" s="242"/>
      <c r="BV54" s="242"/>
      <c r="BW54" s="242"/>
      <c r="BX54" s="242"/>
      <c r="BY54" s="242"/>
      <c r="BZ54" s="242"/>
      <c r="CA54" s="242"/>
      <c r="CB54" s="1002"/>
      <c r="CC54" s="8"/>
      <c r="CD54" s="254"/>
      <c r="CE54" s="254"/>
      <c r="CF54" s="254"/>
      <c r="CG54" s="254"/>
      <c r="CH54" s="254"/>
      <c r="CI54" s="254"/>
      <c r="CJ54" s="254"/>
      <c r="CK54" s="254"/>
      <c r="CL54" s="254"/>
      <c r="CM54" s="254"/>
      <c r="CN54" s="254"/>
      <c r="CO54" s="254"/>
      <c r="CP54" s="254"/>
      <c r="CQ54" s="254"/>
      <c r="CR54" s="8"/>
      <c r="CS54" s="8"/>
    </row>
    <row r="55" spans="1:97" ht="14.25" customHeight="1">
      <c r="A55" s="8"/>
      <c r="B55" s="74" t="str">
        <f t="shared" si="167"/>
        <v>vs. Balance Sheet</v>
      </c>
      <c r="C55" s="255"/>
      <c r="D55" s="190">
        <f>BS!D11</f>
        <v>497.14699999999999</v>
      </c>
      <c r="E55" s="188">
        <f>BS!E11</f>
        <v>567.02599999999995</v>
      </c>
      <c r="F55" s="188">
        <f>BS!F11</f>
        <v>623.90700000000004</v>
      </c>
      <c r="G55" s="191">
        <f>BS!G11</f>
        <v>783.36599999999999</v>
      </c>
      <c r="H55" s="190">
        <f>BS!H11</f>
        <v>829.23800000000006</v>
      </c>
      <c r="I55" s="188">
        <f>BS!I11</f>
        <v>903.58399999999995</v>
      </c>
      <c r="J55" s="188">
        <f>BS!J11</f>
        <v>540.048</v>
      </c>
      <c r="K55" s="191">
        <f>BS!K11</f>
        <v>635.87900000000002</v>
      </c>
      <c r="L55" s="190">
        <f>BS!L11</f>
        <v>627.96400000000006</v>
      </c>
      <c r="M55" s="188">
        <f>BS!M11</f>
        <v>368.30200000000002</v>
      </c>
      <c r="N55" s="188">
        <f>BS!N11</f>
        <v>400.39800000000002</v>
      </c>
      <c r="O55" s="191">
        <f>BS!O11</f>
        <v>866.995</v>
      </c>
      <c r="P55" s="190">
        <f>BS!P11</f>
        <v>769.476</v>
      </c>
      <c r="Q55" s="188">
        <f>BS!Q11</f>
        <v>701.40599999999995</v>
      </c>
      <c r="R55" s="188">
        <f>BS!R11</f>
        <v>1007.782</v>
      </c>
      <c r="S55" s="191">
        <f>BS!S11</f>
        <v>1065.9870000000001</v>
      </c>
      <c r="T55" s="190">
        <f>BS!T11</f>
        <v>836.38099999999997</v>
      </c>
      <c r="U55" s="188">
        <f>BS!U11</f>
        <v>1028.1199999999999</v>
      </c>
      <c r="V55" s="188">
        <f>BS!V11</f>
        <v>1037.5640000000001</v>
      </c>
      <c r="W55" s="191">
        <f>BS!W11</f>
        <v>1031.4570000000001</v>
      </c>
      <c r="X55" s="190">
        <f>BS!X11</f>
        <v>912.44500000000005</v>
      </c>
      <c r="Y55" s="188">
        <f>BS!Y11</f>
        <v>774.505</v>
      </c>
      <c r="Z55" s="188">
        <f>BS!Z11</f>
        <v>1101.05</v>
      </c>
      <c r="AA55" s="191">
        <f>BS!AA11</f>
        <v>1222.3589999999999</v>
      </c>
      <c r="AB55" s="188">
        <f>BS!AB11</f>
        <v>961.23699999999997</v>
      </c>
      <c r="AC55" s="188">
        <f>BS!AC11</f>
        <v>602.952</v>
      </c>
      <c r="AD55" s="188">
        <f>BS!AD11</f>
        <v>661.32500000000005</v>
      </c>
      <c r="AE55" s="191">
        <f>BS!AE11</f>
        <v>788.822</v>
      </c>
      <c r="AF55" s="188">
        <f>BS!AF11</f>
        <v>526.18899999999996</v>
      </c>
      <c r="AG55" s="188">
        <f>BS!AG11</f>
        <v>595.11900000000003</v>
      </c>
      <c r="AH55" s="188">
        <f>BS!AH11</f>
        <v>623.13699999999994</v>
      </c>
      <c r="AI55" s="191">
        <f>BS!AI11</f>
        <v>623.55799999999999</v>
      </c>
      <c r="AJ55" s="188">
        <f>BS!AJ11</f>
        <v>509.41399999999999</v>
      </c>
      <c r="AK55" s="188">
        <f>BS!AK11</f>
        <v>570.49400000000003</v>
      </c>
      <c r="AL55" s="188">
        <f>BS!AL11</f>
        <v>631.87900000000002</v>
      </c>
      <c r="AM55" s="191">
        <f>BS!AM11</f>
        <v>973.67700000000002</v>
      </c>
      <c r="AN55" s="188">
        <f>BS!AN11</f>
        <v>625.03200000000004</v>
      </c>
      <c r="AO55" s="188">
        <f>BS!AO11</f>
        <v>714.69899999999996</v>
      </c>
      <c r="AP55" s="188">
        <f>BS!AP11</f>
        <v>1431.0229999999999</v>
      </c>
      <c r="AQ55" s="191">
        <f>BS!AQ11</f>
        <v>892.572</v>
      </c>
      <c r="AR55" s="188">
        <f>BS!AR11</f>
        <v>666.33799999999997</v>
      </c>
      <c r="AS55" s="188">
        <f>BS!AS11</f>
        <v>760.61099999999999</v>
      </c>
      <c r="AT55" s="188">
        <f>BS!AT11</f>
        <v>898.26400000000001</v>
      </c>
      <c r="AU55" s="191">
        <f>BS!AU11</f>
        <v>503.81599999999997</v>
      </c>
      <c r="AV55" s="188">
        <f>BS!AV11</f>
        <v>582.36199999999997</v>
      </c>
      <c r="AW55" s="188">
        <f>BS!AW11</f>
        <v>690.49</v>
      </c>
      <c r="AX55" s="188">
        <f>BS!AX11</f>
        <v>839.54600000000005</v>
      </c>
      <c r="AY55" s="191">
        <f>BS!AY11</f>
        <v>966.69500000000005</v>
      </c>
      <c r="AZ55" s="188">
        <f>BS!AZ11</f>
        <v>1059.355</v>
      </c>
      <c r="BA55" s="188">
        <f>BS!BA11</f>
        <v>1070.193</v>
      </c>
      <c r="BB55" s="188">
        <f>BS!BB11</f>
        <v>911.46100000000001</v>
      </c>
      <c r="BC55" s="191">
        <f>BS!BC11</f>
        <v>817.45500000000038</v>
      </c>
      <c r="BD55" s="188">
        <f>BS!BD11</f>
        <v>847.02046645396035</v>
      </c>
      <c r="BE55" s="188">
        <f>BS!BE11</f>
        <v>945.21373833697737</v>
      </c>
      <c r="BF55" s="188">
        <f>BS!BF11</f>
        <v>1019.0152087056504</v>
      </c>
      <c r="BG55" s="191">
        <f>BS!BG11</f>
        <v>1075.6490979707016</v>
      </c>
      <c r="BH55" s="188">
        <f>BS!BH11</f>
        <v>1157.8985991720631</v>
      </c>
      <c r="BI55" s="188">
        <f>BS!BI11</f>
        <v>1234.0327206232625</v>
      </c>
      <c r="BJ55" s="188">
        <f>BS!BJ11</f>
        <v>1316.2306029506829</v>
      </c>
      <c r="BK55" s="191">
        <f>BS!BK11</f>
        <v>1392.5374561978597</v>
      </c>
      <c r="BL55" s="20"/>
      <c r="BM55" s="256">
        <f>BS!BM11</f>
        <v>783.36599999999999</v>
      </c>
      <c r="BN55" s="256">
        <f>BS!BN11</f>
        <v>635.87900000000002</v>
      </c>
      <c r="BO55" s="256">
        <f>BS!BO11</f>
        <v>866.995</v>
      </c>
      <c r="BP55" s="256">
        <f>BS!BP11</f>
        <v>1065.9870000000001</v>
      </c>
      <c r="BQ55" s="256">
        <f>BS!BQ11</f>
        <v>1031.4570000000001</v>
      </c>
      <c r="BR55" s="256">
        <f>BS!BR11</f>
        <v>1222.3589999999999</v>
      </c>
      <c r="BS55" s="256">
        <f>BS!BS11</f>
        <v>788.822</v>
      </c>
      <c r="BT55" s="256">
        <f>BS!BT11</f>
        <v>623.55799999999999</v>
      </c>
      <c r="BU55" s="256">
        <f>BS!BU11</f>
        <v>973.67700000000002</v>
      </c>
      <c r="BV55" s="256">
        <f>BS!BV11</f>
        <v>892.572</v>
      </c>
      <c r="BW55" s="256">
        <f>BS!BW11</f>
        <v>503.81599999999997</v>
      </c>
      <c r="BX55" s="256">
        <f>BS!BX11</f>
        <v>966.69500000000005</v>
      </c>
      <c r="BY55" s="256">
        <f>BS!BY11</f>
        <v>817.45500000000038</v>
      </c>
      <c r="BZ55" s="256">
        <f>BS!BZ11</f>
        <v>1075.6490979707016</v>
      </c>
      <c r="CA55" s="256">
        <f>BS!CA11</f>
        <v>1392.5374561978597</v>
      </c>
      <c r="CB55" s="1003">
        <f>BS!CB11</f>
        <v>1793.0228866894126</v>
      </c>
      <c r="CC55" s="20"/>
      <c r="CD55" s="256">
        <f>BS!CD11</f>
        <v>540.048</v>
      </c>
      <c r="CE55" s="256">
        <f>BS!CE11</f>
        <v>400.39800000000002</v>
      </c>
      <c r="CF55" s="256">
        <f>BS!CF11</f>
        <v>1007.782</v>
      </c>
      <c r="CG55" s="256">
        <f>BS!CG11</f>
        <v>1037.5640000000001</v>
      </c>
      <c r="CH55" s="256">
        <f>BS!CH11</f>
        <v>1101.05</v>
      </c>
      <c r="CI55" s="256">
        <f>BS!CI11</f>
        <v>661.32500000000005</v>
      </c>
      <c r="CJ55" s="256">
        <f>BS!CJ11</f>
        <v>623.13699999999994</v>
      </c>
      <c r="CK55" s="256">
        <f>BS!CK11</f>
        <v>631.87900000000002</v>
      </c>
      <c r="CL55" s="256">
        <f>BS!CL11</f>
        <v>1431.0229999999999</v>
      </c>
      <c r="CM55" s="256">
        <f>BS!CM11</f>
        <v>898.26400000000001</v>
      </c>
      <c r="CN55" s="256">
        <f>BS!CN11</f>
        <v>839.54600000000005</v>
      </c>
      <c r="CO55" s="256">
        <f>BS!CO11</f>
        <v>911.46100000000001</v>
      </c>
      <c r="CP55" s="256">
        <f>BS!CP11</f>
        <v>1019.0152087056504</v>
      </c>
      <c r="CQ55" s="256">
        <f>BS!CQ11</f>
        <v>1316.2306029506829</v>
      </c>
      <c r="CR55" s="22"/>
      <c r="CS55" s="14"/>
    </row>
    <row r="56" spans="1:97" ht="14.25" customHeight="1">
      <c r="A56" s="8"/>
      <c r="B56" s="154" t="str">
        <f t="shared" si="167"/>
        <v>Check</v>
      </c>
      <c r="C56" s="155"/>
      <c r="D56" s="156">
        <f>IF(ROUND(D55,4)=ROUND(D53,4),0,(D55-D53))</f>
        <v>0</v>
      </c>
      <c r="E56" s="156">
        <f>IF(ROUND(E55,4)=ROUND(E53,4),0,(E55-E53))</f>
        <v>0</v>
      </c>
      <c r="F56" s="193">
        <f>IF(ROUND(F55,4)=ROUND(F53,4),0,(F55-F53))</f>
        <v>0</v>
      </c>
      <c r="G56" s="156">
        <f>IF(ROUND(G55,4)=ROUND(G53,4),0,(G55-G53))</f>
        <v>0</v>
      </c>
      <c r="H56" s="156">
        <f t="shared" ref="H56:Z56" si="191">IF(ROUND(H55,4)=ROUND(H53,4),0,(H55-H53))</f>
        <v>0</v>
      </c>
      <c r="I56" s="156">
        <f t="shared" si="191"/>
        <v>0</v>
      </c>
      <c r="J56" s="193">
        <f t="shared" si="191"/>
        <v>0</v>
      </c>
      <c r="K56" s="156">
        <f t="shared" si="191"/>
        <v>0</v>
      </c>
      <c r="L56" s="156">
        <f t="shared" si="191"/>
        <v>0</v>
      </c>
      <c r="M56" s="156">
        <f t="shared" si="191"/>
        <v>0</v>
      </c>
      <c r="N56" s="193">
        <f t="shared" si="191"/>
        <v>0</v>
      </c>
      <c r="O56" s="156">
        <f t="shared" si="191"/>
        <v>0</v>
      </c>
      <c r="P56" s="156">
        <f t="shared" si="191"/>
        <v>0</v>
      </c>
      <c r="Q56" s="156">
        <f t="shared" si="191"/>
        <v>0</v>
      </c>
      <c r="R56" s="193">
        <f t="shared" si="191"/>
        <v>0</v>
      </c>
      <c r="S56" s="156">
        <f t="shared" si="191"/>
        <v>0</v>
      </c>
      <c r="T56" s="156">
        <f t="shared" si="191"/>
        <v>0</v>
      </c>
      <c r="U56" s="156">
        <f t="shared" si="191"/>
        <v>0</v>
      </c>
      <c r="V56" s="193">
        <f t="shared" si="191"/>
        <v>0</v>
      </c>
      <c r="W56" s="156">
        <f t="shared" si="191"/>
        <v>0</v>
      </c>
      <c r="X56" s="156">
        <f t="shared" si="191"/>
        <v>0</v>
      </c>
      <c r="Y56" s="156">
        <f t="shared" si="191"/>
        <v>0</v>
      </c>
      <c r="Z56" s="193">
        <f t="shared" si="191"/>
        <v>0</v>
      </c>
      <c r="AA56" s="156">
        <f>IF(ROUND(AA55,4)=ROUND(AA53,4),0,(AA55-AA53))</f>
        <v>0</v>
      </c>
      <c r="AB56" s="158">
        <f t="shared" ref="AB56:AL56" si="192">IF(ROUND(AB55,4)=ROUND(AB53,4),0,(AB55-AB53))</f>
        <v>0</v>
      </c>
      <c r="AC56" s="156">
        <f t="shared" si="192"/>
        <v>0</v>
      </c>
      <c r="AD56" s="156">
        <f t="shared" si="192"/>
        <v>0</v>
      </c>
      <c r="AE56" s="156">
        <f>IF(ROUND(AE55,4)=ROUND(AE53,4),0,(AE55-AE53))</f>
        <v>0</v>
      </c>
      <c r="AF56" s="158">
        <f t="shared" si="192"/>
        <v>0</v>
      </c>
      <c r="AG56" s="156">
        <f t="shared" si="192"/>
        <v>0</v>
      </c>
      <c r="AH56" s="156">
        <f t="shared" si="192"/>
        <v>0</v>
      </c>
      <c r="AI56" s="156">
        <f>IF(ROUND(AI55,4)=ROUND(AI53,4),0,(AI55-AI53))</f>
        <v>0</v>
      </c>
      <c r="AJ56" s="158">
        <f t="shared" si="192"/>
        <v>0</v>
      </c>
      <c r="AK56" s="156">
        <f t="shared" si="192"/>
        <v>0</v>
      </c>
      <c r="AL56" s="156">
        <f t="shared" si="192"/>
        <v>0</v>
      </c>
      <c r="AM56" s="156">
        <f t="shared" ref="AM56:AR56" si="193">IF(ROUND(AM55,4)=ROUND(AM53,4),0,(AM55-AM53))</f>
        <v>0</v>
      </c>
      <c r="AN56" s="158">
        <f t="shared" si="193"/>
        <v>0</v>
      </c>
      <c r="AO56" s="156">
        <f t="shared" si="193"/>
        <v>0</v>
      </c>
      <c r="AP56" s="156">
        <f t="shared" si="193"/>
        <v>0</v>
      </c>
      <c r="AQ56" s="156">
        <f t="shared" si="193"/>
        <v>0</v>
      </c>
      <c r="AR56" s="158">
        <f t="shared" si="193"/>
        <v>0</v>
      </c>
      <c r="AS56" s="156">
        <f t="shared" ref="AS56:AY56" si="194">IF(ROUND(AS55,4)=ROUND(AS53,4),0,(AS55-AS53))</f>
        <v>0</v>
      </c>
      <c r="AT56" s="156">
        <f t="shared" si="194"/>
        <v>0</v>
      </c>
      <c r="AU56" s="156">
        <f t="shared" si="194"/>
        <v>0</v>
      </c>
      <c r="AV56" s="158">
        <f t="shared" si="194"/>
        <v>0</v>
      </c>
      <c r="AW56" s="156">
        <f t="shared" si="194"/>
        <v>0</v>
      </c>
      <c r="AX56" s="156">
        <f t="shared" si="194"/>
        <v>0</v>
      </c>
      <c r="AY56" s="157">
        <f t="shared" si="194"/>
        <v>0</v>
      </c>
      <c r="AZ56" s="158">
        <f t="shared" ref="AZ56:BK56" si="195">IF(ROUND(AZ55,4)=ROUND(AZ53,4),0,(AZ55-AZ53))</f>
        <v>0</v>
      </c>
      <c r="BA56" s="156">
        <f t="shared" si="195"/>
        <v>0</v>
      </c>
      <c r="BB56" s="156">
        <f t="shared" si="195"/>
        <v>0</v>
      </c>
      <c r="BC56" s="157">
        <f t="shared" si="195"/>
        <v>0</v>
      </c>
      <c r="BD56" s="156">
        <f t="shared" si="195"/>
        <v>0</v>
      </c>
      <c r="BE56" s="156">
        <f t="shared" si="195"/>
        <v>0</v>
      </c>
      <c r="BF56" s="156">
        <f t="shared" si="195"/>
        <v>0</v>
      </c>
      <c r="BG56" s="157">
        <f t="shared" si="195"/>
        <v>0</v>
      </c>
      <c r="BH56" s="156">
        <f t="shared" si="195"/>
        <v>0</v>
      </c>
      <c r="BI56" s="156">
        <f t="shared" si="195"/>
        <v>0</v>
      </c>
      <c r="BJ56" s="156">
        <f t="shared" si="195"/>
        <v>0</v>
      </c>
      <c r="BK56" s="157">
        <f t="shared" si="195"/>
        <v>0</v>
      </c>
      <c r="BL56" s="20"/>
      <c r="BM56" s="257">
        <f>IF(ROUND(BM55,4)=ROUND(BM53,4),0,(BM55-BM53))</f>
        <v>0</v>
      </c>
      <c r="BN56" s="257">
        <f>IF(ROUND(BN55,4)=ROUND(BN53,4),0,(BN55-BN53))</f>
        <v>0</v>
      </c>
      <c r="BO56" s="257">
        <f>IF(ROUND(BO55,4)=ROUND(BO53,4),0,(BO55-BO53))</f>
        <v>0</v>
      </c>
      <c r="BP56" s="257">
        <f>IF(ROUND(BP55,4)=ROUND(BP53,4),0,(BP55-BP53))</f>
        <v>0</v>
      </c>
      <c r="BQ56" s="257">
        <f t="shared" ref="BQ56:BW56" si="196">IF(ROUND(BQ55,4)=ROUND(BQ53,4),0,(BQ55-BQ53))</f>
        <v>0</v>
      </c>
      <c r="BR56" s="257">
        <f t="shared" si="196"/>
        <v>0</v>
      </c>
      <c r="BS56" s="257">
        <f t="shared" si="196"/>
        <v>0</v>
      </c>
      <c r="BT56" s="257">
        <f t="shared" si="196"/>
        <v>0</v>
      </c>
      <c r="BU56" s="257">
        <f t="shared" si="196"/>
        <v>0</v>
      </c>
      <c r="BV56" s="257">
        <f t="shared" si="196"/>
        <v>0</v>
      </c>
      <c r="BW56" s="257">
        <f t="shared" si="196"/>
        <v>0</v>
      </c>
      <c r="BX56" s="257">
        <f>IF(ROUND(BX55,4)=ROUND(BX53,4),0,(BX55-BX53))</f>
        <v>0</v>
      </c>
      <c r="BY56" s="257">
        <f>IF(ROUND(BY55,4)=ROUND(BY53,4),0,(BY55-BY53))</f>
        <v>0</v>
      </c>
      <c r="BZ56" s="257">
        <f>IF(ROUND(BZ55,4)=ROUND(BZ53,4),0,(BZ55-BZ53))</f>
        <v>0</v>
      </c>
      <c r="CA56" s="257">
        <f>IF(ROUND(CA55,4)=ROUND(CA53,4),0,(CA55-CA53))</f>
        <v>0</v>
      </c>
      <c r="CB56" s="1004">
        <f>IF(ROUND(CB55,4)=ROUND(CB53,4),0,(CB55-CB53))</f>
        <v>0</v>
      </c>
      <c r="CC56" s="20"/>
      <c r="CD56" s="257">
        <f t="shared" ref="CD56:CM56" si="197">IF(ROUND(CD55,4)=ROUND(CD53,4),0,(CD55-CD53))</f>
        <v>0</v>
      </c>
      <c r="CE56" s="257">
        <f t="shared" si="197"/>
        <v>0</v>
      </c>
      <c r="CF56" s="257">
        <f t="shared" si="197"/>
        <v>0</v>
      </c>
      <c r="CG56" s="257">
        <f t="shared" si="197"/>
        <v>0</v>
      </c>
      <c r="CH56" s="257">
        <f t="shared" si="197"/>
        <v>0</v>
      </c>
      <c r="CI56" s="257">
        <f t="shared" si="197"/>
        <v>0</v>
      </c>
      <c r="CJ56" s="257">
        <f t="shared" si="197"/>
        <v>0</v>
      </c>
      <c r="CK56" s="257">
        <f t="shared" si="197"/>
        <v>0</v>
      </c>
      <c r="CL56" s="257">
        <f t="shared" si="197"/>
        <v>0</v>
      </c>
      <c r="CM56" s="257">
        <f t="shared" si="197"/>
        <v>0</v>
      </c>
      <c r="CN56" s="257">
        <f>IF(ROUND(CN55,4)=ROUND(CN53,4),0,(CN55-CN53))</f>
        <v>0</v>
      </c>
      <c r="CO56" s="257">
        <f>IF(ROUND(CO55,4)=ROUND(CO53,4),0,(CO55-CO53))</f>
        <v>0</v>
      </c>
      <c r="CP56" s="257">
        <f>IF(ROUND(CP55,4)=ROUND(CP53,4),0,(CP55-CP53))</f>
        <v>0</v>
      </c>
      <c r="CQ56" s="257">
        <f>IF(ROUND(CQ55,4)=ROUND(CQ53,4),0,(CQ55-CQ53))</f>
        <v>0</v>
      </c>
      <c r="CR56" s="22"/>
      <c r="CS56" s="14"/>
    </row>
    <row r="57" spans="1:97" ht="14.25" customHeight="1">
      <c r="A57" s="8"/>
      <c r="B57" s="258"/>
      <c r="C57" s="258"/>
      <c r="D57" s="259"/>
      <c r="E57" s="259"/>
      <c r="F57" s="259"/>
      <c r="G57" s="259"/>
      <c r="H57" s="259"/>
      <c r="I57" s="259"/>
      <c r="J57" s="259"/>
      <c r="K57" s="259"/>
      <c r="L57" s="259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59"/>
      <c r="X57" s="259"/>
      <c r="Y57" s="259"/>
      <c r="Z57" s="259"/>
      <c r="AA57" s="259"/>
      <c r="AB57" s="259"/>
      <c r="AC57" s="259"/>
      <c r="AD57" s="259"/>
      <c r="AE57" s="259"/>
      <c r="AF57" s="259"/>
      <c r="AG57" s="259"/>
      <c r="AH57" s="259"/>
      <c r="AI57" s="259"/>
      <c r="AJ57" s="259"/>
      <c r="AK57" s="259"/>
      <c r="AL57" s="259"/>
      <c r="AM57" s="259"/>
      <c r="AN57" s="259"/>
      <c r="AO57" s="259"/>
      <c r="AP57" s="259"/>
      <c r="AQ57" s="259"/>
      <c r="AR57" s="259"/>
      <c r="AS57" s="259"/>
      <c r="AT57" s="259"/>
      <c r="AU57" s="259"/>
      <c r="AV57" s="259"/>
      <c r="AW57" s="259"/>
      <c r="AX57" s="259"/>
      <c r="AY57" s="259"/>
      <c r="AZ57" s="259"/>
      <c r="BA57" s="259"/>
      <c r="BB57" s="259"/>
      <c r="BC57" s="259"/>
      <c r="BD57" s="259"/>
      <c r="BE57" s="259"/>
      <c r="BF57" s="259"/>
      <c r="BG57" s="259"/>
      <c r="BH57" s="259"/>
      <c r="BI57" s="259"/>
      <c r="BJ57" s="259"/>
      <c r="BK57" s="259"/>
      <c r="BL57" s="14"/>
      <c r="BM57" s="259"/>
      <c r="BN57" s="259"/>
      <c r="BO57" s="259"/>
      <c r="BP57" s="259"/>
      <c r="BQ57" s="259"/>
      <c r="BR57" s="259"/>
      <c r="BS57" s="259"/>
      <c r="BT57" s="259"/>
      <c r="BU57" s="259"/>
      <c r="BV57" s="259"/>
      <c r="BW57" s="259"/>
      <c r="BX57" s="259"/>
      <c r="BY57" s="259"/>
      <c r="BZ57" s="259"/>
      <c r="CA57" s="259"/>
      <c r="CB57" s="1005"/>
      <c r="CC57" s="8"/>
      <c r="CD57" s="259"/>
      <c r="CE57" s="259"/>
      <c r="CF57" s="259"/>
      <c r="CG57" s="259"/>
      <c r="CH57" s="259"/>
      <c r="CI57" s="259"/>
      <c r="CJ57" s="259"/>
      <c r="CK57" s="259"/>
      <c r="CL57" s="259"/>
      <c r="CM57" s="259"/>
      <c r="CN57" s="259"/>
      <c r="CO57" s="259"/>
      <c r="CP57" s="259"/>
      <c r="CQ57" s="259"/>
      <c r="CR57" s="8"/>
      <c r="CS57" s="8"/>
    </row>
    <row r="58" spans="1:97" ht="14.25" customHeight="1">
      <c r="A58" s="8"/>
      <c r="B58" s="71"/>
      <c r="C58" s="71"/>
      <c r="D58" s="260"/>
      <c r="E58" s="260"/>
      <c r="F58" s="260"/>
      <c r="G58" s="260"/>
      <c r="H58" s="260"/>
      <c r="I58" s="260"/>
      <c r="J58" s="260"/>
      <c r="K58" s="260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260"/>
      <c r="AD58" s="260"/>
      <c r="AE58" s="260"/>
      <c r="AF58" s="260"/>
      <c r="AG58" s="260"/>
      <c r="AH58" s="260"/>
      <c r="AI58" s="260"/>
      <c r="AJ58" s="260"/>
      <c r="AK58" s="260"/>
      <c r="AL58" s="260"/>
      <c r="AM58" s="260"/>
      <c r="AN58" s="260"/>
      <c r="AO58" s="260"/>
      <c r="AP58" s="260"/>
      <c r="AQ58" s="260"/>
      <c r="AR58" s="260"/>
      <c r="AS58" s="260"/>
      <c r="AT58" s="260"/>
      <c r="AU58" s="260"/>
      <c r="AV58" s="260"/>
      <c r="AW58" s="260"/>
      <c r="AX58" s="260"/>
      <c r="AY58" s="260"/>
      <c r="AZ58" s="260"/>
      <c r="BA58" s="260"/>
      <c r="BB58" s="260"/>
      <c r="BC58" s="260"/>
      <c r="BD58" s="260"/>
      <c r="BE58" s="260"/>
      <c r="BF58" s="260"/>
      <c r="BG58" s="260"/>
      <c r="BH58" s="260"/>
      <c r="BI58" s="260"/>
      <c r="BJ58" s="260"/>
      <c r="BK58" s="260"/>
      <c r="BL58" s="14"/>
      <c r="BM58" s="260"/>
      <c r="BN58" s="260"/>
      <c r="BO58" s="260"/>
      <c r="BP58" s="260"/>
      <c r="BQ58" s="260"/>
      <c r="BR58" s="260"/>
      <c r="BS58" s="260"/>
      <c r="BT58" s="260"/>
      <c r="BU58" s="260"/>
      <c r="BV58" s="260"/>
      <c r="BW58" s="260"/>
      <c r="BX58" s="260"/>
      <c r="BY58" s="260"/>
      <c r="BZ58" s="260"/>
      <c r="CA58" s="260"/>
      <c r="CB58" s="1006"/>
      <c r="CC58" s="8"/>
      <c r="CD58" s="260"/>
      <c r="CE58" s="260"/>
      <c r="CF58" s="260"/>
      <c r="CG58" s="260"/>
      <c r="CH58" s="260"/>
      <c r="CI58" s="260"/>
      <c r="CJ58" s="260"/>
      <c r="CK58" s="260"/>
      <c r="CL58" s="260"/>
      <c r="CM58" s="260"/>
      <c r="CN58" s="852"/>
      <c r="CO58" s="852"/>
      <c r="CP58" s="852"/>
      <c r="CQ58" s="260"/>
      <c r="CR58" s="8"/>
      <c r="CS58" s="8"/>
    </row>
    <row r="59" spans="1:97" ht="14.25" customHeight="1">
      <c r="A59" s="8"/>
      <c r="B59" s="71"/>
      <c r="C59" s="73"/>
      <c r="D59" s="260"/>
      <c r="E59" s="260"/>
      <c r="F59" s="260"/>
      <c r="G59" s="260"/>
      <c r="H59" s="260"/>
      <c r="I59" s="260"/>
      <c r="J59" s="260"/>
      <c r="K59" s="260"/>
      <c r="L59" s="260"/>
      <c r="M59" s="260"/>
      <c r="N59" s="260"/>
      <c r="O59" s="260"/>
      <c r="P59" s="260"/>
      <c r="Q59" s="260"/>
      <c r="R59" s="260"/>
      <c r="S59" s="260"/>
      <c r="T59" s="260"/>
      <c r="U59" s="260"/>
      <c r="V59" s="260"/>
      <c r="W59" s="260"/>
      <c r="X59" s="260"/>
      <c r="Y59" s="260"/>
      <c r="Z59" s="260"/>
      <c r="AA59" s="260"/>
      <c r="AB59" s="260"/>
      <c r="AC59" s="260"/>
      <c r="AD59" s="260"/>
      <c r="AE59" s="260"/>
      <c r="AF59" s="260"/>
      <c r="AG59" s="260"/>
      <c r="AH59" s="260"/>
      <c r="AI59" s="260"/>
      <c r="AJ59" s="260"/>
      <c r="AK59" s="260"/>
      <c r="AL59" s="260"/>
      <c r="AM59" s="260"/>
      <c r="AN59" s="260"/>
      <c r="AO59" s="260"/>
      <c r="AP59" s="260"/>
      <c r="AQ59" s="260"/>
      <c r="AR59" s="260"/>
      <c r="AS59" s="260"/>
      <c r="AT59" s="260"/>
      <c r="AU59" s="260"/>
      <c r="AV59" s="260"/>
      <c r="AW59" s="260"/>
      <c r="AX59" s="260"/>
      <c r="AY59" s="260"/>
      <c r="AZ59" s="260"/>
      <c r="BA59" s="260"/>
      <c r="BB59" s="260"/>
      <c r="BC59" s="260"/>
      <c r="BD59" s="260"/>
      <c r="BE59" s="260"/>
      <c r="BF59" s="260"/>
      <c r="BG59" s="260"/>
      <c r="BH59" s="260"/>
      <c r="BI59" s="260"/>
      <c r="BJ59" s="260"/>
      <c r="BK59" s="260"/>
      <c r="BL59" s="14"/>
      <c r="BM59" s="260"/>
      <c r="BN59" s="260"/>
      <c r="BO59" s="260"/>
      <c r="BP59" s="260"/>
      <c r="BQ59" s="260"/>
      <c r="BR59" s="260"/>
      <c r="BS59" s="260"/>
      <c r="BT59" s="260"/>
      <c r="BU59" s="260"/>
      <c r="BV59" s="260"/>
      <c r="BW59" s="260"/>
      <c r="BX59" s="260"/>
      <c r="BY59" s="260"/>
      <c r="BZ59" s="260"/>
      <c r="CA59" s="260"/>
      <c r="CB59" s="1006"/>
      <c r="CC59" s="8"/>
      <c r="CD59" s="260"/>
      <c r="CE59" s="260"/>
      <c r="CF59" s="260"/>
      <c r="CG59" s="260"/>
      <c r="CH59" s="260"/>
      <c r="CI59" s="260"/>
      <c r="CJ59" s="260"/>
      <c r="CK59" s="260"/>
      <c r="CL59" s="260"/>
      <c r="CM59" s="260"/>
      <c r="CN59" s="852"/>
      <c r="CO59" s="852"/>
      <c r="CP59" s="852"/>
      <c r="CQ59" s="260"/>
      <c r="CR59" s="8"/>
      <c r="CS59" s="8"/>
    </row>
    <row r="60" spans="1:97" ht="14.25" customHeight="1">
      <c r="A60" s="8"/>
      <c r="B60" s="164" t="s">
        <v>160</v>
      </c>
      <c r="C60" s="165"/>
      <c r="D60" s="262" t="str">
        <f>D9</f>
        <v>F1Q06A</v>
      </c>
      <c r="E60" s="262" t="str">
        <f>E9</f>
        <v>F2Q06A</v>
      </c>
      <c r="F60" s="262" t="str">
        <f>F9</f>
        <v>F3Q06A</v>
      </c>
      <c r="G60" s="263" t="str">
        <f>G9</f>
        <v>F4Q06A</v>
      </c>
      <c r="H60" s="262" t="str">
        <f t="shared" ref="H60:W60" si="198">H9</f>
        <v>F1Q07A</v>
      </c>
      <c r="I60" s="262" t="str">
        <f t="shared" si="198"/>
        <v>F2Q07A</v>
      </c>
      <c r="J60" s="262" t="str">
        <f t="shared" si="198"/>
        <v>F3Q07A</v>
      </c>
      <c r="K60" s="263" t="str">
        <f t="shared" si="198"/>
        <v>F4Q07A</v>
      </c>
      <c r="L60" s="262" t="str">
        <f t="shared" si="198"/>
        <v>F1Q08A</v>
      </c>
      <c r="M60" s="262" t="str">
        <f t="shared" si="198"/>
        <v>F2Q08A</v>
      </c>
      <c r="N60" s="262" t="str">
        <f t="shared" si="198"/>
        <v>F3Q08A</v>
      </c>
      <c r="O60" s="263" t="str">
        <f t="shared" si="198"/>
        <v>F4Q08A</v>
      </c>
      <c r="P60" s="262" t="str">
        <f t="shared" si="198"/>
        <v>F1Q09A</v>
      </c>
      <c r="Q60" s="262" t="str">
        <f t="shared" si="198"/>
        <v>F2Q09A</v>
      </c>
      <c r="R60" s="262" t="str">
        <f t="shared" si="198"/>
        <v>F3Q09A</v>
      </c>
      <c r="S60" s="263" t="str">
        <f t="shared" si="198"/>
        <v>F4Q09A</v>
      </c>
      <c r="T60" s="262" t="str">
        <f t="shared" si="198"/>
        <v>F1Q10A</v>
      </c>
      <c r="U60" s="262" t="str">
        <f t="shared" si="198"/>
        <v>F2Q10A</v>
      </c>
      <c r="V60" s="262" t="str">
        <f t="shared" si="198"/>
        <v>F3Q10A</v>
      </c>
      <c r="W60" s="263" t="str">
        <f t="shared" si="198"/>
        <v>F4Q10A</v>
      </c>
      <c r="X60" s="262" t="str">
        <f t="shared" ref="X60:AQ60" si="199">X9</f>
        <v>F1Q11A</v>
      </c>
      <c r="Y60" s="262" t="str">
        <f t="shared" si="199"/>
        <v>F2Q11A</v>
      </c>
      <c r="Z60" s="262" t="str">
        <f t="shared" si="199"/>
        <v>F3Q11A</v>
      </c>
      <c r="AA60" s="263" t="str">
        <f t="shared" si="199"/>
        <v>F4Q11A</v>
      </c>
      <c r="AB60" s="262" t="str">
        <f t="shared" si="199"/>
        <v>F1Q12A</v>
      </c>
      <c r="AC60" s="262" t="str">
        <f t="shared" si="199"/>
        <v>F2Q12A</v>
      </c>
      <c r="AD60" s="262" t="str">
        <f t="shared" si="199"/>
        <v>F3Q12A</v>
      </c>
      <c r="AE60" s="263" t="str">
        <f t="shared" si="199"/>
        <v>F4Q12A</v>
      </c>
      <c r="AF60" s="262" t="str">
        <f>AF9</f>
        <v>F1Q13A</v>
      </c>
      <c r="AG60" s="262" t="str">
        <f>AG9</f>
        <v>F2Q13A</v>
      </c>
      <c r="AH60" s="262" t="str">
        <f>AH9</f>
        <v>F3Q13A</v>
      </c>
      <c r="AI60" s="263" t="str">
        <f t="shared" si="199"/>
        <v>F4Q13A</v>
      </c>
      <c r="AJ60" s="262" t="str">
        <f t="shared" si="199"/>
        <v>F1Q14A</v>
      </c>
      <c r="AK60" s="262" t="str">
        <f t="shared" si="199"/>
        <v>F2Q14A</v>
      </c>
      <c r="AL60" s="262" t="str">
        <f t="shared" si="199"/>
        <v>F3Q14A</v>
      </c>
      <c r="AM60" s="263" t="str">
        <f>AM9</f>
        <v>F4Q14A</v>
      </c>
      <c r="AN60" s="262" t="str">
        <f t="shared" si="199"/>
        <v>F1Q15A</v>
      </c>
      <c r="AO60" s="262" t="str">
        <f t="shared" si="199"/>
        <v>F2Q15A</v>
      </c>
      <c r="AP60" s="262" t="str">
        <f t="shared" si="199"/>
        <v>F3Q15A</v>
      </c>
      <c r="AQ60" s="263" t="str">
        <f t="shared" si="199"/>
        <v>F4Q15A</v>
      </c>
      <c r="AR60" s="292" t="str">
        <f t="shared" ref="AR60:AY60" si="200">AR9</f>
        <v>F1Q16A</v>
      </c>
      <c r="AS60" s="262" t="str">
        <f t="shared" si="200"/>
        <v>F2Q16A</v>
      </c>
      <c r="AT60" s="262" t="str">
        <f t="shared" si="200"/>
        <v>F3Q16A</v>
      </c>
      <c r="AU60" s="263" t="str">
        <f t="shared" si="200"/>
        <v>F4Q16A</v>
      </c>
      <c r="AV60" s="292" t="str">
        <f>AV9</f>
        <v>F1Q17A</v>
      </c>
      <c r="AW60" s="262" t="str">
        <f>AW9</f>
        <v>F2Q17A</v>
      </c>
      <c r="AX60" s="262" t="str">
        <f>AX9</f>
        <v>F3Q17A</v>
      </c>
      <c r="AY60" s="263" t="str">
        <f t="shared" si="200"/>
        <v>F4Q17A</v>
      </c>
      <c r="AZ60" s="292" t="str">
        <f t="shared" ref="AZ60:BG60" si="201">AZ9</f>
        <v>F1Q18A</v>
      </c>
      <c r="BA60" s="262" t="str">
        <f t="shared" si="201"/>
        <v>F2Q18A</v>
      </c>
      <c r="BB60" s="262" t="str">
        <f t="shared" si="201"/>
        <v>F3Q18A</v>
      </c>
      <c r="BC60" s="263" t="str">
        <f t="shared" si="201"/>
        <v>F4Q18A</v>
      </c>
      <c r="BD60" s="262" t="str">
        <f t="shared" si="201"/>
        <v>F1Q19E</v>
      </c>
      <c r="BE60" s="262" t="str">
        <f t="shared" si="201"/>
        <v>F2Q19E</v>
      </c>
      <c r="BF60" s="262" t="str">
        <f t="shared" si="201"/>
        <v>F3Q19E</v>
      </c>
      <c r="BG60" s="263" t="str">
        <f t="shared" si="201"/>
        <v>F4Q19E</v>
      </c>
      <c r="BH60" s="262" t="str">
        <f>BH9</f>
        <v>F1Q20E</v>
      </c>
      <c r="BI60" s="262" t="str">
        <f>BI9</f>
        <v>F2Q20E</v>
      </c>
      <c r="BJ60" s="262" t="str">
        <f>BJ9</f>
        <v>F3Q20E</v>
      </c>
      <c r="BK60" s="263" t="str">
        <f>BK9</f>
        <v>F4Q20E</v>
      </c>
      <c r="BL60" s="20"/>
      <c r="BM60" s="17" t="str">
        <f>BM9</f>
        <v>FY2006A</v>
      </c>
      <c r="BN60" s="18" t="str">
        <f>BN9</f>
        <v>FY2007A</v>
      </c>
      <c r="BO60" s="18" t="str">
        <f>BO9</f>
        <v>FY2008A</v>
      </c>
      <c r="BP60" s="18" t="str">
        <f>BP9</f>
        <v>FY2009A</v>
      </c>
      <c r="BQ60" s="18" t="str">
        <f t="shared" ref="BQ60:BV60" si="202">BQ9</f>
        <v>FY2010A</v>
      </c>
      <c r="BR60" s="18" t="str">
        <f t="shared" si="202"/>
        <v>FY2011A</v>
      </c>
      <c r="BS60" s="18" t="str">
        <f t="shared" si="202"/>
        <v>FY2012A</v>
      </c>
      <c r="BT60" s="18" t="str">
        <f t="shared" si="202"/>
        <v>FY2013A</v>
      </c>
      <c r="BU60" s="18" t="str">
        <f t="shared" si="202"/>
        <v>FY2014</v>
      </c>
      <c r="BV60" s="18" t="str">
        <f t="shared" si="202"/>
        <v>FY2015</v>
      </c>
      <c r="BW60" s="18" t="str">
        <f t="shared" ref="BW60:CB60" si="203">BW9</f>
        <v>FY2016</v>
      </c>
      <c r="BX60" s="18" t="str">
        <f t="shared" si="203"/>
        <v>FY2017</v>
      </c>
      <c r="BY60" s="18" t="str">
        <f t="shared" si="203"/>
        <v>FY2018A</v>
      </c>
      <c r="BZ60" s="18" t="str">
        <f t="shared" si="203"/>
        <v>FY2019E</v>
      </c>
      <c r="CA60" s="18" t="str">
        <f t="shared" si="203"/>
        <v>FY2020E</v>
      </c>
      <c r="CB60" s="19" t="str">
        <f t="shared" si="203"/>
        <v>FY2021E</v>
      </c>
      <c r="CC60" s="20"/>
      <c r="CD60" s="18" t="str">
        <f>CD7</f>
        <v>CY2006</v>
      </c>
      <c r="CE60" s="18" t="str">
        <f t="shared" ref="CE60:CL60" si="204">CE7</f>
        <v>CY2007</v>
      </c>
      <c r="CF60" s="18" t="str">
        <f t="shared" si="204"/>
        <v>CY2008</v>
      </c>
      <c r="CG60" s="18" t="str">
        <f t="shared" si="204"/>
        <v>CY2009</v>
      </c>
      <c r="CH60" s="18" t="str">
        <f t="shared" si="204"/>
        <v>CY2010</v>
      </c>
      <c r="CI60" s="18" t="str">
        <f t="shared" si="204"/>
        <v>CY2011</v>
      </c>
      <c r="CJ60" s="18" t="str">
        <f t="shared" si="204"/>
        <v>CY2012</v>
      </c>
      <c r="CK60" s="18" t="str">
        <f t="shared" si="204"/>
        <v>CY2013</v>
      </c>
      <c r="CL60" s="18" t="str">
        <f t="shared" si="204"/>
        <v>CY2014</v>
      </c>
      <c r="CM60" s="18" t="str">
        <f>CM7</f>
        <v>CY2015</v>
      </c>
      <c r="CN60" s="18" t="str">
        <f>CN7</f>
        <v>CY2016</v>
      </c>
      <c r="CO60" s="18" t="str">
        <f>CO7</f>
        <v>CY2017</v>
      </c>
      <c r="CP60" s="18" t="str">
        <f>CP7</f>
        <v>CY2018</v>
      </c>
      <c r="CQ60" s="18" t="str">
        <f>CQ7</f>
        <v>CY2019</v>
      </c>
      <c r="CR60" s="22"/>
      <c r="CS60" s="14"/>
    </row>
    <row r="61" spans="1:97" ht="14.25" customHeight="1">
      <c r="A61" s="8"/>
      <c r="B61" s="23" t="s">
        <v>161</v>
      </c>
      <c r="C61" s="75"/>
      <c r="D61" s="264">
        <f>-D33</f>
        <v>15.006</v>
      </c>
      <c r="E61" s="264">
        <f>-E33</f>
        <v>15.722999999999999</v>
      </c>
      <c r="F61" s="264">
        <f>-F33</f>
        <v>13.826999999999998</v>
      </c>
      <c r="G61" s="265">
        <f>-G33</f>
        <v>22.484000000000009</v>
      </c>
      <c r="H61" s="264">
        <f t="shared" ref="H61:W61" si="205">-H33</f>
        <v>12.958</v>
      </c>
      <c r="I61" s="264">
        <f t="shared" si="205"/>
        <v>14.031000000000001</v>
      </c>
      <c r="J61" s="264">
        <f t="shared" si="205"/>
        <v>20.605000000000004</v>
      </c>
      <c r="K61" s="265">
        <f t="shared" si="205"/>
        <v>63.182999999999993</v>
      </c>
      <c r="L61" s="264">
        <f t="shared" si="205"/>
        <v>15.599</v>
      </c>
      <c r="M61" s="264">
        <f t="shared" si="205"/>
        <v>13.018999999999998</v>
      </c>
      <c r="N61" s="264">
        <f t="shared" si="205"/>
        <v>10.736999999999998</v>
      </c>
      <c r="O61" s="265">
        <f t="shared" si="205"/>
        <v>6.2380000000000102</v>
      </c>
      <c r="P61" s="264">
        <f t="shared" si="205"/>
        <v>9.8729999999999993</v>
      </c>
      <c r="Q61" s="264">
        <f t="shared" si="205"/>
        <v>11.776999999999999</v>
      </c>
      <c r="R61" s="264">
        <f t="shared" si="205"/>
        <v>11.060999999999998</v>
      </c>
      <c r="S61" s="265">
        <f t="shared" si="205"/>
        <v>6.3980000000000015</v>
      </c>
      <c r="T61" s="264">
        <f t="shared" si="205"/>
        <v>4.7140000000000004</v>
      </c>
      <c r="U61" s="264">
        <f t="shared" si="205"/>
        <v>4.1329999999999991</v>
      </c>
      <c r="V61" s="264">
        <f t="shared" si="205"/>
        <v>8.6929999999999996</v>
      </c>
      <c r="W61" s="265">
        <f t="shared" si="205"/>
        <v>10.612000000000004</v>
      </c>
      <c r="X61" s="264">
        <f t="shared" ref="X61:AD61" si="206">-X33</f>
        <v>18.266999999999999</v>
      </c>
      <c r="Y61" s="264">
        <f t="shared" si="206"/>
        <v>15.177000000000003</v>
      </c>
      <c r="Z61" s="264">
        <f t="shared" si="206"/>
        <v>14.879999999999992</v>
      </c>
      <c r="AA61" s="265">
        <f t="shared" si="206"/>
        <v>16.654999999999998</v>
      </c>
      <c r="AB61" s="266">
        <f t="shared" si="206"/>
        <v>13.789</v>
      </c>
      <c r="AC61" s="266">
        <f t="shared" si="206"/>
        <v>17.628</v>
      </c>
      <c r="AD61" s="266">
        <f t="shared" si="206"/>
        <v>18.984000000000002</v>
      </c>
      <c r="AE61" s="265">
        <f>IS!AE10*AE63</f>
        <v>16.769189999999998</v>
      </c>
      <c r="AF61" s="266">
        <f>-AF33</f>
        <v>8.3420000000000005</v>
      </c>
      <c r="AG61" s="266">
        <f>-AG33</f>
        <v>7.6359999999999992</v>
      </c>
      <c r="AH61" s="266">
        <f>-AH33</f>
        <v>8.0750000000000011</v>
      </c>
      <c r="AI61" s="265">
        <f>IS!AI10*AI63</f>
        <v>15.96504</v>
      </c>
      <c r="AJ61" s="266">
        <f t="shared" ref="AJ61:AO61" si="207">-AJ33</f>
        <v>11.301</v>
      </c>
      <c r="AK61" s="266">
        <f t="shared" si="207"/>
        <v>8.4410000000000007</v>
      </c>
      <c r="AL61" s="266">
        <f t="shared" si="207"/>
        <v>10.974999999999998</v>
      </c>
      <c r="AM61" s="265">
        <f t="shared" si="207"/>
        <v>14.147999999999998</v>
      </c>
      <c r="AN61" s="266">
        <f t="shared" si="207"/>
        <v>9.1159999999999997</v>
      </c>
      <c r="AO61" s="266">
        <f t="shared" si="207"/>
        <v>8.4269999999999996</v>
      </c>
      <c r="AP61" s="266">
        <f t="shared" ref="AP61:AU61" si="208">-AP33</f>
        <v>6.1389999999999993</v>
      </c>
      <c r="AQ61" s="265">
        <f t="shared" si="208"/>
        <v>5.9370000000000012</v>
      </c>
      <c r="AR61" s="687">
        <f t="shared" si="208"/>
        <v>7.6890000000000001</v>
      </c>
      <c r="AS61" s="266">
        <f t="shared" si="208"/>
        <v>5.3620000000000001</v>
      </c>
      <c r="AT61" s="266">
        <f t="shared" si="208"/>
        <v>6.1180000000000003</v>
      </c>
      <c r="AU61" s="265">
        <f t="shared" si="208"/>
        <v>14.834999999999994</v>
      </c>
      <c r="AV61" s="687">
        <f>-AV33</f>
        <v>20.637</v>
      </c>
      <c r="AW61" s="266">
        <f>-AW33</f>
        <v>11.312999999999999</v>
      </c>
      <c r="AX61" s="266">
        <f>-AX33</f>
        <v>19.875000000000004</v>
      </c>
      <c r="AY61" s="267">
        <f>-AY33</f>
        <v>20.225999999999999</v>
      </c>
      <c r="AZ61" s="687">
        <v>9.9260000000000002</v>
      </c>
      <c r="BA61" s="266">
        <f>IS!BA10*BA63</f>
        <v>7.7437875000000007</v>
      </c>
      <c r="BB61" s="266">
        <f>IS!BB10*BB63</f>
        <v>7.8899125000000003</v>
      </c>
      <c r="BC61" s="267">
        <f>IS!BC10*BC63</f>
        <v>10.092929999999999</v>
      </c>
      <c r="BD61" s="266">
        <f>IS!BD10*BD63</f>
        <v>10.132292426999998</v>
      </c>
      <c r="BE61" s="266">
        <f>IS!BE10*BE63</f>
        <v>10.189766616885001</v>
      </c>
      <c r="BF61" s="266">
        <f>IS!BF10*BF63</f>
        <v>10.169334186605097</v>
      </c>
      <c r="BG61" s="267">
        <f>IS!BG10*BG63</f>
        <v>10.420139272204601</v>
      </c>
      <c r="BH61" s="266">
        <f>IS!BH10*BH63</f>
        <v>10.768306124128591</v>
      </c>
      <c r="BI61" s="266">
        <f>IS!BI10*BI63</f>
        <v>10.861704737314154</v>
      </c>
      <c r="BJ61" s="266">
        <f>IS!BJ10*BJ63</f>
        <v>10.772075768943459</v>
      </c>
      <c r="BK61" s="267">
        <f>IS!BK10*BK63</f>
        <v>10.959452015639727</v>
      </c>
      <c r="BL61" s="20"/>
      <c r="BM61" s="268">
        <f>-BM33</f>
        <v>67.040000000000006</v>
      </c>
      <c r="BN61" s="282">
        <f>-BN33</f>
        <v>110.777</v>
      </c>
      <c r="BO61" s="282">
        <f>-BO33</f>
        <v>45.593000000000004</v>
      </c>
      <c r="BP61" s="282">
        <f>-BP33</f>
        <v>39.109000000000002</v>
      </c>
      <c r="BQ61" s="282">
        <f t="shared" ref="BQ61:BV61" si="209">-BQ33</f>
        <v>28.152000000000001</v>
      </c>
      <c r="BR61" s="282">
        <f t="shared" si="209"/>
        <v>64.978999999999999</v>
      </c>
      <c r="BS61" s="282">
        <f t="shared" si="209"/>
        <v>70.070999999999998</v>
      </c>
      <c r="BT61" s="282">
        <f t="shared" si="209"/>
        <v>30.265000000000001</v>
      </c>
      <c r="BU61" s="282">
        <f t="shared" si="209"/>
        <v>44.864999999999995</v>
      </c>
      <c r="BV61" s="282">
        <f t="shared" si="209"/>
        <v>29.619</v>
      </c>
      <c r="BW61" s="188">
        <f>-BW33</f>
        <v>34.003999999999991</v>
      </c>
      <c r="BX61" s="188">
        <f>-BX33</f>
        <v>72.051000000000002</v>
      </c>
      <c r="BY61" s="188">
        <f>-BY33</f>
        <v>49.917999999999992</v>
      </c>
      <c r="BZ61" s="188">
        <f>-BZ33</f>
        <v>40.911532502694698</v>
      </c>
      <c r="CA61" s="188">
        <f>-CA33</f>
        <v>43.361538646025934</v>
      </c>
      <c r="CB61" s="980">
        <f>IS!CB10*CB63</f>
        <v>61.014237610133094</v>
      </c>
      <c r="CC61" s="20"/>
      <c r="CD61" s="268">
        <f>SUM(G61:J61)</f>
        <v>70.078000000000003</v>
      </c>
      <c r="CE61" s="268">
        <f>SUM(K61:N61)</f>
        <v>102.53799999999998</v>
      </c>
      <c r="CF61" s="268">
        <f>SUM(O61:R61)</f>
        <v>38.949000000000012</v>
      </c>
      <c r="CG61" s="268">
        <f>SUM(S61:V61)</f>
        <v>23.938000000000002</v>
      </c>
      <c r="CH61" s="268">
        <f>SUM(W61:Z61)</f>
        <v>58.936000000000007</v>
      </c>
      <c r="CI61" s="188">
        <f>SUM(AA61:AD61)</f>
        <v>67.055999999999997</v>
      </c>
      <c r="CJ61" s="282">
        <f>SUM(AE61:AH61)</f>
        <v>40.822190000000006</v>
      </c>
      <c r="CK61" s="282">
        <f>SUM(AI61:AL61)</f>
        <v>46.682040000000001</v>
      </c>
      <c r="CL61" s="282">
        <f>SUM(AM61:AP61)</f>
        <v>37.83</v>
      </c>
      <c r="CM61" s="282">
        <f>SUM(AQ61:AT61)</f>
        <v>25.106000000000002</v>
      </c>
      <c r="CN61" s="282">
        <f>SUM(AU61:AX61)</f>
        <v>66.66</v>
      </c>
      <c r="CO61" s="282">
        <f>SUM(AY61:BB61)</f>
        <v>45.785700000000006</v>
      </c>
      <c r="CP61" s="282">
        <f>SUM(BC61:BF61)</f>
        <v>40.584323230490099</v>
      </c>
      <c r="CQ61" s="188">
        <f>SUM(BG61:BJ61)</f>
        <v>42.822225902590809</v>
      </c>
      <c r="CR61" s="770"/>
      <c r="CS61" s="889"/>
    </row>
    <row r="62" spans="1:97" ht="14.25" customHeight="1">
      <c r="A62" s="8"/>
      <c r="B62" s="23" t="s">
        <v>162</v>
      </c>
      <c r="C62" s="24"/>
      <c r="D62" s="270">
        <v>0</v>
      </c>
      <c r="E62" s="270">
        <v>0</v>
      </c>
      <c r="F62" s="270">
        <v>0</v>
      </c>
      <c r="G62" s="271">
        <v>0</v>
      </c>
      <c r="H62" s="270">
        <v>0</v>
      </c>
      <c r="I62" s="270">
        <v>0</v>
      </c>
      <c r="J62" s="270">
        <v>0</v>
      </c>
      <c r="K62" s="271">
        <v>0</v>
      </c>
      <c r="L62" s="270">
        <v>0</v>
      </c>
      <c r="M62" s="270">
        <v>0</v>
      </c>
      <c r="N62" s="270">
        <v>0</v>
      </c>
      <c r="O62" s="271">
        <v>0</v>
      </c>
      <c r="P62" s="270">
        <v>0</v>
      </c>
      <c r="Q62" s="270">
        <v>0</v>
      </c>
      <c r="R62" s="270">
        <v>0</v>
      </c>
      <c r="S62" s="271">
        <v>0</v>
      </c>
      <c r="T62" s="270">
        <v>0</v>
      </c>
      <c r="U62" s="270">
        <v>0</v>
      </c>
      <c r="V62" s="270">
        <v>0</v>
      </c>
      <c r="W62" s="271">
        <v>0</v>
      </c>
      <c r="X62" s="270">
        <v>0</v>
      </c>
      <c r="Y62" s="270">
        <v>0</v>
      </c>
      <c r="Z62" s="270">
        <v>0</v>
      </c>
      <c r="AA62" s="271">
        <v>0</v>
      </c>
      <c r="AB62" s="272">
        <v>0</v>
      </c>
      <c r="AC62" s="272">
        <v>0</v>
      </c>
      <c r="AD62" s="272">
        <v>0</v>
      </c>
      <c r="AE62" s="271">
        <v>0</v>
      </c>
      <c r="AF62" s="272">
        <v>0</v>
      </c>
      <c r="AG62" s="272">
        <v>0</v>
      </c>
      <c r="AH62" s="272">
        <v>0</v>
      </c>
      <c r="AI62" s="271">
        <v>0</v>
      </c>
      <c r="AJ62" s="272">
        <v>0</v>
      </c>
      <c r="AK62" s="272">
        <v>0</v>
      </c>
      <c r="AL62" s="272">
        <v>0</v>
      </c>
      <c r="AM62" s="271"/>
      <c r="AN62" s="272">
        <v>0</v>
      </c>
      <c r="AO62" s="272">
        <v>0</v>
      </c>
      <c r="AP62" s="272">
        <v>0</v>
      </c>
      <c r="AQ62" s="271">
        <v>0</v>
      </c>
      <c r="AR62" s="819">
        <v>0</v>
      </c>
      <c r="AS62" s="272">
        <v>0</v>
      </c>
      <c r="AT62" s="272">
        <v>0</v>
      </c>
      <c r="AU62" s="271">
        <v>0</v>
      </c>
      <c r="AV62" s="819">
        <v>0</v>
      </c>
      <c r="AW62" s="272">
        <v>0</v>
      </c>
      <c r="AX62" s="272">
        <v>0</v>
      </c>
      <c r="AY62" s="267">
        <v>0</v>
      </c>
      <c r="AZ62" s="819">
        <v>0</v>
      </c>
      <c r="BA62" s="272">
        <v>0</v>
      </c>
      <c r="BB62" s="272">
        <v>0</v>
      </c>
      <c r="BC62" s="924">
        <v>15.190069999999935</v>
      </c>
      <c r="BD62" s="272">
        <v>0</v>
      </c>
      <c r="BE62" s="272">
        <v>0</v>
      </c>
      <c r="BF62" s="272">
        <v>0</v>
      </c>
      <c r="BG62" s="273">
        <v>0</v>
      </c>
      <c r="BH62" s="272">
        <v>0</v>
      </c>
      <c r="BI62" s="272">
        <v>0</v>
      </c>
      <c r="BJ62" s="272">
        <v>0</v>
      </c>
      <c r="BK62" s="273">
        <v>0</v>
      </c>
      <c r="BL62" s="20"/>
      <c r="BM62" s="274">
        <v>0</v>
      </c>
      <c r="BN62" s="274">
        <v>0</v>
      </c>
      <c r="BO62" s="274">
        <v>0</v>
      </c>
      <c r="BP62" s="274">
        <v>0</v>
      </c>
      <c r="BQ62" s="274">
        <v>0</v>
      </c>
      <c r="BR62" s="274">
        <v>0</v>
      </c>
      <c r="BS62" s="274">
        <v>0</v>
      </c>
      <c r="BT62" s="274">
        <v>0</v>
      </c>
      <c r="BU62" s="274">
        <v>0</v>
      </c>
      <c r="BV62" s="274">
        <v>0</v>
      </c>
      <c r="BW62" s="274">
        <v>0</v>
      </c>
      <c r="BX62" s="274">
        <v>0</v>
      </c>
      <c r="BY62" s="274">
        <v>0</v>
      </c>
      <c r="BZ62" s="274">
        <v>0</v>
      </c>
      <c r="CA62" s="274">
        <v>0</v>
      </c>
      <c r="CB62" s="1007">
        <v>0</v>
      </c>
      <c r="CC62" s="20"/>
      <c r="CD62" s="274">
        <v>0</v>
      </c>
      <c r="CE62" s="274">
        <v>0</v>
      </c>
      <c r="CF62" s="274">
        <v>0</v>
      </c>
      <c r="CG62" s="274">
        <v>0</v>
      </c>
      <c r="CH62" s="274">
        <v>0</v>
      </c>
      <c r="CI62" s="274">
        <v>0</v>
      </c>
      <c r="CJ62" s="274">
        <v>0</v>
      </c>
      <c r="CK62" s="274">
        <v>0</v>
      </c>
      <c r="CL62" s="274">
        <v>0</v>
      </c>
      <c r="CM62" s="274">
        <v>0</v>
      </c>
      <c r="CN62" s="274">
        <v>0</v>
      </c>
      <c r="CO62" s="274"/>
      <c r="CP62" s="274"/>
      <c r="CQ62" s="274"/>
      <c r="CR62" s="22"/>
      <c r="CS62" s="14"/>
    </row>
    <row r="63" spans="1:97" ht="14.25" customHeight="1">
      <c r="A63" s="8"/>
      <c r="B63" s="36" t="s">
        <v>163</v>
      </c>
      <c r="C63" s="37"/>
      <c r="D63" s="169">
        <f>D61/IS!D10</f>
        <v>3.7017211054346674E-2</v>
      </c>
      <c r="E63" s="102">
        <f>E61/IS!E10</f>
        <v>3.9413028383496813E-2</v>
      </c>
      <c r="F63" s="102">
        <f>F61/IS!F10</f>
        <v>3.075366154735823E-2</v>
      </c>
      <c r="G63" s="103">
        <f>G61/IS!G10</f>
        <v>4.7601606480119088E-2</v>
      </c>
      <c r="H63" s="169">
        <f>H61/IS!H10</f>
        <v>2.691944939567311E-2</v>
      </c>
      <c r="I63" s="102">
        <f>I61/IS!I10</f>
        <v>3.0033391840404128E-2</v>
      </c>
      <c r="J63" s="102">
        <f>J61/IS!J10</f>
        <v>4.5715236563314665E-2</v>
      </c>
      <c r="K63" s="103">
        <f>K61/IS!K10</f>
        <v>0.1424734819785691</v>
      </c>
      <c r="L63" s="169">
        <f>L61/IS!L10</f>
        <v>3.4982238647984359E-2</v>
      </c>
      <c r="M63" s="102">
        <f>M61/IS!M10</f>
        <v>2.9263150323447829E-2</v>
      </c>
      <c r="N63" s="102">
        <f>N61/IS!N10</f>
        <v>2.2613446333871093E-2</v>
      </c>
      <c r="O63" s="103">
        <f>O61/IS!O10</f>
        <v>1.3111652934252586E-2</v>
      </c>
      <c r="P63" s="169">
        <f>P61/IS!P10</f>
        <v>2.0221363820696944E-2</v>
      </c>
      <c r="Q63" s="102">
        <f>Q61/IS!Q10</f>
        <v>2.435594380574806E-2</v>
      </c>
      <c r="R63" s="102">
        <f>R61/IS!R10</f>
        <v>2.4130265474369906E-2</v>
      </c>
      <c r="S63" s="103">
        <f>S61/IS!S10</f>
        <v>1.6196894287291087E-2</v>
      </c>
      <c r="T63" s="169">
        <f>T61/IS!T10</f>
        <v>1.2529403165574708E-2</v>
      </c>
      <c r="U63" s="102">
        <f>U61/IS!U10</f>
        <v>9.9602361730328944E-3</v>
      </c>
      <c r="V63" s="102">
        <f>V61/IS!V10</f>
        <v>1.6933898770621934E-2</v>
      </c>
      <c r="W63" s="103">
        <f>W61/IS!W10</f>
        <v>2.0059733091376514E-2</v>
      </c>
      <c r="X63" s="169">
        <f>X61/IS!X10</f>
        <v>3.0714416624491162E-2</v>
      </c>
      <c r="Y63" s="102">
        <f>Y61/IS!Y10</f>
        <v>2.449222645747871E-2</v>
      </c>
      <c r="Z63" s="102">
        <f>Z61/IS!Z10</f>
        <v>2.6234595109222641E-2</v>
      </c>
      <c r="AA63" s="103">
        <f>AA61/IS!AA10</f>
        <v>2.8331961105856573E-2</v>
      </c>
      <c r="AB63" s="169">
        <f>AB61/IS!AB10</f>
        <v>2.2404271255948776E-2</v>
      </c>
      <c r="AC63" s="102">
        <f>AC61/IS!AC10</f>
        <v>3.175020577836455E-2</v>
      </c>
      <c r="AD63" s="102">
        <f>AD61/IS!AD10</f>
        <v>3.7144070234067905E-2</v>
      </c>
      <c r="AE63" s="103">
        <v>0.03</v>
      </c>
      <c r="AF63" s="169">
        <f>AF61/IS!AF10</f>
        <v>1.4314051175049419E-2</v>
      </c>
      <c r="AG63" s="102">
        <f>AG61/IS!AG10</f>
        <v>1.4038493711541677E-2</v>
      </c>
      <c r="AH63" s="102">
        <f>AH61/IS!AH10</f>
        <v>1.5840570299764406E-2</v>
      </c>
      <c r="AI63" s="103">
        <v>0.03</v>
      </c>
      <c r="AJ63" s="169">
        <f>AJ61/IS!AJ10</f>
        <v>1.9519651786408267E-2</v>
      </c>
      <c r="AK63" s="102">
        <f>AK61/IS!AK10</f>
        <v>1.4093301966650918E-2</v>
      </c>
      <c r="AL63" s="102">
        <f>AL61/IS!AL10</f>
        <v>1.8702625695277562E-2</v>
      </c>
      <c r="AM63" s="103">
        <f>AM61/IS!AM10</f>
        <v>2.2899762553352656E-2</v>
      </c>
      <c r="AN63" s="169">
        <f>AN61/IS!AN10</f>
        <v>1.4880034212979058E-2</v>
      </c>
      <c r="AO63" s="102">
        <f>AO61/IS!AO10</f>
        <v>1.3945937358298223E-2</v>
      </c>
      <c r="AP63" s="102">
        <f>AP61/IS!AP10</f>
        <v>1.0342869754645361E-2</v>
      </c>
      <c r="AQ63" s="103">
        <f>AQ61/IS!AQ10</f>
        <v>1.0472746516140415E-2</v>
      </c>
      <c r="AR63" s="169">
        <f>AR61/IS!AR10</f>
        <v>1.4005260396934106E-2</v>
      </c>
      <c r="AS63" s="102">
        <f>AS61/IS!AS10</f>
        <v>1.016354165876885E-2</v>
      </c>
      <c r="AT63" s="102">
        <f>AT61/IS!AT10</f>
        <v>1.0804701228288608E-2</v>
      </c>
      <c r="AU63" s="103">
        <f>AU61/IS!AU10</f>
        <v>2.597773287150696E-2</v>
      </c>
      <c r="AV63" s="169">
        <f>AV61/IS!AV10</f>
        <v>3.5891620766599248E-2</v>
      </c>
      <c r="AW63" s="102">
        <f>AW61/IS!AW10</f>
        <v>1.953180976124335E-2</v>
      </c>
      <c r="AX63" s="102">
        <f>AX61/IS!AX10</f>
        <v>3.3934449741159126E-2</v>
      </c>
      <c r="AY63" s="103">
        <f>AY61/IS!AY10</f>
        <v>3.3187191115953349E-2</v>
      </c>
      <c r="AZ63" s="169">
        <f>AZ61/IS!AZ10</f>
        <v>1.6128141217913512E-2</v>
      </c>
      <c r="BA63" s="102">
        <v>1.2500000000000001E-2</v>
      </c>
      <c r="BB63" s="102">
        <v>1.2500000000000001E-2</v>
      </c>
      <c r="BC63" s="105">
        <v>1.4999999999999999E-2</v>
      </c>
      <c r="BD63" s="170">
        <v>1.4999999999999999E-2</v>
      </c>
      <c r="BE63" s="170">
        <v>1.4999999999999999E-2</v>
      </c>
      <c r="BF63" s="170">
        <v>1.4999999999999999E-2</v>
      </c>
      <c r="BG63" s="170">
        <v>1.4999999999999999E-2</v>
      </c>
      <c r="BH63" s="170">
        <v>1.4999999999999999E-2</v>
      </c>
      <c r="BI63" s="170">
        <v>1.4999999999999999E-2</v>
      </c>
      <c r="BJ63" s="170">
        <v>1.4999999999999999E-2</v>
      </c>
      <c r="BK63" s="170">
        <v>1.4999999999999999E-2</v>
      </c>
      <c r="BL63" s="20"/>
      <c r="BM63" s="276">
        <f>BM61/IS!BM10</f>
        <v>3.883562635771181E-2</v>
      </c>
      <c r="BN63" s="102">
        <f>BN61/IS!BN10</f>
        <v>6.0115404297624353E-2</v>
      </c>
      <c r="BO63" s="102">
        <f>BO61/IS!BO10</f>
        <v>2.4760341745176967E-2</v>
      </c>
      <c r="BP63" s="102">
        <f>BP61/IS!BP10</f>
        <v>2.1427428686642009E-2</v>
      </c>
      <c r="BQ63" s="102">
        <f>BQ61/IS!BQ10</f>
        <v>1.5353788325841508E-2</v>
      </c>
      <c r="BR63" s="102">
        <f>BR61/IS!BR10</f>
        <v>2.742372158881088E-2</v>
      </c>
      <c r="BS63" s="102">
        <f>BS61/IS!BS10</f>
        <v>3.1271421532924899E-2</v>
      </c>
      <c r="BT63" s="102">
        <f>BT61/IS!BT10</f>
        <v>1.3955673847164046E-2</v>
      </c>
      <c r="BU63" s="102">
        <f>BU61/IS!BU10</f>
        <v>1.8830814793175828E-2</v>
      </c>
      <c r="BV63" s="102">
        <f>BV61/IS!BV10</f>
        <v>1.2458861654013892E-2</v>
      </c>
      <c r="BW63" s="102">
        <f>BW61/IS!BW10</f>
        <v>1.5359452472829382E-2</v>
      </c>
      <c r="BX63" s="102">
        <f>BX61/IS!BX10</f>
        <v>3.0668743854630896E-2</v>
      </c>
      <c r="BY63" s="102">
        <f>BY61/IS!BY10</f>
        <v>1.9660465284812467E-2</v>
      </c>
      <c r="BZ63" s="102">
        <f>BZ61/IS!BZ10</f>
        <v>1.5000000000000001E-2</v>
      </c>
      <c r="CA63" s="102">
        <f>CA61/IS!CA10</f>
        <v>1.5000000000000001E-2</v>
      </c>
      <c r="CB63" s="1008">
        <v>0.02</v>
      </c>
      <c r="CC63" s="20"/>
      <c r="CD63" s="276">
        <f>CD61/IS!CD10</f>
        <v>3.7442749641483988E-2</v>
      </c>
      <c r="CE63" s="276">
        <f>CE61/IS!CE10</f>
        <v>5.6679512946883608E-2</v>
      </c>
      <c r="CF63" s="276">
        <f>CF61/IS!CF10</f>
        <v>2.0435692811383428E-2</v>
      </c>
      <c r="CG63" s="276">
        <f>CG61/IS!CG10</f>
        <v>1.4084921402631758E-2</v>
      </c>
      <c r="CH63" s="276">
        <f>CH61/IS!CH10</f>
        <v>2.5506651265270297E-2</v>
      </c>
      <c r="CI63" s="102">
        <f>CI61/IS!CI10</f>
        <v>2.9545099058650919E-2</v>
      </c>
      <c r="CJ63" s="102">
        <f>CJ61/IS!CJ10</f>
        <v>1.8593937389800853E-2</v>
      </c>
      <c r="CK63" s="102">
        <f>CK61/IS!CK10</f>
        <v>2.0324144620780572E-2</v>
      </c>
      <c r="CL63" s="102">
        <f>CL61/IS!CL10</f>
        <v>1.5579011698466438E-2</v>
      </c>
      <c r="CM63" s="102">
        <f>CM61/IS!CM10</f>
        <v>1.1361646185141523E-2</v>
      </c>
      <c r="CN63" s="102">
        <f>CN61/IS!CN10</f>
        <v>2.8845354971821037E-2</v>
      </c>
      <c r="CO63" s="102">
        <f>CO61/IS!CO10</f>
        <v>1.8494833967120622E-2</v>
      </c>
      <c r="CP63" s="102">
        <f>CP61/IS!CP10</f>
        <v>1.5000000000000001E-2</v>
      </c>
      <c r="CQ63" s="102">
        <f>CQ61/IS!CQ10</f>
        <v>1.5000000000000001E-2</v>
      </c>
      <c r="CR63" s="22"/>
      <c r="CS63" s="14"/>
    </row>
    <row r="64" spans="1:97" ht="14.25" customHeight="1">
      <c r="A64" s="8"/>
      <c r="B64" s="68" t="s">
        <v>164</v>
      </c>
      <c r="C64" s="69"/>
      <c r="D64" s="277"/>
      <c r="E64" s="277"/>
      <c r="F64" s="279"/>
      <c r="G64" s="280"/>
      <c r="H64" s="277"/>
      <c r="I64" s="277"/>
      <c r="J64" s="279"/>
      <c r="K64" s="280"/>
      <c r="L64" s="277"/>
      <c r="M64" s="277"/>
      <c r="N64" s="279"/>
      <c r="O64" s="280"/>
      <c r="P64" s="277"/>
      <c r="Q64" s="277"/>
      <c r="R64" s="279"/>
      <c r="S64" s="280"/>
      <c r="T64" s="277"/>
      <c r="U64" s="277"/>
      <c r="V64" s="279"/>
      <c r="W64" s="280"/>
      <c r="X64" s="277"/>
      <c r="Y64" s="277"/>
      <c r="Z64" s="279"/>
      <c r="AA64" s="280"/>
      <c r="AB64" s="281">
        <f>AB16</f>
        <v>-0.33400000000000002</v>
      </c>
      <c r="AC64" s="281">
        <f>AC16</f>
        <v>-0.73699999999999988</v>
      </c>
      <c r="AD64" s="281">
        <f>AD16</f>
        <v>-0.79</v>
      </c>
      <c r="AE64" s="280">
        <f>AE16</f>
        <v>-0.65400000000000014</v>
      </c>
      <c r="AF64" s="281">
        <f t="shared" ref="AF64:AK64" si="210">AF16</f>
        <v>-0.71199999999999997</v>
      </c>
      <c r="AG64" s="281">
        <f t="shared" si="210"/>
        <v>-1.0290000000000001</v>
      </c>
      <c r="AH64" s="281">
        <f t="shared" si="210"/>
        <v>-0.74799999999999978</v>
      </c>
      <c r="AI64" s="280">
        <f t="shared" si="210"/>
        <v>-0.32600000000000007</v>
      </c>
      <c r="AJ64" s="281">
        <f t="shared" si="210"/>
        <v>-0.107</v>
      </c>
      <c r="AK64" s="281">
        <f t="shared" si="210"/>
        <v>0.255</v>
      </c>
      <c r="AL64" s="281">
        <f t="shared" ref="AL64:AQ64" si="211">AL16</f>
        <v>0.129</v>
      </c>
      <c r="AM64" s="280">
        <f t="shared" si="211"/>
        <v>9.9030000000000005</v>
      </c>
      <c r="AN64" s="281">
        <f t="shared" si="211"/>
        <v>-0.67</v>
      </c>
      <c r="AO64" s="281">
        <f t="shared" si="211"/>
        <v>-1.742</v>
      </c>
      <c r="AP64" s="281">
        <f t="shared" si="211"/>
        <v>-3.0960000000000001</v>
      </c>
      <c r="AQ64" s="280">
        <f t="shared" si="211"/>
        <v>-6.37</v>
      </c>
      <c r="AR64" s="735">
        <f t="shared" ref="AR64:AY64" si="212">AR16</f>
        <v>-0.23</v>
      </c>
      <c r="AS64" s="281">
        <f t="shared" si="212"/>
        <v>-0.38800000000000001</v>
      </c>
      <c r="AT64" s="281">
        <f t="shared" si="212"/>
        <v>1.9000000000000017E-2</v>
      </c>
      <c r="AU64" s="280">
        <f t="shared" si="212"/>
        <v>0.22900000000000001</v>
      </c>
      <c r="AV64" s="735">
        <f>AV16</f>
        <v>-0.20899999999999999</v>
      </c>
      <c r="AW64" s="281">
        <f>AW16</f>
        <v>-0.61399999999999999</v>
      </c>
      <c r="AX64" s="281">
        <f>AX16</f>
        <v>5.1999999999999935E-2</v>
      </c>
      <c r="AY64" s="280">
        <f t="shared" si="212"/>
        <v>-2.7610000000000001</v>
      </c>
      <c r="AZ64" s="735">
        <f t="shared" ref="AZ64:BG64" si="213">AZ16</f>
        <v>-0.44600000000000001</v>
      </c>
      <c r="BA64" s="281">
        <f t="shared" si="213"/>
        <v>-0.31</v>
      </c>
      <c r="BB64" s="281">
        <f>BB16</f>
        <v>2.1139999999999999</v>
      </c>
      <c r="BC64" s="280">
        <f t="shared" si="213"/>
        <v>0</v>
      </c>
      <c r="BD64" s="281">
        <f t="shared" si="213"/>
        <v>0</v>
      </c>
      <c r="BE64" s="281">
        <f t="shared" si="213"/>
        <v>0</v>
      </c>
      <c r="BF64" s="281">
        <f t="shared" si="213"/>
        <v>0</v>
      </c>
      <c r="BG64" s="280">
        <f t="shared" si="213"/>
        <v>0</v>
      </c>
      <c r="BH64" s="281">
        <f>BH16</f>
        <v>0</v>
      </c>
      <c r="BI64" s="281">
        <f>BI16</f>
        <v>0</v>
      </c>
      <c r="BJ64" s="281">
        <f>BJ16</f>
        <v>0</v>
      </c>
      <c r="BK64" s="280">
        <f>BK16</f>
        <v>0</v>
      </c>
      <c r="BL64" s="20"/>
      <c r="BM64" s="279">
        <f>BM16</f>
        <v>4.9809999999999999</v>
      </c>
      <c r="BN64" s="281">
        <f t="shared" ref="BN64:BV64" si="214">BN16</f>
        <v>-0.81399999999999983</v>
      </c>
      <c r="BO64" s="281">
        <f t="shared" si="214"/>
        <v>5.1389999999999993</v>
      </c>
      <c r="BP64" s="281">
        <f t="shared" si="214"/>
        <v>-2.7059999999999995</v>
      </c>
      <c r="BQ64" s="281">
        <f t="shared" si="214"/>
        <v>-0.35099999999999992</v>
      </c>
      <c r="BR64" s="281">
        <f t="shared" si="214"/>
        <v>-3.8209999999999997</v>
      </c>
      <c r="BS64" s="281">
        <f t="shared" si="214"/>
        <v>-2.5150000000000001</v>
      </c>
      <c r="BT64" s="281">
        <f t="shared" si="214"/>
        <v>-2.8149999999999999</v>
      </c>
      <c r="BU64" s="281">
        <f t="shared" si="214"/>
        <v>10.18</v>
      </c>
      <c r="BV64" s="281">
        <f t="shared" si="214"/>
        <v>-11.878</v>
      </c>
      <c r="BW64" s="281">
        <f t="shared" ref="BW64:CB64" si="215">BW16</f>
        <v>-0.37</v>
      </c>
      <c r="BX64" s="281">
        <f t="shared" si="215"/>
        <v>-3.532</v>
      </c>
      <c r="BY64" s="281">
        <f t="shared" si="215"/>
        <v>1.3579999999999999</v>
      </c>
      <c r="BZ64" s="281">
        <f t="shared" si="215"/>
        <v>0</v>
      </c>
      <c r="CA64" s="281">
        <f t="shared" si="215"/>
        <v>0</v>
      </c>
      <c r="CB64" s="1009">
        <f t="shared" si="215"/>
        <v>0</v>
      </c>
      <c r="CC64" s="20"/>
      <c r="CD64" s="279">
        <f>J64</f>
        <v>0</v>
      </c>
      <c r="CE64" s="279">
        <f>N64</f>
        <v>0</v>
      </c>
      <c r="CF64" s="279">
        <f>R64</f>
        <v>0</v>
      </c>
      <c r="CG64" s="279">
        <f>V64</f>
        <v>0</v>
      </c>
      <c r="CH64" s="279">
        <f>Z64</f>
        <v>0</v>
      </c>
      <c r="CI64" s="281">
        <f>AD64</f>
        <v>-0.79</v>
      </c>
      <c r="CJ64" s="281">
        <f>AH64</f>
        <v>-0.74799999999999978</v>
      </c>
      <c r="CK64" s="281">
        <f>AL64</f>
        <v>0.129</v>
      </c>
      <c r="CL64" s="281">
        <f>AP64</f>
        <v>-3.0960000000000001</v>
      </c>
      <c r="CM64" s="281">
        <f>AT64</f>
        <v>1.9000000000000017E-2</v>
      </c>
      <c r="CN64" s="281">
        <f>AX64</f>
        <v>5.1999999999999935E-2</v>
      </c>
      <c r="CO64" s="281">
        <f>BB64</f>
        <v>2.1139999999999999</v>
      </c>
      <c r="CP64" s="281">
        <f>BF64</f>
        <v>0</v>
      </c>
      <c r="CQ64" s="281">
        <f>BJ64</f>
        <v>0</v>
      </c>
      <c r="CR64" s="22"/>
      <c r="CS64" s="14"/>
    </row>
    <row r="65" spans="1:97" ht="14.25" customHeight="1">
      <c r="A65" s="8"/>
      <c r="B65" s="23" t="s">
        <v>165</v>
      </c>
      <c r="C65" s="24"/>
      <c r="D65" s="272">
        <v>628.08699999999999</v>
      </c>
      <c r="E65" s="272">
        <v>641.19600000000003</v>
      </c>
      <c r="F65" s="272">
        <v>651.75800000000004</v>
      </c>
      <c r="G65" s="348">
        <v>666.36</v>
      </c>
      <c r="H65" s="272">
        <v>679.851</v>
      </c>
      <c r="I65" s="272">
        <v>692.68299999999999</v>
      </c>
      <c r="J65" s="272">
        <v>708.25300000000004</v>
      </c>
      <c r="K65" s="348">
        <v>760.197</v>
      </c>
      <c r="L65" s="272">
        <v>775.53200000000004</v>
      </c>
      <c r="M65" s="272">
        <v>779.81600000000003</v>
      </c>
      <c r="N65" s="272">
        <v>790.63800000000003</v>
      </c>
      <c r="O65" s="348">
        <v>789.44600000000003</v>
      </c>
      <c r="P65" s="272">
        <v>798.25800000000004</v>
      </c>
      <c r="Q65" s="272">
        <v>807.90800000000002</v>
      </c>
      <c r="R65" s="272">
        <v>816.13599999999997</v>
      </c>
      <c r="S65" s="348">
        <v>776.80799999999999</v>
      </c>
      <c r="T65" s="272">
        <v>742.99400000000003</v>
      </c>
      <c r="U65" s="272">
        <v>732.976</v>
      </c>
      <c r="V65" s="272">
        <v>720.99</v>
      </c>
      <c r="W65" s="348">
        <v>714.90499999999997</v>
      </c>
      <c r="X65" s="272">
        <v>727.654</v>
      </c>
      <c r="Y65" s="272">
        <v>740.63300000000004</v>
      </c>
      <c r="Z65" s="272">
        <v>745.67</v>
      </c>
      <c r="AA65" s="348">
        <v>747.94100000000003</v>
      </c>
      <c r="AB65" s="272">
        <v>758.70600000000002</v>
      </c>
      <c r="AC65" s="272">
        <v>772.928</v>
      </c>
      <c r="AD65" s="272">
        <f>784.461</f>
        <v>784.46100000000001</v>
      </c>
      <c r="AE65" s="348">
        <v>788.42200000000003</v>
      </c>
      <c r="AF65" s="272">
        <v>794.38900000000001</v>
      </c>
      <c r="AG65" s="272">
        <v>798.80100000000004</v>
      </c>
      <c r="AH65" s="272">
        <v>794.08900000000006</v>
      </c>
      <c r="AI65" s="348">
        <v>784.79600000000005</v>
      </c>
      <c r="AJ65" s="272">
        <v>794.54899999999998</v>
      </c>
      <c r="AK65" s="272">
        <v>801.65499999999997</v>
      </c>
      <c r="AL65" s="272">
        <v>802.09299999999996</v>
      </c>
      <c r="AM65" s="348">
        <v>810.03</v>
      </c>
      <c r="AN65" s="272">
        <v>817.84400000000005</v>
      </c>
      <c r="AO65" s="272">
        <v>825.65300000000002</v>
      </c>
      <c r="AP65" s="272">
        <v>831.505</v>
      </c>
      <c r="AQ65" s="348">
        <v>804.62300000000005</v>
      </c>
      <c r="AR65" s="272">
        <v>806.72799999999995</v>
      </c>
      <c r="AS65" s="272">
        <v>809.66200000000003</v>
      </c>
      <c r="AT65" s="272">
        <v>797.86599999999999</v>
      </c>
      <c r="AU65" s="348">
        <v>810.58199999999999</v>
      </c>
      <c r="AV65" s="272">
        <v>826.21299999999997</v>
      </c>
      <c r="AW65" s="272">
        <v>834.31200000000001</v>
      </c>
      <c r="AX65" s="272">
        <v>836.48099999999999</v>
      </c>
      <c r="AY65" s="348">
        <v>839.45799999999997</v>
      </c>
      <c r="AZ65" s="272">
        <v>846.19200000000001</v>
      </c>
      <c r="BA65" s="272">
        <v>855.01900000000001</v>
      </c>
      <c r="BB65" s="272">
        <v>862.14700000000005</v>
      </c>
      <c r="BC65" s="267">
        <f t="shared" ref="BC65:BK65" si="216">BB65+BC61+BC62-BC64</f>
        <v>887.43000000000006</v>
      </c>
      <c r="BD65" s="266">
        <f t="shared" si="216"/>
        <v>897.5622924270001</v>
      </c>
      <c r="BE65" s="266">
        <f t="shared" si="216"/>
        <v>907.75205904388508</v>
      </c>
      <c r="BF65" s="266">
        <f t="shared" si="216"/>
        <v>917.92139323049014</v>
      </c>
      <c r="BG65" s="267">
        <f t="shared" si="216"/>
        <v>928.34153250269469</v>
      </c>
      <c r="BH65" s="266">
        <f t="shared" si="216"/>
        <v>939.10983862682326</v>
      </c>
      <c r="BI65" s="266">
        <f t="shared" si="216"/>
        <v>949.97154336413746</v>
      </c>
      <c r="BJ65" s="266">
        <f t="shared" si="216"/>
        <v>960.74361913308087</v>
      </c>
      <c r="BK65" s="267">
        <f t="shared" si="216"/>
        <v>971.7030711487206</v>
      </c>
      <c r="BL65" s="20"/>
      <c r="BM65" s="282">
        <f>G65</f>
        <v>666.36</v>
      </c>
      <c r="BN65" s="282">
        <f>K65</f>
        <v>760.197</v>
      </c>
      <c r="BO65" s="282">
        <f>O65</f>
        <v>789.44600000000003</v>
      </c>
      <c r="BP65" s="282">
        <f>S65</f>
        <v>776.80799999999999</v>
      </c>
      <c r="BQ65" s="282">
        <f>W65</f>
        <v>714.90499999999997</v>
      </c>
      <c r="BR65" s="282">
        <f>AA65</f>
        <v>747.94100000000003</v>
      </c>
      <c r="BS65" s="282">
        <f>AE65</f>
        <v>788.42200000000003</v>
      </c>
      <c r="BT65" s="282">
        <f>AI65</f>
        <v>784.79600000000005</v>
      </c>
      <c r="BU65" s="282">
        <f>AM65</f>
        <v>810.03</v>
      </c>
      <c r="BV65" s="282">
        <f>AQ65</f>
        <v>804.62300000000005</v>
      </c>
      <c r="BW65" s="282">
        <f>AU65</f>
        <v>810.58199999999999</v>
      </c>
      <c r="BX65" s="282">
        <f>AY65</f>
        <v>839.45799999999997</v>
      </c>
      <c r="BY65" s="282">
        <f>BC65</f>
        <v>887.43000000000006</v>
      </c>
      <c r="BZ65" s="282">
        <f>BG65</f>
        <v>928.34153250269469</v>
      </c>
      <c r="CA65" s="282">
        <f>BK65</f>
        <v>971.7030711487206</v>
      </c>
      <c r="CB65" s="1010">
        <f>CA65+CB61+CB62-CB64</f>
        <v>1032.7173087588537</v>
      </c>
      <c r="CC65" s="20"/>
      <c r="CD65" s="282">
        <f>J65</f>
        <v>708.25300000000004</v>
      </c>
      <c r="CE65" s="282">
        <f>N65</f>
        <v>790.63800000000003</v>
      </c>
      <c r="CF65" s="282">
        <f>R65</f>
        <v>816.13599999999997</v>
      </c>
      <c r="CG65" s="282">
        <f>V65</f>
        <v>720.99</v>
      </c>
      <c r="CH65" s="282">
        <f>Z65</f>
        <v>745.67</v>
      </c>
      <c r="CI65" s="282">
        <f>AD65</f>
        <v>784.46100000000001</v>
      </c>
      <c r="CJ65" s="282">
        <f>AH65</f>
        <v>794.08900000000006</v>
      </c>
      <c r="CK65" s="282">
        <f>AL65</f>
        <v>802.09299999999996</v>
      </c>
      <c r="CL65" s="282">
        <f>AP65</f>
        <v>831.505</v>
      </c>
      <c r="CM65" s="282">
        <f>AT65</f>
        <v>797.86599999999999</v>
      </c>
      <c r="CN65" s="282">
        <f>AX65</f>
        <v>836.48099999999999</v>
      </c>
      <c r="CO65" s="282">
        <f>BB65</f>
        <v>862.14700000000005</v>
      </c>
      <c r="CP65" s="282">
        <f>BF65</f>
        <v>917.92139323049014</v>
      </c>
      <c r="CQ65" s="282">
        <f>BJ65</f>
        <v>960.74361913308087</v>
      </c>
      <c r="CR65" s="770"/>
      <c r="CS65" s="889"/>
    </row>
    <row r="66" spans="1:97" ht="14.25" customHeight="1">
      <c r="A66" s="8"/>
      <c r="B66" s="36" t="s">
        <v>166</v>
      </c>
      <c r="C66" s="37"/>
      <c r="D66" s="102">
        <f>D65/BS!D24</f>
        <v>0.20291006384966578</v>
      </c>
      <c r="E66" s="102">
        <f>E65/BS!E24</f>
        <v>0.20230034468887298</v>
      </c>
      <c r="F66" s="102">
        <f>F65/BS!F24</f>
        <v>0.20942458510020606</v>
      </c>
      <c r="G66" s="103">
        <f>G65/BS!G24</f>
        <v>0.20997325705275519</v>
      </c>
      <c r="H66" s="102">
        <f>H65/BS!H24</f>
        <v>0.21722609853426517</v>
      </c>
      <c r="I66" s="102">
        <f>I65/BS!I24</f>
        <v>0.22099818207225896</v>
      </c>
      <c r="J66" s="102">
        <f>J65/BS!J24</f>
        <v>0.22853749209036139</v>
      </c>
      <c r="K66" s="103">
        <f>K65/BS!K24</f>
        <v>0.23910415791882311</v>
      </c>
      <c r="L66" s="102">
        <f>L65/BS!L24</f>
        <v>0.23447686605498594</v>
      </c>
      <c r="M66" s="102">
        <f>M65/BS!M24</f>
        <v>0.23858834961318154</v>
      </c>
      <c r="N66" s="102">
        <f>N65/BS!N24</f>
        <v>0.24609353844085166</v>
      </c>
      <c r="O66" s="103">
        <f>O65/BS!O24</f>
        <v>0.25164777611984546</v>
      </c>
      <c r="P66" s="102">
        <f>P65/BS!P24</f>
        <v>0.25824775036354902</v>
      </c>
      <c r="Q66" s="102">
        <f>Q65/BS!Q24</f>
        <v>0.26498969440060249</v>
      </c>
      <c r="R66" s="102">
        <f>R65/BS!R24</f>
        <v>0.2832368718507729</v>
      </c>
      <c r="S66" s="103">
        <f>S65/BS!S24</f>
        <v>0.27625723665235724</v>
      </c>
      <c r="T66" s="102">
        <f>T65/BS!T24</f>
        <v>0.26114129861731067</v>
      </c>
      <c r="U66" s="102">
        <f>U65/BS!U24</f>
        <v>0.24756973470666419</v>
      </c>
      <c r="V66" s="102">
        <f>V65/BS!V24</f>
        <v>0.23094212561311822</v>
      </c>
      <c r="W66" s="103">
        <f>W65/BS!W24</f>
        <v>0.22450804222442605</v>
      </c>
      <c r="X66" s="102">
        <f>X65/BS!X24</f>
        <v>0.20951717878816148</v>
      </c>
      <c r="Y66" s="102">
        <f>Y65/BS!Y24</f>
        <v>0.19931719544190554</v>
      </c>
      <c r="Z66" s="102">
        <f>Z65/BS!Z24</f>
        <v>0.19325721089364514</v>
      </c>
      <c r="AA66" s="103">
        <f>AA65/BS!AA24</f>
        <v>0.18062499245324032</v>
      </c>
      <c r="AB66" s="102">
        <f>AB65/BS!AB24</f>
        <v>0.17517337108754857</v>
      </c>
      <c r="AC66" s="102">
        <f>AC65/BS!AC24</f>
        <v>0.18110693591708513</v>
      </c>
      <c r="AD66" s="102">
        <f>AD65/BS!AD24</f>
        <v>0.18053922809601619</v>
      </c>
      <c r="AE66" s="103">
        <f>AE65/BS!AE24</f>
        <v>0.17661300475211025</v>
      </c>
      <c r="AF66" s="102">
        <f>AF65/BS!AF24</f>
        <v>0.1767968306103114</v>
      </c>
      <c r="AG66" s="102">
        <f>AG65/BS!AG24</f>
        <v>0.17561338195159251</v>
      </c>
      <c r="AH66" s="102">
        <f>AH65/BS!AH24</f>
        <v>0.17214502698623665</v>
      </c>
      <c r="AI66" s="103">
        <f>AI65/BS!AI24</f>
        <v>0.16593807611073674</v>
      </c>
      <c r="AJ66" s="102">
        <f>AJ65/BS!AJ24</f>
        <v>0.16688969764896425</v>
      </c>
      <c r="AK66" s="102">
        <f>AK65/BS!AK24</f>
        <v>0.16032933257494122</v>
      </c>
      <c r="AL66" s="102">
        <f>AL65/BS!AL24</f>
        <v>0.16036083802614298</v>
      </c>
      <c r="AM66" s="103">
        <f>AM65/BS!AM24</f>
        <v>0.16080482015441058</v>
      </c>
      <c r="AN66" s="102">
        <f>AN65/BS!AN24</f>
        <v>0.16181412004505544</v>
      </c>
      <c r="AO66" s="102">
        <f>AO65/BS!AO24</f>
        <v>0.16456115258758594</v>
      </c>
      <c r="AP66" s="102">
        <f>AP65/BS!AP24</f>
        <v>0.16916998765463245</v>
      </c>
      <c r="AQ66" s="103">
        <f>AQ65/BS!AQ24</f>
        <v>0.16427364683808809</v>
      </c>
      <c r="AR66" s="102">
        <f>AR65/BS!AR24</f>
        <v>0.16411757872823568</v>
      </c>
      <c r="AS66" s="102">
        <f>AS65/BS!AS24</f>
        <v>0.1655632009978836</v>
      </c>
      <c r="AT66" s="102">
        <f>AT65/BS!AT24</f>
        <v>0.16289106290386363</v>
      </c>
      <c r="AU66" s="103">
        <f>AU65/BS!AU24</f>
        <v>0.16806056783590156</v>
      </c>
      <c r="AV66" s="102">
        <f>AV65/BS!AV24</f>
        <v>0.16770875727573972</v>
      </c>
      <c r="AW66" s="102">
        <f>AW65/BS!AW24</f>
        <v>0.16869373923311468</v>
      </c>
      <c r="AX66" s="102">
        <f>AX65/BS!AX24</f>
        <v>0.17295930267180115</v>
      </c>
      <c r="AY66" s="103">
        <f>AY65/BS!AY24</f>
        <v>0.17708096897141501</v>
      </c>
      <c r="AZ66" s="102">
        <f>AZ65/BS!AZ24</f>
        <v>0.16634198678923121</v>
      </c>
      <c r="BA66" s="102">
        <f>BA65/BS!BA24</f>
        <v>0.16995517656062095</v>
      </c>
      <c r="BB66" s="102">
        <f>BB65/BS!BB24</f>
        <v>0.16840061731156164</v>
      </c>
      <c r="BC66" s="103">
        <f>BC65/BS!BC24</f>
        <v>0.1755310405885491</v>
      </c>
      <c r="BD66" s="102">
        <f>BD65/BS!BD24</f>
        <v>0.1782229443219826</v>
      </c>
      <c r="BE66" s="102">
        <f>BE65/BS!BE24</f>
        <v>0.17852828930229037</v>
      </c>
      <c r="BF66" s="102">
        <f>BF65/BS!BF24</f>
        <v>0.1789144913622561</v>
      </c>
      <c r="BG66" s="103">
        <f>BG65/BS!BG24</f>
        <v>0.17905930180746554</v>
      </c>
      <c r="BH66" s="102">
        <f>BH65/BS!BH24</f>
        <v>0.17930829178299934</v>
      </c>
      <c r="BI66" s="102">
        <f>BI65/BS!BI24</f>
        <v>0.17916045254021204</v>
      </c>
      <c r="BJ66" s="102">
        <f>BJ65/BS!BJ24</f>
        <v>0.17910900403204061</v>
      </c>
      <c r="BK66" s="103">
        <f>BK65/BS!BK24</f>
        <v>0.17884493447927546</v>
      </c>
      <c r="BL66" s="20"/>
      <c r="BM66" s="102">
        <f>BM65/BS!BM24</f>
        <v>0.20997325705275519</v>
      </c>
      <c r="BN66" s="102">
        <f>BN65/BS!BN24</f>
        <v>0.23910415791882311</v>
      </c>
      <c r="BO66" s="102">
        <f>BO65/BS!BO24</f>
        <v>0.25164777611984546</v>
      </c>
      <c r="BP66" s="102">
        <f>BP65/BS!BP24</f>
        <v>0.27625723665235724</v>
      </c>
      <c r="BQ66" s="102">
        <f>BQ65/BS!BQ24</f>
        <v>0.22450804222442605</v>
      </c>
      <c r="BR66" s="102">
        <f>BR65/BS!BR24</f>
        <v>0.18062499245324032</v>
      </c>
      <c r="BS66" s="102">
        <f>BS65/BS!BS24</f>
        <v>0.17661300475211025</v>
      </c>
      <c r="BT66" s="102">
        <f>BT65/BS!BT24</f>
        <v>0.16593807611073674</v>
      </c>
      <c r="BU66" s="102">
        <f>BU65/BS!BU24</f>
        <v>0.16080482015441058</v>
      </c>
      <c r="BV66" s="102">
        <f>BV65/BS!BV24</f>
        <v>0.16427364683808809</v>
      </c>
      <c r="BW66" s="102">
        <f>BW65/BS!BW24</f>
        <v>0.16806056783590156</v>
      </c>
      <c r="BX66" s="102">
        <f>BX65/BS!BX24</f>
        <v>0.17708096897141501</v>
      </c>
      <c r="BY66" s="102">
        <f>BY65/BS!BY24</f>
        <v>0.1755310405885491</v>
      </c>
      <c r="BZ66" s="102">
        <f>BZ65/BS!BZ24</f>
        <v>0.17905930180746554</v>
      </c>
      <c r="CA66" s="102">
        <f>CA65/BS!CA24</f>
        <v>0.17884493447927546</v>
      </c>
      <c r="CB66" s="946">
        <f>CB65/BS!CB24</f>
        <v>0.1763978714653715</v>
      </c>
      <c r="CC66" s="20"/>
      <c r="CD66" s="102">
        <f>CD65/BS!CD24</f>
        <v>0.22853749209036139</v>
      </c>
      <c r="CE66" s="102">
        <f>CE65/BS!CE24</f>
        <v>0.24609353844085166</v>
      </c>
      <c r="CF66" s="102">
        <f>CF65/BS!CF24</f>
        <v>0.2832368718507729</v>
      </c>
      <c r="CG66" s="102">
        <f>CG65/BS!CG24</f>
        <v>0.23094212561311822</v>
      </c>
      <c r="CH66" s="102">
        <f>CH65/BS!CH24</f>
        <v>0.19325721089364514</v>
      </c>
      <c r="CI66" s="102">
        <f>CI65/BS!CI24</f>
        <v>0.18053922809601619</v>
      </c>
      <c r="CJ66" s="102">
        <f>CJ65/BS!CJ24</f>
        <v>0.17214502698623665</v>
      </c>
      <c r="CK66" s="102">
        <f>CK65/BS!CK24</f>
        <v>0.16036083802614298</v>
      </c>
      <c r="CL66" s="102">
        <f>CL65/BS!CL24</f>
        <v>0.16916998765463245</v>
      </c>
      <c r="CM66" s="102">
        <f>CM65/BS!CM24</f>
        <v>0.16289106290386363</v>
      </c>
      <c r="CN66" s="102">
        <f>CN65/BS!CN24</f>
        <v>0.17295930267180115</v>
      </c>
      <c r="CO66" s="102">
        <f>CO65/BS!CO24</f>
        <v>0.16840061731156164</v>
      </c>
      <c r="CP66" s="102">
        <f>CP65/BS!CP24</f>
        <v>0.1789144913622561</v>
      </c>
      <c r="CQ66" s="102">
        <f>CQ65/BS!CQ24</f>
        <v>0.17910900403204061</v>
      </c>
      <c r="CR66" s="22"/>
      <c r="CS66" s="14"/>
    </row>
    <row r="67" spans="1:97" ht="14.25" customHeight="1">
      <c r="A67" s="8"/>
      <c r="B67" s="68" t="s">
        <v>167</v>
      </c>
      <c r="C67" s="69"/>
      <c r="D67" s="272">
        <v>281.95800000000003</v>
      </c>
      <c r="E67" s="272">
        <v>292.399</v>
      </c>
      <c r="F67" s="272">
        <v>301.863</v>
      </c>
      <c r="G67" s="349">
        <v>308.10300000000001</v>
      </c>
      <c r="H67" s="272">
        <v>321.32</v>
      </c>
      <c r="I67" s="272">
        <v>332.947</v>
      </c>
      <c r="J67" s="272">
        <v>340.505</v>
      </c>
      <c r="K67" s="349">
        <v>347.161</v>
      </c>
      <c r="L67" s="272">
        <v>359.34300000000002</v>
      </c>
      <c r="M67" s="272">
        <v>364.98899999999998</v>
      </c>
      <c r="N67" s="272">
        <v>378.57</v>
      </c>
      <c r="O67" s="349">
        <v>385.01600000000002</v>
      </c>
      <c r="P67" s="272">
        <v>399.37599999999998</v>
      </c>
      <c r="Q67" s="272">
        <v>410.55799999999999</v>
      </c>
      <c r="R67" s="272">
        <v>421.16300000000001</v>
      </c>
      <c r="S67" s="349">
        <v>388.90100000000001</v>
      </c>
      <c r="T67" s="272">
        <v>363.38200000000001</v>
      </c>
      <c r="U67" s="272">
        <v>361.28699999999998</v>
      </c>
      <c r="V67" s="272">
        <v>353.476</v>
      </c>
      <c r="W67" s="349">
        <v>349.02699999999999</v>
      </c>
      <c r="X67" s="272">
        <v>355.7</v>
      </c>
      <c r="Y67" s="272">
        <v>366.24900000000002</v>
      </c>
      <c r="Z67" s="272">
        <v>368.90600000000001</v>
      </c>
      <c r="AA67" s="349">
        <v>367.37099999999998</v>
      </c>
      <c r="AB67" s="272">
        <v>378.04500000000002</v>
      </c>
      <c r="AC67" s="272">
        <v>388.03500000000003</v>
      </c>
      <c r="AD67" s="272">
        <f>394.447</f>
        <v>394.447</v>
      </c>
      <c r="AE67" s="349">
        <v>393.44</v>
      </c>
      <c r="AF67" s="272">
        <v>405.66800000000001</v>
      </c>
      <c r="AG67" s="272">
        <v>416.59500000000003</v>
      </c>
      <c r="AH67" s="272">
        <v>420.72</v>
      </c>
      <c r="AI67" s="349">
        <v>419.10899999999998</v>
      </c>
      <c r="AJ67" s="272">
        <v>431.59300000000002</v>
      </c>
      <c r="AK67" s="272">
        <v>444.23500000000001</v>
      </c>
      <c r="AL67" s="272">
        <v>447.29300000000001</v>
      </c>
      <c r="AM67" s="349">
        <v>454.94099999999997</v>
      </c>
      <c r="AN67" s="272">
        <v>467.108</v>
      </c>
      <c r="AO67" s="272">
        <v>480.16800000000001</v>
      </c>
      <c r="AP67" s="272">
        <v>493.59100000000001</v>
      </c>
      <c r="AQ67" s="349">
        <v>503.58499999999998</v>
      </c>
      <c r="AR67" s="272">
        <v>512.24099999999999</v>
      </c>
      <c r="AS67" s="272">
        <v>522.28499999999997</v>
      </c>
      <c r="AT67" s="272">
        <v>517.625</v>
      </c>
      <c r="AU67" s="349">
        <v>527.23599999999999</v>
      </c>
      <c r="AV67" s="272">
        <v>533.85500000000002</v>
      </c>
      <c r="AW67" s="272">
        <v>541.82399999999996</v>
      </c>
      <c r="AX67" s="272">
        <v>534.97699999999998</v>
      </c>
      <c r="AY67" s="349">
        <v>535.63300000000004</v>
      </c>
      <c r="AZ67" s="272">
        <v>542.98199999999997</v>
      </c>
      <c r="BA67" s="272">
        <v>550.90099999999995</v>
      </c>
      <c r="BB67" s="272">
        <v>558.16300000000001</v>
      </c>
      <c r="BC67" s="265">
        <f t="shared" ref="BC67:BK67" si="217">BB67+BC76</f>
        <v>583.31299999999999</v>
      </c>
      <c r="BD67" s="264">
        <f t="shared" si="217"/>
        <v>608.46299999999997</v>
      </c>
      <c r="BE67" s="282">
        <f t="shared" si="217"/>
        <v>633.90015183680862</v>
      </c>
      <c r="BF67" s="264">
        <f t="shared" si="217"/>
        <v>659.62608434410913</v>
      </c>
      <c r="BG67" s="265">
        <f t="shared" si="217"/>
        <v>685.64021846144442</v>
      </c>
      <c r="BH67" s="264">
        <f t="shared" si="217"/>
        <v>711.94966207101675</v>
      </c>
      <c r="BI67" s="282">
        <f t="shared" si="217"/>
        <v>738.5642823131368</v>
      </c>
      <c r="BJ67" s="264">
        <f t="shared" si="217"/>
        <v>765.48672612910877</v>
      </c>
      <c r="BK67" s="265">
        <f t="shared" si="217"/>
        <v>792.71445341035576</v>
      </c>
      <c r="BL67" s="20"/>
      <c r="BM67" s="281">
        <f>G67</f>
        <v>308.10300000000001</v>
      </c>
      <c r="BN67" s="281">
        <f>K67</f>
        <v>347.161</v>
      </c>
      <c r="BO67" s="281">
        <f>O67</f>
        <v>385.01600000000002</v>
      </c>
      <c r="BP67" s="281">
        <f>S67</f>
        <v>388.90100000000001</v>
      </c>
      <c r="BQ67" s="281">
        <f>W67</f>
        <v>349.02699999999999</v>
      </c>
      <c r="BR67" s="281">
        <f>AA67</f>
        <v>367.37099999999998</v>
      </c>
      <c r="BS67" s="281">
        <f>BS65-BS!BS19</f>
        <v>393.44</v>
      </c>
      <c r="BT67" s="281">
        <f>BT65-BS!BT19</f>
        <v>419.10900000000004</v>
      </c>
      <c r="BU67" s="281">
        <f>BU65-BS!BU19</f>
        <v>454.94099999999997</v>
      </c>
      <c r="BV67" s="281">
        <f>BV65-BS!BV19</f>
        <v>503.58500000000004</v>
      </c>
      <c r="BW67" s="281">
        <f>BW65-BS!BW19</f>
        <v>527.23599999999999</v>
      </c>
      <c r="BX67" s="281">
        <f>BX65-BS!BX19</f>
        <v>535.63300000000004</v>
      </c>
      <c r="BY67" s="281">
        <f>BY65-BS!BY19</f>
        <v>583.3130000000001</v>
      </c>
      <c r="BZ67" s="281">
        <f>BZ65-BS!BZ19</f>
        <v>685.64021846144442</v>
      </c>
      <c r="CA67" s="281">
        <f>CA65-BS!CA19</f>
        <v>792.71445341035576</v>
      </c>
      <c r="CB67" s="1009">
        <f>CA67+CB76</f>
        <v>870.45069910225345</v>
      </c>
      <c r="CC67" s="20"/>
      <c r="CD67" s="281">
        <f>J67</f>
        <v>340.505</v>
      </c>
      <c r="CE67" s="281">
        <f>N67</f>
        <v>378.57</v>
      </c>
      <c r="CF67" s="281">
        <f>R67</f>
        <v>421.16300000000001</v>
      </c>
      <c r="CG67" s="281">
        <f>V67</f>
        <v>353.476</v>
      </c>
      <c r="CH67" s="281">
        <f>Z67</f>
        <v>368.90600000000001</v>
      </c>
      <c r="CI67" s="281">
        <f>AD67</f>
        <v>394.447</v>
      </c>
      <c r="CJ67" s="281">
        <f>AH67</f>
        <v>420.72</v>
      </c>
      <c r="CK67" s="281">
        <f>AL67</f>
        <v>447.29300000000001</v>
      </c>
      <c r="CL67" s="281">
        <f>AP67</f>
        <v>493.59100000000001</v>
      </c>
      <c r="CM67" s="281">
        <f>AT67</f>
        <v>517.625</v>
      </c>
      <c r="CN67" s="281">
        <f>AX67</f>
        <v>534.97699999999998</v>
      </c>
      <c r="CO67" s="281">
        <f>BB67</f>
        <v>558.16300000000001</v>
      </c>
      <c r="CP67" s="281">
        <f>BF67</f>
        <v>659.62608434410913</v>
      </c>
      <c r="CQ67" s="281">
        <f>BJ67</f>
        <v>765.48672612910877</v>
      </c>
      <c r="CR67" s="770"/>
      <c r="CS67" s="889"/>
    </row>
    <row r="68" spans="1:97" ht="14.25" customHeight="1">
      <c r="A68" s="8"/>
      <c r="B68" s="356" t="s">
        <v>168</v>
      </c>
      <c r="C68" s="374"/>
      <c r="D68" s="284">
        <f>D65-D67</f>
        <v>346.12899999999996</v>
      </c>
      <c r="E68" s="284">
        <f>E65-E67</f>
        <v>348.79700000000003</v>
      </c>
      <c r="F68" s="284">
        <f>F65-F67</f>
        <v>349.89500000000004</v>
      </c>
      <c r="G68" s="285">
        <f>G65-G67</f>
        <v>358.25700000000001</v>
      </c>
      <c r="H68" s="284">
        <f t="shared" ref="H68:W68" si="218">H65-H67</f>
        <v>358.53100000000001</v>
      </c>
      <c r="I68" s="284">
        <f t="shared" si="218"/>
        <v>359.73599999999999</v>
      </c>
      <c r="J68" s="284">
        <f t="shared" si="218"/>
        <v>367.74800000000005</v>
      </c>
      <c r="K68" s="285">
        <f t="shared" si="218"/>
        <v>413.036</v>
      </c>
      <c r="L68" s="284">
        <f t="shared" si="218"/>
        <v>416.18900000000002</v>
      </c>
      <c r="M68" s="284">
        <f t="shared" si="218"/>
        <v>414.82700000000006</v>
      </c>
      <c r="N68" s="284">
        <f t="shared" si="218"/>
        <v>412.06800000000004</v>
      </c>
      <c r="O68" s="285">
        <f t="shared" si="218"/>
        <v>404.43</v>
      </c>
      <c r="P68" s="284">
        <f t="shared" si="218"/>
        <v>398.88200000000006</v>
      </c>
      <c r="Q68" s="284">
        <f t="shared" si="218"/>
        <v>397.35</v>
      </c>
      <c r="R68" s="284">
        <f t="shared" si="218"/>
        <v>394.97299999999996</v>
      </c>
      <c r="S68" s="285">
        <f t="shared" si="218"/>
        <v>387.90699999999998</v>
      </c>
      <c r="T68" s="284">
        <f t="shared" si="218"/>
        <v>379.61200000000002</v>
      </c>
      <c r="U68" s="284">
        <f t="shared" si="218"/>
        <v>371.68900000000002</v>
      </c>
      <c r="V68" s="284">
        <f t="shared" si="218"/>
        <v>367.51400000000001</v>
      </c>
      <c r="W68" s="285">
        <f t="shared" si="218"/>
        <v>365.87799999999999</v>
      </c>
      <c r="X68" s="284">
        <f t="shared" ref="X68:AQ68" si="219">X65-X67</f>
        <v>371.95400000000001</v>
      </c>
      <c r="Y68" s="284">
        <f t="shared" si="219"/>
        <v>374.38400000000001</v>
      </c>
      <c r="Z68" s="284">
        <f t="shared" si="219"/>
        <v>376.76399999999995</v>
      </c>
      <c r="AA68" s="285">
        <f t="shared" si="219"/>
        <v>380.57000000000005</v>
      </c>
      <c r="AB68" s="284">
        <f t="shared" si="219"/>
        <v>380.661</v>
      </c>
      <c r="AC68" s="284">
        <f t="shared" si="219"/>
        <v>384.89299999999997</v>
      </c>
      <c r="AD68" s="284">
        <f t="shared" si="219"/>
        <v>390.01400000000001</v>
      </c>
      <c r="AE68" s="285">
        <f t="shared" si="219"/>
        <v>394.98200000000003</v>
      </c>
      <c r="AF68" s="284">
        <f t="shared" si="219"/>
        <v>388.721</v>
      </c>
      <c r="AG68" s="284">
        <f t="shared" si="219"/>
        <v>382.20600000000002</v>
      </c>
      <c r="AH68" s="284">
        <f t="shared" si="219"/>
        <v>373.36900000000003</v>
      </c>
      <c r="AI68" s="285">
        <f t="shared" si="219"/>
        <v>365.68700000000007</v>
      </c>
      <c r="AJ68" s="284">
        <f t="shared" si="219"/>
        <v>362.95599999999996</v>
      </c>
      <c r="AK68" s="284">
        <f t="shared" si="219"/>
        <v>357.41999999999996</v>
      </c>
      <c r="AL68" s="284">
        <f>AL65-AL67</f>
        <v>354.79999999999995</v>
      </c>
      <c r="AM68" s="285">
        <f>AM65-AM67</f>
        <v>355.089</v>
      </c>
      <c r="AN68" s="284">
        <f>AN65-AN67</f>
        <v>350.73600000000005</v>
      </c>
      <c r="AO68" s="284">
        <f>AO65-AO67</f>
        <v>345.48500000000001</v>
      </c>
      <c r="AP68" s="284">
        <f>AP65-AP67</f>
        <v>337.91399999999999</v>
      </c>
      <c r="AQ68" s="285">
        <f t="shared" si="219"/>
        <v>301.03800000000007</v>
      </c>
      <c r="AR68" s="284">
        <f t="shared" ref="AR68:AY68" si="220">AR65-AR67</f>
        <v>294.48699999999997</v>
      </c>
      <c r="AS68" s="284">
        <f t="shared" si="220"/>
        <v>287.37700000000007</v>
      </c>
      <c r="AT68" s="284">
        <f t="shared" si="220"/>
        <v>280.24099999999999</v>
      </c>
      <c r="AU68" s="285">
        <f t="shared" si="220"/>
        <v>283.346</v>
      </c>
      <c r="AV68" s="284">
        <f t="shared" si="220"/>
        <v>292.35799999999995</v>
      </c>
      <c r="AW68" s="284">
        <f>AW65-AW67</f>
        <v>292.48800000000006</v>
      </c>
      <c r="AX68" s="284">
        <f>AX65-AX67</f>
        <v>301.50400000000002</v>
      </c>
      <c r="AY68" s="285">
        <f t="shared" si="220"/>
        <v>303.82499999999993</v>
      </c>
      <c r="AZ68" s="284">
        <f t="shared" ref="AZ68:BG68" si="221">AZ65-AZ67</f>
        <v>303.21000000000004</v>
      </c>
      <c r="BA68" s="284">
        <f t="shared" si="221"/>
        <v>304.11800000000005</v>
      </c>
      <c r="BB68" s="284">
        <f t="shared" si="221"/>
        <v>303.98400000000004</v>
      </c>
      <c r="BC68" s="285">
        <f t="shared" si="221"/>
        <v>304.11700000000008</v>
      </c>
      <c r="BD68" s="284">
        <f t="shared" si="221"/>
        <v>289.09929242700014</v>
      </c>
      <c r="BE68" s="284">
        <f t="shared" si="221"/>
        <v>273.85190720707647</v>
      </c>
      <c r="BF68" s="284">
        <f t="shared" si="221"/>
        <v>258.29530888638101</v>
      </c>
      <c r="BG68" s="285">
        <f t="shared" si="221"/>
        <v>242.70131404125027</v>
      </c>
      <c r="BH68" s="284">
        <f>BH65-BH67</f>
        <v>227.16017655580652</v>
      </c>
      <c r="BI68" s="284">
        <f>BI65-BI67</f>
        <v>211.40726105100066</v>
      </c>
      <c r="BJ68" s="284">
        <f>BJ65-BJ67</f>
        <v>195.2568930039721</v>
      </c>
      <c r="BK68" s="285">
        <f>BK65-BK67</f>
        <v>178.98861773836484</v>
      </c>
      <c r="BL68" s="20"/>
      <c r="BM68" s="284">
        <f t="shared" ref="BM68:BW68" si="222">BM65-BM67</f>
        <v>358.25700000000001</v>
      </c>
      <c r="BN68" s="284">
        <f t="shared" si="222"/>
        <v>413.036</v>
      </c>
      <c r="BO68" s="284">
        <f t="shared" si="222"/>
        <v>404.43</v>
      </c>
      <c r="BP68" s="284">
        <f t="shared" si="222"/>
        <v>387.90699999999998</v>
      </c>
      <c r="BQ68" s="284">
        <f t="shared" si="222"/>
        <v>365.87799999999999</v>
      </c>
      <c r="BR68" s="284">
        <f t="shared" si="222"/>
        <v>380.57000000000005</v>
      </c>
      <c r="BS68" s="284">
        <f t="shared" si="222"/>
        <v>394.98200000000003</v>
      </c>
      <c r="BT68" s="284">
        <f t="shared" si="222"/>
        <v>365.68700000000001</v>
      </c>
      <c r="BU68" s="284">
        <f t="shared" si="222"/>
        <v>355.089</v>
      </c>
      <c r="BV68" s="284">
        <f t="shared" si="222"/>
        <v>301.03800000000001</v>
      </c>
      <c r="BW68" s="284">
        <f t="shared" si="222"/>
        <v>283.346</v>
      </c>
      <c r="BX68" s="284">
        <f>BX65-BX67</f>
        <v>303.82499999999993</v>
      </c>
      <c r="BY68" s="284">
        <f>BY65-BY67</f>
        <v>304.11699999999996</v>
      </c>
      <c r="BZ68" s="284">
        <f>BZ65-BZ67</f>
        <v>242.70131404125027</v>
      </c>
      <c r="CA68" s="284">
        <f>CA65-CA67</f>
        <v>178.98861773836484</v>
      </c>
      <c r="CB68" s="1011">
        <f>CB65-CB67</f>
        <v>162.26660965660028</v>
      </c>
      <c r="CC68" s="20"/>
      <c r="CD68" s="284">
        <f t="shared" ref="CD68:CM68" si="223">CD65-CD67</f>
        <v>367.74800000000005</v>
      </c>
      <c r="CE68" s="284">
        <f t="shared" si="223"/>
        <v>412.06800000000004</v>
      </c>
      <c r="CF68" s="284">
        <f t="shared" si="223"/>
        <v>394.97299999999996</v>
      </c>
      <c r="CG68" s="284">
        <f t="shared" si="223"/>
        <v>367.51400000000001</v>
      </c>
      <c r="CH68" s="284">
        <f t="shared" si="223"/>
        <v>376.76399999999995</v>
      </c>
      <c r="CI68" s="284">
        <f t="shared" si="223"/>
        <v>390.01400000000001</v>
      </c>
      <c r="CJ68" s="284">
        <f t="shared" si="223"/>
        <v>373.36900000000003</v>
      </c>
      <c r="CK68" s="284">
        <f t="shared" si="223"/>
        <v>354.79999999999995</v>
      </c>
      <c r="CL68" s="284">
        <f t="shared" si="223"/>
        <v>337.91399999999999</v>
      </c>
      <c r="CM68" s="284">
        <f t="shared" si="223"/>
        <v>280.24099999999999</v>
      </c>
      <c r="CN68" s="284">
        <f>CN65-CN67</f>
        <v>301.50400000000002</v>
      </c>
      <c r="CO68" s="284">
        <f>CO65-CO67</f>
        <v>303.98400000000004</v>
      </c>
      <c r="CP68" s="284">
        <f>CP65-CP67</f>
        <v>258.29530888638101</v>
      </c>
      <c r="CQ68" s="284">
        <f>CQ65-CQ67</f>
        <v>195.2568930039721</v>
      </c>
      <c r="CR68" s="22"/>
      <c r="CS68" s="14"/>
    </row>
    <row r="69" spans="1:97" ht="14.25" customHeight="1">
      <c r="A69" s="8"/>
      <c r="B69" s="71"/>
      <c r="C69" s="71"/>
      <c r="D69" s="266"/>
      <c r="E69" s="266"/>
      <c r="F69" s="266"/>
      <c r="G69" s="266"/>
      <c r="H69" s="266"/>
      <c r="I69" s="266"/>
      <c r="J69" s="266"/>
      <c r="K69" s="266"/>
      <c r="L69" s="266"/>
      <c r="M69" s="266"/>
      <c r="N69" s="266"/>
      <c r="O69" s="266"/>
      <c r="P69" s="266"/>
      <c r="Q69" s="266"/>
      <c r="R69" s="266"/>
      <c r="S69" s="266"/>
      <c r="T69" s="266"/>
      <c r="U69" s="266"/>
      <c r="V69" s="266"/>
      <c r="W69" s="266"/>
      <c r="X69" s="266"/>
      <c r="Y69" s="266"/>
      <c r="Z69" s="266"/>
      <c r="AA69" s="266"/>
      <c r="AB69" s="266"/>
      <c r="AC69" s="266"/>
      <c r="AD69" s="266"/>
      <c r="AE69" s="266"/>
      <c r="AF69" s="266"/>
      <c r="AG69" s="266"/>
      <c r="AH69" s="266"/>
      <c r="AI69" s="266"/>
      <c r="AJ69" s="266"/>
      <c r="AK69" s="266"/>
      <c r="AL69" s="266"/>
      <c r="AM69" s="266"/>
      <c r="AN69" s="266"/>
      <c r="AO69" s="266"/>
      <c r="AP69" s="266"/>
      <c r="AQ69" s="266"/>
      <c r="AR69" s="266"/>
      <c r="AS69" s="266"/>
      <c r="AT69" s="266"/>
      <c r="AU69" s="266"/>
      <c r="AV69" s="266"/>
      <c r="AW69" s="266"/>
      <c r="AX69" s="266"/>
      <c r="AY69" s="266"/>
      <c r="AZ69" s="266"/>
      <c r="BA69" s="266"/>
      <c r="BB69" s="266"/>
      <c r="BC69" s="266"/>
      <c r="BD69" s="266"/>
      <c r="BE69" s="266"/>
      <c r="BF69" s="266"/>
      <c r="BG69" s="266"/>
      <c r="BH69" s="266"/>
      <c r="BI69" s="266"/>
      <c r="BJ69" s="266"/>
      <c r="BK69" s="266"/>
      <c r="BL69" s="14"/>
      <c r="BM69" s="286"/>
      <c r="BN69" s="266"/>
      <c r="BO69" s="266"/>
      <c r="BP69" s="266"/>
      <c r="BQ69" s="266"/>
      <c r="BR69" s="266"/>
      <c r="BS69" s="266"/>
      <c r="BT69" s="266"/>
      <c r="BU69" s="266"/>
      <c r="BV69" s="266"/>
      <c r="BW69" s="286"/>
      <c r="BX69" s="286"/>
      <c r="BY69" s="286"/>
      <c r="BZ69" s="286"/>
      <c r="CA69" s="286"/>
      <c r="CB69" s="1012"/>
      <c r="CC69" s="8"/>
      <c r="CD69" s="286"/>
      <c r="CE69" s="286"/>
      <c r="CF69" s="286"/>
      <c r="CG69" s="286"/>
      <c r="CH69" s="266"/>
      <c r="CI69" s="266"/>
      <c r="CJ69" s="266"/>
      <c r="CK69" s="266"/>
      <c r="CL69" s="266"/>
      <c r="CM69" s="266"/>
      <c r="CN69" s="266"/>
      <c r="CO69" s="266"/>
      <c r="CP69" s="266"/>
      <c r="CQ69" s="266"/>
      <c r="CR69" s="8"/>
      <c r="CS69" s="8"/>
    </row>
    <row r="70" spans="1:97" ht="14.25" customHeight="1">
      <c r="A70" s="8"/>
      <c r="B70" s="74" t="s">
        <v>130</v>
      </c>
      <c r="C70" s="255"/>
      <c r="D70" s="190">
        <f>BS!D19</f>
        <v>346.12900000000002</v>
      </c>
      <c r="E70" s="188">
        <f>BS!E19</f>
        <v>348.79700000000003</v>
      </c>
      <c r="F70" s="188">
        <f>BS!F19</f>
        <v>349.89499999999998</v>
      </c>
      <c r="G70" s="191">
        <f>BS!G19</f>
        <v>358.25700000000001</v>
      </c>
      <c r="H70" s="190">
        <f>BS!H19</f>
        <v>358.53100000000001</v>
      </c>
      <c r="I70" s="188">
        <f>BS!I19</f>
        <v>359.73599999999999</v>
      </c>
      <c r="J70" s="188">
        <f>BS!J19</f>
        <v>367.74799999999999</v>
      </c>
      <c r="K70" s="191">
        <f>BS!K19</f>
        <v>413.036</v>
      </c>
      <c r="L70" s="190">
        <f>BS!L19</f>
        <v>416.18900000000002</v>
      </c>
      <c r="M70" s="188">
        <f>BS!M19</f>
        <v>414.827</v>
      </c>
      <c r="N70" s="188">
        <f>BS!N19</f>
        <v>412.06799999999998</v>
      </c>
      <c r="O70" s="191">
        <f>BS!O19</f>
        <v>404.43</v>
      </c>
      <c r="P70" s="190">
        <f>BS!P19</f>
        <v>398.88200000000001</v>
      </c>
      <c r="Q70" s="188">
        <f>BS!Q19</f>
        <v>397.35</v>
      </c>
      <c r="R70" s="188">
        <f>BS!R19</f>
        <v>394.97300000000001</v>
      </c>
      <c r="S70" s="191">
        <f>BS!S19</f>
        <v>387.90699999999998</v>
      </c>
      <c r="T70" s="190">
        <f>BS!T19</f>
        <v>379.61200000000002</v>
      </c>
      <c r="U70" s="188">
        <f>BS!U19</f>
        <v>371.68900000000002</v>
      </c>
      <c r="V70" s="188">
        <f>BS!V19</f>
        <v>367.51400000000001</v>
      </c>
      <c r="W70" s="191">
        <f>BS!W19</f>
        <v>365.87799999999999</v>
      </c>
      <c r="X70" s="190">
        <f>BS!X19</f>
        <v>371.95400000000001</v>
      </c>
      <c r="Y70" s="188">
        <f>BS!Y19</f>
        <v>374.38400000000001</v>
      </c>
      <c r="Z70" s="188">
        <f>BS!Z19</f>
        <v>376.76400000000001</v>
      </c>
      <c r="AA70" s="191">
        <f>BS!AA19</f>
        <v>380.57</v>
      </c>
      <c r="AB70" s="188">
        <f>BS!AB19</f>
        <v>380.661</v>
      </c>
      <c r="AC70" s="188">
        <f>BS!AC19</f>
        <v>384.89299999999997</v>
      </c>
      <c r="AD70" s="188">
        <f>BS!AD19</f>
        <v>390.01400000000001</v>
      </c>
      <c r="AE70" s="191">
        <f>BS!AE19</f>
        <v>394.98200000000003</v>
      </c>
      <c r="AF70" s="188">
        <f>BS!AF19</f>
        <v>388.721</v>
      </c>
      <c r="AG70" s="188">
        <f>BS!AG19</f>
        <v>382.20600000000002</v>
      </c>
      <c r="AH70" s="188">
        <f>BS!AH19</f>
        <v>373.36900000000003</v>
      </c>
      <c r="AI70" s="191">
        <f>BS!AI19</f>
        <v>365.68700000000001</v>
      </c>
      <c r="AJ70" s="188">
        <f>BS!AJ19</f>
        <v>362.95600000000002</v>
      </c>
      <c r="AK70" s="188">
        <f>BS!AK19</f>
        <v>357.42</v>
      </c>
      <c r="AL70" s="188">
        <f>BS!AL19</f>
        <v>354.8</v>
      </c>
      <c r="AM70" s="191">
        <f>BS!AM19</f>
        <v>355.089</v>
      </c>
      <c r="AN70" s="188">
        <f>BS!AN19</f>
        <v>350.73599999999999</v>
      </c>
      <c r="AO70" s="188">
        <f>BS!AO19</f>
        <v>345.48500000000001</v>
      </c>
      <c r="AP70" s="188">
        <f>BS!AP19</f>
        <v>337.91399999999999</v>
      </c>
      <c r="AQ70" s="191">
        <f>BS!AQ19</f>
        <v>301.03800000000001</v>
      </c>
      <c r="AR70" s="188">
        <f>BS!AR19</f>
        <v>294.48700000000002</v>
      </c>
      <c r="AS70" s="188">
        <f>BS!AS19</f>
        <v>287.37700000000001</v>
      </c>
      <c r="AT70" s="188">
        <f>BS!AT19</f>
        <v>280.24099999999999</v>
      </c>
      <c r="AU70" s="191">
        <f>BS!AU19</f>
        <v>283.346</v>
      </c>
      <c r="AV70" s="188">
        <f>BS!AV19</f>
        <v>292.358</v>
      </c>
      <c r="AW70" s="188">
        <f>BS!AW19</f>
        <v>292.488</v>
      </c>
      <c r="AX70" s="188">
        <f>BS!AX19</f>
        <v>301.50400000000002</v>
      </c>
      <c r="AY70" s="189">
        <f>BS!AY19</f>
        <v>303.82499999999999</v>
      </c>
      <c r="AZ70" s="188">
        <f>BS!AZ19</f>
        <v>303.20999999999998</v>
      </c>
      <c r="BA70" s="188">
        <f>BS!BA19</f>
        <v>304.11799999999999</v>
      </c>
      <c r="BB70" s="188">
        <f>BS!BB19</f>
        <v>303.98399999999998</v>
      </c>
      <c r="BC70" s="189">
        <f>BS!BC19</f>
        <v>304.11700000000002</v>
      </c>
      <c r="BD70" s="188">
        <f>BS!BD19</f>
        <v>289.09929242700014</v>
      </c>
      <c r="BE70" s="256">
        <f>BS!BE19</f>
        <v>273.85190720707647</v>
      </c>
      <c r="BF70" s="188">
        <f>BS!BF19</f>
        <v>258.29530888638101</v>
      </c>
      <c r="BG70" s="189">
        <f>BS!BG19</f>
        <v>242.70131404125027</v>
      </c>
      <c r="BH70" s="188">
        <f>BS!BH19</f>
        <v>227.16017655580652</v>
      </c>
      <c r="BI70" s="256">
        <f>BS!BI19</f>
        <v>211.40726105100066</v>
      </c>
      <c r="BJ70" s="188">
        <f>BS!BJ19</f>
        <v>195.2568930039721</v>
      </c>
      <c r="BK70" s="189">
        <f>BS!BK19</f>
        <v>178.98861773836484</v>
      </c>
      <c r="BL70" s="192"/>
      <c r="BM70" s="188">
        <f>BS!BM19</f>
        <v>358.25700000000001</v>
      </c>
      <c r="BN70" s="188">
        <f>BS!BN19</f>
        <v>413.036</v>
      </c>
      <c r="BO70" s="188">
        <f>BS!BO19</f>
        <v>404.43</v>
      </c>
      <c r="BP70" s="188">
        <f>BS!BP19</f>
        <v>387.90699999999998</v>
      </c>
      <c r="BQ70" s="188">
        <f>BS!BQ19</f>
        <v>365.87799999999999</v>
      </c>
      <c r="BR70" s="188">
        <f>BS!BR19</f>
        <v>380.57</v>
      </c>
      <c r="BS70" s="188">
        <f>BS!BS19</f>
        <v>394.98200000000003</v>
      </c>
      <c r="BT70" s="188">
        <f>BS!BT19</f>
        <v>365.68700000000001</v>
      </c>
      <c r="BU70" s="188">
        <f>BS!BU19</f>
        <v>355.089</v>
      </c>
      <c r="BV70" s="188">
        <f>BS!BV19</f>
        <v>301.03800000000001</v>
      </c>
      <c r="BW70" s="188">
        <f>BS!BW19</f>
        <v>283.346</v>
      </c>
      <c r="BX70" s="188">
        <f>BS!BX19</f>
        <v>303.82499999999999</v>
      </c>
      <c r="BY70" s="188">
        <f>BS!BY19</f>
        <v>304.11700000000002</v>
      </c>
      <c r="BZ70" s="188">
        <f>BS!BZ19</f>
        <v>242.70131404125027</v>
      </c>
      <c r="CA70" s="188">
        <f>BS!CA19</f>
        <v>178.98861773836484</v>
      </c>
      <c r="CB70" s="1013">
        <f>BS!CB19</f>
        <v>162.26660965660028</v>
      </c>
      <c r="CC70" s="20"/>
      <c r="CD70" s="188">
        <f>BS!CD19</f>
        <v>367.74799999999999</v>
      </c>
      <c r="CE70" s="188">
        <f>BS!CE19</f>
        <v>412.06799999999998</v>
      </c>
      <c r="CF70" s="188">
        <f>BS!CF19</f>
        <v>394.97300000000001</v>
      </c>
      <c r="CG70" s="188">
        <f>BS!CG19</f>
        <v>367.51400000000001</v>
      </c>
      <c r="CH70" s="188">
        <f>BS!CH19</f>
        <v>376.76400000000001</v>
      </c>
      <c r="CI70" s="188">
        <f>BS!CI19</f>
        <v>390.01400000000001</v>
      </c>
      <c r="CJ70" s="188">
        <f>BS!CJ19</f>
        <v>373.36900000000003</v>
      </c>
      <c r="CK70" s="188">
        <f>BS!CK19</f>
        <v>354.8</v>
      </c>
      <c r="CL70" s="188">
        <f>BS!CL19</f>
        <v>337.91399999999999</v>
      </c>
      <c r="CM70" s="188">
        <f>BS!CM19</f>
        <v>280.24099999999999</v>
      </c>
      <c r="CN70" s="188">
        <f>BS!CN19</f>
        <v>301.50400000000002</v>
      </c>
      <c r="CO70" s="188">
        <f>BS!CO19</f>
        <v>303.98399999999998</v>
      </c>
      <c r="CP70" s="188">
        <f>BS!CP19</f>
        <v>258.29530888638101</v>
      </c>
      <c r="CQ70" s="188">
        <f>BS!CQ19</f>
        <v>195.2568930039721</v>
      </c>
      <c r="CR70" s="22"/>
      <c r="CS70" s="14"/>
    </row>
    <row r="71" spans="1:97" ht="14.25" customHeight="1">
      <c r="A71" s="8"/>
      <c r="B71" s="154" t="s">
        <v>113</v>
      </c>
      <c r="C71" s="155"/>
      <c r="D71" s="156">
        <f>IF(ROUND(D70,4)=ROUND(D68,4),0,(D70-D68))</f>
        <v>0</v>
      </c>
      <c r="E71" s="156">
        <f>IF(ROUND(E70,4)=ROUND(E68,4),0,(E70-E68))</f>
        <v>0</v>
      </c>
      <c r="F71" s="193">
        <f>IF(ROUND(F70,4)=ROUND(F68,4),0,(F70-F68))</f>
        <v>0</v>
      </c>
      <c r="G71" s="156">
        <f>IF(ROUND(G70,4)=ROUND(G68,4),0,(G70-G68))</f>
        <v>0</v>
      </c>
      <c r="H71" s="156">
        <f t="shared" ref="H71:W71" si="224">IF(ROUND(H70,4)=ROUND(H68,4),0,(H70-H68))</f>
        <v>0</v>
      </c>
      <c r="I71" s="156">
        <f t="shared" si="224"/>
        <v>0</v>
      </c>
      <c r="J71" s="193">
        <f t="shared" si="224"/>
        <v>0</v>
      </c>
      <c r="K71" s="156">
        <f t="shared" si="224"/>
        <v>0</v>
      </c>
      <c r="L71" s="156">
        <f t="shared" si="224"/>
        <v>0</v>
      </c>
      <c r="M71" s="156">
        <f t="shared" si="224"/>
        <v>0</v>
      </c>
      <c r="N71" s="193">
        <f t="shared" si="224"/>
        <v>0</v>
      </c>
      <c r="O71" s="156">
        <f t="shared" si="224"/>
        <v>0</v>
      </c>
      <c r="P71" s="156">
        <f t="shared" si="224"/>
        <v>0</v>
      </c>
      <c r="Q71" s="156">
        <f t="shared" si="224"/>
        <v>0</v>
      </c>
      <c r="R71" s="193">
        <f t="shared" si="224"/>
        <v>0</v>
      </c>
      <c r="S71" s="156">
        <f t="shared" si="224"/>
        <v>0</v>
      </c>
      <c r="T71" s="156">
        <f t="shared" si="224"/>
        <v>0</v>
      </c>
      <c r="U71" s="156">
        <f t="shared" si="224"/>
        <v>0</v>
      </c>
      <c r="V71" s="193">
        <f t="shared" si="224"/>
        <v>0</v>
      </c>
      <c r="W71" s="156">
        <f t="shared" si="224"/>
        <v>0</v>
      </c>
      <c r="X71" s="156">
        <f t="shared" ref="X71:AQ71" si="225">IF(ROUND(X70,4)=ROUND(X68,4),0,(X70-X68))</f>
        <v>0</v>
      </c>
      <c r="Y71" s="156">
        <f t="shared" si="225"/>
        <v>0</v>
      </c>
      <c r="Z71" s="193">
        <f>IF(ROUND(Z70,4)=ROUND(Z68,4),0,(Z70-Z68))</f>
        <v>0</v>
      </c>
      <c r="AA71" s="156">
        <f t="shared" si="225"/>
        <v>0</v>
      </c>
      <c r="AB71" s="158">
        <f t="shared" si="225"/>
        <v>0</v>
      </c>
      <c r="AC71" s="156">
        <f t="shared" si="225"/>
        <v>0</v>
      </c>
      <c r="AD71" s="156">
        <f t="shared" si="225"/>
        <v>0</v>
      </c>
      <c r="AE71" s="156">
        <f t="shared" si="225"/>
        <v>0</v>
      </c>
      <c r="AF71" s="158">
        <f t="shared" si="225"/>
        <v>0</v>
      </c>
      <c r="AG71" s="156">
        <f t="shared" si="225"/>
        <v>0</v>
      </c>
      <c r="AH71" s="156">
        <f t="shared" si="225"/>
        <v>0</v>
      </c>
      <c r="AI71" s="156">
        <f t="shared" si="225"/>
        <v>0</v>
      </c>
      <c r="AJ71" s="158">
        <f t="shared" si="225"/>
        <v>0</v>
      </c>
      <c r="AK71" s="156">
        <f t="shared" si="225"/>
        <v>0</v>
      </c>
      <c r="AL71" s="156">
        <f>IF(ROUND(AL70,4)=ROUND(AL68,4),0,(AL70-AL68))</f>
        <v>0</v>
      </c>
      <c r="AM71" s="156">
        <f>IF(ROUND(AM70,4)=ROUND(AM68,4),0,(AM70-AM68))</f>
        <v>0</v>
      </c>
      <c r="AN71" s="158">
        <f t="shared" si="225"/>
        <v>0</v>
      </c>
      <c r="AO71" s="156">
        <f>IF(ROUND(AO70,4)=ROUND(AO68,4),0,(AO70-AO68))</f>
        <v>0</v>
      </c>
      <c r="AP71" s="156">
        <f>IF(ROUND(AP70,4)=ROUND(AP68,4),0,(AP70-AP68))</f>
        <v>0</v>
      </c>
      <c r="AQ71" s="156">
        <f t="shared" si="225"/>
        <v>0</v>
      </c>
      <c r="AR71" s="158">
        <f t="shared" ref="AR71:AY71" si="226">IF(ROUND(AR70,4)=ROUND(AR68,4),0,(AR70-AR68))</f>
        <v>0</v>
      </c>
      <c r="AS71" s="156">
        <f t="shared" si="226"/>
        <v>0</v>
      </c>
      <c r="AT71" s="156">
        <f t="shared" si="226"/>
        <v>0</v>
      </c>
      <c r="AU71" s="156">
        <f t="shared" si="226"/>
        <v>0</v>
      </c>
      <c r="AV71" s="158">
        <f t="shared" si="226"/>
        <v>0</v>
      </c>
      <c r="AW71" s="156">
        <f>IF(ROUND(AW70,4)=ROUND(AW68,4),0,(AW70-AW68))</f>
        <v>0</v>
      </c>
      <c r="AX71" s="156">
        <f>IF(ROUND(AX70,4)=ROUND(AX68,4),0,(AX70-AX68))</f>
        <v>0</v>
      </c>
      <c r="AY71" s="157">
        <f t="shared" si="226"/>
        <v>0</v>
      </c>
      <c r="AZ71" s="158">
        <f t="shared" ref="AZ71:BG71" si="227">IF(ROUND(AZ70,4)=ROUND(AZ68,4),0,(AZ70-AZ68))</f>
        <v>0</v>
      </c>
      <c r="BA71" s="156">
        <f t="shared" si="227"/>
        <v>0</v>
      </c>
      <c r="BB71" s="156">
        <f t="shared" si="227"/>
        <v>0</v>
      </c>
      <c r="BC71" s="157">
        <f t="shared" si="227"/>
        <v>0</v>
      </c>
      <c r="BD71" s="156">
        <f t="shared" si="227"/>
        <v>0</v>
      </c>
      <c r="BE71" s="156">
        <f t="shared" si="227"/>
        <v>0</v>
      </c>
      <c r="BF71" s="156">
        <f t="shared" si="227"/>
        <v>0</v>
      </c>
      <c r="BG71" s="157">
        <f t="shared" si="227"/>
        <v>0</v>
      </c>
      <c r="BH71" s="156">
        <f>IF(ROUND(BH70,4)=ROUND(BH68,4),0,(BH70-BH68))</f>
        <v>0</v>
      </c>
      <c r="BI71" s="156">
        <f>IF(ROUND(BI70,4)=ROUND(BI68,4),0,(BI70-BI68))</f>
        <v>0</v>
      </c>
      <c r="BJ71" s="156">
        <f>IF(ROUND(BJ70,4)=ROUND(BJ68,4),0,(BJ70-BJ68))</f>
        <v>0</v>
      </c>
      <c r="BK71" s="157">
        <f>IF(ROUND(BK70,4)=ROUND(BK68,4),0,(BK70-BK68))</f>
        <v>0</v>
      </c>
      <c r="BL71" s="192"/>
      <c r="BM71" s="156">
        <f t="shared" ref="BM71:BW71" si="228">IF(ROUND(BM70,4)=ROUND(BM68,4),0,(BM70-BM68))</f>
        <v>0</v>
      </c>
      <c r="BN71" s="156">
        <f t="shared" si="228"/>
        <v>0</v>
      </c>
      <c r="BO71" s="156">
        <f t="shared" si="228"/>
        <v>0</v>
      </c>
      <c r="BP71" s="156">
        <f t="shared" si="228"/>
        <v>0</v>
      </c>
      <c r="BQ71" s="156">
        <f t="shared" si="228"/>
        <v>0</v>
      </c>
      <c r="BR71" s="156">
        <f t="shared" si="228"/>
        <v>0</v>
      </c>
      <c r="BS71" s="156">
        <f t="shared" si="228"/>
        <v>0</v>
      </c>
      <c r="BT71" s="156">
        <f t="shared" si="228"/>
        <v>0</v>
      </c>
      <c r="BU71" s="156">
        <f t="shared" si="228"/>
        <v>0</v>
      </c>
      <c r="BV71" s="156">
        <f t="shared" si="228"/>
        <v>0</v>
      </c>
      <c r="BW71" s="156">
        <f t="shared" si="228"/>
        <v>0</v>
      </c>
      <c r="BX71" s="156">
        <f>IF(ROUND(BX70,4)=ROUND(BX68,4),0,(BX70-BX68))</f>
        <v>0</v>
      </c>
      <c r="BY71" s="156">
        <f>IF(ROUND(BY70,4)=ROUND(BY68,4),0,(BY70-BY68))</f>
        <v>0</v>
      </c>
      <c r="BZ71" s="156">
        <f>IF(ROUND(BZ70,4)=ROUND(BZ68,4),0,(BZ70-BZ68))</f>
        <v>0</v>
      </c>
      <c r="CA71" s="156">
        <f>IF(ROUND(CA70,4)=ROUND(CA68,4),0,(CA70-CA68))</f>
        <v>0</v>
      </c>
      <c r="CB71" s="970">
        <f>IF(ROUND(CB70,4)=ROUND(CB68,4),0,(CB70-CB68))</f>
        <v>0</v>
      </c>
      <c r="CC71" s="20"/>
      <c r="CD71" s="156">
        <f t="shared" ref="CD71:CM71" si="229">IF(ROUND(CD70,4)=ROUND(CD68,4),0,(CD70-CD68))</f>
        <v>0</v>
      </c>
      <c r="CE71" s="156">
        <f t="shared" si="229"/>
        <v>0</v>
      </c>
      <c r="CF71" s="156">
        <f t="shared" si="229"/>
        <v>0</v>
      </c>
      <c r="CG71" s="156">
        <f t="shared" si="229"/>
        <v>0</v>
      </c>
      <c r="CH71" s="156">
        <f t="shared" si="229"/>
        <v>0</v>
      </c>
      <c r="CI71" s="156">
        <f t="shared" si="229"/>
        <v>0</v>
      </c>
      <c r="CJ71" s="156">
        <f t="shared" si="229"/>
        <v>0</v>
      </c>
      <c r="CK71" s="156">
        <f t="shared" si="229"/>
        <v>0</v>
      </c>
      <c r="CL71" s="156">
        <f t="shared" si="229"/>
        <v>0</v>
      </c>
      <c r="CM71" s="156">
        <f t="shared" si="229"/>
        <v>0</v>
      </c>
      <c r="CN71" s="156">
        <f>IF(ROUND(CN70,4)=ROUND(CN68,4),0,(CN70-CN68))</f>
        <v>0</v>
      </c>
      <c r="CO71" s="156">
        <f>IF(ROUND(CO70,4)=ROUND(CO68,4),0,(CO70-CO68))</f>
        <v>0</v>
      </c>
      <c r="CP71" s="156">
        <f>IF(ROUND(CP70,4)=ROUND(CP68,4),0,(CP70-CP68))</f>
        <v>0</v>
      </c>
      <c r="CQ71" s="156">
        <f>IF(ROUND(CQ70,4)=ROUND(CQ68,4),0,(CQ70-CQ68))</f>
        <v>0</v>
      </c>
      <c r="CR71" s="22"/>
      <c r="CS71" s="14"/>
    </row>
    <row r="72" spans="1:97" ht="14.25" customHeight="1">
      <c r="A72" s="8"/>
      <c r="B72" s="71"/>
      <c r="C72" s="71"/>
      <c r="D72" s="288"/>
      <c r="E72" s="288"/>
      <c r="F72" s="288"/>
      <c r="G72" s="287"/>
      <c r="H72" s="288"/>
      <c r="I72" s="288"/>
      <c r="J72" s="288"/>
      <c r="K72" s="287"/>
      <c r="L72" s="288"/>
      <c r="M72" s="288"/>
      <c r="N72" s="288"/>
      <c r="O72" s="287"/>
      <c r="P72" s="288"/>
      <c r="Q72" s="288"/>
      <c r="R72" s="288"/>
      <c r="S72" s="287"/>
      <c r="T72" s="288"/>
      <c r="U72" s="288"/>
      <c r="V72" s="288"/>
      <c r="W72" s="287"/>
      <c r="X72" s="288"/>
      <c r="Y72" s="288"/>
      <c r="Z72" s="288"/>
      <c r="AA72" s="287"/>
      <c r="AB72" s="288"/>
      <c r="AC72" s="289"/>
      <c r="AD72" s="289"/>
      <c r="AE72" s="287"/>
      <c r="AF72" s="288"/>
      <c r="AG72" s="289"/>
      <c r="AH72" s="289"/>
      <c r="AI72" s="289"/>
      <c r="AJ72" s="289"/>
      <c r="AK72" s="289"/>
      <c r="AL72" s="289"/>
      <c r="AM72" s="289"/>
      <c r="AN72" s="289"/>
      <c r="AO72" s="289"/>
      <c r="AP72" s="289"/>
      <c r="AQ72" s="289"/>
      <c r="AR72" s="289"/>
      <c r="AS72" s="289"/>
      <c r="AT72" s="289"/>
      <c r="AU72" s="289"/>
      <c r="AV72" s="289"/>
      <c r="AW72" s="289"/>
      <c r="AX72" s="289"/>
      <c r="AY72" s="289"/>
      <c r="AZ72" s="289"/>
      <c r="BA72" s="850"/>
      <c r="BB72" s="289"/>
      <c r="BC72" s="289"/>
      <c r="BD72" s="289"/>
      <c r="BE72" s="850"/>
      <c r="BF72" s="289"/>
      <c r="BG72" s="289"/>
      <c r="BH72" s="289"/>
      <c r="BI72" s="850"/>
      <c r="BJ72" s="289"/>
      <c r="BK72" s="289"/>
      <c r="BL72" s="8"/>
      <c r="BM72" s="260"/>
      <c r="BN72" s="260"/>
      <c r="BO72" s="260"/>
      <c r="BP72" s="260"/>
      <c r="BQ72" s="260"/>
      <c r="BR72" s="260"/>
      <c r="BS72" s="260"/>
      <c r="BT72" s="260"/>
      <c r="BU72" s="260"/>
      <c r="BV72" s="260"/>
      <c r="BW72" s="852"/>
      <c r="BX72" s="852"/>
      <c r="BY72" s="852"/>
      <c r="BZ72" s="852"/>
      <c r="CA72" s="852"/>
      <c r="CB72" s="1006"/>
      <c r="CC72" s="8"/>
      <c r="CD72" s="260"/>
      <c r="CE72" s="260"/>
      <c r="CF72" s="260"/>
      <c r="CG72" s="260"/>
      <c r="CH72" s="260"/>
      <c r="CI72" s="260"/>
      <c r="CJ72" s="260"/>
      <c r="CK72" s="260"/>
      <c r="CL72" s="260"/>
      <c r="CM72" s="260"/>
      <c r="CN72" s="260"/>
      <c r="CO72" s="852"/>
      <c r="CP72" s="852"/>
      <c r="CQ72" s="260"/>
      <c r="CR72" s="8"/>
      <c r="CS72" s="8"/>
    </row>
    <row r="73" spans="1:97" ht="14.25" customHeight="1">
      <c r="A73" s="8"/>
      <c r="B73" s="71"/>
      <c r="C73" s="71"/>
      <c r="D73" s="290"/>
      <c r="E73" s="290"/>
      <c r="F73" s="290"/>
      <c r="G73" s="270"/>
      <c r="H73" s="290"/>
      <c r="I73" s="290"/>
      <c r="J73" s="290"/>
      <c r="K73" s="270"/>
      <c r="L73" s="290"/>
      <c r="M73" s="290"/>
      <c r="N73" s="290"/>
      <c r="O73" s="270"/>
      <c r="P73" s="290"/>
      <c r="Q73" s="290"/>
      <c r="R73" s="290"/>
      <c r="S73" s="270"/>
      <c r="T73" s="290"/>
      <c r="U73" s="290"/>
      <c r="V73" s="290"/>
      <c r="W73" s="270"/>
      <c r="X73" s="290"/>
      <c r="Y73" s="290"/>
      <c r="Z73" s="290"/>
      <c r="AA73" s="270"/>
      <c r="AB73" s="290"/>
      <c r="AC73" s="289"/>
      <c r="AD73" s="289"/>
      <c r="AE73" s="270"/>
      <c r="AF73" s="290"/>
      <c r="AG73" s="289"/>
      <c r="AH73" s="289"/>
      <c r="AI73" s="289"/>
      <c r="AJ73" s="289"/>
      <c r="AK73" s="289"/>
      <c r="AL73" s="289"/>
      <c r="AM73" s="289"/>
      <c r="AN73" s="289"/>
      <c r="AO73" s="289"/>
      <c r="AP73" s="289"/>
      <c r="AQ73" s="289"/>
      <c r="AR73" s="289"/>
      <c r="AS73" s="289"/>
      <c r="AT73" s="289"/>
      <c r="AU73" s="289"/>
      <c r="AV73" s="289"/>
      <c r="AW73" s="289"/>
      <c r="AX73" s="289"/>
      <c r="AY73" s="289"/>
      <c r="AZ73" s="289"/>
      <c r="BA73" s="850"/>
      <c r="BB73" s="289"/>
      <c r="BC73" s="289"/>
      <c r="BD73" s="289"/>
      <c r="BE73" s="850"/>
      <c r="BF73" s="289"/>
      <c r="BG73" s="289"/>
      <c r="BH73" s="289"/>
      <c r="BI73" s="850"/>
      <c r="BJ73" s="289"/>
      <c r="BK73" s="289"/>
      <c r="BL73" s="8"/>
      <c r="BM73" s="260"/>
      <c r="BN73" s="260"/>
      <c r="BO73" s="260"/>
      <c r="BP73" s="260"/>
      <c r="BQ73" s="260"/>
      <c r="BR73" s="260"/>
      <c r="BS73" s="260"/>
      <c r="BT73" s="260"/>
      <c r="BU73" s="260"/>
      <c r="BV73" s="260"/>
      <c r="BW73" s="852"/>
      <c r="BX73" s="920">
        <f>BX74/BX68</f>
        <v>0.14942812474286188</v>
      </c>
      <c r="BY73" s="852"/>
      <c r="BZ73" s="852"/>
      <c r="CA73" s="852"/>
      <c r="CB73" s="1006"/>
      <c r="CC73" s="8"/>
      <c r="CD73" s="260"/>
      <c r="CE73" s="260"/>
      <c r="CF73" s="260"/>
      <c r="CG73" s="260"/>
      <c r="CH73" s="260"/>
      <c r="CI73" s="260"/>
      <c r="CJ73" s="260"/>
      <c r="CK73" s="260"/>
      <c r="CL73" s="260"/>
      <c r="CM73" s="260"/>
      <c r="CN73" s="260"/>
      <c r="CO73" s="852"/>
      <c r="CP73" s="921">
        <f>CP76-CP74</f>
        <v>62.866500707338965</v>
      </c>
      <c r="CQ73" s="921">
        <f>CQ76-CQ74</f>
        <v>76.683770420298487</v>
      </c>
      <c r="CR73" s="8"/>
      <c r="CS73" s="8"/>
    </row>
    <row r="74" spans="1:97" ht="14.25" customHeight="1">
      <c r="A74" s="8"/>
      <c r="B74" s="71"/>
      <c r="C74" s="71"/>
      <c r="D74" s="260"/>
      <c r="E74" s="260"/>
      <c r="F74" s="260"/>
      <c r="G74" s="291"/>
      <c r="H74" s="260"/>
      <c r="I74" s="260"/>
      <c r="J74" s="260"/>
      <c r="K74" s="291"/>
      <c r="L74" s="260"/>
      <c r="M74" s="260"/>
      <c r="N74" s="260"/>
      <c r="O74" s="291"/>
      <c r="P74" s="260"/>
      <c r="Q74" s="260"/>
      <c r="R74" s="260"/>
      <c r="S74" s="291"/>
      <c r="T74" s="260"/>
      <c r="U74" s="260"/>
      <c r="V74" s="260"/>
      <c r="W74" s="291"/>
      <c r="X74" s="260"/>
      <c r="Y74" s="260"/>
      <c r="Z74" s="260"/>
      <c r="AA74" s="291"/>
      <c r="AB74" s="260"/>
      <c r="AC74" s="260"/>
      <c r="AD74" s="260"/>
      <c r="AE74" s="291"/>
      <c r="AF74" s="260"/>
      <c r="AG74" s="260"/>
      <c r="AH74" s="260"/>
      <c r="AI74" s="260"/>
      <c r="AJ74" s="260"/>
      <c r="AK74" s="260"/>
      <c r="AL74" s="260"/>
      <c r="AM74" s="260"/>
      <c r="AN74" s="260"/>
      <c r="AO74" s="260"/>
      <c r="AP74" s="260"/>
      <c r="AQ74" s="260"/>
      <c r="AR74" s="260"/>
      <c r="AS74" s="260"/>
      <c r="AT74" s="260"/>
      <c r="AU74" s="260"/>
      <c r="AV74" s="260"/>
      <c r="AW74" s="260"/>
      <c r="AX74" s="260"/>
      <c r="AY74" s="260"/>
      <c r="AZ74" s="260"/>
      <c r="BA74" s="260"/>
      <c r="BB74" s="260"/>
      <c r="BC74" s="260"/>
      <c r="BD74" s="260"/>
      <c r="BE74" s="260"/>
      <c r="BF74" s="260"/>
      <c r="BG74" s="260"/>
      <c r="BH74" s="260"/>
      <c r="BI74" s="260"/>
      <c r="BJ74" s="260"/>
      <c r="BK74" s="260"/>
      <c r="BL74" s="8"/>
      <c r="BM74" s="260"/>
      <c r="BN74" s="260"/>
      <c r="BO74" s="260"/>
      <c r="BP74" s="260"/>
      <c r="BQ74" s="260"/>
      <c r="BR74" s="260"/>
      <c r="BS74" s="260"/>
      <c r="BT74" s="260"/>
      <c r="BU74" s="260"/>
      <c r="BV74" s="260"/>
      <c r="BW74" s="260"/>
      <c r="BX74" s="260">
        <v>45.4</v>
      </c>
      <c r="BY74" s="852"/>
      <c r="BZ74" s="852"/>
      <c r="CA74" s="852"/>
      <c r="CB74" s="1006"/>
      <c r="CC74" s="8"/>
      <c r="CD74" s="260"/>
      <c r="CE74" s="260"/>
      <c r="CF74" s="260"/>
      <c r="CG74" s="260"/>
      <c r="CH74" s="260"/>
      <c r="CI74" s="260"/>
      <c r="CJ74" s="260"/>
      <c r="CK74" s="260"/>
      <c r="CL74" s="260"/>
      <c r="CM74" s="260"/>
      <c r="CN74" s="260"/>
      <c r="CO74" s="260"/>
      <c r="CP74" s="260">
        <f>CP68*BX73</f>
        <v>38.596583636770184</v>
      </c>
      <c r="CQ74" s="260">
        <f>CQ68*BX73</f>
        <v>29.176871364701178</v>
      </c>
      <c r="CR74" s="8"/>
      <c r="CS74" s="8"/>
    </row>
    <row r="75" spans="1:97" ht="14.25" customHeight="1">
      <c r="A75" s="8"/>
      <c r="B75" s="164" t="s">
        <v>169</v>
      </c>
      <c r="C75" s="165"/>
      <c r="D75" s="292" t="str">
        <f>D60</f>
        <v>F1Q06A</v>
      </c>
      <c r="E75" s="262" t="str">
        <f>E60</f>
        <v>F2Q06A</v>
      </c>
      <c r="F75" s="262" t="str">
        <f>F60</f>
        <v>F3Q06A</v>
      </c>
      <c r="G75" s="263" t="str">
        <f>G60</f>
        <v>F4Q06A</v>
      </c>
      <c r="H75" s="292" t="str">
        <f t="shared" ref="H75:W75" si="230">H60</f>
        <v>F1Q07A</v>
      </c>
      <c r="I75" s="262" t="str">
        <f t="shared" si="230"/>
        <v>F2Q07A</v>
      </c>
      <c r="J75" s="262" t="str">
        <f t="shared" si="230"/>
        <v>F3Q07A</v>
      </c>
      <c r="K75" s="263" t="str">
        <f t="shared" si="230"/>
        <v>F4Q07A</v>
      </c>
      <c r="L75" s="292" t="str">
        <f t="shared" si="230"/>
        <v>F1Q08A</v>
      </c>
      <c r="M75" s="262" t="str">
        <f t="shared" si="230"/>
        <v>F2Q08A</v>
      </c>
      <c r="N75" s="262" t="str">
        <f t="shared" si="230"/>
        <v>F3Q08A</v>
      </c>
      <c r="O75" s="263" t="str">
        <f t="shared" si="230"/>
        <v>F4Q08A</v>
      </c>
      <c r="P75" s="292" t="str">
        <f t="shared" si="230"/>
        <v>F1Q09A</v>
      </c>
      <c r="Q75" s="262" t="str">
        <f t="shared" si="230"/>
        <v>F2Q09A</v>
      </c>
      <c r="R75" s="262" t="str">
        <f t="shared" si="230"/>
        <v>F3Q09A</v>
      </c>
      <c r="S75" s="263" t="str">
        <f t="shared" si="230"/>
        <v>F4Q09A</v>
      </c>
      <c r="T75" s="292" t="str">
        <f t="shared" si="230"/>
        <v>F1Q10A</v>
      </c>
      <c r="U75" s="262" t="str">
        <f t="shared" si="230"/>
        <v>F2Q10A</v>
      </c>
      <c r="V75" s="262" t="str">
        <f t="shared" si="230"/>
        <v>F3Q10A</v>
      </c>
      <c r="W75" s="263" t="str">
        <f t="shared" si="230"/>
        <v>F4Q10A</v>
      </c>
      <c r="X75" s="292" t="str">
        <f t="shared" ref="X75:AQ75" si="231">X60</f>
        <v>F1Q11A</v>
      </c>
      <c r="Y75" s="262" t="str">
        <f t="shared" si="231"/>
        <v>F2Q11A</v>
      </c>
      <c r="Z75" s="262" t="str">
        <f t="shared" si="231"/>
        <v>F3Q11A</v>
      </c>
      <c r="AA75" s="263" t="str">
        <f t="shared" si="231"/>
        <v>F4Q11A</v>
      </c>
      <c r="AB75" s="292" t="str">
        <f>AB60</f>
        <v>F1Q12A</v>
      </c>
      <c r="AC75" s="262" t="str">
        <f>AC60</f>
        <v>F2Q12A</v>
      </c>
      <c r="AD75" s="262" t="str">
        <f t="shared" si="231"/>
        <v>F3Q12A</v>
      </c>
      <c r="AE75" s="263" t="str">
        <f t="shared" si="231"/>
        <v>F4Q12A</v>
      </c>
      <c r="AF75" s="292" t="str">
        <f>AF60</f>
        <v>F1Q13A</v>
      </c>
      <c r="AG75" s="262" t="str">
        <f>AG60</f>
        <v>F2Q13A</v>
      </c>
      <c r="AH75" s="262" t="str">
        <f>AH60</f>
        <v>F3Q13A</v>
      </c>
      <c r="AI75" s="263" t="str">
        <f t="shared" si="231"/>
        <v>F4Q13A</v>
      </c>
      <c r="AJ75" s="292" t="str">
        <f t="shared" si="231"/>
        <v>F1Q14A</v>
      </c>
      <c r="AK75" s="262" t="str">
        <f t="shared" si="231"/>
        <v>F2Q14A</v>
      </c>
      <c r="AL75" s="262" t="str">
        <f t="shared" si="231"/>
        <v>F3Q14A</v>
      </c>
      <c r="AM75" s="263" t="str">
        <f>AM60</f>
        <v>F4Q14A</v>
      </c>
      <c r="AN75" s="292" t="str">
        <f t="shared" si="231"/>
        <v>F1Q15A</v>
      </c>
      <c r="AO75" s="262" t="str">
        <f t="shared" si="231"/>
        <v>F2Q15A</v>
      </c>
      <c r="AP75" s="262" t="str">
        <f t="shared" si="231"/>
        <v>F3Q15A</v>
      </c>
      <c r="AQ75" s="263" t="str">
        <f t="shared" si="231"/>
        <v>F4Q15A</v>
      </c>
      <c r="AR75" s="292" t="str">
        <f t="shared" ref="AR75:AY75" si="232">AR60</f>
        <v>F1Q16A</v>
      </c>
      <c r="AS75" s="262" t="str">
        <f t="shared" si="232"/>
        <v>F2Q16A</v>
      </c>
      <c r="AT75" s="262" t="str">
        <f t="shared" si="232"/>
        <v>F3Q16A</v>
      </c>
      <c r="AU75" s="263" t="str">
        <f t="shared" si="232"/>
        <v>F4Q16A</v>
      </c>
      <c r="AV75" s="292" t="str">
        <f>AV60</f>
        <v>F1Q17A</v>
      </c>
      <c r="AW75" s="262" t="str">
        <f>AW60</f>
        <v>F2Q17A</v>
      </c>
      <c r="AX75" s="262" t="str">
        <f>AX60</f>
        <v>F3Q17A</v>
      </c>
      <c r="AY75" s="263" t="str">
        <f t="shared" si="232"/>
        <v>F4Q17A</v>
      </c>
      <c r="AZ75" s="262" t="str">
        <f t="shared" ref="AZ75:BG75" si="233">AZ60</f>
        <v>F1Q18A</v>
      </c>
      <c r="BA75" s="262" t="str">
        <f t="shared" si="233"/>
        <v>F2Q18A</v>
      </c>
      <c r="BB75" s="262" t="str">
        <f t="shared" si="233"/>
        <v>F3Q18A</v>
      </c>
      <c r="BC75" s="263" t="str">
        <f t="shared" si="233"/>
        <v>F4Q18A</v>
      </c>
      <c r="BD75" s="262" t="str">
        <f t="shared" si="233"/>
        <v>F1Q19E</v>
      </c>
      <c r="BE75" s="262" t="str">
        <f t="shared" si="233"/>
        <v>F2Q19E</v>
      </c>
      <c r="BF75" s="262" t="str">
        <f t="shared" si="233"/>
        <v>F3Q19E</v>
      </c>
      <c r="BG75" s="263" t="str">
        <f t="shared" si="233"/>
        <v>F4Q19E</v>
      </c>
      <c r="BH75" s="262" t="str">
        <f>BH60</f>
        <v>F1Q20E</v>
      </c>
      <c r="BI75" s="262" t="str">
        <f>BI60</f>
        <v>F2Q20E</v>
      </c>
      <c r="BJ75" s="262" t="str">
        <f>BJ60</f>
        <v>F3Q20E</v>
      </c>
      <c r="BK75" s="263" t="str">
        <f>BK60</f>
        <v>F4Q20E</v>
      </c>
      <c r="BL75" s="20"/>
      <c r="BM75" s="17" t="str">
        <f>BM60</f>
        <v>FY2006A</v>
      </c>
      <c r="BN75" s="18" t="str">
        <f>BN60</f>
        <v>FY2007A</v>
      </c>
      <c r="BO75" s="18" t="str">
        <f>BO60</f>
        <v>FY2008A</v>
      </c>
      <c r="BP75" s="18" t="str">
        <f>BP60</f>
        <v>FY2009A</v>
      </c>
      <c r="BQ75" s="18" t="str">
        <f t="shared" ref="BQ75:BV75" si="234">BQ60</f>
        <v>FY2010A</v>
      </c>
      <c r="BR75" s="18" t="str">
        <f t="shared" si="234"/>
        <v>FY2011A</v>
      </c>
      <c r="BS75" s="18" t="str">
        <f t="shared" si="234"/>
        <v>FY2012A</v>
      </c>
      <c r="BT75" s="18" t="str">
        <f t="shared" si="234"/>
        <v>FY2013A</v>
      </c>
      <c r="BU75" s="18" t="str">
        <f t="shared" si="234"/>
        <v>FY2014</v>
      </c>
      <c r="BV75" s="18" t="str">
        <f t="shared" si="234"/>
        <v>FY2015</v>
      </c>
      <c r="BW75" s="18" t="str">
        <f t="shared" ref="BW75:CB75" si="235">BW60</f>
        <v>FY2016</v>
      </c>
      <c r="BX75" s="18" t="str">
        <f t="shared" si="235"/>
        <v>FY2017</v>
      </c>
      <c r="BY75" s="18" t="str">
        <f t="shared" si="235"/>
        <v>FY2018A</v>
      </c>
      <c r="BZ75" s="18" t="str">
        <f t="shared" si="235"/>
        <v>FY2019E</v>
      </c>
      <c r="CA75" s="18" t="str">
        <f t="shared" si="235"/>
        <v>FY2020E</v>
      </c>
      <c r="CB75" s="1014" t="str">
        <f t="shared" si="235"/>
        <v>FY2021E</v>
      </c>
      <c r="CC75" s="20"/>
      <c r="CD75" s="18" t="str">
        <f t="shared" ref="CD75:CL75" si="236">CD60</f>
        <v>CY2006</v>
      </c>
      <c r="CE75" s="18" t="str">
        <f t="shared" si="236"/>
        <v>CY2007</v>
      </c>
      <c r="CF75" s="18" t="str">
        <f t="shared" si="236"/>
        <v>CY2008</v>
      </c>
      <c r="CG75" s="18" t="str">
        <f t="shared" si="236"/>
        <v>CY2009</v>
      </c>
      <c r="CH75" s="18" t="str">
        <f t="shared" si="236"/>
        <v>CY2010</v>
      </c>
      <c r="CI75" s="18" t="str">
        <f t="shared" si="236"/>
        <v>CY2011</v>
      </c>
      <c r="CJ75" s="18" t="str">
        <f t="shared" si="236"/>
        <v>CY2012</v>
      </c>
      <c r="CK75" s="18" t="str">
        <f t="shared" si="236"/>
        <v>CY2013</v>
      </c>
      <c r="CL75" s="18" t="str">
        <f t="shared" si="236"/>
        <v>CY2014</v>
      </c>
      <c r="CM75" s="18" t="str">
        <f>CM60</f>
        <v>CY2015</v>
      </c>
      <c r="CN75" s="18" t="str">
        <f>CN60</f>
        <v>CY2016</v>
      </c>
      <c r="CO75" s="18" t="str">
        <f>CO60</f>
        <v>CY2017</v>
      </c>
      <c r="CP75" s="18" t="str">
        <f>CP60</f>
        <v>CY2018</v>
      </c>
      <c r="CQ75" s="18" t="str">
        <f>CQ60</f>
        <v>CY2019</v>
      </c>
      <c r="CR75" s="22"/>
      <c r="CS75" s="14"/>
    </row>
    <row r="76" spans="1:97" ht="14.25" customHeight="1">
      <c r="A76" s="8"/>
      <c r="B76" s="50" t="s">
        <v>170</v>
      </c>
      <c r="C76" s="371"/>
      <c r="D76" s="266">
        <f>D65*D77</f>
        <v>17.173999999999999</v>
      </c>
      <c r="E76" s="266">
        <f>E65*E77</f>
        <v>17.142000000000003</v>
      </c>
      <c r="F76" s="266">
        <f>F65*F77</f>
        <v>16.675999999999995</v>
      </c>
      <c r="G76" s="267">
        <f>G65*G77</f>
        <v>18.557000000000009</v>
      </c>
      <c r="H76" s="266">
        <f t="shared" ref="H76:AA76" si="237">H65*H77</f>
        <v>17.169999999999998</v>
      </c>
      <c r="I76" s="266">
        <f t="shared" si="237"/>
        <v>17.292000000000005</v>
      </c>
      <c r="J76" s="266">
        <f t="shared" si="237"/>
        <v>17.030999999999995</v>
      </c>
      <c r="K76" s="267">
        <f t="shared" si="237"/>
        <v>22.431000000000001</v>
      </c>
      <c r="L76" s="266">
        <f t="shared" si="237"/>
        <v>17.051000000000002</v>
      </c>
      <c r="M76" s="266">
        <f t="shared" si="237"/>
        <v>18.983999999999995</v>
      </c>
      <c r="N76" s="266">
        <f t="shared" si="237"/>
        <v>17.825000000000003</v>
      </c>
      <c r="O76" s="267">
        <f t="shared" si="237"/>
        <v>17.810999999999993</v>
      </c>
      <c r="P76" s="266">
        <f t="shared" si="237"/>
        <v>19.594999999999999</v>
      </c>
      <c r="Q76" s="266">
        <f t="shared" si="237"/>
        <v>17.484999999999999</v>
      </c>
      <c r="R76" s="266">
        <f t="shared" si="237"/>
        <v>17.507000000000005</v>
      </c>
      <c r="S76" s="267">
        <f t="shared" si="237"/>
        <v>16.72699999999999</v>
      </c>
      <c r="T76" s="266">
        <f t="shared" si="237"/>
        <v>18.316000000000003</v>
      </c>
      <c r="U76" s="266">
        <f t="shared" si="237"/>
        <v>15.316000000000003</v>
      </c>
      <c r="V76" s="266">
        <f t="shared" si="237"/>
        <v>16.076999999999998</v>
      </c>
      <c r="W76" s="267">
        <f t="shared" si="237"/>
        <v>15.453000000000003</v>
      </c>
      <c r="X76" s="266">
        <f t="shared" si="237"/>
        <v>13.934000000000001</v>
      </c>
      <c r="Y76" s="266">
        <f t="shared" si="237"/>
        <v>14.689999999999998</v>
      </c>
      <c r="Z76" s="266">
        <f t="shared" si="237"/>
        <v>14.373000000000001</v>
      </c>
      <c r="AA76" s="267">
        <f t="shared" si="237"/>
        <v>15.894999999999992</v>
      </c>
      <c r="AB76" s="266">
        <f t="shared" ref="AB76:AG76" si="238">AB65*AB77</f>
        <v>17.408000000000001</v>
      </c>
      <c r="AC76" s="266">
        <f t="shared" si="238"/>
        <v>17.722000000000001</v>
      </c>
      <c r="AD76" s="266">
        <f t="shared" si="238"/>
        <v>18.189</v>
      </c>
      <c r="AE76" s="267">
        <f t="shared" si="238"/>
        <v>19.028999999999996</v>
      </c>
      <c r="AF76" s="266">
        <f t="shared" si="238"/>
        <v>18.87</v>
      </c>
      <c r="AG76" s="266">
        <f t="shared" si="238"/>
        <v>18.339000000000002</v>
      </c>
      <c r="AH76" s="266">
        <f>AH65*AH77</f>
        <v>18.102999999999994</v>
      </c>
      <c r="AI76" s="267">
        <f>+AI13</f>
        <v>18.248000000000008</v>
      </c>
      <c r="AJ76" s="266">
        <f t="shared" ref="AJ76:AO76" si="239">AJ65*AJ77</f>
        <v>18.917999999999999</v>
      </c>
      <c r="AK76" s="266">
        <f t="shared" si="239"/>
        <v>18.860999999999997</v>
      </c>
      <c r="AL76" s="266">
        <f t="shared" si="239"/>
        <v>18.653000000000006</v>
      </c>
      <c r="AM76" s="267">
        <f t="shared" si="239"/>
        <v>18.839999999999989</v>
      </c>
      <c r="AN76" s="266">
        <f t="shared" si="239"/>
        <v>18.673000000000002</v>
      </c>
      <c r="AO76" s="266">
        <f t="shared" si="239"/>
        <v>18.980999999999995</v>
      </c>
      <c r="AP76" s="266">
        <f>AP65*AP77</f>
        <v>18.759</v>
      </c>
      <c r="AQ76" s="267">
        <f>14.409+4.092</f>
        <v>18.501000000000001</v>
      </c>
      <c r="AR76" s="266">
        <f t="shared" ref="AR76:AY76" si="240">AR65*AR77</f>
        <v>17.606999999999999</v>
      </c>
      <c r="AS76" s="266">
        <f t="shared" si="240"/>
        <v>16.826000000000001</v>
      </c>
      <c r="AT76" s="266">
        <f t="shared" si="240"/>
        <v>17.484000000000002</v>
      </c>
      <c r="AU76" s="267">
        <f t="shared" si="240"/>
        <v>16.524000000000001</v>
      </c>
      <c r="AV76" s="266">
        <f t="shared" si="240"/>
        <v>15.338000000000001</v>
      </c>
      <c r="AW76" s="266">
        <f t="shared" si="240"/>
        <v>15.182999999999998</v>
      </c>
      <c r="AX76" s="266">
        <f t="shared" si="240"/>
        <v>15.997000000000002</v>
      </c>
      <c r="AY76" s="874">
        <f t="shared" si="240"/>
        <v>16.108000000000004</v>
      </c>
      <c r="AZ76" s="266">
        <f>11.232+3.729</f>
        <v>14.960999999999999</v>
      </c>
      <c r="BA76" s="266">
        <f>BA65*BA77</f>
        <v>15.164</v>
      </c>
      <c r="BB76" s="266">
        <f>BB65*BB77</f>
        <v>16.909999999999997</v>
      </c>
      <c r="BC76" s="874">
        <f>BC65*BC77</f>
        <v>25.150000000000006</v>
      </c>
      <c r="BD76" s="266">
        <f t="shared" ref="BD76:BK76" si="241">BC65*BD77</f>
        <v>25.150000000000006</v>
      </c>
      <c r="BE76" s="266">
        <f t="shared" si="241"/>
        <v>25.437151836808599</v>
      </c>
      <c r="BF76" s="266">
        <f t="shared" si="241"/>
        <v>25.725932507300534</v>
      </c>
      <c r="BG76" s="267">
        <f t="shared" si="241"/>
        <v>26.01413411733526</v>
      </c>
      <c r="BH76" s="266">
        <f t="shared" si="241"/>
        <v>26.30944360957233</v>
      </c>
      <c r="BI76" s="266">
        <f t="shared" si="241"/>
        <v>26.614620242120061</v>
      </c>
      <c r="BJ76" s="266">
        <f t="shared" si="241"/>
        <v>26.922443815972031</v>
      </c>
      <c r="BK76" s="267">
        <f t="shared" si="241"/>
        <v>27.227727281246956</v>
      </c>
      <c r="BL76" s="20"/>
      <c r="BM76" s="268">
        <f>BM65*BM77</f>
        <v>69.549000000000007</v>
      </c>
      <c r="BN76" s="188">
        <f>BN65*BN77</f>
        <v>73.923999999999992</v>
      </c>
      <c r="BO76" s="188">
        <f>BO65*BO77</f>
        <v>71.670999999999992</v>
      </c>
      <c r="BP76" s="188">
        <f>BP65*BP77</f>
        <v>71.313999999999993</v>
      </c>
      <c r="BQ76" s="188">
        <f t="shared" ref="BQ76:BV76" si="242">BQ65*BQ77</f>
        <v>65.162000000000006</v>
      </c>
      <c r="BR76" s="188">
        <f t="shared" si="242"/>
        <v>58.891999999999989</v>
      </c>
      <c r="BS76" s="188">
        <f t="shared" si="242"/>
        <v>72.347999999999999</v>
      </c>
      <c r="BT76" s="188">
        <f t="shared" si="242"/>
        <v>73.56</v>
      </c>
      <c r="BU76" s="188">
        <f t="shared" si="242"/>
        <v>75.271999999999991</v>
      </c>
      <c r="BV76" s="188">
        <f t="shared" si="242"/>
        <v>74.914000000000001</v>
      </c>
      <c r="BW76" s="188">
        <f>BW65*BW77</f>
        <v>68.441000000000003</v>
      </c>
      <c r="BX76" s="188">
        <f>BX65*BX77</f>
        <v>62.626000000000005</v>
      </c>
      <c r="BY76" s="188">
        <f>BY65*BY77</f>
        <v>72.185000000000002</v>
      </c>
      <c r="BZ76" s="188">
        <f>BZ65*BZ77</f>
        <v>102.3272184614444</v>
      </c>
      <c r="CA76" s="188">
        <f>CA65*CA77</f>
        <v>107.07423494891138</v>
      </c>
      <c r="CB76" s="980">
        <f>CA65*CB77</f>
        <v>77.736245691897651</v>
      </c>
      <c r="CC76" s="20"/>
      <c r="CD76" s="268">
        <f t="shared" ref="CD76:CL76" si="243">CD65*CD77</f>
        <v>70.05</v>
      </c>
      <c r="CE76" s="268">
        <f t="shared" si="243"/>
        <v>76.290999999999997</v>
      </c>
      <c r="CF76" s="268">
        <f t="shared" si="243"/>
        <v>72.397999999999996</v>
      </c>
      <c r="CG76" s="268">
        <f t="shared" si="243"/>
        <v>66.435999999999993</v>
      </c>
      <c r="CH76" s="268">
        <f t="shared" si="243"/>
        <v>58.45</v>
      </c>
      <c r="CI76" s="188">
        <f t="shared" si="243"/>
        <v>69.213999999999999</v>
      </c>
      <c r="CJ76" s="188">
        <f t="shared" si="243"/>
        <v>74.340999999999994</v>
      </c>
      <c r="CK76" s="188">
        <f t="shared" si="243"/>
        <v>74.680000000000007</v>
      </c>
      <c r="CL76" s="188">
        <f t="shared" si="243"/>
        <v>75.252999999999986</v>
      </c>
      <c r="CM76" s="188">
        <f>CM65*CM77</f>
        <v>70.418000000000006</v>
      </c>
      <c r="CN76" s="188">
        <f>CN65*CN77</f>
        <v>63.042000000000002</v>
      </c>
      <c r="CO76" s="188">
        <f>CO65*CO77</f>
        <v>63.143000000000008</v>
      </c>
      <c r="CP76" s="188">
        <f>CP65*CP77</f>
        <v>101.46308434410915</v>
      </c>
      <c r="CQ76" s="188">
        <f>CQ65*CQ77</f>
        <v>105.86064178499967</v>
      </c>
      <c r="CR76" s="770"/>
      <c r="CS76" s="889"/>
    </row>
    <row r="77" spans="1:97" ht="14.25" customHeight="1">
      <c r="A77" s="8"/>
      <c r="B77" s="357" t="s">
        <v>171</v>
      </c>
      <c r="C77" s="375"/>
      <c r="D77" s="296">
        <f>D79/D65</f>
        <v>2.734334574668796E-2</v>
      </c>
      <c r="E77" s="294">
        <f>E79/E65</f>
        <v>2.6734415061853166E-2</v>
      </c>
      <c r="F77" s="294">
        <f>F79/F65</f>
        <v>2.5586183828967185E-2</v>
      </c>
      <c r="G77" s="295">
        <f>G79/G65</f>
        <v>2.7848310222702455E-2</v>
      </c>
      <c r="H77" s="296">
        <f t="shared" ref="H77:W77" si="244">H79/H65</f>
        <v>2.5255533933170649E-2</v>
      </c>
      <c r="I77" s="294">
        <f t="shared" si="244"/>
        <v>2.4963800179880272E-2</v>
      </c>
      <c r="J77" s="294">
        <f t="shared" si="244"/>
        <v>2.4046491860959283E-2</v>
      </c>
      <c r="K77" s="295">
        <f t="shared" si="244"/>
        <v>2.9506825204519357E-2</v>
      </c>
      <c r="L77" s="296">
        <f t="shared" si="244"/>
        <v>2.1986197861596946E-2</v>
      </c>
      <c r="M77" s="294">
        <f t="shared" si="244"/>
        <v>2.434420427382869E-2</v>
      </c>
      <c r="N77" s="294">
        <f t="shared" si="244"/>
        <v>2.2545083843680674E-2</v>
      </c>
      <c r="O77" s="295">
        <f t="shared" si="244"/>
        <v>2.2561391152783081E-2</v>
      </c>
      <c r="P77" s="296">
        <f t="shared" si="244"/>
        <v>2.4547201531334478E-2</v>
      </c>
      <c r="Q77" s="294">
        <f t="shared" si="244"/>
        <v>2.1642315709214415E-2</v>
      </c>
      <c r="R77" s="294">
        <f t="shared" si="244"/>
        <v>2.1451081682464693E-2</v>
      </c>
      <c r="S77" s="295">
        <f t="shared" si="244"/>
        <v>2.1532991421303577E-2</v>
      </c>
      <c r="T77" s="296">
        <f t="shared" si="244"/>
        <v>2.4651612260664289E-2</v>
      </c>
      <c r="U77" s="294">
        <f t="shared" si="244"/>
        <v>2.0895636419200631E-2</v>
      </c>
      <c r="V77" s="294">
        <f t="shared" si="244"/>
        <v>2.2298506220613322E-2</v>
      </c>
      <c r="W77" s="295">
        <f t="shared" si="244"/>
        <v>2.1615459396703063E-2</v>
      </c>
      <c r="X77" s="296">
        <f t="shared" ref="X77:AC77" si="245">X79/X65</f>
        <v>1.9149211026119557E-2</v>
      </c>
      <c r="Y77" s="294">
        <f t="shared" si="245"/>
        <v>1.9834384911285342E-2</v>
      </c>
      <c r="Z77" s="294">
        <f t="shared" si="245"/>
        <v>1.9275282631727175E-2</v>
      </c>
      <c r="AA77" s="295">
        <f t="shared" si="245"/>
        <v>2.1251676268582671E-2</v>
      </c>
      <c r="AB77" s="296">
        <f t="shared" si="245"/>
        <v>2.294432889683224E-2</v>
      </c>
      <c r="AC77" s="294">
        <f t="shared" si="245"/>
        <v>2.2928396952885653E-2</v>
      </c>
      <c r="AD77" s="294">
        <f t="shared" ref="AD77:AI77" si="246">AD79/AD65</f>
        <v>2.3186621132216898E-2</v>
      </c>
      <c r="AE77" s="295">
        <f t="shared" si="246"/>
        <v>2.4135551773035249E-2</v>
      </c>
      <c r="AF77" s="296">
        <f t="shared" si="246"/>
        <v>2.3754105356443758E-2</v>
      </c>
      <c r="AG77" s="294">
        <f t="shared" si="246"/>
        <v>2.2958158540111993E-2</v>
      </c>
      <c r="AH77" s="294">
        <f t="shared" si="246"/>
        <v>2.2797192757990595E-2</v>
      </c>
      <c r="AI77" s="294">
        <f t="shared" si="246"/>
        <v>2.3251902405211043E-2</v>
      </c>
      <c r="AJ77" s="296">
        <f t="shared" ref="AJ77:AO77" si="247">AJ79/AJ65</f>
        <v>2.3809733572127081E-2</v>
      </c>
      <c r="AK77" s="294">
        <f t="shared" si="247"/>
        <v>2.3527577324410125E-2</v>
      </c>
      <c r="AL77" s="294">
        <f t="shared" si="247"/>
        <v>2.3255408038718711E-2</v>
      </c>
      <c r="AM77" s="294">
        <f t="shared" si="247"/>
        <v>2.3258397837117133E-2</v>
      </c>
      <c r="AN77" s="296">
        <f t="shared" si="247"/>
        <v>2.2831982627493752E-2</v>
      </c>
      <c r="AO77" s="294">
        <f t="shared" si="247"/>
        <v>2.2989076524883932E-2</v>
      </c>
      <c r="AP77" s="294">
        <f>AP79/AP65</f>
        <v>2.2560297292259217E-2</v>
      </c>
      <c r="AQ77" s="294">
        <v>0.02</v>
      </c>
      <c r="AR77" s="296">
        <f t="shared" ref="AR77:AZ77" si="248">AR79/AR65</f>
        <v>2.1825200067432889E-2</v>
      </c>
      <c r="AS77" s="294">
        <f t="shared" si="248"/>
        <v>2.0781511297306775E-2</v>
      </c>
      <c r="AT77" s="294">
        <f t="shared" si="248"/>
        <v>2.1913454138915558E-2</v>
      </c>
      <c r="AU77" s="294">
        <f t="shared" si="248"/>
        <v>2.0385352746545075E-2</v>
      </c>
      <c r="AV77" s="296">
        <f t="shared" si="248"/>
        <v>1.8564220122413957E-2</v>
      </c>
      <c r="AW77" s="294">
        <f t="shared" si="248"/>
        <v>1.8198228001035582E-2</v>
      </c>
      <c r="AX77" s="294">
        <f t="shared" si="248"/>
        <v>1.9124164206957481E-2</v>
      </c>
      <c r="AY77" s="295">
        <f t="shared" si="248"/>
        <v>1.9188571673627513E-2</v>
      </c>
      <c r="AZ77" s="296">
        <f t="shared" si="248"/>
        <v>1.7680384593567414E-2</v>
      </c>
      <c r="BA77" s="294">
        <f>BA79/BA65</f>
        <v>1.7735278397322165E-2</v>
      </c>
      <c r="BB77" s="294">
        <f>BB79/BB65</f>
        <v>1.9613824556601132E-2</v>
      </c>
      <c r="BC77" s="295">
        <f>BC79/BC65</f>
        <v>2.834026345739946E-2</v>
      </c>
      <c r="BD77" s="297">
        <f t="shared" ref="BD77:BK77" si="249">BC77</f>
        <v>2.834026345739946E-2</v>
      </c>
      <c r="BE77" s="297">
        <f t="shared" si="249"/>
        <v>2.834026345739946E-2</v>
      </c>
      <c r="BF77" s="297">
        <f t="shared" si="249"/>
        <v>2.834026345739946E-2</v>
      </c>
      <c r="BG77" s="298">
        <f t="shared" si="249"/>
        <v>2.834026345739946E-2</v>
      </c>
      <c r="BH77" s="297">
        <f t="shared" si="249"/>
        <v>2.834026345739946E-2</v>
      </c>
      <c r="BI77" s="297">
        <f t="shared" si="249"/>
        <v>2.834026345739946E-2</v>
      </c>
      <c r="BJ77" s="297">
        <f t="shared" si="249"/>
        <v>2.834026345739946E-2</v>
      </c>
      <c r="BK77" s="298">
        <f t="shared" si="249"/>
        <v>2.834026345739946E-2</v>
      </c>
      <c r="BL77" s="20"/>
      <c r="BM77" s="294">
        <f>BM79/BM65</f>
        <v>0.10437151089501172</v>
      </c>
      <c r="BN77" s="277">
        <f>BN79/BN65</f>
        <v>9.7243214587797625E-2</v>
      </c>
      <c r="BO77" s="277">
        <f>BO79/BO65</f>
        <v>9.0786450244855238E-2</v>
      </c>
      <c r="BP77" s="277">
        <f>BP79/BP65</f>
        <v>9.1803894913543627E-2</v>
      </c>
      <c r="BQ77" s="277">
        <f t="shared" ref="BQ77:BV77" si="250">BQ79/BQ65</f>
        <v>9.1147774879179758E-2</v>
      </c>
      <c r="BR77" s="277">
        <f t="shared" si="250"/>
        <v>7.873883100404977E-2</v>
      </c>
      <c r="BS77" s="277">
        <f t="shared" si="250"/>
        <v>9.176304060515815E-2</v>
      </c>
      <c r="BT77" s="277">
        <f t="shared" si="250"/>
        <v>9.3731364583917343E-2</v>
      </c>
      <c r="BU77" s="277">
        <f t="shared" si="250"/>
        <v>9.292495339678776E-2</v>
      </c>
      <c r="BV77" s="277">
        <f t="shared" si="250"/>
        <v>9.3104472529370888E-2</v>
      </c>
      <c r="BW77" s="277">
        <f>BW79/BW65</f>
        <v>8.4434394052668338E-2</v>
      </c>
      <c r="BX77" s="277">
        <f>BX79/BX65</f>
        <v>7.4602898536913112E-2</v>
      </c>
      <c r="BY77" s="277">
        <f>BY79/BY65</f>
        <v>8.1341626945223844E-2</v>
      </c>
      <c r="BZ77" s="277">
        <f>BZ79/BZ65</f>
        <v>0.11022583271221616</v>
      </c>
      <c r="CA77" s="277">
        <f>CA79/CA65</f>
        <v>0.11019233974667916</v>
      </c>
      <c r="CB77" s="1015">
        <v>0.08</v>
      </c>
      <c r="CC77" s="20"/>
      <c r="CD77" s="294">
        <f t="shared" ref="CD77:CL77" si="251">CD79/CD65</f>
        <v>9.8905334675603196E-2</v>
      </c>
      <c r="CE77" s="294">
        <f t="shared" si="251"/>
        <v>9.649295885095327E-2</v>
      </c>
      <c r="CF77" s="294">
        <f t="shared" si="251"/>
        <v>8.8708254506601844E-2</v>
      </c>
      <c r="CG77" s="294">
        <f t="shared" si="251"/>
        <v>9.214552212929443E-2</v>
      </c>
      <c r="CH77" s="294">
        <f t="shared" si="251"/>
        <v>7.8385881153861636E-2</v>
      </c>
      <c r="CI77" s="277">
        <f t="shared" si="251"/>
        <v>8.823128237095279E-2</v>
      </c>
      <c r="CJ77" s="277">
        <f t="shared" si="251"/>
        <v>9.3617969774168877E-2</v>
      </c>
      <c r="CK77" s="277">
        <f t="shared" si="251"/>
        <v>9.3106410353911595E-2</v>
      </c>
      <c r="CL77" s="277">
        <f t="shared" si="251"/>
        <v>9.0502161742863824E-2</v>
      </c>
      <c r="CM77" s="277">
        <f>CM79/CM65</f>
        <v>8.8257928023001364E-2</v>
      </c>
      <c r="CN77" s="277">
        <f>CN79/CN65</f>
        <v>7.5365728570045226E-2</v>
      </c>
      <c r="CO77" s="277">
        <f>CO79/CO65</f>
        <v>7.3239250383055329E-2</v>
      </c>
      <c r="CP77" s="277">
        <f>CP79/CP65</f>
        <v>0.11053570065190949</v>
      </c>
      <c r="CQ77" s="277">
        <f>CQ79/CQ65</f>
        <v>0.11018615130696591</v>
      </c>
      <c r="CR77" s="22"/>
      <c r="CS77" s="14"/>
    </row>
    <row r="78" spans="1:97" ht="14.25" customHeight="1">
      <c r="A78" s="8"/>
      <c r="B78" s="71"/>
      <c r="C78" s="71"/>
      <c r="D78" s="266"/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6"/>
      <c r="P78" s="266"/>
      <c r="Q78" s="266"/>
      <c r="R78" s="266"/>
      <c r="S78" s="266"/>
      <c r="T78" s="266"/>
      <c r="U78" s="266"/>
      <c r="V78" s="266"/>
      <c r="W78" s="266"/>
      <c r="X78" s="266"/>
      <c r="Y78" s="266"/>
      <c r="Z78" s="266"/>
      <c r="AA78" s="266"/>
      <c r="AB78" s="266"/>
      <c r="AC78" s="266"/>
      <c r="AD78" s="266"/>
      <c r="AE78" s="266"/>
      <c r="AF78" s="266"/>
      <c r="AG78" s="266"/>
      <c r="AH78" s="266"/>
      <c r="AI78" s="266"/>
      <c r="AJ78" s="266"/>
      <c r="AK78" s="266"/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8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86"/>
      <c r="BX78" s="286"/>
      <c r="BY78" s="286"/>
      <c r="BZ78" s="286"/>
      <c r="CA78" s="286"/>
      <c r="CB78" s="1012"/>
      <c r="CC78" s="8"/>
      <c r="CD78" s="266"/>
      <c r="CE78" s="266"/>
      <c r="CF78" s="266"/>
      <c r="CG78" s="266"/>
      <c r="CH78" s="266"/>
      <c r="CI78" s="266"/>
      <c r="CJ78" s="266"/>
      <c r="CK78" s="266"/>
      <c r="CL78" s="266"/>
      <c r="CM78" s="266"/>
      <c r="CN78" s="266"/>
      <c r="CO78" s="266"/>
      <c r="CP78" s="266"/>
      <c r="CQ78" s="266"/>
      <c r="CR78" s="8"/>
      <c r="CS78" s="8"/>
    </row>
    <row r="79" spans="1:97" ht="14.25" customHeight="1">
      <c r="A79" s="8"/>
      <c r="B79" s="74" t="s">
        <v>172</v>
      </c>
      <c r="C79" s="255"/>
      <c r="D79" s="190">
        <f>D13</f>
        <v>17.173999999999999</v>
      </c>
      <c r="E79" s="188">
        <f>E13</f>
        <v>17.142000000000003</v>
      </c>
      <c r="F79" s="188">
        <f>F13</f>
        <v>16.675999999999995</v>
      </c>
      <c r="G79" s="191">
        <f>G13</f>
        <v>18.557000000000009</v>
      </c>
      <c r="H79" s="190">
        <f t="shared" ref="H79:W79" si="252">H13</f>
        <v>17.169999999999998</v>
      </c>
      <c r="I79" s="188">
        <f t="shared" si="252"/>
        <v>17.292000000000005</v>
      </c>
      <c r="J79" s="188">
        <f t="shared" si="252"/>
        <v>17.030999999999995</v>
      </c>
      <c r="K79" s="191">
        <f t="shared" si="252"/>
        <v>22.431000000000001</v>
      </c>
      <c r="L79" s="190">
        <f t="shared" si="252"/>
        <v>17.051000000000002</v>
      </c>
      <c r="M79" s="188">
        <f t="shared" si="252"/>
        <v>18.983999999999995</v>
      </c>
      <c r="N79" s="188">
        <f t="shared" si="252"/>
        <v>17.825000000000003</v>
      </c>
      <c r="O79" s="191">
        <f t="shared" si="252"/>
        <v>17.810999999999993</v>
      </c>
      <c r="P79" s="190">
        <f t="shared" si="252"/>
        <v>19.594999999999999</v>
      </c>
      <c r="Q79" s="188">
        <f t="shared" si="252"/>
        <v>17.484999999999999</v>
      </c>
      <c r="R79" s="188">
        <f t="shared" si="252"/>
        <v>17.507000000000005</v>
      </c>
      <c r="S79" s="191">
        <f t="shared" si="252"/>
        <v>16.72699999999999</v>
      </c>
      <c r="T79" s="190">
        <f t="shared" si="252"/>
        <v>18.316000000000003</v>
      </c>
      <c r="U79" s="188">
        <f t="shared" si="252"/>
        <v>15.316000000000003</v>
      </c>
      <c r="V79" s="188">
        <f t="shared" si="252"/>
        <v>16.076999999999998</v>
      </c>
      <c r="W79" s="191">
        <f t="shared" si="252"/>
        <v>15.453000000000003</v>
      </c>
      <c r="X79" s="190">
        <f>X13</f>
        <v>13.934000000000001</v>
      </c>
      <c r="Y79" s="188">
        <f>Y13</f>
        <v>14.689999999999998</v>
      </c>
      <c r="Z79" s="188">
        <f>Z13</f>
        <v>14.373000000000001</v>
      </c>
      <c r="AA79" s="191">
        <f>AA13</f>
        <v>15.894999999999992</v>
      </c>
      <c r="AB79" s="190">
        <f t="shared" ref="AB79:AG79" si="253">AB13</f>
        <v>17.408000000000001</v>
      </c>
      <c r="AC79" s="188">
        <f t="shared" si="253"/>
        <v>17.722000000000001</v>
      </c>
      <c r="AD79" s="188">
        <f t="shared" si="253"/>
        <v>18.189</v>
      </c>
      <c r="AE79" s="191">
        <f t="shared" si="253"/>
        <v>19.028999999999996</v>
      </c>
      <c r="AF79" s="190">
        <f t="shared" si="253"/>
        <v>18.87</v>
      </c>
      <c r="AG79" s="188">
        <f t="shared" si="253"/>
        <v>18.339000000000002</v>
      </c>
      <c r="AH79" s="188">
        <f t="shared" ref="AH79:AQ79" si="254">AH13</f>
        <v>18.102999999999994</v>
      </c>
      <c r="AI79" s="189">
        <f t="shared" si="254"/>
        <v>18.248000000000008</v>
      </c>
      <c r="AJ79" s="190">
        <f t="shared" si="254"/>
        <v>18.917999999999999</v>
      </c>
      <c r="AK79" s="188">
        <f t="shared" si="254"/>
        <v>18.860999999999997</v>
      </c>
      <c r="AL79" s="188">
        <f t="shared" si="254"/>
        <v>18.653000000000006</v>
      </c>
      <c r="AM79" s="189">
        <f t="shared" si="254"/>
        <v>18.839999999999989</v>
      </c>
      <c r="AN79" s="190">
        <f t="shared" si="254"/>
        <v>18.673000000000002</v>
      </c>
      <c r="AO79" s="188">
        <f t="shared" si="254"/>
        <v>18.980999999999995</v>
      </c>
      <c r="AP79" s="188">
        <f t="shared" si="254"/>
        <v>18.759</v>
      </c>
      <c r="AQ79" s="189">
        <f t="shared" si="254"/>
        <v>18.501000000000005</v>
      </c>
      <c r="AR79" s="190">
        <f t="shared" ref="AR79:AY79" si="255">AR13</f>
        <v>17.606999999999999</v>
      </c>
      <c r="AS79" s="188">
        <f t="shared" si="255"/>
        <v>16.826000000000001</v>
      </c>
      <c r="AT79" s="188">
        <f t="shared" si="255"/>
        <v>17.484000000000002</v>
      </c>
      <c r="AU79" s="189">
        <f t="shared" si="255"/>
        <v>16.524000000000001</v>
      </c>
      <c r="AV79" s="190">
        <f>AV13</f>
        <v>15.338000000000001</v>
      </c>
      <c r="AW79" s="188">
        <f>AW13</f>
        <v>15.183</v>
      </c>
      <c r="AX79" s="188">
        <f>AX13</f>
        <v>15.997</v>
      </c>
      <c r="AY79" s="189">
        <f t="shared" si="255"/>
        <v>16.108000000000004</v>
      </c>
      <c r="AZ79" s="188">
        <f t="shared" ref="AZ79:BG79" si="256">AZ13</f>
        <v>14.960999999999999</v>
      </c>
      <c r="BA79" s="188">
        <f>BA13</f>
        <v>15.164000000000001</v>
      </c>
      <c r="BB79" s="188">
        <f>BB13</f>
        <v>16.909999999999997</v>
      </c>
      <c r="BC79" s="189">
        <f>BC13</f>
        <v>25.150000000000006</v>
      </c>
      <c r="BD79" s="188">
        <f t="shared" si="256"/>
        <v>25.150000000000006</v>
      </c>
      <c r="BE79" s="256">
        <f t="shared" si="256"/>
        <v>25.437151836808599</v>
      </c>
      <c r="BF79" s="188">
        <f t="shared" si="256"/>
        <v>25.725932507300534</v>
      </c>
      <c r="BG79" s="189">
        <f t="shared" si="256"/>
        <v>26.01413411733526</v>
      </c>
      <c r="BH79" s="188">
        <f>BH13</f>
        <v>26.30944360957233</v>
      </c>
      <c r="BI79" s="256">
        <f>BI13</f>
        <v>26.614620242120061</v>
      </c>
      <c r="BJ79" s="188">
        <f>BJ13</f>
        <v>26.922443815972031</v>
      </c>
      <c r="BK79" s="189">
        <f>BK13</f>
        <v>27.227727281246956</v>
      </c>
      <c r="BL79" s="192"/>
      <c r="BM79" s="188">
        <f>BM13</f>
        <v>69.549000000000007</v>
      </c>
      <c r="BN79" s="188">
        <f>BN13</f>
        <v>73.923999999999992</v>
      </c>
      <c r="BO79" s="188">
        <f>BO13</f>
        <v>71.670999999999992</v>
      </c>
      <c r="BP79" s="188">
        <f>BP13</f>
        <v>71.313999999999993</v>
      </c>
      <c r="BQ79" s="188">
        <f t="shared" ref="BQ79:BV79" si="257">BQ13</f>
        <v>65.162000000000006</v>
      </c>
      <c r="BR79" s="188">
        <f t="shared" si="257"/>
        <v>58.891999999999996</v>
      </c>
      <c r="BS79" s="188">
        <f t="shared" si="257"/>
        <v>72.347999999999999</v>
      </c>
      <c r="BT79" s="188">
        <f t="shared" si="257"/>
        <v>73.56</v>
      </c>
      <c r="BU79" s="188">
        <f t="shared" si="257"/>
        <v>75.271999999999991</v>
      </c>
      <c r="BV79" s="188">
        <f t="shared" si="257"/>
        <v>74.914000000000001</v>
      </c>
      <c r="BW79" s="188">
        <f t="shared" ref="BW79:CB79" si="258">BW13</f>
        <v>68.441000000000003</v>
      </c>
      <c r="BX79" s="188">
        <f t="shared" si="258"/>
        <v>62.626000000000005</v>
      </c>
      <c r="BY79" s="188">
        <f t="shared" si="258"/>
        <v>72.185000000000002</v>
      </c>
      <c r="BZ79" s="188">
        <f t="shared" si="258"/>
        <v>102.3272184614444</v>
      </c>
      <c r="CA79" s="188">
        <f t="shared" si="258"/>
        <v>107.07423494891138</v>
      </c>
      <c r="CB79" s="1013">
        <f t="shared" si="258"/>
        <v>77.736245691897651</v>
      </c>
      <c r="CC79" s="20"/>
      <c r="CD79" s="188">
        <f t="shared" ref="CD79:CL79" si="259">CD13</f>
        <v>70.05</v>
      </c>
      <c r="CE79" s="188">
        <f t="shared" si="259"/>
        <v>76.290999999999997</v>
      </c>
      <c r="CF79" s="188">
        <f t="shared" si="259"/>
        <v>72.397999999999996</v>
      </c>
      <c r="CG79" s="188">
        <f t="shared" si="259"/>
        <v>66.435999999999993</v>
      </c>
      <c r="CH79" s="188">
        <f t="shared" si="259"/>
        <v>58.45</v>
      </c>
      <c r="CI79" s="188">
        <f t="shared" si="259"/>
        <v>69.213999999999999</v>
      </c>
      <c r="CJ79" s="188">
        <f t="shared" si="259"/>
        <v>74.340999999999994</v>
      </c>
      <c r="CK79" s="188">
        <f t="shared" si="259"/>
        <v>74.680000000000007</v>
      </c>
      <c r="CL79" s="188">
        <f t="shared" si="259"/>
        <v>75.252999999999986</v>
      </c>
      <c r="CM79" s="188">
        <f>CM13</f>
        <v>70.418000000000006</v>
      </c>
      <c r="CN79" s="188">
        <f>CN13</f>
        <v>63.042000000000002</v>
      </c>
      <c r="CO79" s="188">
        <f>CO13</f>
        <v>63.143000000000001</v>
      </c>
      <c r="CP79" s="188">
        <f>CP13</f>
        <v>101.46308434410915</v>
      </c>
      <c r="CQ79" s="188">
        <f>CQ13</f>
        <v>105.86064178499967</v>
      </c>
      <c r="CR79" s="22"/>
      <c r="CS79" s="14"/>
    </row>
    <row r="80" spans="1:97" ht="14.25" customHeight="1">
      <c r="A80" s="8"/>
      <c r="B80" s="154" t="s">
        <v>113</v>
      </c>
      <c r="C80" s="155"/>
      <c r="D80" s="156">
        <f>IF(ROUND(D79,4)=ROUND(D76,4),0,(D79-D76))</f>
        <v>0</v>
      </c>
      <c r="E80" s="156">
        <f>IF(ROUND(E79,4)=ROUND(E76,4),0,(E79-E76))</f>
        <v>0</v>
      </c>
      <c r="F80" s="193">
        <f>IF(ROUND(F79,4)=ROUND(F76,4),0,(F79-F76))</f>
        <v>0</v>
      </c>
      <c r="G80" s="156">
        <f>IF(ROUND(G79,4)=ROUND(G76,4),0,(G79-G76))</f>
        <v>0</v>
      </c>
      <c r="H80" s="156">
        <f t="shared" ref="H80:W80" si="260">IF(ROUND(H79,4)=ROUND(H76,4),0,(H79-H76))</f>
        <v>0</v>
      </c>
      <c r="I80" s="156">
        <f t="shared" si="260"/>
        <v>0</v>
      </c>
      <c r="J80" s="193">
        <f t="shared" si="260"/>
        <v>0</v>
      </c>
      <c r="K80" s="156">
        <f t="shared" si="260"/>
        <v>0</v>
      </c>
      <c r="L80" s="156">
        <f t="shared" si="260"/>
        <v>0</v>
      </c>
      <c r="M80" s="156">
        <f t="shared" si="260"/>
        <v>0</v>
      </c>
      <c r="N80" s="193">
        <f t="shared" si="260"/>
        <v>0</v>
      </c>
      <c r="O80" s="156">
        <f t="shared" si="260"/>
        <v>0</v>
      </c>
      <c r="P80" s="156">
        <f t="shared" si="260"/>
        <v>0</v>
      </c>
      <c r="Q80" s="156">
        <f t="shared" si="260"/>
        <v>0</v>
      </c>
      <c r="R80" s="193">
        <f t="shared" si="260"/>
        <v>0</v>
      </c>
      <c r="S80" s="156">
        <f t="shared" si="260"/>
        <v>0</v>
      </c>
      <c r="T80" s="156">
        <f t="shared" si="260"/>
        <v>0</v>
      </c>
      <c r="U80" s="156">
        <f t="shared" si="260"/>
        <v>0</v>
      </c>
      <c r="V80" s="193">
        <f t="shared" si="260"/>
        <v>0</v>
      </c>
      <c r="W80" s="156">
        <f t="shared" si="260"/>
        <v>0</v>
      </c>
      <c r="X80" s="156">
        <f t="shared" ref="X80:AQ80" si="261">IF(ROUND(X79,4)=ROUND(X76,4),0,(X79-X76))</f>
        <v>0</v>
      </c>
      <c r="Y80" s="156">
        <f t="shared" si="261"/>
        <v>0</v>
      </c>
      <c r="Z80" s="193">
        <f t="shared" si="261"/>
        <v>0</v>
      </c>
      <c r="AA80" s="156">
        <f t="shared" si="261"/>
        <v>0</v>
      </c>
      <c r="AB80" s="156">
        <f t="shared" si="261"/>
        <v>0</v>
      </c>
      <c r="AC80" s="156">
        <f t="shared" si="261"/>
        <v>0</v>
      </c>
      <c r="AD80" s="156">
        <f t="shared" si="261"/>
        <v>0</v>
      </c>
      <c r="AE80" s="156">
        <f t="shared" si="261"/>
        <v>0</v>
      </c>
      <c r="AF80" s="156">
        <f t="shared" si="261"/>
        <v>0</v>
      </c>
      <c r="AG80" s="156">
        <f t="shared" si="261"/>
        <v>0</v>
      </c>
      <c r="AH80" s="156">
        <f t="shared" si="261"/>
        <v>0</v>
      </c>
      <c r="AI80" s="157">
        <f t="shared" si="261"/>
        <v>0</v>
      </c>
      <c r="AJ80" s="156">
        <f t="shared" si="261"/>
        <v>0</v>
      </c>
      <c r="AK80" s="156">
        <f t="shared" si="261"/>
        <v>0</v>
      </c>
      <c r="AL80" s="156">
        <f t="shared" si="261"/>
        <v>0</v>
      </c>
      <c r="AM80" s="157">
        <f>IF(ROUND(AM79,4)=ROUND(AM76,4),0,(AM79-AM76))</f>
        <v>0</v>
      </c>
      <c r="AN80" s="156">
        <f>IF(ROUND(AN79,4)=ROUND(AN76,4),0,(AN79-AN76))</f>
        <v>0</v>
      </c>
      <c r="AO80" s="156">
        <f>IF(ROUND(AO79,4)=ROUND(AO76,4),0,(AO79-AO76))</f>
        <v>0</v>
      </c>
      <c r="AP80" s="156">
        <f>IF(ROUND(AP79,4)=ROUND(AP76,4),0,(AP79-AP76))</f>
        <v>0</v>
      </c>
      <c r="AQ80" s="157">
        <f t="shared" si="261"/>
        <v>0</v>
      </c>
      <c r="AR80" s="156">
        <f t="shared" ref="AR80:AY80" si="262">IF(ROUND(AR79,4)=ROUND(AR76,4),0,(AR79-AR76))</f>
        <v>0</v>
      </c>
      <c r="AS80" s="156">
        <f t="shared" si="262"/>
        <v>0</v>
      </c>
      <c r="AT80" s="156">
        <f t="shared" si="262"/>
        <v>0</v>
      </c>
      <c r="AU80" s="157">
        <f t="shared" si="262"/>
        <v>0</v>
      </c>
      <c r="AV80" s="156">
        <f t="shared" si="262"/>
        <v>0</v>
      </c>
      <c r="AW80" s="156">
        <f t="shared" si="262"/>
        <v>0</v>
      </c>
      <c r="AX80" s="156">
        <f>IF(ROUND(AX79,4)=ROUND(AX76,4),0,(AX79-AX76))</f>
        <v>0</v>
      </c>
      <c r="AY80" s="157">
        <f t="shared" si="262"/>
        <v>0</v>
      </c>
      <c r="AZ80" s="156">
        <f t="shared" ref="AZ80:BG80" si="263">IF(ROUND(AZ79,4)=ROUND(AZ76,4),0,(AZ79-AZ76))</f>
        <v>0</v>
      </c>
      <c r="BA80" s="156">
        <f t="shared" si="263"/>
        <v>0</v>
      </c>
      <c r="BB80" s="156">
        <f>IF(ROUND(BB79,4)=ROUND(BB76,4),0,(BB79-BB76))</f>
        <v>0</v>
      </c>
      <c r="BC80" s="157">
        <f>IF(ROUND(BC79,4)=ROUND(BC76,4),0,(BC79-BC76))</f>
        <v>0</v>
      </c>
      <c r="BD80" s="156">
        <f t="shared" si="263"/>
        <v>0</v>
      </c>
      <c r="BE80" s="156">
        <f t="shared" si="263"/>
        <v>0</v>
      </c>
      <c r="BF80" s="156">
        <f t="shared" si="263"/>
        <v>0</v>
      </c>
      <c r="BG80" s="157">
        <f t="shared" si="263"/>
        <v>0</v>
      </c>
      <c r="BH80" s="156">
        <f>IF(ROUND(BH79,4)=ROUND(BH76,4),0,(BH79-BH76))</f>
        <v>0</v>
      </c>
      <c r="BI80" s="156">
        <f>IF(ROUND(BI79,4)=ROUND(BI76,4),0,(BI79-BI76))</f>
        <v>0</v>
      </c>
      <c r="BJ80" s="156">
        <f>IF(ROUND(BJ79,4)=ROUND(BJ76,4),0,(BJ79-BJ76))</f>
        <v>0</v>
      </c>
      <c r="BK80" s="157">
        <f>IF(ROUND(BK79,4)=ROUND(BK76,4),0,(BK79-BK76))</f>
        <v>0</v>
      </c>
      <c r="BL80" s="192"/>
      <c r="BM80" s="156">
        <f>IF(ROUND(BM79,4)=ROUND(BM76,4),0,(BM79-BM76))</f>
        <v>0</v>
      </c>
      <c r="BN80" s="156">
        <f>IF(ROUND(BN79,4)=ROUND(BN76,4),0,(BN79-BN76))</f>
        <v>0</v>
      </c>
      <c r="BO80" s="156">
        <f>IF(ROUND(BO79,4)=ROUND(BO76,4),0,(BO79-BO76))</f>
        <v>0</v>
      </c>
      <c r="BP80" s="156">
        <f>IF(ROUND(BP79,4)=ROUND(BP76,4),0,(BP79-BP76))</f>
        <v>0</v>
      </c>
      <c r="BQ80" s="156">
        <f t="shared" ref="BQ80:BW80" si="264">IF(ROUND(BQ79,4)=ROUND(BQ76,4),0,(BQ79-BQ76))</f>
        <v>0</v>
      </c>
      <c r="BR80" s="156">
        <f t="shared" si="264"/>
        <v>0</v>
      </c>
      <c r="BS80" s="156">
        <f t="shared" si="264"/>
        <v>0</v>
      </c>
      <c r="BT80" s="156">
        <f t="shared" si="264"/>
        <v>0</v>
      </c>
      <c r="BU80" s="156">
        <f t="shared" si="264"/>
        <v>0</v>
      </c>
      <c r="BV80" s="156">
        <f t="shared" si="264"/>
        <v>0</v>
      </c>
      <c r="BW80" s="156">
        <f t="shared" si="264"/>
        <v>0</v>
      </c>
      <c r="BX80" s="156">
        <f>IF(ROUND(BX79,4)=ROUND(BX76,4),0,(BX79-BX76))</f>
        <v>0</v>
      </c>
      <c r="BY80" s="156">
        <f>IF(ROUND(BY79,4)=ROUND(BY76,4),0,(BY79-BY76))</f>
        <v>0</v>
      </c>
      <c r="BZ80" s="156">
        <f>IF(ROUND(BZ79,4)=ROUND(BZ76,4),0,(BZ79-BZ76))</f>
        <v>0</v>
      </c>
      <c r="CA80" s="156">
        <f>IF(ROUND(CA79,4)=ROUND(CA76,4),0,(CA79-CA76))</f>
        <v>0</v>
      </c>
      <c r="CB80" s="970">
        <f>IF(ROUND(CB79,4)=ROUND(CB76,4),0,(CB79-CB76))</f>
        <v>0</v>
      </c>
      <c r="CC80" s="20"/>
      <c r="CD80" s="156">
        <f t="shared" ref="CD80:CM80" si="265">IF(ROUND(CD79,4)=ROUND(CD76,4),0,(CD79-CD76))</f>
        <v>0</v>
      </c>
      <c r="CE80" s="156">
        <f t="shared" si="265"/>
        <v>0</v>
      </c>
      <c r="CF80" s="156">
        <f t="shared" si="265"/>
        <v>0</v>
      </c>
      <c r="CG80" s="156">
        <f t="shared" si="265"/>
        <v>0</v>
      </c>
      <c r="CH80" s="156">
        <f t="shared" si="265"/>
        <v>0</v>
      </c>
      <c r="CI80" s="156">
        <f t="shared" si="265"/>
        <v>0</v>
      </c>
      <c r="CJ80" s="156">
        <f t="shared" si="265"/>
        <v>0</v>
      </c>
      <c r="CK80" s="156">
        <f t="shared" si="265"/>
        <v>0</v>
      </c>
      <c r="CL80" s="156">
        <f t="shared" si="265"/>
        <v>0</v>
      </c>
      <c r="CM80" s="156">
        <f t="shared" si="265"/>
        <v>0</v>
      </c>
      <c r="CN80" s="156">
        <f>IF(ROUND(CN79,4)=ROUND(CN76,4),0,(CN79-CN76))</f>
        <v>0</v>
      </c>
      <c r="CO80" s="156">
        <f>IF(ROUND(CO79,4)=ROUND(CO76,4),0,(CO79-CO76))</f>
        <v>0</v>
      </c>
      <c r="CP80" s="156">
        <f>IF(ROUND(CP79,4)=ROUND(CP76,4),0,(CP79-CP76))</f>
        <v>0</v>
      </c>
      <c r="CQ80" s="156">
        <f>IF(ROUND(CQ79,4)=ROUND(CQ76,4),0,(CQ79-CQ76))</f>
        <v>0</v>
      </c>
      <c r="CR80" s="22"/>
      <c r="CS80" s="14"/>
    </row>
    <row r="81" spans="1:97" ht="14.25" customHeight="1">
      <c r="A81" s="8"/>
      <c r="B81" s="71"/>
      <c r="C81" s="71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14"/>
      <c r="BB81" s="8"/>
      <c r="BC81" s="8"/>
      <c r="BD81" s="8"/>
      <c r="BE81" s="14"/>
      <c r="BF81" s="8"/>
      <c r="BG81" s="8"/>
      <c r="BH81" s="8"/>
      <c r="BI81" s="14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14"/>
      <c r="BZ81" s="14"/>
      <c r="CA81" s="14"/>
      <c r="CB81" s="844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14"/>
      <c r="CP81" s="14"/>
      <c r="CQ81" s="8"/>
      <c r="CR81" s="8"/>
      <c r="CS81" s="8"/>
    </row>
    <row r="82" spans="1:97" ht="14.25" customHeight="1">
      <c r="A82" s="8"/>
      <c r="B82" s="71"/>
      <c r="C82" s="71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14"/>
      <c r="BB82" s="8"/>
      <c r="BC82" s="8"/>
      <c r="BD82" s="8"/>
      <c r="BE82" s="14"/>
      <c r="BF82" s="8"/>
      <c r="BG82" s="8"/>
      <c r="BH82" s="8"/>
      <c r="BI82" s="14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14"/>
      <c r="BZ82" s="14"/>
      <c r="CA82" s="14"/>
      <c r="CB82" s="844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</row>
    <row r="83" spans="1:97" ht="14.25" customHeight="1">
      <c r="A83" s="8"/>
      <c r="B83" s="164" t="s">
        <v>173</v>
      </c>
      <c r="C83" s="165"/>
      <c r="D83" s="292" t="str">
        <f>D75</f>
        <v>F1Q06A</v>
      </c>
      <c r="E83" s="262" t="str">
        <f>E75</f>
        <v>F2Q06A</v>
      </c>
      <c r="F83" s="262" t="str">
        <f>F75</f>
        <v>F3Q06A</v>
      </c>
      <c r="G83" s="263" t="str">
        <f>G75</f>
        <v>F4Q06A</v>
      </c>
      <c r="H83" s="292" t="str">
        <f t="shared" ref="H83:W83" si="266">H75</f>
        <v>F1Q07A</v>
      </c>
      <c r="I83" s="262" t="str">
        <f t="shared" si="266"/>
        <v>F2Q07A</v>
      </c>
      <c r="J83" s="262" t="str">
        <f t="shared" si="266"/>
        <v>F3Q07A</v>
      </c>
      <c r="K83" s="263" t="str">
        <f t="shared" si="266"/>
        <v>F4Q07A</v>
      </c>
      <c r="L83" s="292" t="str">
        <f t="shared" si="266"/>
        <v>F1Q08A</v>
      </c>
      <c r="M83" s="262" t="str">
        <f t="shared" si="266"/>
        <v>F2Q08A</v>
      </c>
      <c r="N83" s="262" t="str">
        <f t="shared" si="266"/>
        <v>F3Q08A</v>
      </c>
      <c r="O83" s="263" t="str">
        <f t="shared" si="266"/>
        <v>F4Q08A</v>
      </c>
      <c r="P83" s="292" t="str">
        <f t="shared" si="266"/>
        <v>F1Q09A</v>
      </c>
      <c r="Q83" s="262" t="str">
        <f t="shared" si="266"/>
        <v>F2Q09A</v>
      </c>
      <c r="R83" s="262" t="str">
        <f t="shared" si="266"/>
        <v>F3Q09A</v>
      </c>
      <c r="S83" s="263" t="str">
        <f t="shared" si="266"/>
        <v>F4Q09A</v>
      </c>
      <c r="T83" s="292" t="str">
        <f t="shared" si="266"/>
        <v>F1Q10A</v>
      </c>
      <c r="U83" s="262" t="str">
        <f t="shared" si="266"/>
        <v>F2Q10A</v>
      </c>
      <c r="V83" s="262" t="str">
        <f t="shared" si="266"/>
        <v>F3Q10A</v>
      </c>
      <c r="W83" s="263" t="str">
        <f t="shared" si="266"/>
        <v>F4Q10A</v>
      </c>
      <c r="X83" s="292" t="str">
        <f t="shared" ref="X83:AQ83" si="267">X75</f>
        <v>F1Q11A</v>
      </c>
      <c r="Y83" s="262" t="str">
        <f t="shared" si="267"/>
        <v>F2Q11A</v>
      </c>
      <c r="Z83" s="262" t="str">
        <f t="shared" si="267"/>
        <v>F3Q11A</v>
      </c>
      <c r="AA83" s="263" t="str">
        <f t="shared" si="267"/>
        <v>F4Q11A</v>
      </c>
      <c r="AB83" s="292" t="str">
        <f t="shared" si="267"/>
        <v>F1Q12A</v>
      </c>
      <c r="AC83" s="262" t="str">
        <f>AC75</f>
        <v>F2Q12A</v>
      </c>
      <c r="AD83" s="262" t="str">
        <f t="shared" si="267"/>
        <v>F3Q12A</v>
      </c>
      <c r="AE83" s="263" t="str">
        <f t="shared" si="267"/>
        <v>F4Q12A</v>
      </c>
      <c r="AF83" s="292" t="str">
        <f>AF75</f>
        <v>F1Q13A</v>
      </c>
      <c r="AG83" s="262" t="str">
        <f>AG75</f>
        <v>F2Q13A</v>
      </c>
      <c r="AH83" s="262" t="str">
        <f>AH75</f>
        <v>F3Q13A</v>
      </c>
      <c r="AI83" s="263" t="str">
        <f t="shared" si="267"/>
        <v>F4Q13A</v>
      </c>
      <c r="AJ83" s="292" t="str">
        <f t="shared" si="267"/>
        <v>F1Q14A</v>
      </c>
      <c r="AK83" s="262" t="str">
        <f t="shared" si="267"/>
        <v>F2Q14A</v>
      </c>
      <c r="AL83" s="262" t="str">
        <f t="shared" si="267"/>
        <v>F3Q14A</v>
      </c>
      <c r="AM83" s="263" t="str">
        <f>AM75</f>
        <v>F4Q14A</v>
      </c>
      <c r="AN83" s="292" t="str">
        <f t="shared" si="267"/>
        <v>F1Q15A</v>
      </c>
      <c r="AO83" s="262" t="str">
        <f t="shared" si="267"/>
        <v>F2Q15A</v>
      </c>
      <c r="AP83" s="262" t="str">
        <f t="shared" si="267"/>
        <v>F3Q15A</v>
      </c>
      <c r="AQ83" s="263" t="str">
        <f t="shared" si="267"/>
        <v>F4Q15A</v>
      </c>
      <c r="AR83" s="292" t="str">
        <f t="shared" ref="AR83:AY83" si="268">AR75</f>
        <v>F1Q16A</v>
      </c>
      <c r="AS83" s="262" t="str">
        <f t="shared" si="268"/>
        <v>F2Q16A</v>
      </c>
      <c r="AT83" s="262" t="str">
        <f t="shared" si="268"/>
        <v>F3Q16A</v>
      </c>
      <c r="AU83" s="263" t="str">
        <f t="shared" si="268"/>
        <v>F4Q16A</v>
      </c>
      <c r="AV83" s="292" t="str">
        <f>AV75</f>
        <v>F1Q17A</v>
      </c>
      <c r="AW83" s="262" t="str">
        <f>AW75</f>
        <v>F2Q17A</v>
      </c>
      <c r="AX83" s="262" t="str">
        <f>AX75</f>
        <v>F3Q17A</v>
      </c>
      <c r="AY83" s="263" t="str">
        <f t="shared" si="268"/>
        <v>F4Q17A</v>
      </c>
      <c r="AZ83" s="262" t="str">
        <f t="shared" ref="AZ83:BG83" si="269">AZ75</f>
        <v>F1Q18A</v>
      </c>
      <c r="BA83" s="262" t="str">
        <f t="shared" si="269"/>
        <v>F2Q18A</v>
      </c>
      <c r="BB83" s="262" t="str">
        <f t="shared" si="269"/>
        <v>F3Q18A</v>
      </c>
      <c r="BC83" s="263" t="str">
        <f t="shared" si="269"/>
        <v>F4Q18A</v>
      </c>
      <c r="BD83" s="262" t="str">
        <f t="shared" si="269"/>
        <v>F1Q19E</v>
      </c>
      <c r="BE83" s="262" t="str">
        <f t="shared" si="269"/>
        <v>F2Q19E</v>
      </c>
      <c r="BF83" s="262" t="str">
        <f t="shared" si="269"/>
        <v>F3Q19E</v>
      </c>
      <c r="BG83" s="263" t="str">
        <f t="shared" si="269"/>
        <v>F4Q19E</v>
      </c>
      <c r="BH83" s="262" t="str">
        <f>BH75</f>
        <v>F1Q20E</v>
      </c>
      <c r="BI83" s="262" t="str">
        <f>BI75</f>
        <v>F2Q20E</v>
      </c>
      <c r="BJ83" s="262" t="str">
        <f>BJ75</f>
        <v>F3Q20E</v>
      </c>
      <c r="BK83" s="263" t="str">
        <f>BK75</f>
        <v>F4Q20E</v>
      </c>
      <c r="BL83" s="20"/>
      <c r="BM83" s="17" t="str">
        <f>BM75</f>
        <v>FY2006A</v>
      </c>
      <c r="BN83" s="18" t="str">
        <f>BN75</f>
        <v>FY2007A</v>
      </c>
      <c r="BO83" s="18" t="str">
        <f>BO75</f>
        <v>FY2008A</v>
      </c>
      <c r="BP83" s="18" t="str">
        <f>BP75</f>
        <v>FY2009A</v>
      </c>
      <c r="BQ83" s="18" t="str">
        <f t="shared" ref="BQ83:BV83" si="270">BQ75</f>
        <v>FY2010A</v>
      </c>
      <c r="BR83" s="18" t="str">
        <f t="shared" si="270"/>
        <v>FY2011A</v>
      </c>
      <c r="BS83" s="18" t="str">
        <f t="shared" si="270"/>
        <v>FY2012A</v>
      </c>
      <c r="BT83" s="18" t="str">
        <f t="shared" si="270"/>
        <v>FY2013A</v>
      </c>
      <c r="BU83" s="18" t="str">
        <f t="shared" si="270"/>
        <v>FY2014</v>
      </c>
      <c r="BV83" s="18" t="str">
        <f t="shared" si="270"/>
        <v>FY2015</v>
      </c>
      <c r="BW83" s="18" t="str">
        <f t="shared" ref="BW83:CB83" si="271">BW75</f>
        <v>FY2016</v>
      </c>
      <c r="BX83" s="18" t="str">
        <f t="shared" si="271"/>
        <v>FY2017</v>
      </c>
      <c r="BY83" s="18" t="str">
        <f t="shared" si="271"/>
        <v>FY2018A</v>
      </c>
      <c r="BZ83" s="18" t="str">
        <f t="shared" si="271"/>
        <v>FY2019E</v>
      </c>
      <c r="CA83" s="18" t="str">
        <f t="shared" si="271"/>
        <v>FY2020E</v>
      </c>
      <c r="CB83" s="1014" t="str">
        <f t="shared" si="271"/>
        <v>FY2021E</v>
      </c>
      <c r="CC83" s="20"/>
      <c r="CD83" s="18" t="str">
        <f t="shared" ref="CD83:CL83" si="272">CD75</f>
        <v>CY2006</v>
      </c>
      <c r="CE83" s="18" t="str">
        <f t="shared" si="272"/>
        <v>CY2007</v>
      </c>
      <c r="CF83" s="18" t="str">
        <f t="shared" si="272"/>
        <v>CY2008</v>
      </c>
      <c r="CG83" s="18" t="str">
        <f t="shared" si="272"/>
        <v>CY2009</v>
      </c>
      <c r="CH83" s="18" t="str">
        <f t="shared" si="272"/>
        <v>CY2010</v>
      </c>
      <c r="CI83" s="18" t="str">
        <f t="shared" si="272"/>
        <v>CY2011</v>
      </c>
      <c r="CJ83" s="18" t="str">
        <f t="shared" si="272"/>
        <v>CY2012</v>
      </c>
      <c r="CK83" s="18" t="str">
        <f t="shared" si="272"/>
        <v>CY2013</v>
      </c>
      <c r="CL83" s="18" t="str">
        <f t="shared" si="272"/>
        <v>CY2014</v>
      </c>
      <c r="CM83" s="18" t="str">
        <f>CM75</f>
        <v>CY2015</v>
      </c>
      <c r="CN83" s="18" t="str">
        <f>CN75</f>
        <v>CY2016</v>
      </c>
      <c r="CO83" s="18" t="str">
        <f>CO75</f>
        <v>CY2017</v>
      </c>
      <c r="CP83" s="18" t="str">
        <f>CP75</f>
        <v>CY2018</v>
      </c>
      <c r="CQ83" s="18" t="str">
        <f>CQ75</f>
        <v>CY2019</v>
      </c>
      <c r="CR83" s="22"/>
      <c r="CS83" s="14"/>
    </row>
    <row r="84" spans="1:97" ht="14.25" customHeight="1">
      <c r="A84" s="8"/>
      <c r="B84" s="23" t="s">
        <v>174</v>
      </c>
      <c r="C84" s="75"/>
      <c r="D84" s="299">
        <f>D30+D33</f>
        <v>138.51400000000004</v>
      </c>
      <c r="E84" s="299">
        <f>E30+E33</f>
        <v>46.235999999999969</v>
      </c>
      <c r="F84" s="299">
        <f>F30+F33</f>
        <v>176.334</v>
      </c>
      <c r="G84" s="300">
        <f>G30+G33</f>
        <v>61.299000000000007</v>
      </c>
      <c r="H84" s="299">
        <f t="shared" ref="H84:W84" si="273">H30+H33</f>
        <v>140.30699999999999</v>
      </c>
      <c r="I84" s="299">
        <f t="shared" si="273"/>
        <v>105.46600000000001</v>
      </c>
      <c r="J84" s="299">
        <f t="shared" si="273"/>
        <v>152.56799999999998</v>
      </c>
      <c r="K84" s="300">
        <f t="shared" si="273"/>
        <v>42.450000000000017</v>
      </c>
      <c r="L84" s="299">
        <f t="shared" si="273"/>
        <v>110.72499999999997</v>
      </c>
      <c r="M84" s="299">
        <f t="shared" si="273"/>
        <v>132.047</v>
      </c>
      <c r="N84" s="299">
        <f t="shared" si="273"/>
        <v>197.00700000000001</v>
      </c>
      <c r="O84" s="300">
        <f t="shared" si="273"/>
        <v>95.628</v>
      </c>
      <c r="P84" s="299">
        <f t="shared" si="273"/>
        <v>148.62400000000002</v>
      </c>
      <c r="Q84" s="299">
        <f t="shared" si="273"/>
        <v>82.922999999999973</v>
      </c>
      <c r="R84" s="299">
        <f t="shared" si="273"/>
        <v>117.41800000000005</v>
      </c>
      <c r="S84" s="300">
        <f t="shared" si="273"/>
        <v>54.45600000000001</v>
      </c>
      <c r="T84" s="299">
        <f t="shared" si="273"/>
        <v>142.25300000000001</v>
      </c>
      <c r="U84" s="299">
        <f t="shared" si="273"/>
        <v>113.84300000000005</v>
      </c>
      <c r="V84" s="299">
        <f t="shared" si="273"/>
        <v>176.78500000000003</v>
      </c>
      <c r="W84" s="300">
        <f t="shared" si="273"/>
        <v>93.25799999999991</v>
      </c>
      <c r="X84" s="299">
        <f t="shared" ref="X84:AC84" si="274">X30+X33</f>
        <v>86.774999999999991</v>
      </c>
      <c r="Y84" s="299">
        <f t="shared" si="274"/>
        <v>26.439000000000011</v>
      </c>
      <c r="Z84" s="299">
        <f t="shared" si="274"/>
        <v>317.64700000000016</v>
      </c>
      <c r="AA84" s="300">
        <f t="shared" si="274"/>
        <v>228.31199999999998</v>
      </c>
      <c r="AB84" s="299">
        <f t="shared" si="274"/>
        <v>223.90499999999997</v>
      </c>
      <c r="AC84" s="299">
        <f t="shared" si="274"/>
        <v>181.95600000000002</v>
      </c>
      <c r="AD84" s="299">
        <f t="shared" ref="AD84:AQ84" si="275">AD30+AD33</f>
        <v>161.98599999999996</v>
      </c>
      <c r="AE84" s="300">
        <f t="shared" si="275"/>
        <v>188.82099999999997</v>
      </c>
      <c r="AF84" s="299">
        <f t="shared" si="275"/>
        <v>154.60399999999998</v>
      </c>
      <c r="AG84" s="299">
        <f t="shared" si="275"/>
        <v>189.73400000000001</v>
      </c>
      <c r="AH84" s="299">
        <f>AH30+AH33</f>
        <v>114.49299999999999</v>
      </c>
      <c r="AI84" s="300">
        <f t="shared" si="275"/>
        <v>167.44100000000003</v>
      </c>
      <c r="AJ84" s="299">
        <f t="shared" si="275"/>
        <v>132.90800000000007</v>
      </c>
      <c r="AK84" s="299">
        <f t="shared" si="275"/>
        <v>246.50199999999998</v>
      </c>
      <c r="AL84" s="299">
        <f t="shared" si="275"/>
        <v>205.41499999999999</v>
      </c>
      <c r="AM84" s="300">
        <f>AM30+AM33</f>
        <v>175.22699999999995</v>
      </c>
      <c r="AN84" s="299">
        <f t="shared" si="275"/>
        <v>121.00300000000009</v>
      </c>
      <c r="AO84" s="299">
        <f t="shared" si="275"/>
        <v>195.45400000000001</v>
      </c>
      <c r="AP84" s="299">
        <f t="shared" si="275"/>
        <v>284.60199999999998</v>
      </c>
      <c r="AQ84" s="300">
        <f t="shared" si="275"/>
        <v>160.10199999999995</v>
      </c>
      <c r="AR84" s="299">
        <f t="shared" ref="AR84:AY84" si="276">AR30+AR33</f>
        <v>175.46400000000003</v>
      </c>
      <c r="AS84" s="299">
        <f t="shared" si="276"/>
        <v>128.36800000000005</v>
      </c>
      <c r="AT84" s="299">
        <f t="shared" si="276"/>
        <v>284.16700000000003</v>
      </c>
      <c r="AU84" s="300">
        <f t="shared" si="276"/>
        <v>108.09900000000002</v>
      </c>
      <c r="AV84" s="299">
        <f>AV30+AV33</f>
        <v>317.99899999999997</v>
      </c>
      <c r="AW84" s="299">
        <f>AW30+AW33</f>
        <v>172.27999999999997</v>
      </c>
      <c r="AX84" s="299">
        <f>AX30+AX33</f>
        <v>85.708999999999975</v>
      </c>
      <c r="AY84" s="300">
        <f t="shared" si="276"/>
        <v>286.09199999999998</v>
      </c>
      <c r="AZ84" s="299">
        <f t="shared" ref="AZ84:BG84" si="277">AZ30+AZ33</f>
        <v>180.98199999999997</v>
      </c>
      <c r="BA84" s="301">
        <f t="shared" si="277"/>
        <v>189.91700000000003</v>
      </c>
      <c r="BB84" s="299">
        <f t="shared" si="277"/>
        <v>177.89499999999992</v>
      </c>
      <c r="BC84" s="300">
        <f t="shared" si="277"/>
        <v>196.74599999999987</v>
      </c>
      <c r="BD84" s="299">
        <f t="shared" si="277"/>
        <v>218.86746645396005</v>
      </c>
      <c r="BE84" s="301">
        <f t="shared" si="277"/>
        <v>287.49527188301704</v>
      </c>
      <c r="BF84" s="299">
        <f t="shared" si="277"/>
        <v>263.10347036867296</v>
      </c>
      <c r="BG84" s="300">
        <f t="shared" si="277"/>
        <v>245.93588926505123</v>
      </c>
      <c r="BH84" s="299">
        <f>BH30+BH33</f>
        <v>271.55150120136153</v>
      </c>
      <c r="BI84" s="301">
        <f>BI30+BI33</f>
        <v>265.43612145119943</v>
      </c>
      <c r="BJ84" s="299">
        <f>BJ30+BJ33</f>
        <v>271.49988232742038</v>
      </c>
      <c r="BK84" s="300">
        <f>BK30+BK33</f>
        <v>265.60885324717685</v>
      </c>
      <c r="BL84" s="20"/>
      <c r="BM84" s="301">
        <f>BM30+BM33</f>
        <v>422.38300000000004</v>
      </c>
      <c r="BN84" s="301">
        <f>BN30+BN33</f>
        <v>440.791</v>
      </c>
      <c r="BO84" s="301">
        <f>BO30+BO33</f>
        <v>535.40700000000004</v>
      </c>
      <c r="BP84" s="301">
        <f>BP30+BP33</f>
        <v>403.42100000000011</v>
      </c>
      <c r="BQ84" s="301">
        <f t="shared" ref="BQ84:BV84" si="278">BQ30+BQ33</f>
        <v>526.13900000000001</v>
      </c>
      <c r="BR84" s="301">
        <f t="shared" si="278"/>
        <v>659.17300000000012</v>
      </c>
      <c r="BS84" s="301">
        <f t="shared" si="278"/>
        <v>756.66799999999989</v>
      </c>
      <c r="BT84" s="301">
        <f t="shared" si="278"/>
        <v>626.27200000000005</v>
      </c>
      <c r="BU84" s="301">
        <f t="shared" si="278"/>
        <v>760.05199999999991</v>
      </c>
      <c r="BV84" s="301">
        <f t="shared" si="278"/>
        <v>761.16099999999983</v>
      </c>
      <c r="BW84" s="301">
        <f t="shared" ref="BW84:CB84" si="279">BW30+BW33</f>
        <v>696.09800000000007</v>
      </c>
      <c r="BX84" s="301">
        <f t="shared" si="279"/>
        <v>862.0799999999997</v>
      </c>
      <c r="BY84" s="301">
        <f t="shared" si="279"/>
        <v>745.54</v>
      </c>
      <c r="BZ84" s="301">
        <f t="shared" si="279"/>
        <v>1015.4020979707014</v>
      </c>
      <c r="CA84" s="301">
        <f t="shared" si="279"/>
        <v>1074.0963582271581</v>
      </c>
      <c r="CB84" s="1016">
        <f t="shared" si="279"/>
        <v>1044.245430491553</v>
      </c>
      <c r="CC84" s="20"/>
      <c r="CD84" s="301">
        <f t="shared" ref="CD84:CL84" si="280">CD30+CD33</f>
        <v>459.6400000000001</v>
      </c>
      <c r="CE84" s="301">
        <f t="shared" si="280"/>
        <v>482.22900000000004</v>
      </c>
      <c r="CF84" s="301">
        <f t="shared" si="280"/>
        <v>444.59300000000002</v>
      </c>
      <c r="CG84" s="301">
        <f t="shared" si="280"/>
        <v>487.3370000000001</v>
      </c>
      <c r="CH84" s="301">
        <f t="shared" si="280"/>
        <v>524.11900000000003</v>
      </c>
      <c r="CI84" s="301">
        <f t="shared" si="280"/>
        <v>796.15899999999976</v>
      </c>
      <c r="CJ84" s="301">
        <f t="shared" si="280"/>
        <v>647.65200000000004</v>
      </c>
      <c r="CK84" s="301">
        <f t="shared" si="280"/>
        <v>752.26599999999996</v>
      </c>
      <c r="CL84" s="301">
        <f t="shared" si="280"/>
        <v>776.28599999999983</v>
      </c>
      <c r="CM84" s="301">
        <f>CM30+CM33</f>
        <v>748.10100000000011</v>
      </c>
      <c r="CN84" s="301">
        <f>CN30+CN33</f>
        <v>684.08699999999999</v>
      </c>
      <c r="CO84" s="301">
        <f>CO30+CO33</f>
        <v>834.88599999999997</v>
      </c>
      <c r="CP84" s="301">
        <f>CP30+CP33</f>
        <v>966.21220870565003</v>
      </c>
      <c r="CQ84" s="301">
        <f>CQ30+CQ33</f>
        <v>1054.4233942450323</v>
      </c>
      <c r="CR84" s="22"/>
      <c r="CS84" s="14"/>
    </row>
    <row r="85" spans="1:97" ht="14.25" customHeight="1">
      <c r="A85" s="8"/>
      <c r="B85" s="68" t="s">
        <v>175</v>
      </c>
      <c r="C85" s="69"/>
      <c r="D85" s="302">
        <f t="shared" ref="D85:AQ85" si="281">D84-D14</f>
        <v>138.51400000000004</v>
      </c>
      <c r="E85" s="302">
        <f t="shared" si="281"/>
        <v>46.235999999999969</v>
      </c>
      <c r="F85" s="302">
        <f t="shared" si="281"/>
        <v>176.334</v>
      </c>
      <c r="G85" s="303">
        <f t="shared" si="281"/>
        <v>61.299000000000007</v>
      </c>
      <c r="H85" s="302">
        <f t="shared" si="281"/>
        <v>111.28999999999999</v>
      </c>
      <c r="I85" s="302">
        <f t="shared" si="281"/>
        <v>83.56</v>
      </c>
      <c r="J85" s="302">
        <f t="shared" si="281"/>
        <v>131.125</v>
      </c>
      <c r="K85" s="303">
        <f t="shared" si="281"/>
        <v>22.315000000000015</v>
      </c>
      <c r="L85" s="302">
        <f t="shared" si="281"/>
        <v>94.203999999999965</v>
      </c>
      <c r="M85" s="302">
        <f t="shared" si="281"/>
        <v>116.294</v>
      </c>
      <c r="N85" s="302">
        <f t="shared" si="281"/>
        <v>180.55100000000002</v>
      </c>
      <c r="O85" s="303">
        <f t="shared" si="281"/>
        <v>77.930999999999983</v>
      </c>
      <c r="P85" s="302">
        <f t="shared" si="281"/>
        <v>134.20100000000002</v>
      </c>
      <c r="Q85" s="302">
        <f t="shared" si="281"/>
        <v>69.19899999999997</v>
      </c>
      <c r="R85" s="302">
        <f t="shared" si="281"/>
        <v>104.37700000000004</v>
      </c>
      <c r="S85" s="303">
        <f t="shared" si="281"/>
        <v>41.135000000000012</v>
      </c>
      <c r="T85" s="302">
        <f t="shared" si="281"/>
        <v>128.524</v>
      </c>
      <c r="U85" s="302">
        <f t="shared" si="281"/>
        <v>102.08100000000005</v>
      </c>
      <c r="V85" s="302">
        <f t="shared" si="281"/>
        <v>161.26600000000002</v>
      </c>
      <c r="W85" s="303">
        <f t="shared" si="281"/>
        <v>77.786999999999907</v>
      </c>
      <c r="X85" s="302">
        <f t="shared" si="281"/>
        <v>71.654999999999987</v>
      </c>
      <c r="Y85" s="302">
        <f t="shared" si="281"/>
        <v>11.01800000000001</v>
      </c>
      <c r="Z85" s="302">
        <f t="shared" si="281"/>
        <v>302.89300000000014</v>
      </c>
      <c r="AA85" s="303">
        <f t="shared" si="281"/>
        <v>213.34899999999999</v>
      </c>
      <c r="AB85" s="302">
        <f t="shared" si="281"/>
        <v>210.13799999999998</v>
      </c>
      <c r="AC85" s="302">
        <f t="shared" si="281"/>
        <v>165.05700000000002</v>
      </c>
      <c r="AD85" s="302">
        <f t="shared" si="281"/>
        <v>144.14299999999997</v>
      </c>
      <c r="AE85" s="303">
        <f t="shared" si="281"/>
        <v>169.91199999999998</v>
      </c>
      <c r="AF85" s="302">
        <f t="shared" si="281"/>
        <v>136.99599999999998</v>
      </c>
      <c r="AG85" s="302">
        <f t="shared" si="281"/>
        <v>170.488</v>
      </c>
      <c r="AH85" s="302">
        <f t="shared" si="281"/>
        <v>94.730999999999995</v>
      </c>
      <c r="AI85" s="303">
        <f t="shared" si="281"/>
        <v>146.19500000000002</v>
      </c>
      <c r="AJ85" s="302">
        <f t="shared" si="281"/>
        <v>111.95400000000006</v>
      </c>
      <c r="AK85" s="302">
        <f t="shared" si="281"/>
        <v>223.44199999999998</v>
      </c>
      <c r="AL85" s="302">
        <f t="shared" si="281"/>
        <v>181.07599999999999</v>
      </c>
      <c r="AM85" s="303">
        <f>AM84-AM14</f>
        <v>149.26599999999996</v>
      </c>
      <c r="AN85" s="302">
        <f t="shared" si="281"/>
        <v>98.897000000000077</v>
      </c>
      <c r="AO85" s="302">
        <f t="shared" si="281"/>
        <v>166.714</v>
      </c>
      <c r="AP85" s="302">
        <f t="shared" si="281"/>
        <v>255.54799999999997</v>
      </c>
      <c r="AQ85" s="303">
        <f t="shared" si="281"/>
        <v>140.14299999999997</v>
      </c>
      <c r="AR85" s="302">
        <f t="shared" ref="AR85:AY85" si="282">AR84-AR14</f>
        <v>149.14400000000003</v>
      </c>
      <c r="AS85" s="302">
        <f t="shared" si="282"/>
        <v>101.68700000000005</v>
      </c>
      <c r="AT85" s="302">
        <f t="shared" si="282"/>
        <v>252.70400000000004</v>
      </c>
      <c r="AU85" s="303">
        <f t="shared" si="282"/>
        <v>80.579000000000036</v>
      </c>
      <c r="AV85" s="302">
        <f>AV84-AV14</f>
        <v>288.59499999999997</v>
      </c>
      <c r="AW85" s="302">
        <f>AW84-AW14</f>
        <v>142.47799999999998</v>
      </c>
      <c r="AX85" s="302">
        <f>AX84-AX14</f>
        <v>54.841999999999985</v>
      </c>
      <c r="AY85" s="303">
        <f t="shared" si="282"/>
        <v>253.30699999999996</v>
      </c>
      <c r="AZ85" s="302">
        <f t="shared" ref="AZ85:BG85" si="283">AZ84-AZ14</f>
        <v>148.94599999999997</v>
      </c>
      <c r="BA85" s="302">
        <f t="shared" si="283"/>
        <v>153.54500000000002</v>
      </c>
      <c r="BB85" s="302">
        <f t="shared" si="283"/>
        <v>141.09399999999994</v>
      </c>
      <c r="BC85" s="303">
        <f t="shared" si="283"/>
        <v>148.13999999999987</v>
      </c>
      <c r="BD85" s="302">
        <f t="shared" si="283"/>
        <v>170.26146645396005</v>
      </c>
      <c r="BE85" s="302">
        <f t="shared" si="283"/>
        <v>238.88927188301705</v>
      </c>
      <c r="BF85" s="302">
        <f t="shared" si="283"/>
        <v>214.49747036867296</v>
      </c>
      <c r="BG85" s="303">
        <f t="shared" si="283"/>
        <v>197.32988926505124</v>
      </c>
      <c r="BH85" s="302">
        <f>BH84-BH14</f>
        <v>222.94550120136154</v>
      </c>
      <c r="BI85" s="302">
        <f>BI84-BI14</f>
        <v>216.83012145119943</v>
      </c>
      <c r="BJ85" s="302">
        <f>BJ84-BJ14</f>
        <v>222.89388232742039</v>
      </c>
      <c r="BK85" s="303">
        <f>BK84-BK14</f>
        <v>217.00285324717686</v>
      </c>
      <c r="BL85" s="20"/>
      <c r="BM85" s="302">
        <f t="shared" ref="BM85:BW85" si="284">BM84-BM14</f>
        <v>422.38300000000004</v>
      </c>
      <c r="BN85" s="302">
        <f t="shared" si="284"/>
        <v>348.28999999999996</v>
      </c>
      <c r="BO85" s="302">
        <f t="shared" si="284"/>
        <v>468.98</v>
      </c>
      <c r="BP85" s="302">
        <f t="shared" si="284"/>
        <v>348.91200000000009</v>
      </c>
      <c r="BQ85" s="302">
        <f t="shared" si="284"/>
        <v>469.65800000000002</v>
      </c>
      <c r="BR85" s="302">
        <f t="shared" si="284"/>
        <v>598.91500000000008</v>
      </c>
      <c r="BS85" s="302">
        <f t="shared" si="284"/>
        <v>689.24999999999989</v>
      </c>
      <c r="BT85" s="302">
        <f t="shared" si="284"/>
        <v>548.41000000000008</v>
      </c>
      <c r="BU85" s="302">
        <f t="shared" si="284"/>
        <v>665.73799999999994</v>
      </c>
      <c r="BV85" s="302">
        <f t="shared" si="284"/>
        <v>661.30199999999991</v>
      </c>
      <c r="BW85" s="302">
        <f t="shared" si="284"/>
        <v>584.11400000000003</v>
      </c>
      <c r="BX85" s="302">
        <f>BX84-BX14</f>
        <v>739.22199999999975</v>
      </c>
      <c r="BY85" s="302">
        <f>BY84-BY14</f>
        <v>591.72499999999991</v>
      </c>
      <c r="BZ85" s="302">
        <f>BZ84-BZ14</f>
        <v>820.97809797070147</v>
      </c>
      <c r="CA85" s="302">
        <f>CA84-CA14</f>
        <v>879.67235822715816</v>
      </c>
      <c r="CB85" s="1017">
        <f>CB84-CB14</f>
        <v>849.82143049155297</v>
      </c>
      <c r="CC85" s="20"/>
      <c r="CD85" s="302">
        <f t="shared" ref="CD85:CM85" si="285">CD84-CD14</f>
        <v>387.27400000000011</v>
      </c>
      <c r="CE85" s="302">
        <f t="shared" si="285"/>
        <v>413.36400000000003</v>
      </c>
      <c r="CF85" s="302">
        <f t="shared" si="285"/>
        <v>385.70800000000003</v>
      </c>
      <c r="CG85" s="302">
        <f t="shared" si="285"/>
        <v>433.00600000000009</v>
      </c>
      <c r="CH85" s="302">
        <f t="shared" si="285"/>
        <v>463.35300000000001</v>
      </c>
      <c r="CI85" s="304">
        <f t="shared" si="285"/>
        <v>732.68699999999978</v>
      </c>
      <c r="CJ85" s="302">
        <f t="shared" si="285"/>
        <v>572.12700000000007</v>
      </c>
      <c r="CK85" s="302">
        <f t="shared" si="285"/>
        <v>662.66699999999992</v>
      </c>
      <c r="CL85" s="302">
        <f t="shared" si="285"/>
        <v>670.42499999999984</v>
      </c>
      <c r="CM85" s="302">
        <f t="shared" si="285"/>
        <v>643.67800000000011</v>
      </c>
      <c r="CN85" s="302">
        <f>CN84-CN14</f>
        <v>566.49400000000003</v>
      </c>
      <c r="CO85" s="302">
        <f>CO84-CO14</f>
        <v>696.89199999999994</v>
      </c>
      <c r="CP85" s="302">
        <f>CP84-CP14</f>
        <v>771.78820870565005</v>
      </c>
      <c r="CQ85" s="302">
        <f>CQ84-CQ14</f>
        <v>859.99939424503236</v>
      </c>
      <c r="CR85" s="22"/>
      <c r="CS85" s="14"/>
    </row>
    <row r="86" spans="1:97" ht="14.25" customHeight="1">
      <c r="A86" s="1"/>
      <c r="B86" s="5"/>
      <c r="C86" s="5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215"/>
      <c r="BB86" s="1"/>
      <c r="BC86" s="1"/>
      <c r="BD86" s="1"/>
      <c r="BE86" s="215"/>
      <c r="BF86" s="1"/>
      <c r="BG86" s="1"/>
      <c r="BH86" s="1"/>
      <c r="BI86" s="215"/>
      <c r="BJ86" s="1"/>
      <c r="BK86" s="1"/>
      <c r="BL86" s="1"/>
      <c r="BM86" s="305"/>
      <c r="BN86" s="305"/>
      <c r="BO86" s="305"/>
      <c r="BP86" s="305"/>
      <c r="BQ86" s="305"/>
      <c r="BR86" s="305"/>
      <c r="BS86" s="305"/>
      <c r="BT86" s="305"/>
      <c r="BU86" s="305"/>
      <c r="BV86" s="305"/>
      <c r="BW86" s="305"/>
      <c r="BX86" s="305"/>
      <c r="BY86" s="305"/>
      <c r="BZ86" s="305"/>
      <c r="CA86" s="305"/>
      <c r="CB86" s="809"/>
      <c r="CC86" s="1"/>
      <c r="CD86" s="305"/>
      <c r="CE86" s="305"/>
      <c r="CF86" s="305"/>
      <c r="CG86" s="305"/>
      <c r="CH86" s="305"/>
      <c r="CI86" s="306"/>
      <c r="CJ86" s="305"/>
      <c r="CK86" s="305"/>
      <c r="CL86" s="305"/>
      <c r="CM86" s="305"/>
      <c r="CN86" s="305"/>
      <c r="CO86" s="306"/>
      <c r="CP86" s="306"/>
      <c r="CQ86" s="305"/>
      <c r="CR86" s="1"/>
      <c r="CS86" s="1"/>
    </row>
    <row r="87" spans="1:97" ht="14.25" customHeight="1">
      <c r="A87" s="1"/>
      <c r="B87" s="5"/>
      <c r="C87" s="5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305"/>
      <c r="BN87" s="305"/>
      <c r="BO87" s="305"/>
      <c r="BP87" s="305"/>
      <c r="BQ87" s="305"/>
      <c r="BR87" s="305"/>
      <c r="BS87" s="305"/>
      <c r="BT87" s="305"/>
      <c r="BU87" s="305"/>
      <c r="BV87" s="305"/>
      <c r="BW87" s="305"/>
      <c r="BX87" s="305"/>
      <c r="BY87" s="305"/>
      <c r="BZ87" s="305"/>
      <c r="CA87" s="305"/>
      <c r="CB87" s="809"/>
      <c r="CC87" s="1"/>
      <c r="CD87" s="305"/>
      <c r="CE87" s="305"/>
      <c r="CF87" s="305"/>
      <c r="CG87" s="305"/>
      <c r="CH87" s="305"/>
      <c r="CI87" s="305"/>
      <c r="CJ87" s="305"/>
      <c r="CK87" s="305"/>
      <c r="CL87" s="305"/>
      <c r="CM87" s="305"/>
      <c r="CN87" s="305"/>
      <c r="CO87" s="305"/>
      <c r="CP87" s="305"/>
      <c r="CQ87" s="305"/>
      <c r="CR87" s="1"/>
      <c r="CS87" s="1"/>
    </row>
    <row r="88" spans="1:97" ht="14.25" customHeight="1">
      <c r="A88" s="1"/>
      <c r="B88" s="5"/>
      <c r="C88" s="5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305"/>
      <c r="BN88" s="305"/>
      <c r="BO88" s="305"/>
      <c r="BP88" s="305"/>
      <c r="BQ88" s="305"/>
      <c r="BR88" s="305"/>
      <c r="BS88" s="305"/>
      <c r="BT88" s="305"/>
      <c r="BU88" s="305"/>
      <c r="BV88" s="305"/>
      <c r="BW88" s="305"/>
      <c r="BX88" s="305"/>
      <c r="BY88" s="305"/>
      <c r="BZ88" s="305"/>
      <c r="CA88" s="305"/>
      <c r="CB88" s="809"/>
      <c r="CC88" s="1"/>
      <c r="CD88" s="305"/>
      <c r="CE88" s="305"/>
      <c r="CF88" s="305"/>
      <c r="CG88" s="305"/>
      <c r="CH88" s="305"/>
      <c r="CI88" s="305"/>
      <c r="CJ88" s="305"/>
      <c r="CK88" s="305"/>
      <c r="CL88" s="305"/>
      <c r="CM88" s="305"/>
      <c r="CN88" s="305"/>
      <c r="CO88" s="305"/>
      <c r="CP88" s="305"/>
      <c r="CQ88" s="305"/>
      <c r="CR88" s="1"/>
      <c r="CS88" s="1"/>
    </row>
    <row r="89" spans="1:97" ht="14.25" customHeight="1" outlineLevel="1">
      <c r="A89" s="8"/>
      <c r="B89" s="217" t="s">
        <v>249</v>
      </c>
      <c r="C89" s="371"/>
      <c r="D89" s="260"/>
      <c r="E89" s="260"/>
      <c r="F89" s="260"/>
      <c r="G89" s="260"/>
      <c r="H89" s="260"/>
      <c r="I89" s="260"/>
      <c r="J89" s="260"/>
      <c r="K89" s="260"/>
      <c r="L89" s="260"/>
      <c r="M89" s="260"/>
      <c r="N89" s="260"/>
      <c r="O89" s="260"/>
      <c r="P89" s="260"/>
      <c r="Q89" s="260"/>
      <c r="R89" s="260"/>
      <c r="S89" s="260"/>
      <c r="T89" s="260"/>
      <c r="U89" s="260"/>
      <c r="V89" s="260"/>
      <c r="W89" s="260"/>
      <c r="X89" s="260"/>
      <c r="Y89" s="260"/>
      <c r="Z89" s="260"/>
      <c r="AA89" s="260"/>
      <c r="AB89" s="260"/>
      <c r="AC89" s="260"/>
      <c r="AD89" s="260"/>
      <c r="AE89" s="260"/>
      <c r="AF89" s="260"/>
      <c r="AG89" s="260"/>
      <c r="AH89" s="260"/>
      <c r="AI89" s="260"/>
      <c r="AJ89" s="260"/>
      <c r="AK89" s="260"/>
      <c r="AL89" s="260"/>
      <c r="AM89" s="260"/>
      <c r="AN89" s="260"/>
      <c r="AO89" s="260"/>
      <c r="AP89" s="260"/>
      <c r="AQ89" s="260"/>
      <c r="AR89" s="260"/>
      <c r="AS89" s="260"/>
      <c r="AT89" s="260"/>
      <c r="AU89" s="260"/>
      <c r="AV89" s="260"/>
      <c r="AW89" s="260"/>
      <c r="AX89" s="260"/>
      <c r="AY89" s="260"/>
      <c r="AZ89" s="260"/>
      <c r="BA89" s="260"/>
      <c r="BB89" s="260"/>
      <c r="BC89" s="260"/>
      <c r="BD89" s="260"/>
      <c r="BE89" s="260"/>
      <c r="BF89" s="260"/>
      <c r="BG89" s="260"/>
      <c r="BH89" s="260"/>
      <c r="BI89" s="260"/>
      <c r="BJ89" s="260"/>
      <c r="BK89" s="260"/>
      <c r="BL89" s="14"/>
      <c r="BM89" s="260"/>
      <c r="BN89" s="260"/>
      <c r="BO89" s="260"/>
      <c r="BP89" s="260"/>
      <c r="BQ89" s="260"/>
      <c r="BR89" s="260"/>
      <c r="BS89" s="260"/>
      <c r="BT89" s="260"/>
      <c r="BU89" s="260"/>
      <c r="BV89" s="260"/>
      <c r="BW89" s="260"/>
      <c r="BX89" s="260"/>
      <c r="BY89" s="260"/>
      <c r="BZ89" s="260"/>
      <c r="CA89" s="260"/>
      <c r="CB89" s="1006"/>
      <c r="CC89" s="8"/>
      <c r="CD89" s="260"/>
      <c r="CE89" s="260"/>
      <c r="CF89" s="260"/>
      <c r="CG89" s="260"/>
      <c r="CH89" s="260"/>
      <c r="CI89" s="260"/>
      <c r="CJ89" s="260"/>
      <c r="CK89" s="260"/>
      <c r="CL89" s="260"/>
      <c r="CM89" s="260"/>
      <c r="CN89" s="260"/>
      <c r="CO89" s="260"/>
      <c r="CP89" s="260"/>
      <c r="CQ89" s="260"/>
      <c r="CR89" s="8"/>
      <c r="CS89" s="8"/>
    </row>
    <row r="90" spans="1:97" ht="14.25" customHeight="1" outlineLevel="1">
      <c r="A90" s="14"/>
      <c r="B90" s="358" t="s">
        <v>252</v>
      </c>
      <c r="C90" s="372"/>
      <c r="D90" s="260"/>
      <c r="E90" s="260"/>
      <c r="F90" s="260"/>
      <c r="G90" s="260"/>
      <c r="H90" s="260"/>
      <c r="I90" s="260"/>
      <c r="J90" s="260"/>
      <c r="K90" s="260"/>
      <c r="L90" s="260"/>
      <c r="M90" s="260"/>
      <c r="N90" s="260"/>
      <c r="O90" s="260"/>
      <c r="P90" s="260"/>
      <c r="Q90" s="260"/>
      <c r="R90" s="260"/>
      <c r="S90" s="260"/>
      <c r="T90" s="260"/>
      <c r="U90" s="260"/>
      <c r="V90" s="260"/>
      <c r="W90" s="260"/>
      <c r="X90" s="260"/>
      <c r="Y90" s="260"/>
      <c r="Z90" s="260"/>
      <c r="AA90" s="260"/>
      <c r="AB90" s="260"/>
      <c r="AC90" s="260"/>
      <c r="AD90" s="260"/>
      <c r="AE90" s="260"/>
      <c r="AF90" s="260"/>
      <c r="AG90" s="260"/>
      <c r="AH90" s="260"/>
      <c r="AI90" s="260"/>
      <c r="AJ90" s="260"/>
      <c r="AK90" s="260"/>
      <c r="AL90" s="260"/>
      <c r="AM90" s="260"/>
      <c r="AN90" s="260"/>
      <c r="AO90" s="260"/>
      <c r="AP90" s="260"/>
      <c r="AQ90" s="260"/>
      <c r="AR90" s="260"/>
      <c r="AS90" s="260"/>
      <c r="AT90" s="260"/>
      <c r="AU90" s="260"/>
      <c r="AV90" s="260"/>
      <c r="AW90" s="260"/>
      <c r="AX90" s="260"/>
      <c r="AY90" s="260"/>
      <c r="AZ90" s="260"/>
      <c r="BA90" s="260"/>
      <c r="BB90" s="260"/>
      <c r="BC90" s="260"/>
      <c r="BD90" s="260"/>
      <c r="BE90" s="260"/>
      <c r="BF90" s="260"/>
      <c r="BG90" s="260"/>
      <c r="BH90" s="260"/>
      <c r="BI90" s="260"/>
      <c r="BJ90" s="260"/>
      <c r="BK90" s="260"/>
      <c r="BL90" s="71"/>
      <c r="BM90" s="118"/>
      <c r="BN90" s="118"/>
      <c r="BO90" s="118"/>
      <c r="BP90" s="118"/>
      <c r="BQ90" s="118"/>
      <c r="BR90" s="118"/>
      <c r="BS90" s="118"/>
      <c r="BT90" s="118"/>
      <c r="BU90" s="118"/>
      <c r="BV90" s="118"/>
      <c r="BW90" s="118"/>
      <c r="BX90" s="118"/>
      <c r="BY90" s="118"/>
      <c r="BZ90" s="118"/>
      <c r="CA90" s="118"/>
      <c r="CB90" s="969"/>
      <c r="CC90" s="8"/>
      <c r="CD90" s="118"/>
      <c r="CE90" s="118"/>
      <c r="CF90" s="118"/>
      <c r="CG90" s="118"/>
      <c r="CH90" s="118"/>
      <c r="CI90" s="118"/>
      <c r="CJ90" s="118"/>
      <c r="CK90" s="118"/>
      <c r="CL90" s="118"/>
      <c r="CM90" s="118"/>
      <c r="CN90" s="118"/>
      <c r="CO90" s="118"/>
      <c r="CP90" s="118"/>
      <c r="CQ90" s="118"/>
      <c r="CR90" s="8"/>
      <c r="CS90" s="8"/>
    </row>
    <row r="91" spans="1:97" ht="14.25" customHeight="1" outlineLevel="1">
      <c r="A91" s="14"/>
      <c r="B91" s="358"/>
      <c r="C91" s="373"/>
      <c r="D91" s="17" t="str">
        <f>D9</f>
        <v>F1Q06A</v>
      </c>
      <c r="E91" s="18" t="str">
        <f>E9</f>
        <v>F2Q06A</v>
      </c>
      <c r="F91" s="18" t="str">
        <f>F9</f>
        <v>F3Q06A</v>
      </c>
      <c r="G91" s="19" t="str">
        <f>G9</f>
        <v>F4Q06A</v>
      </c>
      <c r="H91" s="17" t="str">
        <f t="shared" ref="H91:W91" si="286">H9</f>
        <v>F1Q07A</v>
      </c>
      <c r="I91" s="18" t="str">
        <f t="shared" si="286"/>
        <v>F2Q07A</v>
      </c>
      <c r="J91" s="18" t="str">
        <f t="shared" si="286"/>
        <v>F3Q07A</v>
      </c>
      <c r="K91" s="19" t="str">
        <f t="shared" si="286"/>
        <v>F4Q07A</v>
      </c>
      <c r="L91" s="17" t="str">
        <f t="shared" si="286"/>
        <v>F1Q08A</v>
      </c>
      <c r="M91" s="18" t="str">
        <f t="shared" si="286"/>
        <v>F2Q08A</v>
      </c>
      <c r="N91" s="18" t="str">
        <f t="shared" si="286"/>
        <v>F3Q08A</v>
      </c>
      <c r="O91" s="19" t="str">
        <f t="shared" si="286"/>
        <v>F4Q08A</v>
      </c>
      <c r="P91" s="17" t="str">
        <f t="shared" si="286"/>
        <v>F1Q09A</v>
      </c>
      <c r="Q91" s="18" t="str">
        <f t="shared" si="286"/>
        <v>F2Q09A</v>
      </c>
      <c r="R91" s="18" t="str">
        <f t="shared" si="286"/>
        <v>F3Q09A</v>
      </c>
      <c r="S91" s="19" t="str">
        <f t="shared" si="286"/>
        <v>F4Q09A</v>
      </c>
      <c r="T91" s="17" t="str">
        <f t="shared" si="286"/>
        <v>F1Q10A</v>
      </c>
      <c r="U91" s="18" t="str">
        <f t="shared" si="286"/>
        <v>F2Q10A</v>
      </c>
      <c r="V91" s="18" t="str">
        <f t="shared" si="286"/>
        <v>F3Q10A</v>
      </c>
      <c r="W91" s="19" t="str">
        <f t="shared" si="286"/>
        <v>F4Q10A</v>
      </c>
      <c r="X91" s="17" t="str">
        <f t="shared" ref="X91:AQ91" si="287">X9</f>
        <v>F1Q11A</v>
      </c>
      <c r="Y91" s="18" t="str">
        <f t="shared" si="287"/>
        <v>F2Q11A</v>
      </c>
      <c r="Z91" s="18" t="str">
        <f t="shared" si="287"/>
        <v>F3Q11A</v>
      </c>
      <c r="AA91" s="19" t="str">
        <f t="shared" si="287"/>
        <v>F4Q11A</v>
      </c>
      <c r="AB91" s="17" t="str">
        <f t="shared" si="287"/>
        <v>F1Q12A</v>
      </c>
      <c r="AC91" s="18" t="str">
        <f>AC9</f>
        <v>F2Q12A</v>
      </c>
      <c r="AD91" s="18" t="str">
        <f t="shared" si="287"/>
        <v>F3Q12A</v>
      </c>
      <c r="AE91" s="19" t="str">
        <f t="shared" si="287"/>
        <v>F4Q12A</v>
      </c>
      <c r="AF91" s="17" t="str">
        <f>AF9</f>
        <v>F1Q13A</v>
      </c>
      <c r="AG91" s="18" t="str">
        <f>AG9</f>
        <v>F2Q13A</v>
      </c>
      <c r="AH91" s="18" t="str">
        <f>AH9</f>
        <v>F3Q13A</v>
      </c>
      <c r="AI91" s="19" t="str">
        <f t="shared" si="287"/>
        <v>F4Q13A</v>
      </c>
      <c r="AJ91" s="17" t="str">
        <f t="shared" si="287"/>
        <v>F1Q14A</v>
      </c>
      <c r="AK91" s="18" t="str">
        <f t="shared" si="287"/>
        <v>F2Q14A</v>
      </c>
      <c r="AL91" s="18" t="str">
        <f t="shared" si="287"/>
        <v>F3Q14A</v>
      </c>
      <c r="AM91" s="19" t="str">
        <f>AM9</f>
        <v>F4Q14A</v>
      </c>
      <c r="AN91" s="17" t="str">
        <f t="shared" si="287"/>
        <v>F1Q15A</v>
      </c>
      <c r="AO91" s="18" t="str">
        <f t="shared" si="287"/>
        <v>F2Q15A</v>
      </c>
      <c r="AP91" s="18" t="str">
        <f t="shared" si="287"/>
        <v>F3Q15A</v>
      </c>
      <c r="AQ91" s="19" t="str">
        <f t="shared" si="287"/>
        <v>F4Q15A</v>
      </c>
      <c r="AR91" s="17" t="str">
        <f t="shared" ref="AR91:AY91" si="288">AR9</f>
        <v>F1Q16A</v>
      </c>
      <c r="AS91" s="18" t="str">
        <f t="shared" si="288"/>
        <v>F2Q16A</v>
      </c>
      <c r="AT91" s="18" t="str">
        <f t="shared" si="288"/>
        <v>F3Q16A</v>
      </c>
      <c r="AU91" s="19" t="str">
        <f t="shared" si="288"/>
        <v>F4Q16A</v>
      </c>
      <c r="AV91" s="17" t="str">
        <f>AV9</f>
        <v>F1Q17A</v>
      </c>
      <c r="AW91" s="18" t="str">
        <f>AW9</f>
        <v>F2Q17A</v>
      </c>
      <c r="AX91" s="18" t="str">
        <f>AX9</f>
        <v>F3Q17A</v>
      </c>
      <c r="AY91" s="19" t="str">
        <f t="shared" si="288"/>
        <v>F4Q17A</v>
      </c>
      <c r="AZ91" s="18" t="str">
        <f t="shared" ref="AZ91:BG91" si="289">AZ9</f>
        <v>F1Q18A</v>
      </c>
      <c r="BA91" s="18" t="str">
        <f t="shared" si="289"/>
        <v>F2Q18A</v>
      </c>
      <c r="BB91" s="18" t="str">
        <f t="shared" si="289"/>
        <v>F3Q18A</v>
      </c>
      <c r="BC91" s="19" t="str">
        <f t="shared" si="289"/>
        <v>F4Q18A</v>
      </c>
      <c r="BD91" s="18" t="str">
        <f t="shared" si="289"/>
        <v>F1Q19E</v>
      </c>
      <c r="BE91" s="18" t="str">
        <f t="shared" si="289"/>
        <v>F2Q19E</v>
      </c>
      <c r="BF91" s="18" t="str">
        <f t="shared" si="289"/>
        <v>F3Q19E</v>
      </c>
      <c r="BG91" s="19" t="str">
        <f t="shared" si="289"/>
        <v>F4Q19E</v>
      </c>
      <c r="BH91" s="18" t="str">
        <f>BH9</f>
        <v>F1Q20E</v>
      </c>
      <c r="BI91" s="18" t="str">
        <f>BI9</f>
        <v>F2Q20E</v>
      </c>
      <c r="BJ91" s="18" t="str">
        <f>BJ9</f>
        <v>F3Q20E</v>
      </c>
      <c r="BK91" s="19" t="str">
        <f>BK9</f>
        <v>F4Q20E</v>
      </c>
      <c r="BL91" s="192"/>
      <c r="BM91" s="17" t="str">
        <f>BM9</f>
        <v>FY2006A</v>
      </c>
      <c r="BN91" s="18" t="str">
        <f>BN9</f>
        <v>FY2007A</v>
      </c>
      <c r="BO91" s="18" t="str">
        <f>BO9</f>
        <v>FY2008A</v>
      </c>
      <c r="BP91" s="18" t="str">
        <f t="shared" ref="BP91:BV91" si="290">BP9</f>
        <v>FY2009A</v>
      </c>
      <c r="BQ91" s="18" t="str">
        <f t="shared" si="290"/>
        <v>FY2010A</v>
      </c>
      <c r="BR91" s="18" t="str">
        <f t="shared" si="290"/>
        <v>FY2011A</v>
      </c>
      <c r="BS91" s="18" t="str">
        <f t="shared" si="290"/>
        <v>FY2012A</v>
      </c>
      <c r="BT91" s="18" t="str">
        <f t="shared" si="290"/>
        <v>FY2013A</v>
      </c>
      <c r="BU91" s="18" t="str">
        <f t="shared" si="290"/>
        <v>FY2014</v>
      </c>
      <c r="BV91" s="18" t="str">
        <f t="shared" si="290"/>
        <v>FY2015</v>
      </c>
      <c r="BW91" s="18" t="str">
        <f t="shared" ref="BW91:CB91" si="291">BW9</f>
        <v>FY2016</v>
      </c>
      <c r="BX91" s="18" t="str">
        <f t="shared" si="291"/>
        <v>FY2017</v>
      </c>
      <c r="BY91" s="18" t="str">
        <f t="shared" si="291"/>
        <v>FY2018A</v>
      </c>
      <c r="BZ91" s="18" t="str">
        <f t="shared" si="291"/>
        <v>FY2019E</v>
      </c>
      <c r="CA91" s="18" t="str">
        <f t="shared" si="291"/>
        <v>FY2020E</v>
      </c>
      <c r="CB91" s="1014" t="str">
        <f t="shared" si="291"/>
        <v>FY2021E</v>
      </c>
      <c r="CC91" s="20"/>
      <c r="CD91" s="18" t="str">
        <f>CD83</f>
        <v>CY2006</v>
      </c>
      <c r="CE91" s="18" t="str">
        <f t="shared" ref="CE91:CL91" si="292">CE83</f>
        <v>CY2007</v>
      </c>
      <c r="CF91" s="18" t="str">
        <f t="shared" si="292"/>
        <v>CY2008</v>
      </c>
      <c r="CG91" s="18" t="str">
        <f t="shared" si="292"/>
        <v>CY2009</v>
      </c>
      <c r="CH91" s="18" t="str">
        <f t="shared" si="292"/>
        <v>CY2010</v>
      </c>
      <c r="CI91" s="18" t="str">
        <f t="shared" si="292"/>
        <v>CY2011</v>
      </c>
      <c r="CJ91" s="18" t="str">
        <f t="shared" si="292"/>
        <v>CY2012</v>
      </c>
      <c r="CK91" s="18" t="str">
        <f t="shared" si="292"/>
        <v>CY2013</v>
      </c>
      <c r="CL91" s="18" t="str">
        <f t="shared" si="292"/>
        <v>CY2014</v>
      </c>
      <c r="CM91" s="18" t="str">
        <f>CM83</f>
        <v>CY2015</v>
      </c>
      <c r="CN91" s="18" t="str">
        <f>CN83</f>
        <v>CY2016</v>
      </c>
      <c r="CO91" s="18" t="str">
        <f>CO83</f>
        <v>CY2017</v>
      </c>
      <c r="CP91" s="18" t="str">
        <f>CP83</f>
        <v>CY2018</v>
      </c>
      <c r="CQ91" s="18" t="str">
        <f>CQ83</f>
        <v>CY2019</v>
      </c>
      <c r="CR91" s="22"/>
      <c r="CS91" s="14"/>
    </row>
    <row r="92" spans="1:97" ht="14.25" customHeight="1" outlineLevel="1">
      <c r="A92" s="8"/>
      <c r="B92" s="217" t="s">
        <v>140</v>
      </c>
      <c r="C92" s="51"/>
      <c r="D92" s="220"/>
      <c r="E92" s="218"/>
      <c r="F92" s="218"/>
      <c r="G92" s="218"/>
      <c r="H92" s="220"/>
      <c r="I92" s="218"/>
      <c r="J92" s="218"/>
      <c r="K92" s="218"/>
      <c r="L92" s="220"/>
      <c r="M92" s="218"/>
      <c r="N92" s="218"/>
      <c r="O92" s="218"/>
      <c r="P92" s="220"/>
      <c r="Q92" s="218"/>
      <c r="R92" s="218"/>
      <c r="S92" s="218"/>
      <c r="T92" s="220"/>
      <c r="U92" s="218"/>
      <c r="V92" s="218"/>
      <c r="W92" s="218"/>
      <c r="X92" s="220"/>
      <c r="Y92" s="218"/>
      <c r="Z92" s="218"/>
      <c r="AA92" s="218"/>
      <c r="AB92" s="220"/>
      <c r="AC92" s="218"/>
      <c r="AD92" s="218"/>
      <c r="AE92" s="218"/>
      <c r="AF92" s="220"/>
      <c r="AG92" s="218"/>
      <c r="AH92" s="218"/>
      <c r="AI92" s="219"/>
      <c r="AJ92" s="220"/>
      <c r="AK92" s="218"/>
      <c r="AL92" s="218"/>
      <c r="AM92" s="219"/>
      <c r="AN92" s="220"/>
      <c r="AO92" s="218"/>
      <c r="AP92" s="218"/>
      <c r="AQ92" s="219"/>
      <c r="AR92" s="220"/>
      <c r="AS92" s="218"/>
      <c r="AT92" s="218"/>
      <c r="AU92" s="219"/>
      <c r="AV92" s="220"/>
      <c r="AW92" s="218"/>
      <c r="AX92" s="218"/>
      <c r="AY92" s="219"/>
      <c r="AZ92" s="218"/>
      <c r="BA92" s="218"/>
      <c r="BB92" s="218"/>
      <c r="BC92" s="219"/>
      <c r="BD92" s="218"/>
      <c r="BE92" s="218"/>
      <c r="BF92" s="218"/>
      <c r="BG92" s="219"/>
      <c r="BH92" s="218"/>
      <c r="BI92" s="218"/>
      <c r="BJ92" s="218"/>
      <c r="BK92" s="219"/>
      <c r="BL92" s="192"/>
      <c r="BM92" s="218"/>
      <c r="BN92" s="218"/>
      <c r="BO92" s="218"/>
      <c r="BP92" s="218"/>
      <c r="BQ92" s="218"/>
      <c r="BR92" s="218"/>
      <c r="BS92" s="218"/>
      <c r="BT92" s="218"/>
      <c r="BU92" s="218"/>
      <c r="BV92" s="218"/>
      <c r="BW92" s="221"/>
      <c r="BX92" s="218"/>
      <c r="BY92" s="221"/>
      <c r="BZ92" s="221"/>
      <c r="CA92" s="221"/>
      <c r="CB92" s="1018"/>
      <c r="CC92" s="20"/>
      <c r="CD92" s="218"/>
      <c r="CE92" s="218"/>
      <c r="CF92" s="218"/>
      <c r="CG92" s="218"/>
      <c r="CH92" s="218"/>
      <c r="CI92" s="218"/>
      <c r="CJ92" s="218"/>
      <c r="CK92" s="218"/>
      <c r="CL92" s="218"/>
      <c r="CM92" s="218"/>
      <c r="CN92" s="218"/>
      <c r="CO92" s="221"/>
      <c r="CP92" s="221"/>
      <c r="CQ92" s="218"/>
      <c r="CR92" s="22"/>
      <c r="CS92" s="14"/>
    </row>
    <row r="93" spans="1:97" ht="14.25" customHeight="1" outlineLevel="1">
      <c r="A93" s="8"/>
      <c r="B93" s="23" t="s">
        <v>141</v>
      </c>
      <c r="C93" s="24"/>
      <c r="D93" s="109">
        <f>D11</f>
        <v>76.841000000000051</v>
      </c>
      <c r="E93" s="110">
        <f>D93+E11</f>
        <v>162.43900000000002</v>
      </c>
      <c r="F93" s="110">
        <f>E93+F11</f>
        <v>243.40800000000004</v>
      </c>
      <c r="G93" s="111">
        <f>F93+G11</f>
        <v>354.14900000000006</v>
      </c>
      <c r="H93" s="109">
        <f>H11</f>
        <v>82.490999999999985</v>
      </c>
      <c r="I93" s="110">
        <f>H93+I11</f>
        <v>175.53699999999998</v>
      </c>
      <c r="J93" s="110">
        <f>I93+J11</f>
        <v>263.04600000000005</v>
      </c>
      <c r="K93" s="111">
        <f>J93+K11</f>
        <v>350.67200000000003</v>
      </c>
      <c r="L93" s="109">
        <f>L11</f>
        <v>84.277999999999963</v>
      </c>
      <c r="M93" s="110">
        <f>L93+M11</f>
        <v>173.97599999999997</v>
      </c>
      <c r="N93" s="110">
        <f>M93+N11</f>
        <v>277.56799999999998</v>
      </c>
      <c r="O93" s="111">
        <f>N93+O11</f>
        <v>369.315</v>
      </c>
      <c r="P93" s="109">
        <f>P11</f>
        <v>83.177999999999997</v>
      </c>
      <c r="Q93" s="110">
        <f>P93+Q11</f>
        <v>164.23799999999997</v>
      </c>
      <c r="R93" s="110">
        <f>Q93+R11</f>
        <v>283.68200000000002</v>
      </c>
      <c r="S93" s="111">
        <f>R93+S11</f>
        <v>361.71900000000005</v>
      </c>
      <c r="T93" s="109">
        <f>T11</f>
        <v>38.006000000000014</v>
      </c>
      <c r="U93" s="110">
        <f>T93+U11</f>
        <v>102.04400000000005</v>
      </c>
      <c r="V93" s="110">
        <f>U93+V11</f>
        <v>208.95200000000011</v>
      </c>
      <c r="W93" s="111">
        <f>V93+W11</f>
        <v>357.48400000000004</v>
      </c>
      <c r="X93" s="109">
        <f>X11</f>
        <v>158.58699999999999</v>
      </c>
      <c r="Y93" s="110">
        <f>X93+Y11</f>
        <v>329.48200000000003</v>
      </c>
      <c r="Z93" s="110">
        <f>Y93+Z11</f>
        <v>481.82300000000009</v>
      </c>
      <c r="AA93" s="111">
        <f>Z93+AA11</f>
        <v>641.87500000000011</v>
      </c>
      <c r="AB93" s="109">
        <f>AB11</f>
        <v>154.37399999999997</v>
      </c>
      <c r="AC93" s="110">
        <f>AB93+AC11</f>
        <v>280.65999999999997</v>
      </c>
      <c r="AD93" s="110">
        <f>AC93+AD11</f>
        <v>407.67399999999998</v>
      </c>
      <c r="AE93" s="111">
        <f>AD93+AE11</f>
        <v>530.07899999999995</v>
      </c>
      <c r="AF93" s="109">
        <f>AF11</f>
        <v>129.83099999999999</v>
      </c>
      <c r="AG93" s="110">
        <f>AF93+AG11</f>
        <v>253.26800000000003</v>
      </c>
      <c r="AH93" s="110">
        <f>AG93+AH11</f>
        <v>356.91600000000005</v>
      </c>
      <c r="AI93" s="111">
        <f>AH93+AI11</f>
        <v>487.53600000000006</v>
      </c>
      <c r="AJ93" s="109">
        <f>AJ11</f>
        <v>157.02300000000005</v>
      </c>
      <c r="AK93" s="110">
        <f>AJ93+AK11</f>
        <v>298.48400000000004</v>
      </c>
      <c r="AL93" s="110">
        <f>AK93+AL11</f>
        <v>474.36099999999999</v>
      </c>
      <c r="AM93" s="111">
        <f>AL93+AM11</f>
        <v>630.38799999999992</v>
      </c>
      <c r="AN93" s="109">
        <f>AN11</f>
        <v>173.61100000000005</v>
      </c>
      <c r="AO93" s="110">
        <f>AN93+AO11</f>
        <v>345.12700000000007</v>
      </c>
      <c r="AP93" s="110">
        <f>AO93+AP11</f>
        <v>513.59299999999996</v>
      </c>
      <c r="AQ93" s="111">
        <f>AP93+AQ11</f>
        <v>648.21599999999989</v>
      </c>
      <c r="AR93" s="109">
        <f>AR11</f>
        <v>147.71500000000003</v>
      </c>
      <c r="AS93" s="110">
        <f>AR93+AS11</f>
        <v>275.01300000000003</v>
      </c>
      <c r="AT93" s="110">
        <f>AS93+AT11</f>
        <v>405.83200000000005</v>
      </c>
      <c r="AU93" s="111">
        <f>AT93+AU11</f>
        <v>550.86700000000008</v>
      </c>
      <c r="AV93" s="109">
        <f>AV11</f>
        <v>163.04899999999998</v>
      </c>
      <c r="AW93" s="110">
        <f t="shared" ref="AW93:BC93" si="293">AV93+AW11</f>
        <v>327.24099999999993</v>
      </c>
      <c r="AX93" s="110">
        <f>AW93+AX11</f>
        <v>469.08699999999988</v>
      </c>
      <c r="AY93" s="111">
        <f t="shared" si="293"/>
        <v>622.51199999999983</v>
      </c>
      <c r="AZ93" s="110">
        <f>+AZ11</f>
        <v>167.24499999999998</v>
      </c>
      <c r="BA93" s="110">
        <f t="shared" si="293"/>
        <v>334.77700000000004</v>
      </c>
      <c r="BB93" s="110">
        <f t="shared" si="293"/>
        <v>346.72200000000004</v>
      </c>
      <c r="BC93" s="111">
        <f t="shared" si="293"/>
        <v>512.38099999999997</v>
      </c>
      <c r="BD93" s="110">
        <f>+BD11</f>
        <v>189.88476405095997</v>
      </c>
      <c r="BE93" s="110">
        <f>BD93+BE11</f>
        <v>378.2773225835702</v>
      </c>
      <c r="BF93" s="110">
        <f>BE93+BF11</f>
        <v>565.10920477978289</v>
      </c>
      <c r="BG93" s="111">
        <f>BF93+BG11</f>
        <v>756.50573953390654</v>
      </c>
      <c r="BH93" s="110">
        <f>+BH11</f>
        <v>200.87392741201117</v>
      </c>
      <c r="BI93" s="110">
        <f>BH93+BI11</f>
        <v>405.37574917520874</v>
      </c>
      <c r="BJ93" s="110">
        <f>BI93+BJ11</f>
        <v>608.8328679486749</v>
      </c>
      <c r="BK93" s="111">
        <f>BJ93+BK11</f>
        <v>816.4379083091078</v>
      </c>
      <c r="BL93" s="192"/>
      <c r="BM93" s="110">
        <f>G93</f>
        <v>354.14900000000006</v>
      </c>
      <c r="BN93" s="110">
        <f>K93</f>
        <v>350.67200000000003</v>
      </c>
      <c r="BO93" s="110">
        <f>O93</f>
        <v>369.315</v>
      </c>
      <c r="BP93" s="110">
        <f>S93</f>
        <v>361.71900000000005</v>
      </c>
      <c r="BQ93" s="110">
        <f>W93</f>
        <v>357.48400000000004</v>
      </c>
      <c r="BR93" s="110">
        <f>AA93</f>
        <v>641.87500000000011</v>
      </c>
      <c r="BS93" s="110">
        <f>AE93</f>
        <v>530.07899999999995</v>
      </c>
      <c r="BT93" s="110">
        <f>AI93</f>
        <v>487.53600000000006</v>
      </c>
      <c r="BU93" s="110">
        <f>AM93</f>
        <v>630.38799999999992</v>
      </c>
      <c r="BV93" s="110">
        <f>AQ93</f>
        <v>648.21599999999989</v>
      </c>
      <c r="BW93" s="110">
        <f>AU93</f>
        <v>550.86700000000008</v>
      </c>
      <c r="BX93" s="110">
        <f>AY93</f>
        <v>622.51199999999983</v>
      </c>
      <c r="BY93" s="110">
        <f>BC93</f>
        <v>512.38099999999997</v>
      </c>
      <c r="BZ93" s="110">
        <f>BG93</f>
        <v>756.50573953390654</v>
      </c>
      <c r="CA93" s="110">
        <f>BK93</f>
        <v>816.4379083091078</v>
      </c>
      <c r="CB93" s="1019">
        <f>CB11</f>
        <v>861.22309280901197</v>
      </c>
      <c r="CC93" s="20"/>
      <c r="CD93" s="110">
        <f>CD11</f>
        <v>373.78700000000003</v>
      </c>
      <c r="CE93" s="110">
        <f t="shared" ref="CE93:CL93" si="294">CE11</f>
        <v>365.19399999999996</v>
      </c>
      <c r="CF93" s="110">
        <f t="shared" si="294"/>
        <v>375.42900000000003</v>
      </c>
      <c r="CG93" s="110">
        <f t="shared" si="294"/>
        <v>286.98900000000015</v>
      </c>
      <c r="CH93" s="110">
        <f t="shared" si="294"/>
        <v>630.35500000000002</v>
      </c>
      <c r="CI93" s="110">
        <f t="shared" si="294"/>
        <v>567.72599999999989</v>
      </c>
      <c r="CJ93" s="110">
        <f t="shared" si="294"/>
        <v>479.32100000000003</v>
      </c>
      <c r="CK93" s="110">
        <f t="shared" si="294"/>
        <v>604.98099999999999</v>
      </c>
      <c r="CL93" s="110">
        <f t="shared" si="294"/>
        <v>669.61999999999989</v>
      </c>
      <c r="CM93" s="110">
        <f>CM11</f>
        <v>540.45500000000015</v>
      </c>
      <c r="CN93" s="110">
        <f>CN11</f>
        <v>614.12199999999996</v>
      </c>
      <c r="CO93" s="110">
        <f>CO11</f>
        <v>500.14699999999999</v>
      </c>
      <c r="CP93" s="110">
        <f>CP11</f>
        <v>730.76820477978288</v>
      </c>
      <c r="CQ93" s="110">
        <f>CQ11</f>
        <v>800.22940270279855</v>
      </c>
      <c r="CR93" s="22"/>
      <c r="CS93" s="14"/>
    </row>
    <row r="94" spans="1:97" ht="14.25" customHeight="1" outlineLevel="1">
      <c r="A94" s="8"/>
      <c r="B94" s="223" t="s">
        <v>142</v>
      </c>
      <c r="C94" s="224"/>
      <c r="D94" s="227"/>
      <c r="E94" s="225"/>
      <c r="F94" s="225"/>
      <c r="G94" s="226"/>
      <c r="H94" s="227"/>
      <c r="I94" s="225"/>
      <c r="J94" s="225"/>
      <c r="K94" s="226"/>
      <c r="L94" s="227"/>
      <c r="M94" s="225"/>
      <c r="N94" s="225"/>
      <c r="O94" s="226"/>
      <c r="P94" s="227"/>
      <c r="Q94" s="225"/>
      <c r="R94" s="225"/>
      <c r="S94" s="226"/>
      <c r="T94" s="227"/>
      <c r="U94" s="225"/>
      <c r="V94" s="225"/>
      <c r="W94" s="226"/>
      <c r="X94" s="227"/>
      <c r="Y94" s="225"/>
      <c r="Z94" s="225"/>
      <c r="AA94" s="226"/>
      <c r="AB94" s="227"/>
      <c r="AC94" s="225"/>
      <c r="AD94" s="225"/>
      <c r="AE94" s="226"/>
      <c r="AF94" s="227"/>
      <c r="AG94" s="225"/>
      <c r="AH94" s="225"/>
      <c r="AI94" s="226"/>
      <c r="AJ94" s="227"/>
      <c r="AK94" s="225"/>
      <c r="AL94" s="225"/>
      <c r="AM94" s="773"/>
      <c r="AN94" s="227"/>
      <c r="AO94" s="225"/>
      <c r="AP94" s="225"/>
      <c r="AQ94" s="773"/>
      <c r="AR94" s="227"/>
      <c r="AS94" s="225"/>
      <c r="AT94" s="225"/>
      <c r="AU94" s="773"/>
      <c r="AV94" s="227"/>
      <c r="AW94" s="225"/>
      <c r="AX94" s="225"/>
      <c r="AY94" s="226"/>
      <c r="AZ94" s="225"/>
      <c r="BA94" s="225"/>
      <c r="BB94" s="225"/>
      <c r="BC94" s="226"/>
      <c r="BD94" s="225"/>
      <c r="BE94" s="225"/>
      <c r="BF94" s="225"/>
      <c r="BG94" s="226"/>
      <c r="BH94" s="225"/>
      <c r="BI94" s="225"/>
      <c r="BJ94" s="225"/>
      <c r="BK94" s="226"/>
      <c r="BL94" s="192"/>
      <c r="BM94" s="225"/>
      <c r="BN94" s="225"/>
      <c r="BO94" s="225"/>
      <c r="BP94" s="225"/>
      <c r="BQ94" s="225"/>
      <c r="BR94" s="225"/>
      <c r="BS94" s="225"/>
      <c r="BT94" s="225"/>
      <c r="BU94" s="225"/>
      <c r="BV94" s="225"/>
      <c r="BW94" s="225"/>
      <c r="BX94" s="225"/>
      <c r="BY94" s="225"/>
      <c r="BZ94" s="225"/>
      <c r="CA94" s="225"/>
      <c r="CB94" s="1020"/>
      <c r="CC94" s="20"/>
      <c r="CD94" s="225"/>
      <c r="CE94" s="225"/>
      <c r="CF94" s="225"/>
      <c r="CG94" s="225"/>
      <c r="CH94" s="225"/>
      <c r="CI94" s="225"/>
      <c r="CJ94" s="225"/>
      <c r="CK94" s="225"/>
      <c r="CL94" s="225"/>
      <c r="CM94" s="225"/>
      <c r="CN94" s="225"/>
      <c r="CO94" s="225"/>
      <c r="CP94" s="225"/>
      <c r="CQ94" s="225"/>
      <c r="CR94" s="22"/>
      <c r="CS94" s="14"/>
    </row>
    <row r="95" spans="1:97" ht="14.25" customHeight="1" outlineLevel="1">
      <c r="A95" s="8"/>
      <c r="B95" s="55" t="s">
        <v>143</v>
      </c>
      <c r="C95" s="56"/>
      <c r="D95" s="233">
        <f>13.394+3.78</f>
        <v>17.173999999999999</v>
      </c>
      <c r="E95" s="231">
        <f>26.448+7.868</f>
        <v>34.316000000000003</v>
      </c>
      <c r="F95" s="231">
        <f>39.177+11.815</f>
        <v>50.991999999999997</v>
      </c>
      <c r="G95" s="232">
        <f>53.326+16.223</f>
        <v>69.549000000000007</v>
      </c>
      <c r="H95" s="233">
        <f>12.684+4.486</f>
        <v>17.169999999999998</v>
      </c>
      <c r="I95" s="231">
        <f>25.509+8.953</f>
        <v>34.462000000000003</v>
      </c>
      <c r="J95" s="231">
        <f>38.103+13.39</f>
        <v>51.493000000000002</v>
      </c>
      <c r="K95" s="232">
        <f>55.998+17.926</f>
        <v>73.923999999999992</v>
      </c>
      <c r="L95" s="233">
        <f>12.446+4.605</f>
        <v>17.051000000000002</v>
      </c>
      <c r="M95" s="231">
        <f>26.826+9.209</f>
        <v>36.034999999999997</v>
      </c>
      <c r="N95" s="231">
        <f>40.323+13.537</f>
        <v>53.86</v>
      </c>
      <c r="O95" s="232">
        <f>54.199+17.472</f>
        <v>71.670999999999992</v>
      </c>
      <c r="P95" s="233">
        <f>15.42+4.175</f>
        <v>19.594999999999999</v>
      </c>
      <c r="Q95" s="231">
        <f>28.729+8.351</f>
        <v>37.08</v>
      </c>
      <c r="R95" s="231">
        <f>42.167+12.42</f>
        <v>54.587000000000003</v>
      </c>
      <c r="S95" s="232">
        <f>55.632+15.682</f>
        <v>71.313999999999993</v>
      </c>
      <c r="T95" s="233">
        <f>13.009+5.307</f>
        <v>18.316000000000003</v>
      </c>
      <c r="U95" s="231">
        <f>25.065+8.567</f>
        <v>33.632000000000005</v>
      </c>
      <c r="V95" s="231">
        <f>37.932+11.777</f>
        <v>49.709000000000003</v>
      </c>
      <c r="W95" s="232">
        <f>50.18+14.982</f>
        <v>65.162000000000006</v>
      </c>
      <c r="X95" s="233">
        <f>12.191+1.743</f>
        <v>13.934000000000001</v>
      </c>
      <c r="Y95" s="231">
        <f>24.938+3.686</f>
        <v>28.623999999999999</v>
      </c>
      <c r="Z95" s="231">
        <f>37.438+5.559</f>
        <v>42.997</v>
      </c>
      <c r="AA95" s="232">
        <f>50.361+8.531</f>
        <v>58.891999999999996</v>
      </c>
      <c r="AB95" s="233">
        <f>13.698+3.71</f>
        <v>17.408000000000001</v>
      </c>
      <c r="AC95" s="231">
        <f>27.094+8.036</f>
        <v>35.130000000000003</v>
      </c>
      <c r="AD95" s="231">
        <f>40.956+12.363</f>
        <v>53.319000000000003</v>
      </c>
      <c r="AE95" s="232">
        <f>55.658+16.69</f>
        <v>72.347999999999999</v>
      </c>
      <c r="AF95" s="233">
        <f>14.603+4.267</f>
        <v>18.87</v>
      </c>
      <c r="AG95" s="231">
        <f>28.754+8.455</f>
        <v>37.209000000000003</v>
      </c>
      <c r="AH95" s="231">
        <f>42.434+12.878</f>
        <v>55.311999999999998</v>
      </c>
      <c r="AI95" s="232">
        <f>56.327+17.233</f>
        <v>73.56</v>
      </c>
      <c r="AJ95" s="233">
        <f>14.033+4.885</f>
        <v>18.917999999999999</v>
      </c>
      <c r="AK95" s="231">
        <f>28.009+9.77</f>
        <v>37.778999999999996</v>
      </c>
      <c r="AL95" s="231">
        <f>41.604+14.828</f>
        <v>56.432000000000002</v>
      </c>
      <c r="AM95" s="232">
        <f>55.464+19.808</f>
        <v>75.271999999999991</v>
      </c>
      <c r="AN95" s="233">
        <f>13.468+5.205</f>
        <v>18.673000000000002</v>
      </c>
      <c r="AO95" s="231">
        <f>27.146+10.508</f>
        <v>37.653999999999996</v>
      </c>
      <c r="AP95" s="231">
        <f>40.857+15.556</f>
        <v>56.412999999999997</v>
      </c>
      <c r="AQ95" s="232">
        <f>55.266+19.648</f>
        <v>74.914000000000001</v>
      </c>
      <c r="AR95" s="233">
        <f>13.253+4.354</f>
        <v>17.606999999999999</v>
      </c>
      <c r="AS95" s="231">
        <f>25.725+8.708</f>
        <v>34.433</v>
      </c>
      <c r="AT95" s="231">
        <f>38.768+13.149</f>
        <v>51.917000000000002</v>
      </c>
      <c r="AU95" s="232">
        <f>50.828+17.613</f>
        <v>68.441000000000003</v>
      </c>
      <c r="AV95" s="233">
        <f>11.625+3.713</f>
        <v>15.338000000000001</v>
      </c>
      <c r="AW95" s="231">
        <f>7.714+22.807</f>
        <v>30.521000000000001</v>
      </c>
      <c r="AX95" s="231">
        <f>33.917+12.601</f>
        <v>46.518000000000001</v>
      </c>
      <c r="AY95" s="232">
        <f>45.423+17.203</f>
        <v>62.626000000000005</v>
      </c>
      <c r="AZ95" s="233">
        <f>11.232+3.729</f>
        <v>14.960999999999999</v>
      </c>
      <c r="BA95" s="231">
        <f>22.964+7.161</f>
        <v>30.125</v>
      </c>
      <c r="BB95" s="231">
        <f>34.416+12.619</f>
        <v>47.034999999999997</v>
      </c>
      <c r="BC95" s="232">
        <f>46.438+25.747</f>
        <v>72.185000000000002</v>
      </c>
      <c r="BD95" s="228">
        <f>+BD13</f>
        <v>25.150000000000006</v>
      </c>
      <c r="BE95" s="228">
        <f t="shared" ref="BE95:BE101" si="295">BD95+BE13</f>
        <v>50.587151836808602</v>
      </c>
      <c r="BF95" s="228">
        <f t="shared" ref="BF95:BF101" si="296">BE95+BF13</f>
        <v>76.313084344109143</v>
      </c>
      <c r="BG95" s="229">
        <f t="shared" ref="BG95:BG101" si="297">BF95+BG13</f>
        <v>102.3272184614444</v>
      </c>
      <c r="BH95" s="228">
        <f>+BH13</f>
        <v>26.30944360957233</v>
      </c>
      <c r="BI95" s="228">
        <f t="shared" ref="BI95:BI101" si="298">BH95+BI13</f>
        <v>52.924063851692395</v>
      </c>
      <c r="BJ95" s="228">
        <f t="shared" ref="BJ95:BJ101" si="299">BI95+BJ13</f>
        <v>79.846507667664426</v>
      </c>
      <c r="BK95" s="229">
        <f t="shared" ref="BK95:BK101" si="300">BJ95+BK13</f>
        <v>107.07423494891138</v>
      </c>
      <c r="BL95" s="192"/>
      <c r="BM95" s="228">
        <f t="shared" ref="BM95:BM101" si="301">G95</f>
        <v>69.549000000000007</v>
      </c>
      <c r="BN95" s="228">
        <f t="shared" ref="BN95:BN101" si="302">K95</f>
        <v>73.923999999999992</v>
      </c>
      <c r="BO95" s="228">
        <f t="shared" ref="BO95:BO101" si="303">O95</f>
        <v>71.670999999999992</v>
      </c>
      <c r="BP95" s="228">
        <f t="shared" ref="BP95:BP101" si="304">S95</f>
        <v>71.313999999999993</v>
      </c>
      <c r="BQ95" s="228">
        <f t="shared" ref="BQ95:BQ101" si="305">W95</f>
        <v>65.162000000000006</v>
      </c>
      <c r="BR95" s="228">
        <f t="shared" ref="BR95:BR101" si="306">AA95</f>
        <v>58.891999999999996</v>
      </c>
      <c r="BS95" s="228">
        <f t="shared" ref="BS95:BS101" si="307">AE95</f>
        <v>72.347999999999999</v>
      </c>
      <c r="BT95" s="228">
        <f t="shared" ref="BT95:BT101" si="308">AI95</f>
        <v>73.56</v>
      </c>
      <c r="BU95" s="228">
        <f t="shared" ref="BU95:BU101" si="309">AM95</f>
        <v>75.271999999999991</v>
      </c>
      <c r="BV95" s="228">
        <f t="shared" ref="BV95:BV101" si="310">AQ95</f>
        <v>74.914000000000001</v>
      </c>
      <c r="BW95" s="228">
        <f t="shared" ref="BW95:BW111" si="311">AU95</f>
        <v>68.441000000000003</v>
      </c>
      <c r="BX95" s="228">
        <f t="shared" ref="BX95:BX101" si="312">AY95</f>
        <v>62.626000000000005</v>
      </c>
      <c r="BY95" s="228">
        <f t="shared" ref="BY95:BY101" si="313">BC95</f>
        <v>72.185000000000002</v>
      </c>
      <c r="BZ95" s="228">
        <f t="shared" ref="BZ95:BZ101" si="314">BG95</f>
        <v>102.3272184614444</v>
      </c>
      <c r="CA95" s="228">
        <f t="shared" ref="CA95:CA111" si="315">BK95</f>
        <v>107.07423494891138</v>
      </c>
      <c r="CB95" s="1021">
        <f t="shared" ref="CB95:CB101" si="316">CB13</f>
        <v>77.736245691897651</v>
      </c>
      <c r="CC95" s="20"/>
      <c r="CD95" s="228">
        <f t="shared" ref="CD95:CL95" si="317">CD13</f>
        <v>70.05</v>
      </c>
      <c r="CE95" s="228">
        <f t="shared" si="317"/>
        <v>76.290999999999997</v>
      </c>
      <c r="CF95" s="228">
        <f t="shared" si="317"/>
        <v>72.397999999999996</v>
      </c>
      <c r="CG95" s="228">
        <f t="shared" si="317"/>
        <v>66.435999999999993</v>
      </c>
      <c r="CH95" s="228">
        <f t="shared" si="317"/>
        <v>58.45</v>
      </c>
      <c r="CI95" s="228">
        <f t="shared" si="317"/>
        <v>69.213999999999999</v>
      </c>
      <c r="CJ95" s="228">
        <f t="shared" si="317"/>
        <v>74.340999999999994</v>
      </c>
      <c r="CK95" s="228">
        <f t="shared" si="317"/>
        <v>74.680000000000007</v>
      </c>
      <c r="CL95" s="228">
        <f t="shared" si="317"/>
        <v>75.252999999999986</v>
      </c>
      <c r="CM95" s="228">
        <f t="shared" ref="CM95:CN101" si="318">CM13</f>
        <v>70.418000000000006</v>
      </c>
      <c r="CN95" s="228">
        <f t="shared" si="318"/>
        <v>63.042000000000002</v>
      </c>
      <c r="CO95" s="228">
        <f t="shared" ref="CO95:CO101" si="319">CO13</f>
        <v>63.143000000000001</v>
      </c>
      <c r="CP95" s="228">
        <f t="shared" ref="CP95:CQ101" si="320">CP13</f>
        <v>101.46308434410915</v>
      </c>
      <c r="CQ95" s="228">
        <f t="shared" si="320"/>
        <v>105.86064178499967</v>
      </c>
      <c r="CR95" s="22"/>
      <c r="CS95" s="14"/>
    </row>
    <row r="96" spans="1:97" ht="14.25" customHeight="1" outlineLevel="1">
      <c r="A96" s="8"/>
      <c r="B96" s="55" t="s">
        <v>144</v>
      </c>
      <c r="C96" s="56"/>
      <c r="D96" s="233">
        <v>0</v>
      </c>
      <c r="E96" s="231">
        <v>0</v>
      </c>
      <c r="F96" s="231">
        <v>0</v>
      </c>
      <c r="G96" s="232">
        <v>0</v>
      </c>
      <c r="H96" s="233">
        <f>26.808+2.209</f>
        <v>29.016999999999999</v>
      </c>
      <c r="I96" s="231">
        <f>48.714+2.209</f>
        <v>50.923000000000002</v>
      </c>
      <c r="J96" s="231">
        <f>70.157+2.209</f>
        <v>72.366</v>
      </c>
      <c r="K96" s="232">
        <f>90.292+2.209</f>
        <v>92.501000000000005</v>
      </c>
      <c r="L96" s="233">
        <v>16.521000000000001</v>
      </c>
      <c r="M96" s="231">
        <v>32.274000000000001</v>
      </c>
      <c r="N96" s="231">
        <v>48.73</v>
      </c>
      <c r="O96" s="232">
        <v>66.427000000000007</v>
      </c>
      <c r="P96" s="233">
        <v>14.423</v>
      </c>
      <c r="Q96" s="231">
        <v>28.146999999999998</v>
      </c>
      <c r="R96" s="231">
        <v>41.188000000000002</v>
      </c>
      <c r="S96" s="232">
        <v>54.509</v>
      </c>
      <c r="T96" s="233">
        <v>13.728999999999999</v>
      </c>
      <c r="U96" s="231">
        <v>25.491</v>
      </c>
      <c r="V96" s="231">
        <v>41.01</v>
      </c>
      <c r="W96" s="232">
        <v>56.481000000000002</v>
      </c>
      <c r="X96" s="233">
        <v>15.12</v>
      </c>
      <c r="Y96" s="231">
        <v>30.541</v>
      </c>
      <c r="Z96" s="231">
        <v>45.295000000000002</v>
      </c>
      <c r="AA96" s="232">
        <v>60.258000000000003</v>
      </c>
      <c r="AB96" s="233">
        <v>13.766999999999999</v>
      </c>
      <c r="AC96" s="231">
        <v>30.666</v>
      </c>
      <c r="AD96" s="231">
        <f>48.509</f>
        <v>48.509</v>
      </c>
      <c r="AE96" s="232">
        <v>67.418000000000006</v>
      </c>
      <c r="AF96" s="233">
        <v>17.608000000000001</v>
      </c>
      <c r="AG96" s="231">
        <v>36.853999999999999</v>
      </c>
      <c r="AH96" s="231">
        <v>56.616</v>
      </c>
      <c r="AI96" s="232">
        <v>77.861999999999995</v>
      </c>
      <c r="AJ96" s="233">
        <v>20.954000000000001</v>
      </c>
      <c r="AK96" s="231">
        <v>44.014000000000003</v>
      </c>
      <c r="AL96" s="231">
        <v>68.352999999999994</v>
      </c>
      <c r="AM96" s="232">
        <v>94.313999999999993</v>
      </c>
      <c r="AN96" s="233">
        <v>22.106000000000002</v>
      </c>
      <c r="AO96" s="231">
        <v>50.845999999999997</v>
      </c>
      <c r="AP96" s="231">
        <v>79.900000000000006</v>
      </c>
      <c r="AQ96" s="232">
        <v>99.858999999999995</v>
      </c>
      <c r="AR96" s="233">
        <v>26.32</v>
      </c>
      <c r="AS96" s="231">
        <v>53.000999999999998</v>
      </c>
      <c r="AT96" s="231">
        <v>84.463999999999999</v>
      </c>
      <c r="AU96" s="232">
        <v>111.98399999999999</v>
      </c>
      <c r="AV96" s="233">
        <v>29.404</v>
      </c>
      <c r="AW96" s="231">
        <v>59.206000000000003</v>
      </c>
      <c r="AX96" s="231">
        <v>90.072999999999993</v>
      </c>
      <c r="AY96" s="232">
        <v>122.858</v>
      </c>
      <c r="AZ96" s="233">
        <v>32.036000000000001</v>
      </c>
      <c r="BA96" s="231">
        <v>68.408000000000001</v>
      </c>
      <c r="BB96" s="231">
        <v>105.209</v>
      </c>
      <c r="BC96" s="232">
        <v>153.815</v>
      </c>
      <c r="BD96" s="228">
        <f t="shared" ref="BD96:BD111" si="321">+BD14</f>
        <v>48.605999999999995</v>
      </c>
      <c r="BE96" s="228">
        <f t="shared" si="295"/>
        <v>97.211999999999989</v>
      </c>
      <c r="BF96" s="228">
        <f t="shared" si="296"/>
        <v>145.81799999999998</v>
      </c>
      <c r="BG96" s="229">
        <f t="shared" si="297"/>
        <v>194.42399999999998</v>
      </c>
      <c r="BH96" s="228">
        <f t="shared" ref="BH96:BH111" si="322">+BH14</f>
        <v>48.605999999999995</v>
      </c>
      <c r="BI96" s="228">
        <f t="shared" si="298"/>
        <v>97.211999999999989</v>
      </c>
      <c r="BJ96" s="228">
        <f t="shared" si="299"/>
        <v>145.81799999999998</v>
      </c>
      <c r="BK96" s="229">
        <f t="shared" si="300"/>
        <v>194.42399999999998</v>
      </c>
      <c r="BL96" s="192"/>
      <c r="BM96" s="228">
        <f t="shared" si="301"/>
        <v>0</v>
      </c>
      <c r="BN96" s="228">
        <f t="shared" si="302"/>
        <v>92.501000000000005</v>
      </c>
      <c r="BO96" s="228">
        <f t="shared" si="303"/>
        <v>66.427000000000007</v>
      </c>
      <c r="BP96" s="228">
        <f t="shared" si="304"/>
        <v>54.509</v>
      </c>
      <c r="BQ96" s="228">
        <f t="shared" si="305"/>
        <v>56.481000000000002</v>
      </c>
      <c r="BR96" s="228">
        <f t="shared" si="306"/>
        <v>60.258000000000003</v>
      </c>
      <c r="BS96" s="228">
        <f t="shared" si="307"/>
        <v>67.418000000000006</v>
      </c>
      <c r="BT96" s="228">
        <f t="shared" si="308"/>
        <v>77.861999999999995</v>
      </c>
      <c r="BU96" s="228">
        <f t="shared" si="309"/>
        <v>94.313999999999993</v>
      </c>
      <c r="BV96" s="228">
        <f t="shared" si="310"/>
        <v>99.858999999999995</v>
      </c>
      <c r="BW96" s="228">
        <f t="shared" si="311"/>
        <v>111.98399999999999</v>
      </c>
      <c r="BX96" s="228">
        <f t="shared" si="312"/>
        <v>122.858</v>
      </c>
      <c r="BY96" s="228">
        <f t="shared" si="313"/>
        <v>153.815</v>
      </c>
      <c r="BZ96" s="228">
        <f t="shared" si="314"/>
        <v>194.42399999999998</v>
      </c>
      <c r="CA96" s="228">
        <f t="shared" si="315"/>
        <v>194.42399999999998</v>
      </c>
      <c r="CB96" s="1021">
        <f t="shared" si="316"/>
        <v>194.42399999999998</v>
      </c>
      <c r="CC96" s="20"/>
      <c r="CD96" s="228">
        <f t="shared" ref="CD96:CL96" si="323">CD14</f>
        <v>72.366</v>
      </c>
      <c r="CE96" s="228">
        <f t="shared" si="323"/>
        <v>68.865000000000009</v>
      </c>
      <c r="CF96" s="228">
        <f t="shared" si="323"/>
        <v>58.885000000000012</v>
      </c>
      <c r="CG96" s="228">
        <f t="shared" si="323"/>
        <v>54.330999999999996</v>
      </c>
      <c r="CH96" s="228">
        <f t="shared" si="323"/>
        <v>60.766000000000005</v>
      </c>
      <c r="CI96" s="228">
        <f t="shared" si="323"/>
        <v>63.471999999999994</v>
      </c>
      <c r="CJ96" s="228">
        <f t="shared" si="323"/>
        <v>75.525000000000006</v>
      </c>
      <c r="CK96" s="228">
        <f t="shared" si="323"/>
        <v>89.59899999999999</v>
      </c>
      <c r="CL96" s="228">
        <f t="shared" si="323"/>
        <v>105.86099999999999</v>
      </c>
      <c r="CM96" s="228">
        <f t="shared" si="318"/>
        <v>104.42299999999997</v>
      </c>
      <c r="CN96" s="228">
        <f t="shared" si="318"/>
        <v>117.59299999999999</v>
      </c>
      <c r="CO96" s="228">
        <f t="shared" si="319"/>
        <v>137.99400000000003</v>
      </c>
      <c r="CP96" s="228">
        <f t="shared" si="320"/>
        <v>194.42399999999998</v>
      </c>
      <c r="CQ96" s="228">
        <f t="shared" si="320"/>
        <v>194.42399999999998</v>
      </c>
      <c r="CR96" s="22"/>
      <c r="CS96" s="14"/>
    </row>
    <row r="97" spans="1:97" ht="14.25" customHeight="1" outlineLevel="1">
      <c r="A97" s="8"/>
      <c r="B97" s="55" t="s">
        <v>253</v>
      </c>
      <c r="C97" s="56"/>
      <c r="D97" s="233">
        <v>0</v>
      </c>
      <c r="E97" s="231">
        <v>0</v>
      </c>
      <c r="F97" s="231">
        <v>0</v>
      </c>
      <c r="G97" s="232">
        <v>1.4179999999999999</v>
      </c>
      <c r="H97" s="233">
        <v>0.437</v>
      </c>
      <c r="I97" s="231">
        <v>0.437</v>
      </c>
      <c r="J97" s="231">
        <v>1.95</v>
      </c>
      <c r="K97" s="232">
        <v>1.95</v>
      </c>
      <c r="L97" s="233">
        <v>0</v>
      </c>
      <c r="M97" s="231">
        <v>0</v>
      </c>
      <c r="N97" s="231">
        <v>0</v>
      </c>
      <c r="O97" s="232">
        <v>2.85</v>
      </c>
      <c r="P97" s="233">
        <v>4.6210000000000004</v>
      </c>
      <c r="Q97" s="231">
        <v>33.622</v>
      </c>
      <c r="R97" s="231">
        <v>53.161999999999999</v>
      </c>
      <c r="S97" s="232">
        <v>54.128999999999998</v>
      </c>
      <c r="T97" s="233">
        <v>0</v>
      </c>
      <c r="U97" s="231">
        <v>0</v>
      </c>
      <c r="V97" s="231">
        <v>3.0409999999999999</v>
      </c>
      <c r="W97" s="232">
        <v>3.8050000000000002</v>
      </c>
      <c r="X97" s="233">
        <v>0</v>
      </c>
      <c r="Y97" s="231">
        <v>0</v>
      </c>
      <c r="Z97" s="231">
        <v>0</v>
      </c>
      <c r="AA97" s="232">
        <v>5.9039999999999999</v>
      </c>
      <c r="AB97" s="233">
        <v>0</v>
      </c>
      <c r="AC97" s="231">
        <v>0</v>
      </c>
      <c r="AD97" s="231">
        <v>0</v>
      </c>
      <c r="AE97" s="232">
        <v>0</v>
      </c>
      <c r="AF97" s="233">
        <v>0</v>
      </c>
      <c r="AG97" s="231">
        <v>0</v>
      </c>
      <c r="AH97" s="231">
        <v>0</v>
      </c>
      <c r="AI97" s="232">
        <v>0</v>
      </c>
      <c r="AJ97" s="233">
        <v>0</v>
      </c>
      <c r="AK97" s="231">
        <v>0</v>
      </c>
      <c r="AL97" s="231">
        <v>0</v>
      </c>
      <c r="AM97" s="232">
        <v>0</v>
      </c>
      <c r="AN97" s="233">
        <v>0</v>
      </c>
      <c r="AO97" s="231">
        <v>0</v>
      </c>
      <c r="AP97" s="231">
        <v>0</v>
      </c>
      <c r="AQ97" s="232">
        <v>0</v>
      </c>
      <c r="AR97" s="233">
        <v>0</v>
      </c>
      <c r="AS97" s="231">
        <v>0</v>
      </c>
      <c r="AT97" s="231">
        <v>0</v>
      </c>
      <c r="AU97" s="232">
        <v>0</v>
      </c>
      <c r="AV97" s="233">
        <v>0</v>
      </c>
      <c r="AW97" s="231">
        <v>0</v>
      </c>
      <c r="AX97" s="231">
        <v>0</v>
      </c>
      <c r="AY97" s="232">
        <f>AX97</f>
        <v>0</v>
      </c>
      <c r="AZ97" s="233"/>
      <c r="BA97" s="231">
        <v>0</v>
      </c>
      <c r="BB97" s="231">
        <v>0</v>
      </c>
      <c r="BC97" s="229">
        <f>BB97+BC15</f>
        <v>0</v>
      </c>
      <c r="BD97" s="228">
        <f t="shared" si="321"/>
        <v>0</v>
      </c>
      <c r="BE97" s="228">
        <f t="shared" si="295"/>
        <v>0</v>
      </c>
      <c r="BF97" s="228">
        <f t="shared" si="296"/>
        <v>0</v>
      </c>
      <c r="BG97" s="229">
        <f t="shared" si="297"/>
        <v>0</v>
      </c>
      <c r="BH97" s="228">
        <f t="shared" si="322"/>
        <v>0</v>
      </c>
      <c r="BI97" s="228">
        <f t="shared" si="298"/>
        <v>0</v>
      </c>
      <c r="BJ97" s="228">
        <f t="shared" si="299"/>
        <v>0</v>
      </c>
      <c r="BK97" s="229">
        <f t="shared" si="300"/>
        <v>0</v>
      </c>
      <c r="BL97" s="192"/>
      <c r="BM97" s="228">
        <f t="shared" si="301"/>
        <v>1.4179999999999999</v>
      </c>
      <c r="BN97" s="228">
        <f t="shared" si="302"/>
        <v>1.95</v>
      </c>
      <c r="BO97" s="228">
        <f t="shared" si="303"/>
        <v>2.85</v>
      </c>
      <c r="BP97" s="228">
        <f t="shared" si="304"/>
        <v>54.128999999999998</v>
      </c>
      <c r="BQ97" s="228">
        <f t="shared" si="305"/>
        <v>3.8050000000000002</v>
      </c>
      <c r="BR97" s="228">
        <f t="shared" si="306"/>
        <v>5.9039999999999999</v>
      </c>
      <c r="BS97" s="228">
        <f t="shared" si="307"/>
        <v>0</v>
      </c>
      <c r="BT97" s="228">
        <f t="shared" si="308"/>
        <v>0</v>
      </c>
      <c r="BU97" s="228">
        <f t="shared" si="309"/>
        <v>0</v>
      </c>
      <c r="BV97" s="228">
        <f t="shared" si="310"/>
        <v>0</v>
      </c>
      <c r="BW97" s="228">
        <f t="shared" si="311"/>
        <v>0</v>
      </c>
      <c r="BX97" s="228">
        <f t="shared" si="312"/>
        <v>0</v>
      </c>
      <c r="BY97" s="228">
        <f t="shared" si="313"/>
        <v>0</v>
      </c>
      <c r="BZ97" s="228">
        <f t="shared" si="314"/>
        <v>0</v>
      </c>
      <c r="CA97" s="228">
        <f t="shared" si="315"/>
        <v>0</v>
      </c>
      <c r="CB97" s="1021">
        <f t="shared" si="316"/>
        <v>0</v>
      </c>
      <c r="CC97" s="20"/>
      <c r="CD97" s="228">
        <f t="shared" ref="CD97:CL97" si="324">CD15</f>
        <v>3.3679999999999999</v>
      </c>
      <c r="CE97" s="228">
        <f t="shared" si="324"/>
        <v>0</v>
      </c>
      <c r="CF97" s="228">
        <f t="shared" si="324"/>
        <v>56.011999999999993</v>
      </c>
      <c r="CG97" s="228">
        <f t="shared" si="324"/>
        <v>4.0080000000000009</v>
      </c>
      <c r="CH97" s="228">
        <f t="shared" si="324"/>
        <v>0.76400000000000023</v>
      </c>
      <c r="CI97" s="228">
        <f t="shared" si="324"/>
        <v>5.9039999999999999</v>
      </c>
      <c r="CJ97" s="228">
        <f t="shared" si="324"/>
        <v>0</v>
      </c>
      <c r="CK97" s="228">
        <f t="shared" si="324"/>
        <v>0</v>
      </c>
      <c r="CL97" s="228">
        <f t="shared" si="324"/>
        <v>0</v>
      </c>
      <c r="CM97" s="228">
        <f t="shared" si="318"/>
        <v>0</v>
      </c>
      <c r="CN97" s="228">
        <f t="shared" si="318"/>
        <v>0</v>
      </c>
      <c r="CO97" s="228">
        <f t="shared" si="319"/>
        <v>0</v>
      </c>
      <c r="CP97" s="228">
        <f t="shared" si="320"/>
        <v>0</v>
      </c>
      <c r="CQ97" s="228">
        <f t="shared" si="320"/>
        <v>0</v>
      </c>
      <c r="CR97" s="22"/>
      <c r="CS97" s="14"/>
    </row>
    <row r="98" spans="1:97" ht="14.25" customHeight="1" outlineLevel="1">
      <c r="A98" s="8"/>
      <c r="B98" s="55" t="s">
        <v>260</v>
      </c>
      <c r="C98" s="56"/>
      <c r="D98" s="233">
        <v>0.45400000000000001</v>
      </c>
      <c r="E98" s="231">
        <v>0.93899999999999995</v>
      </c>
      <c r="F98" s="231">
        <v>1.375</v>
      </c>
      <c r="G98" s="232">
        <v>4.9809999999999999</v>
      </c>
      <c r="H98" s="233">
        <v>0.81299999999999994</v>
      </c>
      <c r="I98" s="231">
        <v>-1.0329999999999999</v>
      </c>
      <c r="J98" s="231">
        <v>-1.302</v>
      </c>
      <c r="K98" s="232">
        <v>-0.81399999999999995</v>
      </c>
      <c r="L98" s="233">
        <v>0.75700000000000001</v>
      </c>
      <c r="M98" s="231">
        <v>0.95199999999999996</v>
      </c>
      <c r="N98" s="231">
        <v>1.1970000000000001</v>
      </c>
      <c r="O98" s="232">
        <v>5.1390000000000002</v>
      </c>
      <c r="P98" s="233">
        <v>-0.40500000000000003</v>
      </c>
      <c r="Q98" s="231">
        <v>-3.2890000000000001</v>
      </c>
      <c r="R98" s="231">
        <v>-2.74</v>
      </c>
      <c r="S98" s="232">
        <v>-2.706</v>
      </c>
      <c r="T98" s="233">
        <v>6.6000000000000003E-2</v>
      </c>
      <c r="U98" s="231">
        <v>9.7000000000000003E-2</v>
      </c>
      <c r="V98" s="231">
        <v>1.2E-2</v>
      </c>
      <c r="W98" s="232">
        <v>-0.35099999999999998</v>
      </c>
      <c r="X98" s="233">
        <v>-0.54800000000000004</v>
      </c>
      <c r="Y98" s="231">
        <v>-4.1980000000000004</v>
      </c>
      <c r="Z98" s="231">
        <v>-3.5640000000000001</v>
      </c>
      <c r="AA98" s="232">
        <v>-3.8210000000000002</v>
      </c>
      <c r="AB98" s="233">
        <v>-0.33400000000000002</v>
      </c>
      <c r="AC98" s="231">
        <v>-1.071</v>
      </c>
      <c r="AD98" s="231">
        <f>-1.861</f>
        <v>-1.861</v>
      </c>
      <c r="AE98" s="232">
        <v>-2.5150000000000001</v>
      </c>
      <c r="AF98" s="233">
        <v>-0.71199999999999997</v>
      </c>
      <c r="AG98" s="231">
        <v>-1.7410000000000001</v>
      </c>
      <c r="AH98" s="231">
        <v>-2.4889999999999999</v>
      </c>
      <c r="AI98" s="232">
        <v>-2.8149999999999999</v>
      </c>
      <c r="AJ98" s="233">
        <v>-0.107</v>
      </c>
      <c r="AK98" s="231">
        <v>0.14799999999999999</v>
      </c>
      <c r="AL98" s="231">
        <v>0.27700000000000002</v>
      </c>
      <c r="AM98" s="232">
        <f>0.332+9.848</f>
        <v>10.180000000000001</v>
      </c>
      <c r="AN98" s="233">
        <v>-0.67</v>
      </c>
      <c r="AO98" s="231">
        <v>-2.4119999999999999</v>
      </c>
      <c r="AP98" s="231">
        <v>-5.508</v>
      </c>
      <c r="AQ98" s="232">
        <v>-11.878</v>
      </c>
      <c r="AR98" s="233">
        <v>-0.23</v>
      </c>
      <c r="AS98" s="231">
        <v>-0.61799999999999999</v>
      </c>
      <c r="AT98" s="231">
        <v>-0.59899999999999998</v>
      </c>
      <c r="AU98" s="232">
        <v>-0.37</v>
      </c>
      <c r="AV98" s="233">
        <v>-0.20899999999999999</v>
      </c>
      <c r="AW98" s="231">
        <v>-0.82299999999999995</v>
      </c>
      <c r="AX98" s="231">
        <v>-0.77100000000000002</v>
      </c>
      <c r="AY98" s="232">
        <v>-3.532</v>
      </c>
      <c r="AZ98" s="233">
        <v>-0.44600000000000001</v>
      </c>
      <c r="BA98" s="231">
        <v>-0.75600000000000001</v>
      </c>
      <c r="BB98" s="231">
        <v>1.3580000000000001</v>
      </c>
      <c r="BC98" s="229">
        <f>BB98+BC16</f>
        <v>1.3580000000000001</v>
      </c>
      <c r="BD98" s="228">
        <f t="shared" si="321"/>
        <v>0</v>
      </c>
      <c r="BE98" s="228">
        <f t="shared" si="295"/>
        <v>0</v>
      </c>
      <c r="BF98" s="228">
        <f t="shared" si="296"/>
        <v>0</v>
      </c>
      <c r="BG98" s="229">
        <f t="shared" si="297"/>
        <v>0</v>
      </c>
      <c r="BH98" s="228">
        <f t="shared" si="322"/>
        <v>0</v>
      </c>
      <c r="BI98" s="228">
        <f t="shared" si="298"/>
        <v>0</v>
      </c>
      <c r="BJ98" s="228">
        <f t="shared" si="299"/>
        <v>0</v>
      </c>
      <c r="BK98" s="229">
        <f t="shared" si="300"/>
        <v>0</v>
      </c>
      <c r="BL98" s="192"/>
      <c r="BM98" s="228">
        <f t="shared" si="301"/>
        <v>4.9809999999999999</v>
      </c>
      <c r="BN98" s="228">
        <f t="shared" si="302"/>
        <v>-0.81399999999999995</v>
      </c>
      <c r="BO98" s="228">
        <f t="shared" si="303"/>
        <v>5.1390000000000002</v>
      </c>
      <c r="BP98" s="228">
        <f t="shared" si="304"/>
        <v>-2.706</v>
      </c>
      <c r="BQ98" s="228">
        <f t="shared" si="305"/>
        <v>-0.35099999999999998</v>
      </c>
      <c r="BR98" s="228">
        <f t="shared" si="306"/>
        <v>-3.8210000000000002</v>
      </c>
      <c r="BS98" s="228">
        <f t="shared" si="307"/>
        <v>-2.5150000000000001</v>
      </c>
      <c r="BT98" s="228">
        <f t="shared" si="308"/>
        <v>-2.8149999999999999</v>
      </c>
      <c r="BU98" s="228">
        <f t="shared" si="309"/>
        <v>10.180000000000001</v>
      </c>
      <c r="BV98" s="228">
        <f t="shared" si="310"/>
        <v>-11.878</v>
      </c>
      <c r="BW98" s="228">
        <f t="shared" si="311"/>
        <v>-0.37</v>
      </c>
      <c r="BX98" s="228">
        <f t="shared" si="312"/>
        <v>-3.532</v>
      </c>
      <c r="BY98" s="228">
        <f t="shared" si="313"/>
        <v>1.3580000000000001</v>
      </c>
      <c r="BZ98" s="228">
        <f t="shared" si="314"/>
        <v>0</v>
      </c>
      <c r="CA98" s="228">
        <f t="shared" si="315"/>
        <v>0</v>
      </c>
      <c r="CB98" s="1021">
        <f t="shared" si="316"/>
        <v>0</v>
      </c>
      <c r="CC98" s="20"/>
      <c r="CD98" s="228">
        <f t="shared" ref="CD98:CL98" si="325">CD16</f>
        <v>2.3039999999999994</v>
      </c>
      <c r="CE98" s="228">
        <f t="shared" si="325"/>
        <v>1.6850000000000001</v>
      </c>
      <c r="CF98" s="228">
        <f t="shared" si="325"/>
        <v>1.2019999999999997</v>
      </c>
      <c r="CG98" s="228">
        <f t="shared" si="325"/>
        <v>4.6000000000000471E-2</v>
      </c>
      <c r="CH98" s="228">
        <f t="shared" si="325"/>
        <v>-3.9269999999999996</v>
      </c>
      <c r="CI98" s="228">
        <f t="shared" si="325"/>
        <v>-2.1179999999999994</v>
      </c>
      <c r="CJ98" s="228">
        <f t="shared" si="325"/>
        <v>-3.1430000000000002</v>
      </c>
      <c r="CK98" s="228">
        <f t="shared" si="325"/>
        <v>-4.9000000000000044E-2</v>
      </c>
      <c r="CL98" s="228">
        <f t="shared" si="325"/>
        <v>4.3950000000000005</v>
      </c>
      <c r="CM98" s="228">
        <f t="shared" si="318"/>
        <v>-6.9690000000000003</v>
      </c>
      <c r="CN98" s="228">
        <f t="shared" si="318"/>
        <v>-0.54200000000000004</v>
      </c>
      <c r="CO98" s="228">
        <f t="shared" si="319"/>
        <v>-1.4030000000000005</v>
      </c>
      <c r="CP98" s="228">
        <f t="shared" si="320"/>
        <v>0</v>
      </c>
      <c r="CQ98" s="228">
        <f t="shared" si="320"/>
        <v>0</v>
      </c>
      <c r="CR98" s="22"/>
      <c r="CS98" s="14"/>
    </row>
    <row r="99" spans="1:97" ht="14.25" customHeight="1" outlineLevel="1">
      <c r="A99" s="8"/>
      <c r="B99" s="55" t="s">
        <v>261</v>
      </c>
      <c r="C99" s="56"/>
      <c r="D99" s="233">
        <v>0</v>
      </c>
      <c r="E99" s="231">
        <v>0</v>
      </c>
      <c r="F99" s="231">
        <v>0</v>
      </c>
      <c r="G99" s="232">
        <v>0</v>
      </c>
      <c r="H99" s="233">
        <v>0</v>
      </c>
      <c r="I99" s="231">
        <v>0</v>
      </c>
      <c r="J99" s="231">
        <v>0</v>
      </c>
      <c r="K99" s="232">
        <v>0</v>
      </c>
      <c r="L99" s="233">
        <v>0</v>
      </c>
      <c r="M99" s="231">
        <v>0</v>
      </c>
      <c r="N99" s="231">
        <v>0</v>
      </c>
      <c r="O99" s="232">
        <v>4.8890000000000002</v>
      </c>
      <c r="P99" s="233">
        <v>1.278</v>
      </c>
      <c r="Q99" s="231">
        <v>2.5790000000000002</v>
      </c>
      <c r="R99" s="231">
        <v>3.7970000000000002</v>
      </c>
      <c r="S99" s="232">
        <v>4.7889999999999997</v>
      </c>
      <c r="T99" s="233">
        <v>0.94699999999999995</v>
      </c>
      <c r="U99" s="231">
        <v>1.911</v>
      </c>
      <c r="V99" s="231">
        <v>2.8929999999999998</v>
      </c>
      <c r="W99" s="232">
        <v>3.8919999999999999</v>
      </c>
      <c r="X99" s="233">
        <v>2.0630000000000002</v>
      </c>
      <c r="Y99" s="231">
        <v>6.266</v>
      </c>
      <c r="Z99" s="231">
        <v>10.084</v>
      </c>
      <c r="AA99" s="232">
        <v>13.920999999999999</v>
      </c>
      <c r="AB99" s="233">
        <v>3.8559999999999999</v>
      </c>
      <c r="AC99" s="231">
        <v>7.7320000000000002</v>
      </c>
      <c r="AD99" s="231">
        <f>11.629</f>
        <v>11.629</v>
      </c>
      <c r="AE99" s="232">
        <v>15.545</v>
      </c>
      <c r="AF99" s="233">
        <v>3.9380000000000002</v>
      </c>
      <c r="AG99" s="231">
        <v>7.8970000000000002</v>
      </c>
      <c r="AH99" s="231">
        <v>11.877000000000001</v>
      </c>
      <c r="AI99" s="232">
        <v>15.88</v>
      </c>
      <c r="AJ99" s="233">
        <v>4.0250000000000004</v>
      </c>
      <c r="AK99" s="231">
        <v>8.0730000000000004</v>
      </c>
      <c r="AL99" s="231">
        <v>12.144</v>
      </c>
      <c r="AM99" s="232">
        <v>16.318999999999999</v>
      </c>
      <c r="AN99" s="233">
        <v>3.0030000000000001</v>
      </c>
      <c r="AO99" s="231">
        <v>6.008</v>
      </c>
      <c r="AP99" s="231">
        <v>9.0139999999999993</v>
      </c>
      <c r="AQ99" s="232">
        <v>12.022</v>
      </c>
      <c r="AR99" s="233">
        <v>3.01</v>
      </c>
      <c r="AS99" s="231">
        <v>6.0190000000000001</v>
      </c>
      <c r="AT99" s="231">
        <v>9.0329999999999995</v>
      </c>
      <c r="AU99" s="232">
        <v>12.048</v>
      </c>
      <c r="AV99" s="233">
        <v>3.016</v>
      </c>
      <c r="AW99" s="231">
        <v>6.0330000000000004</v>
      </c>
      <c r="AX99" s="231">
        <v>9.0530000000000008</v>
      </c>
      <c r="AY99" s="232">
        <v>11.692</v>
      </c>
      <c r="AZ99" s="233">
        <v>1.6759999999999999</v>
      </c>
      <c r="BA99" s="231">
        <v>1.964</v>
      </c>
      <c r="BB99" s="231">
        <v>2.254</v>
      </c>
      <c r="BC99" s="229">
        <f>BB99+BC17</f>
        <v>2.254</v>
      </c>
      <c r="BD99" s="228">
        <f t="shared" si="321"/>
        <v>0</v>
      </c>
      <c r="BE99" s="228">
        <f t="shared" si="295"/>
        <v>0</v>
      </c>
      <c r="BF99" s="228">
        <f t="shared" si="296"/>
        <v>0</v>
      </c>
      <c r="BG99" s="229">
        <f t="shared" si="297"/>
        <v>0</v>
      </c>
      <c r="BH99" s="228">
        <f t="shared" si="322"/>
        <v>0</v>
      </c>
      <c r="BI99" s="228">
        <f t="shared" si="298"/>
        <v>0</v>
      </c>
      <c r="BJ99" s="228">
        <f t="shared" si="299"/>
        <v>0</v>
      </c>
      <c r="BK99" s="229">
        <f t="shared" si="300"/>
        <v>0</v>
      </c>
      <c r="BL99" s="192"/>
      <c r="BM99" s="228">
        <f t="shared" si="301"/>
        <v>0</v>
      </c>
      <c r="BN99" s="228">
        <f t="shared" si="302"/>
        <v>0</v>
      </c>
      <c r="BO99" s="228">
        <f t="shared" si="303"/>
        <v>4.8890000000000002</v>
      </c>
      <c r="BP99" s="228">
        <f t="shared" si="304"/>
        <v>4.7889999999999997</v>
      </c>
      <c r="BQ99" s="228">
        <f t="shared" si="305"/>
        <v>3.8919999999999999</v>
      </c>
      <c r="BR99" s="228">
        <f t="shared" si="306"/>
        <v>13.920999999999999</v>
      </c>
      <c r="BS99" s="228">
        <f t="shared" si="307"/>
        <v>15.545</v>
      </c>
      <c r="BT99" s="228">
        <f t="shared" si="308"/>
        <v>15.88</v>
      </c>
      <c r="BU99" s="228">
        <f t="shared" si="309"/>
        <v>16.318999999999999</v>
      </c>
      <c r="BV99" s="228">
        <f t="shared" si="310"/>
        <v>12.022</v>
      </c>
      <c r="BW99" s="228">
        <f t="shared" si="311"/>
        <v>12.048</v>
      </c>
      <c r="BX99" s="228">
        <f t="shared" si="312"/>
        <v>11.692</v>
      </c>
      <c r="BY99" s="228">
        <f t="shared" si="313"/>
        <v>2.254</v>
      </c>
      <c r="BZ99" s="228">
        <f t="shared" si="314"/>
        <v>0</v>
      </c>
      <c r="CA99" s="228">
        <f t="shared" si="315"/>
        <v>0</v>
      </c>
      <c r="CB99" s="1021">
        <f t="shared" si="316"/>
        <v>0</v>
      </c>
      <c r="CC99" s="20"/>
      <c r="CD99" s="228">
        <f t="shared" ref="CD99:CL99" si="326">CD17</f>
        <v>0</v>
      </c>
      <c r="CE99" s="228">
        <f t="shared" si="326"/>
        <v>0</v>
      </c>
      <c r="CF99" s="228">
        <f t="shared" si="326"/>
        <v>8.6859999999999999</v>
      </c>
      <c r="CG99" s="228">
        <f t="shared" si="326"/>
        <v>3.8849999999999993</v>
      </c>
      <c r="CH99" s="228">
        <f t="shared" si="326"/>
        <v>11.083</v>
      </c>
      <c r="CI99" s="228">
        <f t="shared" si="326"/>
        <v>15.465999999999998</v>
      </c>
      <c r="CJ99" s="228">
        <f t="shared" si="326"/>
        <v>15.792999999999999</v>
      </c>
      <c r="CK99" s="228">
        <f t="shared" si="326"/>
        <v>16.146999999999998</v>
      </c>
      <c r="CL99" s="228">
        <f t="shared" si="326"/>
        <v>13.189</v>
      </c>
      <c r="CM99" s="228">
        <f t="shared" si="318"/>
        <v>12.041</v>
      </c>
      <c r="CN99" s="228">
        <f t="shared" si="318"/>
        <v>12.068000000000001</v>
      </c>
      <c r="CO99" s="228">
        <f t="shared" si="319"/>
        <v>4.8930000000000007</v>
      </c>
      <c r="CP99" s="228">
        <f t="shared" si="320"/>
        <v>0</v>
      </c>
      <c r="CQ99" s="228">
        <f t="shared" si="320"/>
        <v>0</v>
      </c>
      <c r="CR99" s="22"/>
      <c r="CS99" s="14"/>
    </row>
    <row r="100" spans="1:97" ht="14.25" customHeight="1" outlineLevel="1">
      <c r="A100" s="8"/>
      <c r="B100" s="55" t="s">
        <v>238</v>
      </c>
      <c r="C100" s="56"/>
      <c r="D100" s="233">
        <v>0</v>
      </c>
      <c r="E100" s="231">
        <v>0</v>
      </c>
      <c r="F100" s="231">
        <v>0</v>
      </c>
      <c r="G100" s="232">
        <v>26.032</v>
      </c>
      <c r="H100" s="233">
        <v>0</v>
      </c>
      <c r="I100" s="231">
        <v>0</v>
      </c>
      <c r="J100" s="231">
        <v>0</v>
      </c>
      <c r="K100" s="232">
        <v>7.0910000000000002</v>
      </c>
      <c r="L100" s="233">
        <v>0</v>
      </c>
      <c r="M100" s="231">
        <v>0</v>
      </c>
      <c r="N100" s="231">
        <v>0</v>
      </c>
      <c r="O100" s="232">
        <v>0.79600000000000004</v>
      </c>
      <c r="P100" s="233">
        <v>0</v>
      </c>
      <c r="Q100" s="231">
        <v>0</v>
      </c>
      <c r="R100" s="231">
        <v>0</v>
      </c>
      <c r="S100" s="232">
        <v>47.831000000000003</v>
      </c>
      <c r="T100" s="233">
        <v>0</v>
      </c>
      <c r="U100" s="231">
        <v>0</v>
      </c>
      <c r="V100" s="231">
        <v>0</v>
      </c>
      <c r="W100" s="232">
        <v>58.03</v>
      </c>
      <c r="X100" s="233">
        <v>0</v>
      </c>
      <c r="Y100" s="231">
        <v>0</v>
      </c>
      <c r="Z100" s="231">
        <v>0</v>
      </c>
      <c r="AA100" s="232">
        <v>109.56100000000001</v>
      </c>
      <c r="AB100" s="233">
        <v>0</v>
      </c>
      <c r="AC100" s="231">
        <v>0</v>
      </c>
      <c r="AD100" s="231">
        <v>0</v>
      </c>
      <c r="AE100" s="232">
        <v>0</v>
      </c>
      <c r="AF100" s="233">
        <v>0</v>
      </c>
      <c r="AG100" s="231">
        <v>0</v>
      </c>
      <c r="AH100" s="231">
        <v>0</v>
      </c>
      <c r="AI100" s="232">
        <v>0</v>
      </c>
      <c r="AJ100" s="233">
        <v>0</v>
      </c>
      <c r="AK100" s="231">
        <v>0</v>
      </c>
      <c r="AL100" s="231">
        <v>70.168000000000006</v>
      </c>
      <c r="AM100" s="232">
        <v>53.853999999999999</v>
      </c>
      <c r="AN100" s="233">
        <v>0</v>
      </c>
      <c r="AO100" s="231">
        <v>26.303999999999998</v>
      </c>
      <c r="AP100" s="231">
        <v>19.712</v>
      </c>
      <c r="AQ100" s="232">
        <v>17.802</v>
      </c>
      <c r="AR100" s="233">
        <v>2.0129999999999999</v>
      </c>
      <c r="AS100" s="231">
        <v>1.129</v>
      </c>
      <c r="AT100" s="231">
        <v>49.435000000000002</v>
      </c>
      <c r="AU100" s="232">
        <v>44.128</v>
      </c>
      <c r="AV100" s="233">
        <v>-1.4930000000000001</v>
      </c>
      <c r="AW100" s="231">
        <v>32.606999999999999</v>
      </c>
      <c r="AX100" s="231">
        <v>74.617000000000004</v>
      </c>
      <c r="AY100" s="232">
        <v>67.481999999999999</v>
      </c>
      <c r="AZ100" s="233">
        <v>26.058</v>
      </c>
      <c r="BA100" s="231">
        <v>38.206000000000003</v>
      </c>
      <c r="BB100" s="231">
        <v>-362.96899999999999</v>
      </c>
      <c r="BC100" s="229">
        <f>BB100+BC18</f>
        <v>-362.96899999999999</v>
      </c>
      <c r="BD100" s="228">
        <f t="shared" si="321"/>
        <v>0</v>
      </c>
      <c r="BE100" s="228">
        <f t="shared" si="295"/>
        <v>0</v>
      </c>
      <c r="BF100" s="228">
        <f t="shared" si="296"/>
        <v>0</v>
      </c>
      <c r="BG100" s="229">
        <f t="shared" si="297"/>
        <v>0</v>
      </c>
      <c r="BH100" s="228">
        <f t="shared" si="322"/>
        <v>0</v>
      </c>
      <c r="BI100" s="228">
        <f t="shared" si="298"/>
        <v>0</v>
      </c>
      <c r="BJ100" s="228">
        <f t="shared" si="299"/>
        <v>0</v>
      </c>
      <c r="BK100" s="229">
        <f t="shared" si="300"/>
        <v>0</v>
      </c>
      <c r="BL100" s="192"/>
      <c r="BM100" s="228">
        <f t="shared" si="301"/>
        <v>26.032</v>
      </c>
      <c r="BN100" s="228">
        <f t="shared" si="302"/>
        <v>7.0910000000000002</v>
      </c>
      <c r="BO100" s="228">
        <f t="shared" si="303"/>
        <v>0.79600000000000004</v>
      </c>
      <c r="BP100" s="228">
        <f t="shared" si="304"/>
        <v>47.831000000000003</v>
      </c>
      <c r="BQ100" s="228">
        <f t="shared" si="305"/>
        <v>58.03</v>
      </c>
      <c r="BR100" s="228">
        <f t="shared" si="306"/>
        <v>109.56100000000001</v>
      </c>
      <c r="BS100" s="228">
        <f t="shared" si="307"/>
        <v>0</v>
      </c>
      <c r="BT100" s="228">
        <f t="shared" si="308"/>
        <v>0</v>
      </c>
      <c r="BU100" s="228">
        <f t="shared" si="309"/>
        <v>53.853999999999999</v>
      </c>
      <c r="BV100" s="228">
        <f t="shared" si="310"/>
        <v>17.802</v>
      </c>
      <c r="BW100" s="228">
        <f t="shared" si="311"/>
        <v>44.128</v>
      </c>
      <c r="BX100" s="228">
        <f t="shared" si="312"/>
        <v>67.481999999999999</v>
      </c>
      <c r="BY100" s="228">
        <f t="shared" si="313"/>
        <v>-362.96899999999999</v>
      </c>
      <c r="BZ100" s="228">
        <f t="shared" si="314"/>
        <v>0</v>
      </c>
      <c r="CA100" s="228">
        <f t="shared" si="315"/>
        <v>0</v>
      </c>
      <c r="CB100" s="1021">
        <f t="shared" si="316"/>
        <v>0</v>
      </c>
      <c r="CC100" s="20"/>
      <c r="CD100" s="228">
        <f t="shared" ref="CD100:CL100" si="327">CD18</f>
        <v>26.032</v>
      </c>
      <c r="CE100" s="228">
        <f t="shared" si="327"/>
        <v>7.0910000000000002</v>
      </c>
      <c r="CF100" s="228">
        <f t="shared" si="327"/>
        <v>0.79600000000000004</v>
      </c>
      <c r="CG100" s="228">
        <f t="shared" si="327"/>
        <v>47.831000000000003</v>
      </c>
      <c r="CH100" s="228">
        <f t="shared" si="327"/>
        <v>58.03</v>
      </c>
      <c r="CI100" s="228">
        <f t="shared" si="327"/>
        <v>109.56100000000001</v>
      </c>
      <c r="CJ100" s="228">
        <f t="shared" si="327"/>
        <v>0</v>
      </c>
      <c r="CK100" s="228">
        <f t="shared" si="327"/>
        <v>70.168000000000006</v>
      </c>
      <c r="CL100" s="228">
        <f t="shared" si="327"/>
        <v>3.3979999999999926</v>
      </c>
      <c r="CM100" s="228">
        <f t="shared" si="318"/>
        <v>47.525000000000006</v>
      </c>
      <c r="CN100" s="228">
        <f t="shared" si="318"/>
        <v>69.31</v>
      </c>
      <c r="CO100" s="228">
        <f t="shared" si="319"/>
        <v>-370.10400000000004</v>
      </c>
      <c r="CP100" s="228">
        <f t="shared" si="320"/>
        <v>0</v>
      </c>
      <c r="CQ100" s="228">
        <f t="shared" si="320"/>
        <v>0</v>
      </c>
      <c r="CR100" s="22"/>
      <c r="CS100" s="14"/>
    </row>
    <row r="101" spans="1:97" ht="14.25" customHeight="1" outlineLevel="1">
      <c r="A101" s="11"/>
      <c r="B101" s="55" t="s">
        <v>145</v>
      </c>
      <c r="C101" s="56"/>
      <c r="D101" s="233">
        <v>7.1</v>
      </c>
      <c r="E101" s="231">
        <f>3.165+16.146</f>
        <v>19.311</v>
      </c>
      <c r="F101" s="231">
        <f>3.165+0.735+25.027</f>
        <v>28.927</v>
      </c>
      <c r="G101" s="232">
        <f>4.5+0.735+40.596</f>
        <v>45.830999999999996</v>
      </c>
      <c r="H101" s="233">
        <f>9.006-8.883</f>
        <v>0.12300000000000111</v>
      </c>
      <c r="I101" s="231">
        <f>13.226-13.057</f>
        <v>0.16900000000000048</v>
      </c>
      <c r="J101" s="231">
        <f>2.5+19.973-19.056</f>
        <v>3.416999999999998</v>
      </c>
      <c r="K101" s="232">
        <f>-0.403+35.765-27.413</f>
        <v>7.9490000000000016</v>
      </c>
      <c r="L101" s="233">
        <f>-0.799+8.286-7.843</f>
        <v>-0.35600000000000076</v>
      </c>
      <c r="M101" s="231">
        <f>-0.478+10.499-10.221</f>
        <v>-0.19999999999999929</v>
      </c>
      <c r="N101" s="231">
        <f>0.213+11.676-12.056</f>
        <v>-0.16699999999999982</v>
      </c>
      <c r="O101" s="232">
        <f>0.254+15.794-22.459</f>
        <v>-6.4109999999999978</v>
      </c>
      <c r="P101" s="233">
        <f>2.313-2.864-0.299</f>
        <v>-0.84999999999999964</v>
      </c>
      <c r="Q101" s="231">
        <f>-0.288+1.291-4.559</f>
        <v>-3.556</v>
      </c>
      <c r="R101" s="231">
        <f>0.798+0.668-4.759-58.29</f>
        <v>-61.582999999999998</v>
      </c>
      <c r="S101" s="232">
        <f>-75.035+4.244-4.779-0.097</f>
        <v>-75.666999999999987</v>
      </c>
      <c r="T101" s="233">
        <f>-0.723+0.216+16.492</f>
        <v>15.985000000000001</v>
      </c>
      <c r="U101" s="231">
        <f>-0.55+3.727+16.297</f>
        <v>19.474</v>
      </c>
      <c r="V101" s="231">
        <f>-0.542-7.662+15.868</f>
        <v>7.6639999999999997</v>
      </c>
      <c r="W101" s="232">
        <f>-4.352+1.315-1.204</f>
        <v>-4.2410000000000005</v>
      </c>
      <c r="X101" s="233">
        <f>0.484+0.188-1.021</f>
        <v>-0.34899999999999998</v>
      </c>
      <c r="Y101" s="231">
        <f>0.375+0.647-2.079</f>
        <v>-1.0570000000000002</v>
      </c>
      <c r="Z101" s="231">
        <f>-0.059+0.385-2.677</f>
        <v>-2.351</v>
      </c>
      <c r="AA101" s="232">
        <f>-7.406+4.861-0.113</f>
        <v>-2.6579999999999999</v>
      </c>
      <c r="AB101" s="233">
        <f>-0.358+5.301-6.029</f>
        <v>-1.0859999999999994</v>
      </c>
      <c r="AC101" s="231">
        <f>1.091+6.531-7.928</f>
        <v>-0.30600000000000005</v>
      </c>
      <c r="AD101" s="231">
        <f>0.45+7.039-8.573</f>
        <v>-1.0840000000000005</v>
      </c>
      <c r="AE101" s="232">
        <f>0.044+79.326+9.917-11.957</f>
        <v>77.329999999999984</v>
      </c>
      <c r="AF101" s="233">
        <f>0.629+0.617-0.806</f>
        <v>0.43999999999999995</v>
      </c>
      <c r="AG101" s="231">
        <f>0.643+3.282-4.766</f>
        <v>-0.84100000000000019</v>
      </c>
      <c r="AH101" s="231">
        <f>0.437+5.354-6.312</f>
        <v>-0.52099999999999991</v>
      </c>
      <c r="AI101" s="232">
        <f>-44.1+8.984-10.156+2.779</f>
        <v>-42.492999999999995</v>
      </c>
      <c r="AJ101" s="233">
        <f>1.469-2.021+0.053</f>
        <v>-0.49899999999999983</v>
      </c>
      <c r="AK101" s="231">
        <f>-18.914-0.691</f>
        <v>-19.605</v>
      </c>
      <c r="AL101" s="231">
        <f>+-20.248-1.512</f>
        <v>-21.76</v>
      </c>
      <c r="AM101" s="232">
        <f>-30.754-1.618</f>
        <v>-32.372</v>
      </c>
      <c r="AN101" s="233">
        <f>-2.66</f>
        <v>-2.66</v>
      </c>
      <c r="AO101" s="231">
        <f>-13.775</f>
        <v>-13.775</v>
      </c>
      <c r="AP101" s="231">
        <v>-16.669</v>
      </c>
      <c r="AQ101" s="232">
        <f>-19.662+0.122</f>
        <v>-19.54</v>
      </c>
      <c r="AR101" s="233">
        <v>-3.839</v>
      </c>
      <c r="AS101" s="231">
        <f>-10.455</f>
        <v>-10.455</v>
      </c>
      <c r="AT101" s="231">
        <v>-12.326000000000001</v>
      </c>
      <c r="AU101" s="232">
        <f>-16.153+2</f>
        <v>-14.152999999999999</v>
      </c>
      <c r="AV101" s="233">
        <v>0</v>
      </c>
      <c r="AW101" s="231">
        <v>0</v>
      </c>
      <c r="AX101" s="231">
        <v>0</v>
      </c>
      <c r="AY101" s="232">
        <v>1.698</v>
      </c>
      <c r="AZ101" s="233">
        <v>0</v>
      </c>
      <c r="BA101" s="231">
        <v>1.5</v>
      </c>
      <c r="BB101" s="231">
        <v>1.5</v>
      </c>
      <c r="BC101" s="229">
        <f>BB101+BC19</f>
        <v>1.5</v>
      </c>
      <c r="BD101" s="228">
        <f t="shared" si="321"/>
        <v>0</v>
      </c>
      <c r="BE101" s="228">
        <f t="shared" si="295"/>
        <v>0</v>
      </c>
      <c r="BF101" s="228">
        <f t="shared" si="296"/>
        <v>0</v>
      </c>
      <c r="BG101" s="229">
        <f t="shared" si="297"/>
        <v>0</v>
      </c>
      <c r="BH101" s="228">
        <f t="shared" si="322"/>
        <v>0</v>
      </c>
      <c r="BI101" s="228">
        <f t="shared" si="298"/>
        <v>0</v>
      </c>
      <c r="BJ101" s="228">
        <f t="shared" si="299"/>
        <v>0</v>
      </c>
      <c r="BK101" s="229">
        <f t="shared" si="300"/>
        <v>0</v>
      </c>
      <c r="BL101" s="192"/>
      <c r="BM101" s="228">
        <f t="shared" si="301"/>
        <v>45.830999999999996</v>
      </c>
      <c r="BN101" s="228">
        <f t="shared" si="302"/>
        <v>7.9490000000000016</v>
      </c>
      <c r="BO101" s="228">
        <f t="shared" si="303"/>
        <v>-6.4109999999999978</v>
      </c>
      <c r="BP101" s="228">
        <f t="shared" si="304"/>
        <v>-75.666999999999987</v>
      </c>
      <c r="BQ101" s="228">
        <f t="shared" si="305"/>
        <v>-4.2410000000000005</v>
      </c>
      <c r="BR101" s="228">
        <f t="shared" si="306"/>
        <v>-2.6579999999999999</v>
      </c>
      <c r="BS101" s="228">
        <f t="shared" si="307"/>
        <v>77.329999999999984</v>
      </c>
      <c r="BT101" s="228">
        <f t="shared" si="308"/>
        <v>-42.492999999999995</v>
      </c>
      <c r="BU101" s="228">
        <f t="shared" si="309"/>
        <v>-32.372</v>
      </c>
      <c r="BV101" s="228">
        <f t="shared" si="310"/>
        <v>-19.54</v>
      </c>
      <c r="BW101" s="228">
        <f t="shared" si="311"/>
        <v>-14.152999999999999</v>
      </c>
      <c r="BX101" s="228">
        <f t="shared" si="312"/>
        <v>1.698</v>
      </c>
      <c r="BY101" s="228">
        <f t="shared" si="313"/>
        <v>1.5</v>
      </c>
      <c r="BZ101" s="228">
        <f t="shared" si="314"/>
        <v>0</v>
      </c>
      <c r="CA101" s="228">
        <f t="shared" si="315"/>
        <v>0</v>
      </c>
      <c r="CB101" s="1021">
        <f t="shared" si="316"/>
        <v>0</v>
      </c>
      <c r="CC101" s="192"/>
      <c r="CD101" s="228">
        <f t="shared" ref="CD101:CL101" si="328">CD19</f>
        <v>20.320999999999994</v>
      </c>
      <c r="CE101" s="228">
        <f t="shared" si="328"/>
        <v>4.3650000000000038</v>
      </c>
      <c r="CF101" s="228">
        <f t="shared" si="328"/>
        <v>-67.826999999999998</v>
      </c>
      <c r="CG101" s="228">
        <f t="shared" si="328"/>
        <v>-6.4199999999999946</v>
      </c>
      <c r="CH101" s="228">
        <f t="shared" si="328"/>
        <v>-14.256000000000002</v>
      </c>
      <c r="CI101" s="228">
        <f t="shared" si="328"/>
        <v>-1.3910000000000005</v>
      </c>
      <c r="CJ101" s="228">
        <f t="shared" si="328"/>
        <v>77.892999999999972</v>
      </c>
      <c r="CK101" s="228">
        <f t="shared" si="328"/>
        <v>-63.731999999999999</v>
      </c>
      <c r="CL101" s="228">
        <f t="shared" si="328"/>
        <v>-27.280999999999999</v>
      </c>
      <c r="CM101" s="228">
        <f t="shared" si="318"/>
        <v>-15.197000000000001</v>
      </c>
      <c r="CN101" s="228">
        <f t="shared" si="318"/>
        <v>-1.8269999999999986</v>
      </c>
      <c r="CO101" s="228">
        <f t="shared" si="319"/>
        <v>3.198</v>
      </c>
      <c r="CP101" s="228">
        <f t="shared" si="320"/>
        <v>0</v>
      </c>
      <c r="CQ101" s="228">
        <f t="shared" si="320"/>
        <v>0</v>
      </c>
      <c r="CR101" s="23"/>
      <c r="CS101" s="71"/>
    </row>
    <row r="102" spans="1:97" ht="14.25" customHeight="1" outlineLevel="1">
      <c r="A102" s="8"/>
      <c r="B102" s="28" t="s">
        <v>146</v>
      </c>
      <c r="C102" s="29"/>
      <c r="D102" s="233"/>
      <c r="E102" s="231"/>
      <c r="F102" s="231"/>
      <c r="G102" s="232"/>
      <c r="H102" s="233"/>
      <c r="I102" s="231"/>
      <c r="J102" s="231"/>
      <c r="K102" s="232"/>
      <c r="L102" s="233"/>
      <c r="M102" s="231"/>
      <c r="N102" s="231"/>
      <c r="O102" s="232"/>
      <c r="P102" s="233"/>
      <c r="Q102" s="231"/>
      <c r="R102" s="231"/>
      <c r="S102" s="232"/>
      <c r="T102" s="233"/>
      <c r="U102" s="231"/>
      <c r="V102" s="231"/>
      <c r="W102" s="232"/>
      <c r="X102" s="233"/>
      <c r="Y102" s="231"/>
      <c r="Z102" s="231"/>
      <c r="AA102" s="232"/>
      <c r="AB102" s="233"/>
      <c r="AC102" s="231"/>
      <c r="AD102" s="228"/>
      <c r="AE102" s="232"/>
      <c r="AF102" s="233"/>
      <c r="AG102" s="231"/>
      <c r="AH102" s="228"/>
      <c r="AI102" s="232"/>
      <c r="AJ102" s="233"/>
      <c r="AK102" s="231"/>
      <c r="AL102" s="228"/>
      <c r="AM102" s="232"/>
      <c r="AN102" s="233"/>
      <c r="AO102" s="231"/>
      <c r="AP102" s="228"/>
      <c r="AQ102" s="232"/>
      <c r="AR102" s="233"/>
      <c r="AS102" s="231"/>
      <c r="AT102" s="228"/>
      <c r="AU102" s="232"/>
      <c r="AV102" s="233"/>
      <c r="AW102" s="231"/>
      <c r="AX102" s="228"/>
      <c r="AY102" s="232"/>
      <c r="AZ102" s="233"/>
      <c r="BA102" s="231"/>
      <c r="BB102" s="228"/>
      <c r="BC102" s="229"/>
      <c r="BD102" s="228">
        <f t="shared" si="321"/>
        <v>0</v>
      </c>
      <c r="BE102" s="228"/>
      <c r="BF102" s="228"/>
      <c r="BG102" s="229"/>
      <c r="BH102" s="228">
        <f t="shared" si="322"/>
        <v>0</v>
      </c>
      <c r="BI102" s="228"/>
      <c r="BJ102" s="228"/>
      <c r="BK102" s="229"/>
      <c r="BL102" s="192"/>
      <c r="BM102" s="228"/>
      <c r="BN102" s="228"/>
      <c r="BO102" s="228"/>
      <c r="BP102" s="228"/>
      <c r="BQ102" s="228"/>
      <c r="BR102" s="228"/>
      <c r="BS102" s="228"/>
      <c r="BT102" s="228"/>
      <c r="BU102" s="228"/>
      <c r="BV102" s="228"/>
      <c r="BW102" s="228">
        <f t="shared" si="311"/>
        <v>0</v>
      </c>
      <c r="BX102" s="228"/>
      <c r="BY102" s="228"/>
      <c r="BZ102" s="228"/>
      <c r="CA102" s="228">
        <f t="shared" si="315"/>
        <v>0</v>
      </c>
      <c r="CB102" s="1021"/>
      <c r="CC102" s="20"/>
      <c r="CD102" s="228"/>
      <c r="CE102" s="228"/>
      <c r="CF102" s="228"/>
      <c r="CG102" s="228"/>
      <c r="CH102" s="228"/>
      <c r="CI102" s="228"/>
      <c r="CJ102" s="228"/>
      <c r="CK102" s="228"/>
      <c r="CL102" s="228"/>
      <c r="CM102" s="228"/>
      <c r="CN102" s="228"/>
      <c r="CO102" s="228"/>
      <c r="CP102" s="228"/>
      <c r="CQ102" s="228"/>
      <c r="CR102" s="22"/>
      <c r="CS102" s="14"/>
    </row>
    <row r="103" spans="1:97" ht="14.25" customHeight="1" outlineLevel="1">
      <c r="A103" s="8"/>
      <c r="B103" s="55" t="s">
        <v>147</v>
      </c>
      <c r="C103" s="56"/>
      <c r="D103" s="233">
        <v>18.858000000000001</v>
      </c>
      <c r="E103" s="231">
        <v>21.946999999999999</v>
      </c>
      <c r="F103" s="231">
        <v>71.188000000000002</v>
      </c>
      <c r="G103" s="232">
        <v>19.38</v>
      </c>
      <c r="H103" s="233">
        <v>41.991999999999997</v>
      </c>
      <c r="I103" s="231">
        <v>7.9820000000000002</v>
      </c>
      <c r="J103" s="231">
        <v>46.494</v>
      </c>
      <c r="K103" s="232">
        <v>11.911</v>
      </c>
      <c r="L103" s="233">
        <v>-26.097999999999999</v>
      </c>
      <c r="M103" s="231">
        <v>-54.305</v>
      </c>
      <c r="N103" s="231">
        <v>-46.997999999999998</v>
      </c>
      <c r="O103" s="232">
        <v>-66.852999999999994</v>
      </c>
      <c r="P103" s="233">
        <v>43.667999999999999</v>
      </c>
      <c r="Q103" s="231">
        <v>15.069000000000001</v>
      </c>
      <c r="R103" s="231">
        <v>35.557000000000002</v>
      </c>
      <c r="S103" s="232">
        <v>32.756999999999998</v>
      </c>
      <c r="T103" s="233">
        <v>20.46</v>
      </c>
      <c r="U103" s="231">
        <v>-10.282999999999999</v>
      </c>
      <c r="V103" s="231">
        <v>-14.688000000000001</v>
      </c>
      <c r="W103" s="232">
        <v>-46.344999999999999</v>
      </c>
      <c r="X103" s="233">
        <v>-92.671000000000006</v>
      </c>
      <c r="Y103" s="231">
        <v>-294.03100000000001</v>
      </c>
      <c r="Z103" s="231">
        <v>-106.922</v>
      </c>
      <c r="AA103" s="232">
        <v>-23.699000000000002</v>
      </c>
      <c r="AB103" s="233">
        <v>41.780999999999999</v>
      </c>
      <c r="AC103" s="231">
        <v>70.048000000000002</v>
      </c>
      <c r="AD103" s="231">
        <f>75.332</f>
        <v>75.331999999999994</v>
      </c>
      <c r="AE103" s="232">
        <v>71.498999999999995</v>
      </c>
      <c r="AF103" s="233">
        <v>-42.978999999999999</v>
      </c>
      <c r="AG103" s="231">
        <v>-7.3049999999999997</v>
      </c>
      <c r="AH103" s="231">
        <v>-17.292000000000002</v>
      </c>
      <c r="AI103" s="232">
        <v>-14.21</v>
      </c>
      <c r="AJ103" s="233">
        <v>-38.978000000000002</v>
      </c>
      <c r="AK103" s="231">
        <v>-48.363999999999997</v>
      </c>
      <c r="AL103" s="231">
        <v>21.927</v>
      </c>
      <c r="AM103" s="232">
        <v>-38.658000000000001</v>
      </c>
      <c r="AN103" s="233">
        <v>-13.500999999999999</v>
      </c>
      <c r="AO103" s="231">
        <v>-22.795999999999999</v>
      </c>
      <c r="AP103" s="231">
        <v>80.337000000000003</v>
      </c>
      <c r="AQ103" s="232">
        <v>21.219000000000001</v>
      </c>
      <c r="AR103" s="233">
        <v>-5.3730000000000002</v>
      </c>
      <c r="AS103" s="231">
        <v>-36.012999999999998</v>
      </c>
      <c r="AT103" s="231">
        <v>43.439</v>
      </c>
      <c r="AU103" s="232">
        <v>-60.843000000000004</v>
      </c>
      <c r="AV103" s="233">
        <v>90.444000000000003</v>
      </c>
      <c r="AW103" s="231">
        <v>79.7</v>
      </c>
      <c r="AX103" s="231">
        <v>-33.395000000000003</v>
      </c>
      <c r="AY103" s="232">
        <v>63.542999999999999</v>
      </c>
      <c r="AZ103" s="233">
        <v>-24.341999999999999</v>
      </c>
      <c r="BA103" s="231">
        <v>-42.94</v>
      </c>
      <c r="BB103" s="231">
        <v>-108.934</v>
      </c>
      <c r="BC103" s="229">
        <f t="shared" ref="BC103:BC110" si="329">BB103+BC21</f>
        <v>-132.614</v>
      </c>
      <c r="BD103" s="228">
        <f t="shared" si="321"/>
        <v>34.400919100000067</v>
      </c>
      <c r="BE103" s="228">
        <f t="shared" ref="BE103:BE111" si="330">BD103+BE21</f>
        <v>70.224989129333323</v>
      </c>
      <c r="BF103" s="228">
        <f t="shared" ref="BF103:BF111" si="331">BE103+BF21</f>
        <v>70.83039447096013</v>
      </c>
      <c r="BG103" s="229">
        <f t="shared" ref="BG103:BG111" si="332">BF103+BG21</f>
        <v>63.399132675419253</v>
      </c>
      <c r="BH103" s="228">
        <f t="shared" si="322"/>
        <v>21.590037347818281</v>
      </c>
      <c r="BI103" s="228">
        <f t="shared" ref="BI103:BI111" si="333">BH103+BI21</f>
        <v>19.099407662869908</v>
      </c>
      <c r="BJ103" s="228">
        <f t="shared" ref="BJ103:BJ111" si="334">BI103+BJ21</f>
        <v>21.489513486088526</v>
      </c>
      <c r="BK103" s="229">
        <f t="shared" ref="BK103:BK111" si="335">BJ103+BK21</f>
        <v>16.492813574188006</v>
      </c>
      <c r="BL103" s="192"/>
      <c r="BM103" s="228">
        <f t="shared" ref="BM103:BM111" si="336">G103</f>
        <v>19.38</v>
      </c>
      <c r="BN103" s="228">
        <f t="shared" ref="BN103:BN111" si="337">K103</f>
        <v>11.911</v>
      </c>
      <c r="BO103" s="228">
        <f t="shared" ref="BO103:BO111" si="338">O103</f>
        <v>-66.852999999999994</v>
      </c>
      <c r="BP103" s="228">
        <f t="shared" ref="BP103:BP111" si="339">S103</f>
        <v>32.756999999999998</v>
      </c>
      <c r="BQ103" s="228">
        <f t="shared" ref="BQ103:BQ111" si="340">W103</f>
        <v>-46.344999999999999</v>
      </c>
      <c r="BR103" s="228">
        <f t="shared" ref="BR103:BR111" si="341">AA103</f>
        <v>-23.699000000000002</v>
      </c>
      <c r="BS103" s="228">
        <f t="shared" ref="BS103:BS111" si="342">AE103</f>
        <v>71.498999999999995</v>
      </c>
      <c r="BT103" s="228">
        <f t="shared" ref="BT103:BT111" si="343">AI103</f>
        <v>-14.21</v>
      </c>
      <c r="BU103" s="228">
        <f t="shared" ref="BU103:BU111" si="344">AM103</f>
        <v>-38.658000000000001</v>
      </c>
      <c r="BV103" s="228">
        <f t="shared" ref="BV103:BV111" si="345">AQ103</f>
        <v>21.219000000000001</v>
      </c>
      <c r="BW103" s="228">
        <f t="shared" si="311"/>
        <v>-60.843000000000004</v>
      </c>
      <c r="BX103" s="228">
        <f t="shared" ref="BX103:BX111" si="346">AY103</f>
        <v>63.542999999999999</v>
      </c>
      <c r="BY103" s="228">
        <f t="shared" ref="BY103:BY111" si="347">BC103</f>
        <v>-132.614</v>
      </c>
      <c r="BZ103" s="228">
        <f t="shared" ref="BZ103:BZ111" si="348">BG103</f>
        <v>63.399132675419253</v>
      </c>
      <c r="CA103" s="228">
        <f t="shared" si="315"/>
        <v>16.492813574188006</v>
      </c>
      <c r="CB103" s="1021">
        <f t="shared" ref="CB103:CB109" si="349">CB21</f>
        <v>-20.453578472162576</v>
      </c>
      <c r="CC103" s="20"/>
      <c r="CD103" s="228">
        <f t="shared" ref="CD103:CL103" si="350">CD21</f>
        <v>-5.3140000000000143</v>
      </c>
      <c r="CE103" s="228">
        <f t="shared" si="350"/>
        <v>-81.580999999999989</v>
      </c>
      <c r="CF103" s="228">
        <f t="shared" si="350"/>
        <v>15.702000000000012</v>
      </c>
      <c r="CG103" s="228">
        <f t="shared" si="350"/>
        <v>-17.488000000000014</v>
      </c>
      <c r="CH103" s="228">
        <f t="shared" si="350"/>
        <v>-138.57899999999995</v>
      </c>
      <c r="CI103" s="228">
        <f t="shared" si="350"/>
        <v>158.55499999999995</v>
      </c>
      <c r="CJ103" s="228">
        <f t="shared" si="350"/>
        <v>-21.125</v>
      </c>
      <c r="CK103" s="228">
        <f t="shared" si="350"/>
        <v>25.009</v>
      </c>
      <c r="CL103" s="228">
        <f t="shared" si="350"/>
        <v>19.75200000000001</v>
      </c>
      <c r="CM103" s="228">
        <f t="shared" ref="CM103:CN111" si="351">CM21</f>
        <v>-15.679000000000016</v>
      </c>
      <c r="CN103" s="228">
        <f t="shared" si="351"/>
        <v>-137.67700000000002</v>
      </c>
      <c r="CO103" s="228">
        <f t="shared" ref="CO103:CO111" si="352">CO21</f>
        <v>-11.995999999999995</v>
      </c>
      <c r="CP103" s="228">
        <f t="shared" ref="CP103:CQ111" si="353">CP21</f>
        <v>47.150394470960123</v>
      </c>
      <c r="CQ103" s="228">
        <f t="shared" si="353"/>
        <v>14.05825169054765</v>
      </c>
      <c r="CR103" s="22"/>
      <c r="CS103" s="14"/>
    </row>
    <row r="104" spans="1:97" ht="14.25" customHeight="1" outlineLevel="1">
      <c r="A104" s="8"/>
      <c r="B104" s="55" t="s">
        <v>148</v>
      </c>
      <c r="C104" s="56"/>
      <c r="D104" s="233">
        <v>3.726</v>
      </c>
      <c r="E104" s="231">
        <v>-13.945</v>
      </c>
      <c r="F104" s="231">
        <v>-26.16</v>
      </c>
      <c r="G104" s="232">
        <v>-15.307</v>
      </c>
      <c r="H104" s="233">
        <v>9.5619999999999994</v>
      </c>
      <c r="I104" s="231">
        <v>4.8310000000000004</v>
      </c>
      <c r="J104" s="231">
        <v>18.204000000000001</v>
      </c>
      <c r="K104" s="232">
        <v>28.617000000000001</v>
      </c>
      <c r="L104" s="233">
        <v>28.553999999999998</v>
      </c>
      <c r="M104" s="231">
        <v>45.359000000000002</v>
      </c>
      <c r="N104" s="231">
        <v>42.075000000000003</v>
      </c>
      <c r="O104" s="232">
        <v>43.646999999999998</v>
      </c>
      <c r="P104" s="233">
        <v>-10.212999999999999</v>
      </c>
      <c r="Q104" s="231">
        <v>-11.696999999999999</v>
      </c>
      <c r="R104" s="231">
        <v>-19.297000000000001</v>
      </c>
      <c r="S104" s="232">
        <v>10.022</v>
      </c>
      <c r="T104" s="233">
        <v>18.744</v>
      </c>
      <c r="U104" s="231">
        <v>18.861999999999998</v>
      </c>
      <c r="V104" s="231">
        <v>-8.8829999999999991</v>
      </c>
      <c r="W104" s="232">
        <v>-10.779</v>
      </c>
      <c r="X104" s="233">
        <v>-20.966000000000001</v>
      </c>
      <c r="Y104" s="231">
        <v>-39.536000000000001</v>
      </c>
      <c r="Z104" s="231">
        <v>-111.675</v>
      </c>
      <c r="AA104" s="232">
        <v>-133.72399999999999</v>
      </c>
      <c r="AB104" s="233">
        <v>14.484</v>
      </c>
      <c r="AC104" s="231">
        <v>17.271000000000001</v>
      </c>
      <c r="AD104" s="231">
        <f>19.626</f>
        <v>19.626000000000001</v>
      </c>
      <c r="AE104" s="232">
        <v>60.121000000000002</v>
      </c>
      <c r="AF104" s="233">
        <v>11.137</v>
      </c>
      <c r="AG104" s="231">
        <v>0.67500000000000004</v>
      </c>
      <c r="AH104" s="231">
        <v>-21.018000000000001</v>
      </c>
      <c r="AI104" s="232">
        <v>3.8889999999999998</v>
      </c>
      <c r="AJ104" s="233">
        <v>14.372999999999999</v>
      </c>
      <c r="AK104" s="231">
        <v>17.634</v>
      </c>
      <c r="AL104" s="231">
        <v>-5.2080000000000002</v>
      </c>
      <c r="AM104" s="232">
        <v>-32.332999999999998</v>
      </c>
      <c r="AN104" s="233">
        <v>-22.879000000000001</v>
      </c>
      <c r="AO104" s="231">
        <v>-28.408999999999999</v>
      </c>
      <c r="AP104" s="231">
        <v>-12.298999999999999</v>
      </c>
      <c r="AQ104" s="232">
        <v>2.6640000000000001</v>
      </c>
      <c r="AR104" s="233">
        <v>9.1120000000000001</v>
      </c>
      <c r="AS104" s="231">
        <v>18.119</v>
      </c>
      <c r="AT104" s="231">
        <v>35.049999999999997</v>
      </c>
      <c r="AU104" s="232">
        <v>52.323</v>
      </c>
      <c r="AV104" s="233">
        <v>-16.827999999999999</v>
      </c>
      <c r="AW104" s="231">
        <v>-18.408999999999999</v>
      </c>
      <c r="AX104" s="231">
        <v>-27.295000000000002</v>
      </c>
      <c r="AY104" s="232">
        <v>-48.244</v>
      </c>
      <c r="AZ104" s="233">
        <v>11.691000000000001</v>
      </c>
      <c r="BA104" s="231">
        <v>11.504</v>
      </c>
      <c r="BB104" s="231">
        <v>0.36699999999999999</v>
      </c>
      <c r="BC104" s="229">
        <f t="shared" si="329"/>
        <v>-9.1770000000000103</v>
      </c>
      <c r="BD104" s="228">
        <f t="shared" si="321"/>
        <v>-0.34315663000000995</v>
      </c>
      <c r="BE104" s="228">
        <f t="shared" si="330"/>
        <v>-1.6842210606500601</v>
      </c>
      <c r="BF104" s="228">
        <f t="shared" si="331"/>
        <v>10.09179585322002</v>
      </c>
      <c r="BG104" s="229">
        <f t="shared" si="332"/>
        <v>4.518349506564391</v>
      </c>
      <c r="BH104" s="228">
        <f t="shared" si="322"/>
        <v>-7.7370411538664996</v>
      </c>
      <c r="BI104" s="228">
        <f t="shared" si="333"/>
        <v>-9.8125658913234588</v>
      </c>
      <c r="BJ104" s="228">
        <f t="shared" si="334"/>
        <v>-7.8208110386412955</v>
      </c>
      <c r="BK104" s="229">
        <f t="shared" si="335"/>
        <v>-11.98472763189173</v>
      </c>
      <c r="BL104" s="192"/>
      <c r="BM104" s="228">
        <f t="shared" si="336"/>
        <v>-15.307</v>
      </c>
      <c r="BN104" s="228">
        <f t="shared" si="337"/>
        <v>28.617000000000001</v>
      </c>
      <c r="BO104" s="228">
        <f t="shared" si="338"/>
        <v>43.646999999999998</v>
      </c>
      <c r="BP104" s="228">
        <f t="shared" si="339"/>
        <v>10.022</v>
      </c>
      <c r="BQ104" s="228">
        <f t="shared" si="340"/>
        <v>-10.779</v>
      </c>
      <c r="BR104" s="228">
        <f t="shared" si="341"/>
        <v>-133.72399999999999</v>
      </c>
      <c r="BS104" s="228">
        <f t="shared" si="342"/>
        <v>60.121000000000002</v>
      </c>
      <c r="BT104" s="228">
        <f t="shared" si="343"/>
        <v>3.8889999999999998</v>
      </c>
      <c r="BU104" s="228">
        <f t="shared" si="344"/>
        <v>-32.332999999999998</v>
      </c>
      <c r="BV104" s="228">
        <f t="shared" si="345"/>
        <v>2.6640000000000001</v>
      </c>
      <c r="BW104" s="228">
        <f t="shared" si="311"/>
        <v>52.323</v>
      </c>
      <c r="BX104" s="228">
        <f t="shared" si="346"/>
        <v>-48.244</v>
      </c>
      <c r="BY104" s="228">
        <f t="shared" si="347"/>
        <v>-9.1770000000000103</v>
      </c>
      <c r="BZ104" s="228">
        <f t="shared" si="348"/>
        <v>4.518349506564391</v>
      </c>
      <c r="CA104" s="228">
        <f t="shared" si="315"/>
        <v>-11.98472763189173</v>
      </c>
      <c r="CB104" s="1021">
        <f t="shared" si="349"/>
        <v>-17.044648726802137</v>
      </c>
      <c r="CC104" s="20"/>
      <c r="CD104" s="228">
        <f t="shared" ref="CD104:CL104" si="354">CD22</f>
        <v>29.057000000000002</v>
      </c>
      <c r="CE104" s="228">
        <f t="shared" si="354"/>
        <v>52.488000000000007</v>
      </c>
      <c r="CF104" s="228">
        <f t="shared" si="354"/>
        <v>-17.725000000000009</v>
      </c>
      <c r="CG104" s="228">
        <f t="shared" si="354"/>
        <v>20.436</v>
      </c>
      <c r="CH104" s="228">
        <f t="shared" si="354"/>
        <v>-113.57099999999998</v>
      </c>
      <c r="CI104" s="228">
        <f t="shared" si="354"/>
        <v>-2.4230000000000054</v>
      </c>
      <c r="CJ104" s="228">
        <f t="shared" si="354"/>
        <v>19.477</v>
      </c>
      <c r="CK104" s="228">
        <f t="shared" si="354"/>
        <v>19.698999999999998</v>
      </c>
      <c r="CL104" s="228">
        <f t="shared" si="354"/>
        <v>-39.424000000000007</v>
      </c>
      <c r="CM104" s="228">
        <f t="shared" si="351"/>
        <v>50.012999999999998</v>
      </c>
      <c r="CN104" s="228">
        <f t="shared" si="351"/>
        <v>-10.021999999999998</v>
      </c>
      <c r="CO104" s="228">
        <f t="shared" si="352"/>
        <v>-20.582000000000001</v>
      </c>
      <c r="CP104" s="228">
        <f t="shared" si="353"/>
        <v>0.54779585322000912</v>
      </c>
      <c r="CQ104" s="228">
        <f t="shared" si="353"/>
        <v>-13.394257385296925</v>
      </c>
      <c r="CR104" s="22"/>
      <c r="CS104" s="14"/>
    </row>
    <row r="105" spans="1:97" ht="14.25" customHeight="1" outlineLevel="1">
      <c r="A105" s="8"/>
      <c r="B105" s="55" t="s">
        <v>234</v>
      </c>
      <c r="C105" s="56"/>
      <c r="D105" s="233">
        <v>-3.4769999999999999</v>
      </c>
      <c r="E105" s="231">
        <v>-1.9079999999999999</v>
      </c>
      <c r="F105" s="231">
        <v>-5.1790000000000003</v>
      </c>
      <c r="G105" s="232">
        <v>-1.891</v>
      </c>
      <c r="H105" s="233">
        <v>1.2410000000000001</v>
      </c>
      <c r="I105" s="231">
        <v>4.4279999999999999</v>
      </c>
      <c r="J105" s="231">
        <v>-19.888999999999999</v>
      </c>
      <c r="K105" s="232">
        <v>3.532</v>
      </c>
      <c r="L105" s="233">
        <v>18.704000000000001</v>
      </c>
      <c r="M105" s="231">
        <v>28.286999999999999</v>
      </c>
      <c r="N105" s="231">
        <v>51.061</v>
      </c>
      <c r="O105" s="232">
        <v>-0.89100000000000001</v>
      </c>
      <c r="P105" s="233">
        <v>25.196999999999999</v>
      </c>
      <c r="Q105" s="231">
        <v>48.255000000000003</v>
      </c>
      <c r="R105" s="231">
        <v>63.453000000000003</v>
      </c>
      <c r="S105" s="232">
        <v>-9.6370000000000005</v>
      </c>
      <c r="T105" s="233">
        <v>9.8629999999999995</v>
      </c>
      <c r="U105" s="231">
        <v>-0.76200000000000001</v>
      </c>
      <c r="V105" s="231">
        <v>35.307000000000002</v>
      </c>
      <c r="W105" s="232">
        <v>0</v>
      </c>
      <c r="X105" s="233">
        <v>29.158999999999999</v>
      </c>
      <c r="Y105" s="231">
        <v>62.015000000000001</v>
      </c>
      <c r="Z105" s="231">
        <v>78.352000000000004</v>
      </c>
      <c r="AA105" s="232">
        <v>0</v>
      </c>
      <c r="AB105" s="233">
        <v>16.02</v>
      </c>
      <c r="AC105" s="231">
        <v>30.033999999999999</v>
      </c>
      <c r="AD105" s="231">
        <f>53.171</f>
        <v>53.170999999999999</v>
      </c>
      <c r="AE105" s="232">
        <v>0</v>
      </c>
      <c r="AF105" s="233">
        <v>19.535</v>
      </c>
      <c r="AG105" s="231">
        <v>35.9</v>
      </c>
      <c r="AH105" s="231">
        <v>48.302</v>
      </c>
      <c r="AI105" s="232">
        <v>0</v>
      </c>
      <c r="AJ105" s="233">
        <v>22.736000000000001</v>
      </c>
      <c r="AK105" s="231">
        <v>43.753999999999998</v>
      </c>
      <c r="AL105" s="231">
        <v>0</v>
      </c>
      <c r="AM105" s="232">
        <v>0</v>
      </c>
      <c r="AN105" s="233">
        <v>5.7889999999999997</v>
      </c>
      <c r="AO105" s="231">
        <v>0</v>
      </c>
      <c r="AP105" s="231">
        <v>0</v>
      </c>
      <c r="AQ105" s="232">
        <v>0</v>
      </c>
      <c r="AR105" s="233">
        <v>0</v>
      </c>
      <c r="AS105" s="231">
        <v>0</v>
      </c>
      <c r="AT105" s="231">
        <v>0</v>
      </c>
      <c r="AU105" s="232">
        <v>0</v>
      </c>
      <c r="AV105" s="233">
        <v>0</v>
      </c>
      <c r="AW105" s="231">
        <v>0</v>
      </c>
      <c r="AX105" s="231">
        <v>0</v>
      </c>
      <c r="AY105" s="232">
        <v>0</v>
      </c>
      <c r="AZ105" s="233">
        <v>0</v>
      </c>
      <c r="BA105" s="231">
        <v>0</v>
      </c>
      <c r="BB105" s="231">
        <v>0</v>
      </c>
      <c r="BC105" s="229">
        <f t="shared" si="329"/>
        <v>0</v>
      </c>
      <c r="BD105" s="228">
        <f t="shared" si="321"/>
        <v>0</v>
      </c>
      <c r="BE105" s="228">
        <f t="shared" si="330"/>
        <v>0</v>
      </c>
      <c r="BF105" s="228">
        <f t="shared" si="331"/>
        <v>0</v>
      </c>
      <c r="BG105" s="229">
        <f t="shared" si="332"/>
        <v>0</v>
      </c>
      <c r="BH105" s="228">
        <f t="shared" si="322"/>
        <v>0</v>
      </c>
      <c r="BI105" s="228">
        <f t="shared" si="333"/>
        <v>0</v>
      </c>
      <c r="BJ105" s="228">
        <f t="shared" si="334"/>
        <v>0</v>
      </c>
      <c r="BK105" s="229">
        <f t="shared" si="335"/>
        <v>0</v>
      </c>
      <c r="BL105" s="192"/>
      <c r="BM105" s="228">
        <f t="shared" si="336"/>
        <v>-1.891</v>
      </c>
      <c r="BN105" s="228">
        <f t="shared" si="337"/>
        <v>3.532</v>
      </c>
      <c r="BO105" s="228">
        <f t="shared" si="338"/>
        <v>-0.89100000000000001</v>
      </c>
      <c r="BP105" s="228">
        <f t="shared" si="339"/>
        <v>-9.6370000000000005</v>
      </c>
      <c r="BQ105" s="228">
        <f t="shared" si="340"/>
        <v>0</v>
      </c>
      <c r="BR105" s="228">
        <f t="shared" si="341"/>
        <v>0</v>
      </c>
      <c r="BS105" s="228">
        <f t="shared" si="342"/>
        <v>0</v>
      </c>
      <c r="BT105" s="228">
        <f t="shared" si="343"/>
        <v>0</v>
      </c>
      <c r="BU105" s="228">
        <f t="shared" si="344"/>
        <v>0</v>
      </c>
      <c r="BV105" s="228">
        <f t="shared" si="345"/>
        <v>0</v>
      </c>
      <c r="BW105" s="228">
        <f t="shared" si="311"/>
        <v>0</v>
      </c>
      <c r="BX105" s="228">
        <f t="shared" si="346"/>
        <v>0</v>
      </c>
      <c r="BY105" s="228">
        <f t="shared" si="347"/>
        <v>0</v>
      </c>
      <c r="BZ105" s="228">
        <f t="shared" si="348"/>
        <v>0</v>
      </c>
      <c r="CA105" s="228">
        <f t="shared" si="315"/>
        <v>0</v>
      </c>
      <c r="CB105" s="1021">
        <f t="shared" si="349"/>
        <v>0</v>
      </c>
      <c r="CC105" s="20"/>
      <c r="CD105" s="228">
        <f t="shared" ref="CD105:CL105" si="355">CD23</f>
        <v>-16.600999999999999</v>
      </c>
      <c r="CE105" s="228">
        <f t="shared" si="355"/>
        <v>74.481999999999999</v>
      </c>
      <c r="CF105" s="228">
        <f t="shared" si="355"/>
        <v>11.501000000000001</v>
      </c>
      <c r="CG105" s="228">
        <f t="shared" si="355"/>
        <v>-37.783000000000001</v>
      </c>
      <c r="CH105" s="228">
        <f t="shared" si="355"/>
        <v>43.045000000000002</v>
      </c>
      <c r="CI105" s="228">
        <f t="shared" si="355"/>
        <v>-25.181000000000012</v>
      </c>
      <c r="CJ105" s="228">
        <f t="shared" si="355"/>
        <v>-4.8689999999999962</v>
      </c>
      <c r="CK105" s="228">
        <f t="shared" si="355"/>
        <v>-48.302</v>
      </c>
      <c r="CL105" s="228">
        <f t="shared" si="355"/>
        <v>0</v>
      </c>
      <c r="CM105" s="228">
        <f t="shared" si="351"/>
        <v>0</v>
      </c>
      <c r="CN105" s="228">
        <f t="shared" si="351"/>
        <v>0</v>
      </c>
      <c r="CO105" s="228">
        <f t="shared" si="352"/>
        <v>0</v>
      </c>
      <c r="CP105" s="228">
        <f t="shared" si="353"/>
        <v>0</v>
      </c>
      <c r="CQ105" s="228">
        <f t="shared" si="353"/>
        <v>0</v>
      </c>
      <c r="CR105" s="22"/>
      <c r="CS105" s="14"/>
    </row>
    <row r="106" spans="1:97" ht="14.25" customHeight="1" outlineLevel="1">
      <c r="A106" s="8"/>
      <c r="B106" s="55" t="s">
        <v>257</v>
      </c>
      <c r="C106" s="56"/>
      <c r="D106" s="233">
        <v>-3.5760000000000001</v>
      </c>
      <c r="E106" s="231">
        <v>-33.590000000000003</v>
      </c>
      <c r="F106" s="231">
        <v>-38.130000000000003</v>
      </c>
      <c r="G106" s="232">
        <v>-34.896999999999998</v>
      </c>
      <c r="H106" s="233">
        <v>-3.8170000000000002</v>
      </c>
      <c r="I106" s="231">
        <v>12.233000000000001</v>
      </c>
      <c r="J106" s="231">
        <v>22.103999999999999</v>
      </c>
      <c r="K106" s="232">
        <v>35.652000000000001</v>
      </c>
      <c r="L106" s="233">
        <v>2.847</v>
      </c>
      <c r="M106" s="231">
        <v>11.048</v>
      </c>
      <c r="N106" s="231">
        <v>21.617999999999999</v>
      </c>
      <c r="O106" s="232">
        <v>35.159999999999997</v>
      </c>
      <c r="P106" s="233">
        <v>-14.888</v>
      </c>
      <c r="Q106" s="231">
        <v>-27.045999999999999</v>
      </c>
      <c r="R106" s="231">
        <v>6.18</v>
      </c>
      <c r="S106" s="232">
        <v>10.308999999999999</v>
      </c>
      <c r="T106" s="233">
        <v>-22.201000000000001</v>
      </c>
      <c r="U106" s="231">
        <v>-1.79</v>
      </c>
      <c r="V106" s="231">
        <v>-5.2720000000000002</v>
      </c>
      <c r="W106" s="232">
        <v>-9.1739999999999995</v>
      </c>
      <c r="X106" s="233">
        <v>-41.290999999999997</v>
      </c>
      <c r="Y106" s="231">
        <v>-9.266</v>
      </c>
      <c r="Z106" s="231">
        <v>-5.0019999999999998</v>
      </c>
      <c r="AA106" s="232">
        <v>-4.8540000000000001</v>
      </c>
      <c r="AB106" s="233">
        <v>-7.7460000000000004</v>
      </c>
      <c r="AC106" s="231">
        <v>-7.6589999999999998</v>
      </c>
      <c r="AD106" s="231">
        <f>-5.498</f>
        <v>-5.4980000000000002</v>
      </c>
      <c r="AE106" s="232">
        <v>-7.4009999999999998</v>
      </c>
      <c r="AF106" s="233">
        <v>2.6480000000000001</v>
      </c>
      <c r="AG106" s="231">
        <v>5.931</v>
      </c>
      <c r="AH106" s="231">
        <v>5.0209999999999999</v>
      </c>
      <c r="AI106" s="232">
        <v>5</v>
      </c>
      <c r="AJ106" s="233">
        <v>-1.05</v>
      </c>
      <c r="AK106" s="231">
        <v>-6.6669999999999998</v>
      </c>
      <c r="AL106" s="231">
        <v>-7.9290000000000003</v>
      </c>
      <c r="AM106" s="232">
        <v>-4.7539999999999996</v>
      </c>
      <c r="AN106" s="233">
        <v>-4.7510000000000003</v>
      </c>
      <c r="AO106" s="231">
        <v>-13.25</v>
      </c>
      <c r="AP106" s="231">
        <v>-11.702999999999999</v>
      </c>
      <c r="AQ106" s="232">
        <v>-13.118</v>
      </c>
      <c r="AR106" s="233">
        <v>-0.34699999999999998</v>
      </c>
      <c r="AS106" s="231">
        <v>-9.0510000000000002</v>
      </c>
      <c r="AT106" s="231">
        <v>-0.14799999999999999</v>
      </c>
      <c r="AU106" s="232">
        <v>-1.2609999999999999</v>
      </c>
      <c r="AV106" s="233">
        <v>3.044</v>
      </c>
      <c r="AW106" s="231">
        <v>-3.7650000000000001</v>
      </c>
      <c r="AX106" s="231">
        <v>-8.6189999999999998</v>
      </c>
      <c r="AY106" s="232">
        <v>-1</v>
      </c>
      <c r="AZ106" s="233">
        <v>-5.0229999999999997</v>
      </c>
      <c r="BA106" s="231">
        <v>-18.382999999999999</v>
      </c>
      <c r="BB106" s="231">
        <v>-8.6560000000000006</v>
      </c>
      <c r="BC106" s="229">
        <f t="shared" si="329"/>
        <v>-7.4759999999997522</v>
      </c>
      <c r="BD106" s="228">
        <f t="shared" si="321"/>
        <v>0</v>
      </c>
      <c r="BE106" s="228">
        <f t="shared" si="330"/>
        <v>0</v>
      </c>
      <c r="BF106" s="228">
        <f t="shared" si="331"/>
        <v>0</v>
      </c>
      <c r="BG106" s="229">
        <f t="shared" si="332"/>
        <v>0</v>
      </c>
      <c r="BH106" s="228">
        <f t="shared" si="322"/>
        <v>0</v>
      </c>
      <c r="BI106" s="228">
        <f t="shared" si="333"/>
        <v>0</v>
      </c>
      <c r="BJ106" s="228">
        <f t="shared" si="334"/>
        <v>0</v>
      </c>
      <c r="BK106" s="229">
        <f t="shared" si="335"/>
        <v>0</v>
      </c>
      <c r="BL106" s="192"/>
      <c r="BM106" s="228">
        <f t="shared" si="336"/>
        <v>-34.896999999999998</v>
      </c>
      <c r="BN106" s="228">
        <f t="shared" si="337"/>
        <v>35.652000000000001</v>
      </c>
      <c r="BO106" s="228">
        <f t="shared" si="338"/>
        <v>35.159999999999997</v>
      </c>
      <c r="BP106" s="228">
        <f t="shared" si="339"/>
        <v>10.308999999999999</v>
      </c>
      <c r="BQ106" s="228">
        <f t="shared" si="340"/>
        <v>-9.1739999999999995</v>
      </c>
      <c r="BR106" s="228">
        <f t="shared" si="341"/>
        <v>-4.8540000000000001</v>
      </c>
      <c r="BS106" s="228">
        <f t="shared" si="342"/>
        <v>-7.4009999999999998</v>
      </c>
      <c r="BT106" s="228">
        <f t="shared" si="343"/>
        <v>5</v>
      </c>
      <c r="BU106" s="228">
        <f t="shared" si="344"/>
        <v>-4.7539999999999996</v>
      </c>
      <c r="BV106" s="228">
        <f t="shared" si="345"/>
        <v>-13.118</v>
      </c>
      <c r="BW106" s="228">
        <f t="shared" si="311"/>
        <v>-1.2609999999999999</v>
      </c>
      <c r="BX106" s="228">
        <f t="shared" si="346"/>
        <v>-1</v>
      </c>
      <c r="BY106" s="228">
        <f t="shared" si="347"/>
        <v>-7.4759999999997522</v>
      </c>
      <c r="BZ106" s="228">
        <f t="shared" si="348"/>
        <v>0</v>
      </c>
      <c r="CA106" s="228">
        <f t="shared" si="315"/>
        <v>0</v>
      </c>
      <c r="CB106" s="1021">
        <f t="shared" si="349"/>
        <v>0</v>
      </c>
      <c r="CC106" s="20"/>
      <c r="CD106" s="228">
        <f t="shared" ref="CD106:CL106" si="356">CD24</f>
        <v>25.337000000000003</v>
      </c>
      <c r="CE106" s="228">
        <f t="shared" si="356"/>
        <v>35.166000000000004</v>
      </c>
      <c r="CF106" s="228">
        <f t="shared" si="356"/>
        <v>19.721999999999994</v>
      </c>
      <c r="CG106" s="228">
        <f t="shared" si="356"/>
        <v>-1.1430000000000007</v>
      </c>
      <c r="CH106" s="228">
        <f t="shared" si="356"/>
        <v>-8.9040000000000035</v>
      </c>
      <c r="CI106" s="228">
        <f t="shared" si="356"/>
        <v>-5.349999999999997</v>
      </c>
      <c r="CJ106" s="228">
        <f t="shared" si="356"/>
        <v>3.1179999999999994</v>
      </c>
      <c r="CK106" s="228">
        <f t="shared" si="356"/>
        <v>-7.95</v>
      </c>
      <c r="CL106" s="228">
        <f t="shared" si="356"/>
        <v>-8.5279999999999987</v>
      </c>
      <c r="CM106" s="228">
        <f t="shared" si="351"/>
        <v>-1.5630000000000024</v>
      </c>
      <c r="CN106" s="228">
        <f t="shared" si="351"/>
        <v>-9.7319999999999993</v>
      </c>
      <c r="CO106" s="228">
        <f t="shared" si="352"/>
        <v>-1.0370000000000008</v>
      </c>
      <c r="CP106" s="228">
        <f t="shared" si="353"/>
        <v>1.1800000000002484</v>
      </c>
      <c r="CQ106" s="228">
        <f t="shared" si="353"/>
        <v>0</v>
      </c>
      <c r="CR106" s="22"/>
      <c r="CS106" s="14"/>
    </row>
    <row r="107" spans="1:97" ht="14.25" customHeight="1" outlineLevel="1">
      <c r="A107" s="8"/>
      <c r="B107" s="55" t="s">
        <v>211</v>
      </c>
      <c r="C107" s="56"/>
      <c r="D107" s="233">
        <v>-12.503</v>
      </c>
      <c r="E107" s="231">
        <v>-58.557000000000002</v>
      </c>
      <c r="F107" s="231">
        <v>-47.764000000000003</v>
      </c>
      <c r="G107" s="232">
        <v>-29.91</v>
      </c>
      <c r="H107" s="233">
        <v>-1.218</v>
      </c>
      <c r="I107" s="231">
        <v>-7.9</v>
      </c>
      <c r="J107" s="231">
        <v>-17.759</v>
      </c>
      <c r="K107" s="232">
        <v>-15.635999999999999</v>
      </c>
      <c r="L107" s="233">
        <v>-1.6659999999999999</v>
      </c>
      <c r="M107" s="231">
        <v>-2.6949999999999998</v>
      </c>
      <c r="N107" s="231">
        <v>-10.035</v>
      </c>
      <c r="O107" s="232">
        <v>4.4039999999999999</v>
      </c>
      <c r="P107" s="233">
        <v>-7.5549999999999997</v>
      </c>
      <c r="Q107" s="231">
        <v>-12.461</v>
      </c>
      <c r="R107" s="231">
        <v>-15.22</v>
      </c>
      <c r="S107" s="232">
        <v>-17.425999999999998</v>
      </c>
      <c r="T107" s="233">
        <v>33.909999999999997</v>
      </c>
      <c r="U107" s="231">
        <v>30.577000000000002</v>
      </c>
      <c r="V107" s="231">
        <v>25.042000000000002</v>
      </c>
      <c r="W107" s="232">
        <v>-15.340999999999999</v>
      </c>
      <c r="X107" s="233">
        <v>35.929000000000002</v>
      </c>
      <c r="Y107" s="231">
        <v>6.1289999999999996</v>
      </c>
      <c r="Z107" s="231">
        <v>7.3570000000000002</v>
      </c>
      <c r="AA107" s="232">
        <v>-0.84099999999999997</v>
      </c>
      <c r="AB107" s="233">
        <v>-3.2040000000000002</v>
      </c>
      <c r="AC107" s="231">
        <v>9.3620000000000001</v>
      </c>
      <c r="AD107" s="231">
        <f>4.371</f>
        <v>4.3710000000000004</v>
      </c>
      <c r="AE107" s="232">
        <v>1.427</v>
      </c>
      <c r="AF107" s="233">
        <v>0.16300000000000001</v>
      </c>
      <c r="AG107" s="231">
        <v>-1.75</v>
      </c>
      <c r="AH107" s="231">
        <v>-6.2080000000000002</v>
      </c>
      <c r="AI107" s="232">
        <v>-13.932</v>
      </c>
      <c r="AJ107" s="233">
        <v>-5.0199999999999996</v>
      </c>
      <c r="AK107" s="231">
        <v>-7.016</v>
      </c>
      <c r="AL107" s="231">
        <v>-15.695</v>
      </c>
      <c r="AM107" s="232">
        <v>-21.335000000000001</v>
      </c>
      <c r="AN107" s="233">
        <v>-5.1879999999999997</v>
      </c>
      <c r="AO107" s="231">
        <v>-2.871</v>
      </c>
      <c r="AP107" s="231">
        <v>-0.32200000000000001</v>
      </c>
      <c r="AQ107" s="232">
        <v>-0.53100000000000003</v>
      </c>
      <c r="AR107" s="233">
        <v>-2.843</v>
      </c>
      <c r="AS107" s="231">
        <v>-3.1059999999999999</v>
      </c>
      <c r="AT107" s="231">
        <v>-3.2909999999999999</v>
      </c>
      <c r="AU107" s="232">
        <v>-11.945</v>
      </c>
      <c r="AV107" s="233">
        <v>-3.5720000000000001</v>
      </c>
      <c r="AW107" s="231">
        <v>-5.0359999999999996</v>
      </c>
      <c r="AX107" s="231">
        <v>-11.16</v>
      </c>
      <c r="AY107" s="232">
        <v>-20.556999999999999</v>
      </c>
      <c r="AZ107" s="233">
        <v>-8.69</v>
      </c>
      <c r="BA107" s="231">
        <v>-12.645</v>
      </c>
      <c r="BB107" s="231">
        <v>-27.292000000000002</v>
      </c>
      <c r="BC107" s="229">
        <f t="shared" si="329"/>
        <v>-21.10299999999998</v>
      </c>
      <c r="BD107" s="228">
        <f t="shared" si="321"/>
        <v>0</v>
      </c>
      <c r="BE107" s="228">
        <f t="shared" si="330"/>
        <v>0</v>
      </c>
      <c r="BF107" s="228">
        <f t="shared" si="331"/>
        <v>0</v>
      </c>
      <c r="BG107" s="229">
        <f t="shared" si="332"/>
        <v>0</v>
      </c>
      <c r="BH107" s="228">
        <f t="shared" si="322"/>
        <v>0</v>
      </c>
      <c r="BI107" s="228">
        <f t="shared" si="333"/>
        <v>0</v>
      </c>
      <c r="BJ107" s="228">
        <f t="shared" si="334"/>
        <v>0</v>
      </c>
      <c r="BK107" s="229">
        <f t="shared" si="335"/>
        <v>0</v>
      </c>
      <c r="BL107" s="192"/>
      <c r="BM107" s="228">
        <f t="shared" si="336"/>
        <v>-29.91</v>
      </c>
      <c r="BN107" s="228">
        <f t="shared" si="337"/>
        <v>-15.635999999999999</v>
      </c>
      <c r="BO107" s="228">
        <f t="shared" si="338"/>
        <v>4.4039999999999999</v>
      </c>
      <c r="BP107" s="228">
        <f t="shared" si="339"/>
        <v>-17.425999999999998</v>
      </c>
      <c r="BQ107" s="228">
        <f t="shared" si="340"/>
        <v>-15.340999999999999</v>
      </c>
      <c r="BR107" s="228">
        <f t="shared" si="341"/>
        <v>-0.84099999999999997</v>
      </c>
      <c r="BS107" s="228">
        <f t="shared" si="342"/>
        <v>1.427</v>
      </c>
      <c r="BT107" s="228">
        <f t="shared" si="343"/>
        <v>-13.932</v>
      </c>
      <c r="BU107" s="228">
        <f t="shared" si="344"/>
        <v>-21.335000000000001</v>
      </c>
      <c r="BV107" s="228">
        <f t="shared" si="345"/>
        <v>-0.53100000000000003</v>
      </c>
      <c r="BW107" s="228">
        <f t="shared" si="311"/>
        <v>-11.945</v>
      </c>
      <c r="BX107" s="228">
        <f t="shared" si="346"/>
        <v>-20.556999999999999</v>
      </c>
      <c r="BY107" s="228">
        <f t="shared" si="347"/>
        <v>-21.10299999999998</v>
      </c>
      <c r="BZ107" s="228">
        <f t="shared" si="348"/>
        <v>0</v>
      </c>
      <c r="CA107" s="228">
        <f t="shared" si="315"/>
        <v>0</v>
      </c>
      <c r="CB107" s="1021">
        <f t="shared" si="349"/>
        <v>0</v>
      </c>
      <c r="CC107" s="20"/>
      <c r="CD107" s="228">
        <f t="shared" ref="CD107:CL107" si="357">CD25</f>
        <v>9.4999999999998863E-2</v>
      </c>
      <c r="CE107" s="228">
        <f t="shared" si="357"/>
        <v>-7.911999999999999</v>
      </c>
      <c r="CF107" s="228">
        <f t="shared" si="357"/>
        <v>-0.78100000000000058</v>
      </c>
      <c r="CG107" s="228">
        <f t="shared" si="357"/>
        <v>22.836000000000006</v>
      </c>
      <c r="CH107" s="228">
        <f t="shared" si="357"/>
        <v>-33.026000000000003</v>
      </c>
      <c r="CI107" s="228">
        <f t="shared" si="357"/>
        <v>-3.827</v>
      </c>
      <c r="CJ107" s="228">
        <f t="shared" si="357"/>
        <v>-9.152000000000001</v>
      </c>
      <c r="CK107" s="228">
        <f t="shared" si="357"/>
        <v>-23.419</v>
      </c>
      <c r="CL107" s="228">
        <f t="shared" si="357"/>
        <v>-5.9619999999999997</v>
      </c>
      <c r="CM107" s="228">
        <f t="shared" si="351"/>
        <v>-3.5000000000000004</v>
      </c>
      <c r="CN107" s="228">
        <f t="shared" si="351"/>
        <v>-19.814</v>
      </c>
      <c r="CO107" s="228">
        <f t="shared" si="352"/>
        <v>-36.688999999999993</v>
      </c>
      <c r="CP107" s="228">
        <f t="shared" si="353"/>
        <v>6.1890000000000214</v>
      </c>
      <c r="CQ107" s="228">
        <f t="shared" si="353"/>
        <v>0</v>
      </c>
      <c r="CR107" s="22"/>
      <c r="CS107" s="14"/>
    </row>
    <row r="108" spans="1:97" ht="14.25" customHeight="1" outlineLevel="1">
      <c r="A108" s="8"/>
      <c r="B108" s="55" t="s">
        <v>109</v>
      </c>
      <c r="C108" s="56"/>
      <c r="D108" s="233">
        <v>13.260999999999999</v>
      </c>
      <c r="E108" s="231">
        <v>27.042999999999999</v>
      </c>
      <c r="F108" s="231">
        <v>15.638</v>
      </c>
      <c r="G108" s="232">
        <v>7.8109999999999999</v>
      </c>
      <c r="H108" s="233">
        <v>1.5289999999999999</v>
      </c>
      <c r="I108" s="231">
        <v>2.8260000000000001</v>
      </c>
      <c r="J108" s="231">
        <v>-10.933</v>
      </c>
      <c r="K108" s="232">
        <v>7.9080000000000004</v>
      </c>
      <c r="L108" s="233">
        <v>-19.042999999999999</v>
      </c>
      <c r="M108" s="231">
        <v>-0.69499999999999995</v>
      </c>
      <c r="N108" s="231">
        <v>-1.1779999999999999</v>
      </c>
      <c r="O108" s="232">
        <v>-19.509</v>
      </c>
      <c r="P108" s="233">
        <v>4.4649999999999999</v>
      </c>
      <c r="Q108" s="231">
        <v>23.484999999999999</v>
      </c>
      <c r="R108" s="231">
        <v>-5.9960000000000004</v>
      </c>
      <c r="S108" s="232">
        <v>-11.201000000000001</v>
      </c>
      <c r="T108" s="233">
        <v>20.247</v>
      </c>
      <c r="U108" s="231">
        <v>43.965000000000003</v>
      </c>
      <c r="V108" s="231">
        <v>60.25</v>
      </c>
      <c r="W108" s="232">
        <v>47.966999999999999</v>
      </c>
      <c r="X108" s="233">
        <v>26.193000000000001</v>
      </c>
      <c r="Y108" s="231">
        <v>34.838999999999999</v>
      </c>
      <c r="Z108" s="231">
        <v>50.991</v>
      </c>
      <c r="AA108" s="232">
        <v>2.8330000000000002</v>
      </c>
      <c r="AB108" s="233">
        <v>-12.843</v>
      </c>
      <c r="AC108" s="231">
        <v>-15.067</v>
      </c>
      <c r="AD108" s="231">
        <f>-0.399</f>
        <v>-0.39900000000000002</v>
      </c>
      <c r="AE108" s="232">
        <v>-20.64</v>
      </c>
      <c r="AF108" s="233">
        <v>23.065000000000001</v>
      </c>
      <c r="AG108" s="231">
        <v>17.864999999999998</v>
      </c>
      <c r="AH108" s="231">
        <v>19.952999999999999</v>
      </c>
      <c r="AI108" s="232">
        <v>-5.8460000000000001</v>
      </c>
      <c r="AJ108" s="233">
        <v>-3.5249999999999999</v>
      </c>
      <c r="AK108" s="231">
        <v>16.181000000000001</v>
      </c>
      <c r="AL108" s="231">
        <v>17.356999999999999</v>
      </c>
      <c r="AM108" s="232">
        <v>76.929000000000002</v>
      </c>
      <c r="AN108" s="233">
        <v>-50.122999999999998</v>
      </c>
      <c r="AO108" s="231">
        <v>-44.006</v>
      </c>
      <c r="AP108" s="231">
        <v>-91.463999999999999</v>
      </c>
      <c r="AQ108" s="232">
        <v>-69.582999999999998</v>
      </c>
      <c r="AR108" s="233">
        <v>1.784</v>
      </c>
      <c r="AS108" s="231">
        <v>-4.8339999999999996</v>
      </c>
      <c r="AT108" s="231">
        <v>-5.5110000000000001</v>
      </c>
      <c r="AU108" s="232">
        <v>21.422000000000001</v>
      </c>
      <c r="AV108" s="233">
        <v>11.784000000000001</v>
      </c>
      <c r="AW108" s="231">
        <v>1.7010000000000001</v>
      </c>
      <c r="AX108" s="231">
        <v>14.754</v>
      </c>
      <c r="AY108" s="232">
        <v>10.983000000000001</v>
      </c>
      <c r="AZ108" s="233">
        <v>-3.0489999999999999</v>
      </c>
      <c r="BA108" s="231">
        <v>-20.585000000000001</v>
      </c>
      <c r="BB108" s="231">
        <v>-18.966000000000001</v>
      </c>
      <c r="BC108" s="229">
        <f t="shared" si="329"/>
        <v>90.24199999999999</v>
      </c>
      <c r="BD108" s="228">
        <f t="shared" si="321"/>
        <v>-68.69876764</v>
      </c>
      <c r="BE108" s="228">
        <f t="shared" si="330"/>
        <v>-67.932445108199971</v>
      </c>
      <c r="BF108" s="228">
        <f t="shared" si="331"/>
        <v>-68.204877511932011</v>
      </c>
      <c r="BG108" s="229">
        <f t="shared" si="332"/>
        <v>-64.860809703938628</v>
      </c>
      <c r="BH108" s="228">
        <f t="shared" si="322"/>
        <v>-7.3225598900451985</v>
      </c>
      <c r="BI108" s="228">
        <f t="shared" si="333"/>
        <v>-6.1810212844438865</v>
      </c>
      <c r="BJ108" s="228">
        <f t="shared" si="334"/>
        <v>-7.2764864534190679</v>
      </c>
      <c r="BK108" s="229">
        <f t="shared" si="335"/>
        <v>-4.986332327131322</v>
      </c>
      <c r="BL108" s="192"/>
      <c r="BM108" s="228">
        <f t="shared" si="336"/>
        <v>7.8109999999999999</v>
      </c>
      <c r="BN108" s="228">
        <f t="shared" si="337"/>
        <v>7.9080000000000004</v>
      </c>
      <c r="BO108" s="228">
        <f t="shared" si="338"/>
        <v>-19.509</v>
      </c>
      <c r="BP108" s="228">
        <f t="shared" si="339"/>
        <v>-11.201000000000001</v>
      </c>
      <c r="BQ108" s="228">
        <f t="shared" si="340"/>
        <v>47.966999999999999</v>
      </c>
      <c r="BR108" s="228">
        <f t="shared" si="341"/>
        <v>2.8330000000000002</v>
      </c>
      <c r="BS108" s="228">
        <f t="shared" si="342"/>
        <v>-20.64</v>
      </c>
      <c r="BT108" s="228">
        <f t="shared" si="343"/>
        <v>-5.8460000000000001</v>
      </c>
      <c r="BU108" s="228">
        <f t="shared" si="344"/>
        <v>76.929000000000002</v>
      </c>
      <c r="BV108" s="228">
        <f t="shared" si="345"/>
        <v>-69.582999999999998</v>
      </c>
      <c r="BW108" s="228">
        <f t="shared" si="311"/>
        <v>21.422000000000001</v>
      </c>
      <c r="BX108" s="228">
        <f t="shared" si="346"/>
        <v>10.983000000000001</v>
      </c>
      <c r="BY108" s="228">
        <f t="shared" si="347"/>
        <v>90.24199999999999</v>
      </c>
      <c r="BZ108" s="228">
        <f t="shared" si="348"/>
        <v>-64.860809703938628</v>
      </c>
      <c r="CA108" s="228">
        <f t="shared" si="315"/>
        <v>-4.986332327131322</v>
      </c>
      <c r="CB108" s="1021">
        <f t="shared" si="349"/>
        <v>9.3745567997411854</v>
      </c>
      <c r="CC108" s="20"/>
      <c r="CD108" s="228">
        <f t="shared" ref="CD108:CL108" si="358">CD26</f>
        <v>-18.759999999999998</v>
      </c>
      <c r="CE108" s="228">
        <f t="shared" si="358"/>
        <v>17.663</v>
      </c>
      <c r="CF108" s="228">
        <f t="shared" si="358"/>
        <v>-24.326999999999995</v>
      </c>
      <c r="CG108" s="228">
        <f t="shared" si="358"/>
        <v>55.045000000000002</v>
      </c>
      <c r="CH108" s="228">
        <f t="shared" si="358"/>
        <v>38.707999999999998</v>
      </c>
      <c r="CI108" s="228">
        <f t="shared" si="358"/>
        <v>-48.557000000000009</v>
      </c>
      <c r="CJ108" s="228">
        <f t="shared" si="358"/>
        <v>-0.28800000000000381</v>
      </c>
      <c r="CK108" s="228">
        <f t="shared" si="358"/>
        <v>-8.4420000000000002</v>
      </c>
      <c r="CL108" s="228">
        <f t="shared" si="358"/>
        <v>-31.892000000000003</v>
      </c>
      <c r="CM108" s="228">
        <f t="shared" si="351"/>
        <v>16.37</v>
      </c>
      <c r="CN108" s="228">
        <f t="shared" si="351"/>
        <v>41.686999999999998</v>
      </c>
      <c r="CO108" s="228">
        <f t="shared" si="352"/>
        <v>-22.737000000000002</v>
      </c>
      <c r="CP108" s="228">
        <f t="shared" si="353"/>
        <v>41.003122488067987</v>
      </c>
      <c r="CQ108" s="228">
        <f t="shared" si="353"/>
        <v>-3.9324186454256846</v>
      </c>
      <c r="CR108" s="22"/>
      <c r="CS108" s="14"/>
    </row>
    <row r="109" spans="1:97" ht="14.25" customHeight="1" outlineLevel="1">
      <c r="A109" s="8"/>
      <c r="B109" s="55" t="s">
        <v>236</v>
      </c>
      <c r="C109" s="56"/>
      <c r="D109" s="233">
        <v>10.545999999999999</v>
      </c>
      <c r="E109" s="231">
        <v>8.0459999999999994</v>
      </c>
      <c r="F109" s="231">
        <v>20.734000000000002</v>
      </c>
      <c r="G109" s="232">
        <v>18.917000000000002</v>
      </c>
      <c r="H109" s="233">
        <v>0.186</v>
      </c>
      <c r="I109" s="231">
        <v>-9.7360000000000007</v>
      </c>
      <c r="J109" s="231">
        <v>-6.6619999999999999</v>
      </c>
      <c r="K109" s="232">
        <v>-10.939</v>
      </c>
      <c r="L109" s="233">
        <v>19.867000000000001</v>
      </c>
      <c r="M109" s="231">
        <v>4.5510000000000002</v>
      </c>
      <c r="N109" s="231">
        <v>29.716000000000001</v>
      </c>
      <c r="O109" s="232">
        <v>19.276</v>
      </c>
      <c r="P109" s="233">
        <v>36.709000000000003</v>
      </c>
      <c r="Q109" s="231">
        <v>6.6000000000000003E-2</v>
      </c>
      <c r="R109" s="231">
        <v>18.771999999999998</v>
      </c>
      <c r="S109" s="232">
        <v>-24.353000000000002</v>
      </c>
      <c r="T109" s="233">
        <v>17.419</v>
      </c>
      <c r="U109" s="231">
        <v>10.798999999999999</v>
      </c>
      <c r="V109" s="231">
        <v>57.893000000000001</v>
      </c>
      <c r="W109" s="232">
        <v>50.103000000000002</v>
      </c>
      <c r="X109" s="233">
        <v>-10.646000000000001</v>
      </c>
      <c r="Y109" s="231">
        <v>-4.218</v>
      </c>
      <c r="Z109" s="231">
        <v>-18.128</v>
      </c>
      <c r="AA109" s="232">
        <v>-3.496</v>
      </c>
      <c r="AB109" s="233">
        <v>4.6769999999999996</v>
      </c>
      <c r="AC109" s="231">
        <v>0.28000000000000003</v>
      </c>
      <c r="AD109" s="231">
        <f>5.363</f>
        <v>5.3630000000000004</v>
      </c>
      <c r="AE109" s="232">
        <v>14.198</v>
      </c>
      <c r="AF109" s="233">
        <v>-10.215999999999999</v>
      </c>
      <c r="AG109" s="231">
        <v>1.444</v>
      </c>
      <c r="AH109" s="231">
        <v>3.0880000000000001</v>
      </c>
      <c r="AI109" s="232">
        <v>-2.319</v>
      </c>
      <c r="AJ109" s="233">
        <v>11.209</v>
      </c>
      <c r="AK109" s="231">
        <v>71.66</v>
      </c>
      <c r="AL109" s="231">
        <v>28.303000000000001</v>
      </c>
      <c r="AM109" s="232">
        <v>19.658999999999999</v>
      </c>
      <c r="AN109" s="233">
        <v>-12.388999999999999</v>
      </c>
      <c r="AO109" s="231">
        <v>7.0659999999999998</v>
      </c>
      <c r="AP109" s="231">
        <v>1.64</v>
      </c>
      <c r="AQ109" s="232">
        <v>1.7949999999999999</v>
      </c>
      <c r="AR109" s="233">
        <v>0.27700000000000002</v>
      </c>
      <c r="AS109" s="231">
        <v>-11.909000000000001</v>
      </c>
      <c r="AT109" s="231">
        <v>4.9089999999999998</v>
      </c>
      <c r="AU109" s="232">
        <v>-16.591999999999999</v>
      </c>
      <c r="AV109" s="233">
        <v>6.633</v>
      </c>
      <c r="AW109" s="231">
        <v>19.045999999999999</v>
      </c>
      <c r="AX109" s="231">
        <v>29.018999999999998</v>
      </c>
      <c r="AY109" s="232">
        <v>33.787999999999997</v>
      </c>
      <c r="AZ109" s="233">
        <v>2.5190000000000001</v>
      </c>
      <c r="BA109" s="231">
        <v>23.434000000000001</v>
      </c>
      <c r="BB109" s="231">
        <v>58.521999999999998</v>
      </c>
      <c r="BC109" s="229">
        <f t="shared" si="329"/>
        <v>69.952000000000055</v>
      </c>
      <c r="BD109" s="228">
        <f t="shared" si="321"/>
        <v>0</v>
      </c>
      <c r="BE109" s="228">
        <f t="shared" si="330"/>
        <v>0</v>
      </c>
      <c r="BF109" s="228">
        <f t="shared" si="331"/>
        <v>0</v>
      </c>
      <c r="BG109" s="229">
        <f t="shared" si="332"/>
        <v>0</v>
      </c>
      <c r="BH109" s="228">
        <f t="shared" si="322"/>
        <v>0</v>
      </c>
      <c r="BI109" s="228">
        <f t="shared" si="333"/>
        <v>0</v>
      </c>
      <c r="BJ109" s="228">
        <f t="shared" si="334"/>
        <v>0</v>
      </c>
      <c r="BK109" s="229">
        <f t="shared" si="335"/>
        <v>0</v>
      </c>
      <c r="BL109" s="192"/>
      <c r="BM109" s="228">
        <f t="shared" si="336"/>
        <v>18.917000000000002</v>
      </c>
      <c r="BN109" s="228">
        <f t="shared" si="337"/>
        <v>-10.939</v>
      </c>
      <c r="BO109" s="228">
        <f t="shared" si="338"/>
        <v>19.276</v>
      </c>
      <c r="BP109" s="228">
        <f t="shared" si="339"/>
        <v>-24.353000000000002</v>
      </c>
      <c r="BQ109" s="228">
        <f t="shared" si="340"/>
        <v>50.103000000000002</v>
      </c>
      <c r="BR109" s="228">
        <f t="shared" si="341"/>
        <v>-3.496</v>
      </c>
      <c r="BS109" s="228">
        <f t="shared" si="342"/>
        <v>14.198</v>
      </c>
      <c r="BT109" s="228">
        <f t="shared" si="343"/>
        <v>-2.319</v>
      </c>
      <c r="BU109" s="228">
        <f t="shared" si="344"/>
        <v>19.658999999999999</v>
      </c>
      <c r="BV109" s="228">
        <f t="shared" si="345"/>
        <v>1.7949999999999999</v>
      </c>
      <c r="BW109" s="228">
        <f t="shared" si="311"/>
        <v>-16.591999999999999</v>
      </c>
      <c r="BX109" s="228">
        <f t="shared" si="346"/>
        <v>33.787999999999997</v>
      </c>
      <c r="BY109" s="228">
        <f t="shared" si="347"/>
        <v>69.952000000000055</v>
      </c>
      <c r="BZ109" s="228">
        <f t="shared" si="348"/>
        <v>0</v>
      </c>
      <c r="CA109" s="228">
        <f t="shared" si="315"/>
        <v>0</v>
      </c>
      <c r="CB109" s="1021">
        <f t="shared" si="349"/>
        <v>0</v>
      </c>
      <c r="CC109" s="20"/>
      <c r="CD109" s="228">
        <f t="shared" ref="CD109:CL109" si="359">CD27</f>
        <v>-8.4789999999999992</v>
      </c>
      <c r="CE109" s="228">
        <f t="shared" si="359"/>
        <v>25.439</v>
      </c>
      <c r="CF109" s="228">
        <f t="shared" si="359"/>
        <v>8.3319999999999936</v>
      </c>
      <c r="CG109" s="228">
        <f t="shared" si="359"/>
        <v>14.768000000000008</v>
      </c>
      <c r="CH109" s="228">
        <f t="shared" si="359"/>
        <v>-25.918000000000006</v>
      </c>
      <c r="CI109" s="228">
        <f t="shared" si="359"/>
        <v>19.994999999999997</v>
      </c>
      <c r="CJ109" s="228">
        <f t="shared" si="359"/>
        <v>11.923000000000002</v>
      </c>
      <c r="CK109" s="228">
        <f t="shared" si="359"/>
        <v>22.895999999999987</v>
      </c>
      <c r="CL109" s="228">
        <f t="shared" si="359"/>
        <v>-7.0039999999999951</v>
      </c>
      <c r="CM109" s="228">
        <f t="shared" si="351"/>
        <v>5.0640000000000018</v>
      </c>
      <c r="CN109" s="228">
        <f t="shared" si="351"/>
        <v>7.5180000000000007</v>
      </c>
      <c r="CO109" s="228">
        <f t="shared" si="352"/>
        <v>63.290999999999997</v>
      </c>
      <c r="CP109" s="228">
        <f t="shared" si="353"/>
        <v>11.430000000000064</v>
      </c>
      <c r="CQ109" s="228">
        <f t="shared" si="353"/>
        <v>0</v>
      </c>
      <c r="CR109" s="22"/>
      <c r="CS109" s="14"/>
    </row>
    <row r="110" spans="1:97" ht="14.25" customHeight="1" outlineLevel="1">
      <c r="A110" s="8"/>
      <c r="B110" s="55" t="s">
        <v>237</v>
      </c>
      <c r="C110" s="56"/>
      <c r="D110" s="233">
        <v>16.827999999999999</v>
      </c>
      <c r="E110" s="231">
        <v>42.131</v>
      </c>
      <c r="F110" s="231">
        <v>81.403999999999996</v>
      </c>
      <c r="G110" s="232">
        <v>-0.68700000000000006</v>
      </c>
      <c r="H110" s="233">
        <v>-2.8450000000000002</v>
      </c>
      <c r="I110" s="231">
        <v>14.385</v>
      </c>
      <c r="J110" s="231">
        <v>53.82</v>
      </c>
      <c r="K110" s="232">
        <v>-5.2439999999999998</v>
      </c>
      <c r="L110" s="233">
        <v>-24.22</v>
      </c>
      <c r="M110" s="231">
        <v>-16.088999999999999</v>
      </c>
      <c r="N110" s="231">
        <v>-4.9059999999999997</v>
      </c>
      <c r="O110" s="232">
        <v>28.463999999999999</v>
      </c>
      <c r="P110" s="233">
        <v>-28.838000000000001</v>
      </c>
      <c r="Q110" s="231">
        <v>-23.759</v>
      </c>
      <c r="R110" s="231">
        <v>-33.698999999999998</v>
      </c>
      <c r="S110" s="232">
        <v>-14.545</v>
      </c>
      <c r="T110" s="233">
        <v>-25.890999999999998</v>
      </c>
      <c r="U110" s="231">
        <v>-22.465</v>
      </c>
      <c r="V110" s="231">
        <v>-27.54</v>
      </c>
      <c r="W110" s="232">
        <v>-20.170000000000002</v>
      </c>
      <c r="X110" s="233">
        <v>-3.5470000000000002</v>
      </c>
      <c r="Y110" s="231">
        <v>-12.407999999999999</v>
      </c>
      <c r="Z110" s="231">
        <v>9.5239999999999991</v>
      </c>
      <c r="AA110" s="232">
        <v>-15.63</v>
      </c>
      <c r="AB110" s="233">
        <v>4.1779999999999999</v>
      </c>
      <c r="AC110" s="231">
        <v>7.4569999999999999</v>
      </c>
      <c r="AD110" s="231">
        <f>-15.366</f>
        <v>-15.366</v>
      </c>
      <c r="AE110" s="232">
        <v>-19.908999999999999</v>
      </c>
      <c r="AF110" s="233">
        <v>-0.08</v>
      </c>
      <c r="AG110" s="231">
        <v>-6.0549999999999997</v>
      </c>
      <c r="AH110" s="231">
        <v>-9.6880000000000006</v>
      </c>
      <c r="AI110" s="232">
        <v>88.069000000000003</v>
      </c>
      <c r="AJ110" s="233">
        <v>-60.43</v>
      </c>
      <c r="AK110" s="231">
        <v>-72.38</v>
      </c>
      <c r="AL110" s="231">
        <v>-77.905000000000001</v>
      </c>
      <c r="AM110" s="232">
        <v>-44.286999999999999</v>
      </c>
      <c r="AN110" s="233">
        <v>4.9390000000000001</v>
      </c>
      <c r="AO110" s="231">
        <v>-17.236999999999998</v>
      </c>
      <c r="AP110" s="231">
        <v>5.71</v>
      </c>
      <c r="AQ110" s="232">
        <v>15.967000000000001</v>
      </c>
      <c r="AR110" s="233">
        <v>-1.7130000000000001</v>
      </c>
      <c r="AS110" s="231">
        <v>-10.481</v>
      </c>
      <c r="AT110" s="231">
        <v>-35.981999999999999</v>
      </c>
      <c r="AU110" s="232">
        <v>-11.635</v>
      </c>
      <c r="AV110" s="233">
        <v>18.248000000000001</v>
      </c>
      <c r="AW110" s="231">
        <v>-11.439</v>
      </c>
      <c r="AX110" s="231">
        <v>-25.936</v>
      </c>
      <c r="AY110" s="232">
        <v>7.4729999999999999</v>
      </c>
      <c r="AZ110" s="233">
        <v>-12.91</v>
      </c>
      <c r="BA110" s="231">
        <v>-17.96</v>
      </c>
      <c r="BB110" s="231">
        <v>563.178</v>
      </c>
      <c r="BC110" s="229">
        <f t="shared" si="329"/>
        <v>525.89700000000005</v>
      </c>
      <c r="BD110" s="228">
        <f t="shared" si="321"/>
        <v>0</v>
      </c>
      <c r="BE110" s="228">
        <f t="shared" si="330"/>
        <v>0</v>
      </c>
      <c r="BF110" s="228">
        <f t="shared" si="331"/>
        <v>0</v>
      </c>
      <c r="BG110" s="229">
        <f t="shared" si="332"/>
        <v>0</v>
      </c>
      <c r="BH110" s="228">
        <f t="shared" si="322"/>
        <v>0</v>
      </c>
      <c r="BI110" s="228">
        <f t="shared" si="333"/>
        <v>0</v>
      </c>
      <c r="BJ110" s="228">
        <f t="shared" si="334"/>
        <v>0</v>
      </c>
      <c r="BK110" s="229">
        <f t="shared" si="335"/>
        <v>0</v>
      </c>
      <c r="BL110" s="192"/>
      <c r="BM110" s="228">
        <f t="shared" si="336"/>
        <v>-0.68700000000000006</v>
      </c>
      <c r="BN110" s="228">
        <f t="shared" si="337"/>
        <v>-5.2439999999999998</v>
      </c>
      <c r="BO110" s="228">
        <f t="shared" si="338"/>
        <v>28.463999999999999</v>
      </c>
      <c r="BP110" s="228">
        <f t="shared" si="339"/>
        <v>-14.545</v>
      </c>
      <c r="BQ110" s="228">
        <f t="shared" si="340"/>
        <v>-20.170000000000002</v>
      </c>
      <c r="BR110" s="228">
        <f t="shared" si="341"/>
        <v>-15.63</v>
      </c>
      <c r="BS110" s="228">
        <f t="shared" si="342"/>
        <v>-19.908999999999999</v>
      </c>
      <c r="BT110" s="228">
        <f t="shared" si="343"/>
        <v>88.069000000000003</v>
      </c>
      <c r="BU110" s="228">
        <f t="shared" si="344"/>
        <v>-44.286999999999999</v>
      </c>
      <c r="BV110" s="228">
        <f t="shared" si="345"/>
        <v>15.967000000000001</v>
      </c>
      <c r="BW110" s="228">
        <f t="shared" si="311"/>
        <v>-11.635</v>
      </c>
      <c r="BX110" s="228">
        <f t="shared" si="346"/>
        <v>7.4729999999999999</v>
      </c>
      <c r="BY110" s="228">
        <f t="shared" si="347"/>
        <v>525.89700000000005</v>
      </c>
      <c r="BZ110" s="228">
        <f t="shared" si="348"/>
        <v>0</v>
      </c>
      <c r="CA110" s="228">
        <f t="shared" si="315"/>
        <v>0</v>
      </c>
      <c r="CB110" s="1021">
        <f>CB28</f>
        <v>0</v>
      </c>
      <c r="CC110" s="20"/>
      <c r="CD110" s="228">
        <f t="shared" ref="CD110:CL110" si="360">CD28</f>
        <v>-28.270999999999987</v>
      </c>
      <c r="CE110" s="228">
        <f t="shared" si="360"/>
        <v>-63.970000000000006</v>
      </c>
      <c r="CF110" s="228">
        <f t="shared" si="360"/>
        <v>-0.32900000000000063</v>
      </c>
      <c r="CG110" s="228">
        <f t="shared" si="360"/>
        <v>-8.3860000000000028</v>
      </c>
      <c r="CH110" s="228">
        <f t="shared" si="360"/>
        <v>16.893999999999998</v>
      </c>
      <c r="CI110" s="228">
        <f t="shared" si="360"/>
        <v>-40.519999999999996</v>
      </c>
      <c r="CJ110" s="228">
        <f t="shared" si="360"/>
        <v>-14.231</v>
      </c>
      <c r="CK110" s="228">
        <f t="shared" si="360"/>
        <v>19.85199999999999</v>
      </c>
      <c r="CL110" s="228">
        <f t="shared" si="360"/>
        <v>39.328000000000003</v>
      </c>
      <c r="CM110" s="228">
        <f t="shared" si="351"/>
        <v>-25.724999999999998</v>
      </c>
      <c r="CN110" s="228">
        <f t="shared" si="351"/>
        <v>-1.5890000000000022</v>
      </c>
      <c r="CO110" s="228">
        <f t="shared" si="352"/>
        <v>596.58699999999999</v>
      </c>
      <c r="CP110" s="228">
        <f t="shared" si="353"/>
        <v>-37.280999999999999</v>
      </c>
      <c r="CQ110" s="228">
        <f t="shared" si="353"/>
        <v>0</v>
      </c>
      <c r="CR110" s="22"/>
      <c r="CS110" s="14"/>
    </row>
    <row r="111" spans="1:97" ht="14.25" customHeight="1" outlineLevel="1">
      <c r="A111" s="8"/>
      <c r="B111" s="55" t="s">
        <v>232</v>
      </c>
      <c r="C111" s="56"/>
      <c r="D111" s="233">
        <v>8.2880000000000003</v>
      </c>
      <c r="E111" s="231">
        <v>7.3070000000000004</v>
      </c>
      <c r="F111" s="231">
        <v>9.2070000000000007</v>
      </c>
      <c r="G111" s="232">
        <v>24.047000000000001</v>
      </c>
      <c r="H111" s="233">
        <v>-23.416</v>
      </c>
      <c r="I111" s="231">
        <v>-16.782</v>
      </c>
      <c r="J111" s="231">
        <v>-30.414000000000001</v>
      </c>
      <c r="K111" s="232">
        <v>-37.506</v>
      </c>
      <c r="L111" s="233">
        <v>9.1280000000000001</v>
      </c>
      <c r="M111" s="231">
        <v>12.891999999999999</v>
      </c>
      <c r="N111" s="231">
        <v>16.593</v>
      </c>
      <c r="O111" s="232">
        <v>22.626000000000001</v>
      </c>
      <c r="P111" s="233">
        <v>-11.888</v>
      </c>
      <c r="Q111" s="231">
        <v>-17.536000000000001</v>
      </c>
      <c r="R111" s="231">
        <v>-40.167000000000002</v>
      </c>
      <c r="S111" s="232">
        <v>-49.314</v>
      </c>
      <c r="T111" s="233">
        <v>-12.632999999999999</v>
      </c>
      <c r="U111" s="231">
        <v>13.391</v>
      </c>
      <c r="V111" s="231">
        <v>15.031000000000001</v>
      </c>
      <c r="W111" s="232">
        <v>17.768000000000001</v>
      </c>
      <c r="X111" s="233">
        <v>-5.9249999999999998</v>
      </c>
      <c r="Y111" s="231">
        <v>13.476000000000001</v>
      </c>
      <c r="Z111" s="231">
        <v>0.40400000000000003</v>
      </c>
      <c r="AA111" s="232">
        <v>19.631</v>
      </c>
      <c r="AB111" s="233">
        <v>-7.6379999999999999</v>
      </c>
      <c r="AC111" s="231">
        <v>-27.259</v>
      </c>
      <c r="AD111" s="231">
        <f>-36.538</f>
        <v>-36.537999999999997</v>
      </c>
      <c r="AE111" s="232">
        <v>-32.761000000000003</v>
      </c>
      <c r="AF111" s="233">
        <v>-10.302</v>
      </c>
      <c r="AG111" s="231">
        <v>-19.035</v>
      </c>
      <c r="AH111" s="231">
        <v>-16.984999999999999</v>
      </c>
      <c r="AI111" s="232">
        <v>-13.644</v>
      </c>
      <c r="AJ111" s="233">
        <v>4.58</v>
      </c>
      <c r="AK111" s="231">
        <v>15.457000000000001</v>
      </c>
      <c r="AL111" s="231">
        <v>-5.2830000000000004</v>
      </c>
      <c r="AM111" s="232">
        <v>1.7410000000000001</v>
      </c>
      <c r="AN111" s="233">
        <v>14.159000000000001</v>
      </c>
      <c r="AO111" s="231">
        <v>5.7510000000000003</v>
      </c>
      <c r="AP111" s="231">
        <v>-3.613</v>
      </c>
      <c r="AQ111" s="232">
        <v>10.972</v>
      </c>
      <c r="AR111" s="233">
        <v>-10.34</v>
      </c>
      <c r="AS111" s="231">
        <v>15.635999999999999</v>
      </c>
      <c r="AT111" s="231">
        <v>-19.053999999999998</v>
      </c>
      <c r="AU111" s="232">
        <v>-14.311999999999999</v>
      </c>
      <c r="AV111" s="233">
        <v>19.777999999999999</v>
      </c>
      <c r="AW111" s="231">
        <v>5.6459999999999999</v>
      </c>
      <c r="AX111" s="231">
        <v>1.8680000000000001</v>
      </c>
      <c r="AY111" s="232">
        <v>2.8090000000000002</v>
      </c>
      <c r="AZ111" s="233">
        <v>-10.818</v>
      </c>
      <c r="BA111" s="231">
        <v>-3.601</v>
      </c>
      <c r="BB111" s="231">
        <v>-21.594000000000001</v>
      </c>
      <c r="BC111" s="229">
        <f>795.458-SUM(BC93:BC110)</f>
        <v>-100.78700000000038</v>
      </c>
      <c r="BD111" s="228">
        <f t="shared" si="321"/>
        <v>0</v>
      </c>
      <c r="BE111" s="228">
        <f t="shared" si="330"/>
        <v>0</v>
      </c>
      <c r="BF111" s="228">
        <f t="shared" si="331"/>
        <v>0</v>
      </c>
      <c r="BG111" s="229">
        <f t="shared" si="332"/>
        <v>0</v>
      </c>
      <c r="BH111" s="228">
        <f t="shared" si="322"/>
        <v>0</v>
      </c>
      <c r="BI111" s="228">
        <f t="shared" si="333"/>
        <v>0</v>
      </c>
      <c r="BJ111" s="228">
        <f t="shared" si="334"/>
        <v>0</v>
      </c>
      <c r="BK111" s="229">
        <f t="shared" si="335"/>
        <v>0</v>
      </c>
      <c r="BL111" s="192"/>
      <c r="BM111" s="228">
        <f t="shared" si="336"/>
        <v>24.047000000000001</v>
      </c>
      <c r="BN111" s="228">
        <f t="shared" si="337"/>
        <v>-37.506</v>
      </c>
      <c r="BO111" s="228">
        <f t="shared" si="338"/>
        <v>22.626000000000001</v>
      </c>
      <c r="BP111" s="228">
        <f t="shared" si="339"/>
        <v>-49.314</v>
      </c>
      <c r="BQ111" s="228">
        <f t="shared" si="340"/>
        <v>17.768000000000001</v>
      </c>
      <c r="BR111" s="228">
        <f t="shared" si="341"/>
        <v>19.631</v>
      </c>
      <c r="BS111" s="228">
        <f t="shared" si="342"/>
        <v>-32.761000000000003</v>
      </c>
      <c r="BT111" s="228">
        <f t="shared" si="343"/>
        <v>-13.644</v>
      </c>
      <c r="BU111" s="228">
        <f t="shared" si="344"/>
        <v>1.7410000000000001</v>
      </c>
      <c r="BV111" s="228">
        <f t="shared" si="345"/>
        <v>10.972</v>
      </c>
      <c r="BW111" s="228">
        <f t="shared" si="311"/>
        <v>-14.311999999999999</v>
      </c>
      <c r="BX111" s="228">
        <f t="shared" si="346"/>
        <v>2.8090000000000002</v>
      </c>
      <c r="BY111" s="228">
        <f t="shared" si="347"/>
        <v>-100.78700000000038</v>
      </c>
      <c r="BZ111" s="228">
        <f t="shared" si="348"/>
        <v>0</v>
      </c>
      <c r="CA111" s="228">
        <f t="shared" si="315"/>
        <v>0</v>
      </c>
      <c r="CB111" s="1021">
        <f>CB29</f>
        <v>0</v>
      </c>
      <c r="CC111" s="20"/>
      <c r="CD111" s="228">
        <f t="shared" ref="CD111:CL111" si="361">CD29</f>
        <v>-15.574000000000002</v>
      </c>
      <c r="CE111" s="228">
        <f t="shared" si="361"/>
        <v>9.5010000000000012</v>
      </c>
      <c r="CF111" s="228">
        <f t="shared" si="361"/>
        <v>-34.134</v>
      </c>
      <c r="CG111" s="228">
        <f t="shared" si="361"/>
        <v>5.8840000000000057</v>
      </c>
      <c r="CH111" s="228">
        <f t="shared" si="361"/>
        <v>3.1409999999999982</v>
      </c>
      <c r="CI111" s="228">
        <f t="shared" si="361"/>
        <v>-17.310999999999993</v>
      </c>
      <c r="CJ111" s="228">
        <f t="shared" si="361"/>
        <v>-13.208000000000004</v>
      </c>
      <c r="CK111" s="228">
        <f t="shared" si="361"/>
        <v>-1.9420000000000002</v>
      </c>
      <c r="CL111" s="228">
        <f t="shared" si="361"/>
        <v>3.4109999999999996</v>
      </c>
      <c r="CM111" s="228">
        <f t="shared" si="351"/>
        <v>-4.4690000000000012</v>
      </c>
      <c r="CN111" s="228">
        <f t="shared" si="351"/>
        <v>6.6100000000000012</v>
      </c>
      <c r="CO111" s="228">
        <f t="shared" si="352"/>
        <v>-20.653000000000002</v>
      </c>
      <c r="CP111" s="228">
        <f t="shared" si="353"/>
        <v>-79.193000000000382</v>
      </c>
      <c r="CQ111" s="228">
        <f t="shared" si="353"/>
        <v>0</v>
      </c>
      <c r="CR111" s="22"/>
      <c r="CS111" s="14"/>
    </row>
    <row r="112" spans="1:97" ht="14.25" customHeight="1" outlineLevel="1" thickBot="1">
      <c r="A112" s="8"/>
      <c r="B112" s="234" t="s">
        <v>149</v>
      </c>
      <c r="C112" s="235"/>
      <c r="D112" s="237">
        <f t="shared" ref="D112:AQ112" si="362">D93+SUM(D95:D101)+SUM(D103:D111)</f>
        <v>153.52000000000004</v>
      </c>
      <c r="E112" s="236">
        <f t="shared" si="362"/>
        <v>215.47900000000001</v>
      </c>
      <c r="F112" s="236">
        <f t="shared" si="362"/>
        <v>405.64000000000004</v>
      </c>
      <c r="G112" s="238">
        <f t="shared" si="362"/>
        <v>489.42300000000006</v>
      </c>
      <c r="H112" s="237">
        <f t="shared" si="362"/>
        <v>153.26499999999999</v>
      </c>
      <c r="I112" s="236">
        <f t="shared" si="362"/>
        <v>272.762</v>
      </c>
      <c r="J112" s="236">
        <f t="shared" si="362"/>
        <v>445.93500000000006</v>
      </c>
      <c r="K112" s="238">
        <f t="shared" si="362"/>
        <v>551.56799999999998</v>
      </c>
      <c r="L112" s="237">
        <f t="shared" si="362"/>
        <v>126.32399999999997</v>
      </c>
      <c r="M112" s="236">
        <f t="shared" si="362"/>
        <v>271.39</v>
      </c>
      <c r="N112" s="236">
        <f t="shared" si="362"/>
        <v>479.13400000000001</v>
      </c>
      <c r="O112" s="238">
        <f t="shared" si="362"/>
        <v>581</v>
      </c>
      <c r="P112" s="237">
        <f t="shared" si="362"/>
        <v>158.49700000000001</v>
      </c>
      <c r="Q112" s="236">
        <f t="shared" si="362"/>
        <v>253.19699999999997</v>
      </c>
      <c r="R112" s="236">
        <f t="shared" si="362"/>
        <v>381.67600000000004</v>
      </c>
      <c r="S112" s="238">
        <f t="shared" si="362"/>
        <v>442.53000000000009</v>
      </c>
      <c r="T112" s="237">
        <f t="shared" si="362"/>
        <v>146.96700000000001</v>
      </c>
      <c r="U112" s="236">
        <f t="shared" si="362"/>
        <v>264.94300000000004</v>
      </c>
      <c r="V112" s="236">
        <f t="shared" si="362"/>
        <v>450.42100000000016</v>
      </c>
      <c r="W112" s="238">
        <f t="shared" si="362"/>
        <v>554.29100000000005</v>
      </c>
      <c r="X112" s="237">
        <f t="shared" si="362"/>
        <v>105.04199999999999</v>
      </c>
      <c r="Y112" s="236">
        <f t="shared" si="362"/>
        <v>146.65800000000002</v>
      </c>
      <c r="Z112" s="236">
        <f t="shared" si="362"/>
        <v>479.18500000000012</v>
      </c>
      <c r="AA112" s="238">
        <f t="shared" si="362"/>
        <v>724.15200000000004</v>
      </c>
      <c r="AB112" s="236">
        <f t="shared" si="362"/>
        <v>237.69399999999996</v>
      </c>
      <c r="AC112" s="236">
        <f t="shared" si="362"/>
        <v>437.27799999999996</v>
      </c>
      <c r="AD112" s="236">
        <f t="shared" si="362"/>
        <v>618.24799999999993</v>
      </c>
      <c r="AE112" s="238">
        <f t="shared" si="362"/>
        <v>826.73899999999992</v>
      </c>
      <c r="AF112" s="236">
        <f t="shared" si="362"/>
        <v>162.946</v>
      </c>
      <c r="AG112" s="236">
        <f t="shared" si="362"/>
        <v>360.31600000000009</v>
      </c>
      <c r="AH112" s="236">
        <f t="shared" si="362"/>
        <v>482.88400000000001</v>
      </c>
      <c r="AI112" s="238">
        <f t="shared" si="362"/>
        <v>656.53700000000003</v>
      </c>
      <c r="AJ112" s="236">
        <f t="shared" si="362"/>
        <v>144.20900000000006</v>
      </c>
      <c r="AK112" s="236">
        <f t="shared" si="362"/>
        <v>399.15200000000004</v>
      </c>
      <c r="AL112" s="236">
        <f>AL93+SUM(AL95:AL101)+SUM(AL103:AL111)</f>
        <v>615.54200000000003</v>
      </c>
      <c r="AM112" s="238">
        <f>AM93+SUM(AM95:AM101)+SUM(AM103:AM111)</f>
        <v>804.91699999999992</v>
      </c>
      <c r="AN112" s="236">
        <f t="shared" si="362"/>
        <v>130.11900000000009</v>
      </c>
      <c r="AO112" s="236">
        <f>AO93+SUM(AO95:AO101)+SUM(AO103:AO111)</f>
        <v>334.00000000000011</v>
      </c>
      <c r="AP112" s="236">
        <f>AP93+SUM(AP95:AP101)+SUM(AP103:AP111)</f>
        <v>624.74099999999999</v>
      </c>
      <c r="AQ112" s="238">
        <f t="shared" si="362"/>
        <v>790.77999999999986</v>
      </c>
      <c r="AR112" s="236">
        <f t="shared" ref="AR112:AY112" si="363">AR93+SUM(AR95:AR101)+SUM(AR103:AR111)</f>
        <v>183.15300000000002</v>
      </c>
      <c r="AS112" s="236">
        <f t="shared" si="363"/>
        <v>316.88300000000004</v>
      </c>
      <c r="AT112" s="236">
        <f t="shared" si="363"/>
        <v>607.16800000000012</v>
      </c>
      <c r="AU112" s="238">
        <f t="shared" si="363"/>
        <v>730.10200000000009</v>
      </c>
      <c r="AV112" s="236">
        <f t="shared" si="363"/>
        <v>338.63599999999997</v>
      </c>
      <c r="AW112" s="236">
        <f t="shared" si="363"/>
        <v>522.22899999999993</v>
      </c>
      <c r="AX112" s="236">
        <f>AX93+SUM(AX95:AX101)+SUM(AX103:AX111)</f>
        <v>627.81299999999987</v>
      </c>
      <c r="AY112" s="238">
        <f t="shared" si="363"/>
        <v>934.13099999999974</v>
      </c>
      <c r="AZ112" s="236">
        <f t="shared" ref="AZ112:BG112" si="364">AZ93+SUM(AZ95:AZ101)+SUM(AZ103:AZ111)</f>
        <v>190.90799999999996</v>
      </c>
      <c r="BA112" s="236">
        <f t="shared" si="364"/>
        <v>393.048</v>
      </c>
      <c r="BB112" s="236">
        <f>BB93+SUM(BB95:BB101)+SUM(BB103:BB111)</f>
        <v>577.73400000000004</v>
      </c>
      <c r="BC112" s="238">
        <f t="shared" si="364"/>
        <v>795.45799999999997</v>
      </c>
      <c r="BD112" s="236">
        <f t="shared" si="364"/>
        <v>228.99975888096006</v>
      </c>
      <c r="BE112" s="236">
        <f t="shared" si="364"/>
        <v>526.68479738086205</v>
      </c>
      <c r="BF112" s="236">
        <f t="shared" si="364"/>
        <v>799.95760193614012</v>
      </c>
      <c r="BG112" s="238">
        <f t="shared" si="364"/>
        <v>1056.3136304733962</v>
      </c>
      <c r="BH112" s="236">
        <f>BH93+SUM(BH95:BH101)+SUM(BH103:BH111)</f>
        <v>282.3198073254901</v>
      </c>
      <c r="BI112" s="236">
        <f>BI93+SUM(BI95:BI101)+SUM(BI103:BI111)</f>
        <v>558.61763351400373</v>
      </c>
      <c r="BJ112" s="236">
        <f>BJ93+SUM(BJ95:BJ101)+SUM(BJ103:BJ111)</f>
        <v>840.88959161036746</v>
      </c>
      <c r="BK112" s="238">
        <f>BK93+SUM(BK95:BK101)+SUM(BK103:BK111)</f>
        <v>1117.4578968731842</v>
      </c>
      <c r="BL112" s="192"/>
      <c r="BM112" s="236">
        <f t="shared" ref="BM112:BW112" si="365">BM93+SUM(BM95:BM101)+SUM(BM103:BM111)</f>
        <v>489.42300000000006</v>
      </c>
      <c r="BN112" s="236">
        <f t="shared" si="365"/>
        <v>551.56799999999998</v>
      </c>
      <c r="BO112" s="236">
        <f t="shared" si="365"/>
        <v>581</v>
      </c>
      <c r="BP112" s="236">
        <f t="shared" si="365"/>
        <v>442.53000000000009</v>
      </c>
      <c r="BQ112" s="236">
        <f t="shared" si="365"/>
        <v>554.29100000000005</v>
      </c>
      <c r="BR112" s="236">
        <f t="shared" si="365"/>
        <v>724.15200000000004</v>
      </c>
      <c r="BS112" s="236">
        <f t="shared" si="365"/>
        <v>826.73899999999992</v>
      </c>
      <c r="BT112" s="236">
        <f t="shared" si="365"/>
        <v>656.53700000000003</v>
      </c>
      <c r="BU112" s="236">
        <f t="shared" si="365"/>
        <v>804.91699999999992</v>
      </c>
      <c r="BV112" s="236">
        <f t="shared" si="365"/>
        <v>790.77999999999986</v>
      </c>
      <c r="BW112" s="236">
        <f t="shared" si="365"/>
        <v>730.10200000000009</v>
      </c>
      <c r="BX112" s="236">
        <f>BX93+SUM(BX95:BX101)+SUM(BX103:BX111)</f>
        <v>934.13099999999974</v>
      </c>
      <c r="BY112" s="236">
        <f>BY93+SUM(BY95:BY101)+SUM(BY103:BY111)</f>
        <v>795.45799999999997</v>
      </c>
      <c r="BZ112" s="236">
        <f>BZ93+SUM(BZ95:BZ101)+SUM(BZ103:BZ111)</f>
        <v>1056.3136304733962</v>
      </c>
      <c r="CA112" s="236">
        <f>CA93+SUM(CA95:CA101)+SUM(CA103:CA111)</f>
        <v>1117.4578968731842</v>
      </c>
      <c r="CB112" s="1022">
        <f>CB93+SUM(CB95:CB101)+SUM(CB103:CB111)</f>
        <v>1105.259668101686</v>
      </c>
      <c r="CC112" s="20"/>
      <c r="CD112" s="236">
        <f t="shared" ref="CD112:CM112" si="366">CD93+SUM(CD95:CD101)+SUM(CD103:CD111)</f>
        <v>529.71800000000007</v>
      </c>
      <c r="CE112" s="236">
        <f t="shared" si="366"/>
        <v>584.76700000000005</v>
      </c>
      <c r="CF112" s="236">
        <f t="shared" si="366"/>
        <v>483.54200000000003</v>
      </c>
      <c r="CG112" s="236">
        <f t="shared" si="366"/>
        <v>511.27500000000009</v>
      </c>
      <c r="CH112" s="236">
        <f t="shared" si="366"/>
        <v>583.05500000000006</v>
      </c>
      <c r="CI112" s="236">
        <f t="shared" si="366"/>
        <v>863.2149999999998</v>
      </c>
      <c r="CJ112" s="236">
        <f t="shared" si="366"/>
        <v>691.375</v>
      </c>
      <c r="CK112" s="236">
        <f t="shared" si="366"/>
        <v>789.19499999999994</v>
      </c>
      <c r="CL112" s="236">
        <f t="shared" si="366"/>
        <v>814.11599999999987</v>
      </c>
      <c r="CM112" s="236">
        <f t="shared" si="366"/>
        <v>773.20700000000011</v>
      </c>
      <c r="CN112" s="236">
        <f>CN93+SUM(CN95:CN101)+SUM(CN103:CN111)</f>
        <v>750.74699999999996</v>
      </c>
      <c r="CO112" s="236">
        <f>CO93+SUM(CO95:CO101)+SUM(CO103:CO111)</f>
        <v>884.05199999999991</v>
      </c>
      <c r="CP112" s="236">
        <f>CP93+SUM(CP95:CP101)+SUM(CP103:CP111)</f>
        <v>1017.6816019361402</v>
      </c>
      <c r="CQ112" s="236">
        <f>CQ93+SUM(CQ95:CQ101)+SUM(CQ103:CQ111)</f>
        <v>1097.2456201476232</v>
      </c>
      <c r="CR112" s="22"/>
      <c r="CS112" s="14"/>
    </row>
    <row r="113" spans="1:97" ht="14.25" customHeight="1" outlineLevel="1" thickTop="1">
      <c r="A113" s="8"/>
      <c r="B113" s="23"/>
      <c r="C113" s="24"/>
      <c r="D113" s="233"/>
      <c r="E113" s="231"/>
      <c r="F113" s="231"/>
      <c r="G113" s="232"/>
      <c r="H113" s="233"/>
      <c r="I113" s="231"/>
      <c r="J113" s="231"/>
      <c r="K113" s="232"/>
      <c r="L113" s="233"/>
      <c r="M113" s="231"/>
      <c r="N113" s="231"/>
      <c r="O113" s="232"/>
      <c r="P113" s="233"/>
      <c r="Q113" s="231"/>
      <c r="R113" s="231"/>
      <c r="S113" s="232"/>
      <c r="T113" s="233"/>
      <c r="U113" s="231"/>
      <c r="V113" s="231"/>
      <c r="W113" s="232"/>
      <c r="X113" s="233"/>
      <c r="Y113" s="231"/>
      <c r="Z113" s="231"/>
      <c r="AA113" s="232"/>
      <c r="AB113" s="231"/>
      <c r="AC113" s="231"/>
      <c r="AD113" s="231"/>
      <c r="AE113" s="232"/>
      <c r="AF113" s="231"/>
      <c r="AG113" s="231"/>
      <c r="AH113" s="231"/>
      <c r="AI113" s="232"/>
      <c r="AJ113" s="231"/>
      <c r="AK113" s="231"/>
      <c r="AL113" s="231"/>
      <c r="AM113" s="232"/>
      <c r="AN113" s="231"/>
      <c r="AO113" s="231"/>
      <c r="AP113" s="231"/>
      <c r="AQ113" s="232"/>
      <c r="AR113" s="231"/>
      <c r="AS113" s="231"/>
      <c r="AT113" s="231"/>
      <c r="AU113" s="232"/>
      <c r="AV113" s="231"/>
      <c r="AW113" s="231"/>
      <c r="AX113" s="231"/>
      <c r="AY113" s="875"/>
      <c r="AZ113" s="231"/>
      <c r="BA113" s="231"/>
      <c r="BB113" s="231"/>
      <c r="BC113" s="232"/>
      <c r="BD113" s="231"/>
      <c r="BE113" s="231"/>
      <c r="BF113" s="231"/>
      <c r="BG113" s="232"/>
      <c r="BH113" s="231"/>
      <c r="BI113" s="231"/>
      <c r="BJ113" s="231"/>
      <c r="BK113" s="232"/>
      <c r="BL113" s="192"/>
      <c r="BM113" s="231"/>
      <c r="BN113" s="231"/>
      <c r="BO113" s="231"/>
      <c r="BP113" s="231"/>
      <c r="BQ113" s="231"/>
      <c r="BR113" s="231"/>
      <c r="BS113" s="231"/>
      <c r="BT113" s="231"/>
      <c r="BU113" s="231"/>
      <c r="BV113" s="231"/>
      <c r="BW113" s="231"/>
      <c r="BX113" s="231"/>
      <c r="BY113" s="231"/>
      <c r="BZ113" s="231"/>
      <c r="CA113" s="231"/>
      <c r="CB113" s="1023"/>
      <c r="CC113" s="20"/>
      <c r="CD113" s="231"/>
      <c r="CE113" s="231"/>
      <c r="CF113" s="231"/>
      <c r="CG113" s="231"/>
      <c r="CH113" s="231"/>
      <c r="CI113" s="231"/>
      <c r="CJ113" s="231"/>
      <c r="CK113" s="231"/>
      <c r="CL113" s="231"/>
      <c r="CM113" s="231"/>
      <c r="CN113" s="231"/>
      <c r="CO113" s="231"/>
      <c r="CP113" s="231"/>
      <c r="CQ113" s="231"/>
      <c r="CR113" s="22"/>
      <c r="CS113" s="14"/>
    </row>
    <row r="114" spans="1:97" ht="14.25" customHeight="1" outlineLevel="1">
      <c r="A114" s="8"/>
      <c r="B114" s="50" t="s">
        <v>150</v>
      </c>
      <c r="C114" s="51"/>
      <c r="D114" s="233"/>
      <c r="E114" s="231"/>
      <c r="F114" s="231"/>
      <c r="G114" s="232"/>
      <c r="H114" s="233"/>
      <c r="I114" s="231"/>
      <c r="J114" s="231"/>
      <c r="K114" s="232"/>
      <c r="L114" s="233"/>
      <c r="M114" s="231"/>
      <c r="N114" s="231"/>
      <c r="O114" s="232"/>
      <c r="P114" s="233"/>
      <c r="Q114" s="231"/>
      <c r="R114" s="231"/>
      <c r="S114" s="232"/>
      <c r="T114" s="233"/>
      <c r="U114" s="231"/>
      <c r="V114" s="231"/>
      <c r="W114" s="232"/>
      <c r="X114" s="233"/>
      <c r="Y114" s="231"/>
      <c r="Z114" s="231"/>
      <c r="AA114" s="232"/>
      <c r="AB114" s="231"/>
      <c r="AC114" s="231"/>
      <c r="AD114" s="231"/>
      <c r="AE114" s="232"/>
      <c r="AF114" s="231"/>
      <c r="AG114" s="231"/>
      <c r="AH114" s="231"/>
      <c r="AI114" s="232"/>
      <c r="AJ114" s="231"/>
      <c r="AK114" s="231"/>
      <c r="AL114" s="231"/>
      <c r="AM114" s="232"/>
      <c r="AN114" s="231"/>
      <c r="AO114" s="231"/>
      <c r="AP114" s="231"/>
      <c r="AQ114" s="232"/>
      <c r="AR114" s="231"/>
      <c r="AS114" s="231"/>
      <c r="AT114" s="231"/>
      <c r="AU114" s="232"/>
      <c r="AV114" s="231"/>
      <c r="AW114" s="231"/>
      <c r="AX114" s="231"/>
      <c r="AY114" s="232"/>
      <c r="AZ114" s="231"/>
      <c r="BA114" s="231"/>
      <c r="BB114" s="231"/>
      <c r="BC114" s="232"/>
      <c r="BD114" s="231"/>
      <c r="BE114" s="231"/>
      <c r="BF114" s="231"/>
      <c r="BG114" s="232"/>
      <c r="BH114" s="231"/>
      <c r="BI114" s="231"/>
      <c r="BJ114" s="231"/>
      <c r="BK114" s="232"/>
      <c r="BL114" s="192"/>
      <c r="BM114" s="231"/>
      <c r="BN114" s="231"/>
      <c r="BO114" s="231"/>
      <c r="BP114" s="231"/>
      <c r="BQ114" s="231"/>
      <c r="BR114" s="231"/>
      <c r="BS114" s="231"/>
      <c r="BT114" s="231"/>
      <c r="BU114" s="231"/>
      <c r="BV114" s="231"/>
      <c r="BW114" s="231"/>
      <c r="BX114" s="231"/>
      <c r="BY114" s="231"/>
      <c r="BZ114" s="231"/>
      <c r="CA114" s="231"/>
      <c r="CB114" s="1023"/>
      <c r="CC114" s="20"/>
      <c r="CD114" s="231"/>
      <c r="CE114" s="231"/>
      <c r="CF114" s="231"/>
      <c r="CG114" s="231"/>
      <c r="CH114" s="231"/>
      <c r="CI114" s="231"/>
      <c r="CJ114" s="231"/>
      <c r="CK114" s="231"/>
      <c r="CL114" s="231"/>
      <c r="CM114" s="231"/>
      <c r="CN114" s="231"/>
      <c r="CO114" s="231"/>
      <c r="CP114" s="231"/>
      <c r="CQ114" s="231"/>
      <c r="CR114" s="22"/>
      <c r="CS114" s="14"/>
    </row>
    <row r="115" spans="1:97" ht="14.25" customHeight="1" outlineLevel="1">
      <c r="A115" s="8"/>
      <c r="B115" s="28" t="s">
        <v>223</v>
      </c>
      <c r="C115" s="29"/>
      <c r="D115" s="233">
        <v>-15.006</v>
      </c>
      <c r="E115" s="231">
        <v>-30.728999999999999</v>
      </c>
      <c r="F115" s="231">
        <v>-44.555999999999997</v>
      </c>
      <c r="G115" s="232">
        <v>-67.040000000000006</v>
      </c>
      <c r="H115" s="233">
        <v>-12.958</v>
      </c>
      <c r="I115" s="231">
        <v>-26.989000000000001</v>
      </c>
      <c r="J115" s="231">
        <v>-47.594000000000001</v>
      </c>
      <c r="K115" s="232">
        <v>-110.777</v>
      </c>
      <c r="L115" s="233">
        <v>-15.599</v>
      </c>
      <c r="M115" s="231">
        <v>-28.617999999999999</v>
      </c>
      <c r="N115" s="231">
        <v>-39.354999999999997</v>
      </c>
      <c r="O115" s="232">
        <v>-45.593000000000004</v>
      </c>
      <c r="P115" s="233">
        <v>-9.8729999999999993</v>
      </c>
      <c r="Q115" s="231">
        <v>-21.65</v>
      </c>
      <c r="R115" s="231">
        <v>-32.710999999999999</v>
      </c>
      <c r="S115" s="232">
        <v>-39.109000000000002</v>
      </c>
      <c r="T115" s="233">
        <v>-4.7140000000000004</v>
      </c>
      <c r="U115" s="231">
        <v>-8.8469999999999995</v>
      </c>
      <c r="V115" s="231">
        <v>-17.54</v>
      </c>
      <c r="W115" s="232">
        <v>-28.152000000000001</v>
      </c>
      <c r="X115" s="233">
        <v>-18.266999999999999</v>
      </c>
      <c r="Y115" s="231">
        <v>-33.444000000000003</v>
      </c>
      <c r="Z115" s="231">
        <v>-48.323999999999998</v>
      </c>
      <c r="AA115" s="232">
        <v>-64.978999999999999</v>
      </c>
      <c r="AB115" s="233">
        <v>-13.789</v>
      </c>
      <c r="AC115" s="231">
        <v>-31.417000000000002</v>
      </c>
      <c r="AD115" s="231">
        <f>-50.401</f>
        <v>-50.401000000000003</v>
      </c>
      <c r="AE115" s="232">
        <v>-70.070999999999998</v>
      </c>
      <c r="AF115" s="233">
        <v>-8.3420000000000005</v>
      </c>
      <c r="AG115" s="231">
        <v>-15.978</v>
      </c>
      <c r="AH115" s="231">
        <v>-24.053000000000001</v>
      </c>
      <c r="AI115" s="232">
        <v>-30.265000000000001</v>
      </c>
      <c r="AJ115" s="233">
        <v>-11.301</v>
      </c>
      <c r="AK115" s="231">
        <v>-19.742000000000001</v>
      </c>
      <c r="AL115" s="231">
        <v>-30.716999999999999</v>
      </c>
      <c r="AM115" s="232">
        <v>-44.865000000000002</v>
      </c>
      <c r="AN115" s="233">
        <v>-9.1159999999999997</v>
      </c>
      <c r="AO115" s="231">
        <v>-17.542999999999999</v>
      </c>
      <c r="AP115" s="231">
        <v>-23.681999999999999</v>
      </c>
      <c r="AQ115" s="232">
        <v>-29.619</v>
      </c>
      <c r="AR115" s="233">
        <v>-7.6890000000000001</v>
      </c>
      <c r="AS115" s="231">
        <v>-13.051</v>
      </c>
      <c r="AT115" s="231">
        <v>-19.169</v>
      </c>
      <c r="AU115" s="232">
        <v>-34.003999999999998</v>
      </c>
      <c r="AV115" s="233">
        <v>-20.637</v>
      </c>
      <c r="AW115" s="231">
        <v>-31.95</v>
      </c>
      <c r="AX115" s="231">
        <v>-51.825000000000003</v>
      </c>
      <c r="AY115" s="232">
        <v>-72.051000000000002</v>
      </c>
      <c r="AZ115" s="233">
        <v>-9.9260000000000002</v>
      </c>
      <c r="BA115" s="231">
        <v>-22.149000000000001</v>
      </c>
      <c r="BB115" s="231">
        <v>-28.94</v>
      </c>
      <c r="BC115" s="232">
        <v>-49.917999999999999</v>
      </c>
      <c r="BD115" s="228">
        <f>+BD33</f>
        <v>-10.132292426999998</v>
      </c>
      <c r="BE115" s="228">
        <f t="shared" ref="BE115:BG119" si="367">BD115+BE33</f>
        <v>-20.322059043884998</v>
      </c>
      <c r="BF115" s="228">
        <f t="shared" si="367"/>
        <v>-30.491393230490097</v>
      </c>
      <c r="BG115" s="229">
        <f t="shared" si="367"/>
        <v>-40.911532502694698</v>
      </c>
      <c r="BH115" s="228">
        <f>+BH33</f>
        <v>-10.768306124128591</v>
      </c>
      <c r="BI115" s="228">
        <f t="shared" ref="BI115:BK119" si="368">BH115+BI33</f>
        <v>-21.630010861442745</v>
      </c>
      <c r="BJ115" s="228">
        <f t="shared" si="368"/>
        <v>-32.402086630386208</v>
      </c>
      <c r="BK115" s="229">
        <f t="shared" si="368"/>
        <v>-43.361538646025934</v>
      </c>
      <c r="BL115" s="192"/>
      <c r="BM115" s="228">
        <f>G115</f>
        <v>-67.040000000000006</v>
      </c>
      <c r="BN115" s="228">
        <f>K115</f>
        <v>-110.777</v>
      </c>
      <c r="BO115" s="228">
        <f>O115</f>
        <v>-45.593000000000004</v>
      </c>
      <c r="BP115" s="228">
        <f>S115</f>
        <v>-39.109000000000002</v>
      </c>
      <c r="BQ115" s="228">
        <f>W115</f>
        <v>-28.152000000000001</v>
      </c>
      <c r="BR115" s="228">
        <f>AA115</f>
        <v>-64.978999999999999</v>
      </c>
      <c r="BS115" s="228">
        <f>AE115</f>
        <v>-70.070999999999998</v>
      </c>
      <c r="BT115" s="228">
        <f>AI115</f>
        <v>-30.265000000000001</v>
      </c>
      <c r="BU115" s="228">
        <f>AM115</f>
        <v>-44.865000000000002</v>
      </c>
      <c r="BV115" s="228">
        <f>AQ115</f>
        <v>-29.619</v>
      </c>
      <c r="BW115" s="228">
        <f>AU115</f>
        <v>-34.003999999999998</v>
      </c>
      <c r="BX115" s="228">
        <f>AY115</f>
        <v>-72.051000000000002</v>
      </c>
      <c r="BY115" s="228">
        <f>BC115</f>
        <v>-49.917999999999999</v>
      </c>
      <c r="BZ115" s="228">
        <f>BG115</f>
        <v>-40.911532502694698</v>
      </c>
      <c r="CA115" s="228">
        <f>BK115</f>
        <v>-43.361538646025934</v>
      </c>
      <c r="CB115" s="1021">
        <f>CB33</f>
        <v>-61.014237610133094</v>
      </c>
      <c r="CC115" s="20"/>
      <c r="CD115" s="228">
        <f t="shared" ref="CD115:CL115" si="369">CD33</f>
        <v>-70.078000000000003</v>
      </c>
      <c r="CE115" s="228">
        <f t="shared" si="369"/>
        <v>-102.53799999999998</v>
      </c>
      <c r="CF115" s="228">
        <f t="shared" si="369"/>
        <v>-38.949000000000012</v>
      </c>
      <c r="CG115" s="228">
        <f t="shared" si="369"/>
        <v>-23.938000000000002</v>
      </c>
      <c r="CH115" s="228">
        <f t="shared" si="369"/>
        <v>-58.936000000000007</v>
      </c>
      <c r="CI115" s="228">
        <f t="shared" si="369"/>
        <v>-67.055999999999997</v>
      </c>
      <c r="CJ115" s="228">
        <f t="shared" si="369"/>
        <v>-43.722999999999999</v>
      </c>
      <c r="CK115" s="228">
        <f t="shared" si="369"/>
        <v>-36.929000000000002</v>
      </c>
      <c r="CL115" s="228">
        <f t="shared" si="369"/>
        <v>-37.83</v>
      </c>
      <c r="CM115" s="228">
        <f t="shared" ref="CM115:CN119" si="370">CM33</f>
        <v>-25.106000000000002</v>
      </c>
      <c r="CN115" s="228">
        <f t="shared" si="370"/>
        <v>-66.66</v>
      </c>
      <c r="CO115" s="228">
        <f t="shared" ref="CO115:CP119" si="371">CO33</f>
        <v>-49.165999999999997</v>
      </c>
      <c r="CP115" s="228">
        <f t="shared" si="371"/>
        <v>-51.469393230490091</v>
      </c>
      <c r="CQ115" s="228">
        <f>CQ33</f>
        <v>-42.822225902590809</v>
      </c>
      <c r="CR115" s="22"/>
      <c r="CS115" s="14"/>
    </row>
    <row r="116" spans="1:97" ht="14.25" customHeight="1" outlineLevel="1">
      <c r="A116" s="8"/>
      <c r="B116" s="28" t="s">
        <v>258</v>
      </c>
      <c r="C116" s="29"/>
      <c r="D116" s="233">
        <v>-385.89299999999997</v>
      </c>
      <c r="E116" s="231">
        <v>-972.94</v>
      </c>
      <c r="F116" s="231">
        <v>-1308.277</v>
      </c>
      <c r="G116" s="232">
        <v>-1459.248</v>
      </c>
      <c r="H116" s="233">
        <v>-189.489</v>
      </c>
      <c r="I116" s="231">
        <v>-558.31899999999996</v>
      </c>
      <c r="J116" s="231">
        <v>-1295.107</v>
      </c>
      <c r="K116" s="232">
        <v>-1864.5820000000001</v>
      </c>
      <c r="L116" s="233">
        <v>-530.97</v>
      </c>
      <c r="M116" s="231">
        <v>-1121.0540000000001</v>
      </c>
      <c r="N116" s="231">
        <v>-1883.99</v>
      </c>
      <c r="O116" s="232">
        <v>-2147.828</v>
      </c>
      <c r="P116" s="233">
        <v>-270.827</v>
      </c>
      <c r="Q116" s="231">
        <v>-665.06</v>
      </c>
      <c r="R116" s="231">
        <v>-832.91899999999998</v>
      </c>
      <c r="S116" s="232">
        <v>-945.06899999999996</v>
      </c>
      <c r="T116" s="233">
        <v>-436.61</v>
      </c>
      <c r="U116" s="231">
        <v>-803.322</v>
      </c>
      <c r="V116" s="231">
        <v>-1325.973</v>
      </c>
      <c r="W116" s="232">
        <v>-1669.1479999999999</v>
      </c>
      <c r="X116" s="233">
        <v>-583.70699999999999</v>
      </c>
      <c r="Y116" s="231">
        <v>-1307.8889999999999</v>
      </c>
      <c r="Z116" s="231">
        <v>-1824.3209999999999</v>
      </c>
      <c r="AA116" s="232">
        <v>-2578.393</v>
      </c>
      <c r="AB116" s="233">
        <v>-1014.822</v>
      </c>
      <c r="AC116" s="231">
        <v>-2287.0160000000001</v>
      </c>
      <c r="AD116" s="231">
        <f>-3420.207</f>
        <v>-3420.2069999999999</v>
      </c>
      <c r="AE116" s="232">
        <v>-4333.5079999999998</v>
      </c>
      <c r="AF116" s="233">
        <v>-1150.5260000000001</v>
      </c>
      <c r="AG116" s="231">
        <v>-2020.7929999999999</v>
      </c>
      <c r="AH116" s="231">
        <v>-2965.0259999999998</v>
      </c>
      <c r="AI116" s="232">
        <v>-3910.3980000000001</v>
      </c>
      <c r="AJ116" s="233">
        <v>-1213.461</v>
      </c>
      <c r="AK116" s="231">
        <v>-2178.5650000000001</v>
      </c>
      <c r="AL116" s="231">
        <v>-3152.7260000000001</v>
      </c>
      <c r="AM116" s="232">
        <v>-3843.395</v>
      </c>
      <c r="AN116" s="233">
        <v>-874.36699999999996</v>
      </c>
      <c r="AO116" s="231">
        <v>-1566.289</v>
      </c>
      <c r="AP116" s="231">
        <v>-2112.1280000000002</v>
      </c>
      <c r="AQ116" s="232">
        <v>-3742.7420000000002</v>
      </c>
      <c r="AR116" s="233">
        <v>-704.899</v>
      </c>
      <c r="AS116" s="231">
        <v>-1349.8520000000001</v>
      </c>
      <c r="AT116" s="231">
        <v>-2253.84</v>
      </c>
      <c r="AU116" s="232">
        <v>-3262.3240000000001</v>
      </c>
      <c r="AV116" s="233">
        <v>-891.18600000000004</v>
      </c>
      <c r="AW116" s="231">
        <v>-1952.9670000000001</v>
      </c>
      <c r="AX116" s="231">
        <v>2685.9769999999999</v>
      </c>
      <c r="AY116" s="232">
        <v>-2817.1970000000001</v>
      </c>
      <c r="AZ116" s="233">
        <v>-832.70500000000004</v>
      </c>
      <c r="BA116" s="231">
        <v>-1367.972</v>
      </c>
      <c r="BB116" s="231">
        <v>-2211.3719999999998</v>
      </c>
      <c r="BC116" s="229">
        <f>BB116+BC34</f>
        <v>-2211.3719999999998</v>
      </c>
      <c r="BD116" s="228">
        <f>+BD34</f>
        <v>0</v>
      </c>
      <c r="BE116" s="228">
        <f t="shared" si="367"/>
        <v>0</v>
      </c>
      <c r="BF116" s="228">
        <f t="shared" si="367"/>
        <v>0</v>
      </c>
      <c r="BG116" s="229">
        <f t="shared" si="367"/>
        <v>0</v>
      </c>
      <c r="BH116" s="228">
        <f>+BH34</f>
        <v>0</v>
      </c>
      <c r="BI116" s="228">
        <f t="shared" si="368"/>
        <v>0</v>
      </c>
      <c r="BJ116" s="228">
        <f t="shared" si="368"/>
        <v>0</v>
      </c>
      <c r="BK116" s="229">
        <f t="shared" si="368"/>
        <v>0</v>
      </c>
      <c r="BL116" s="192"/>
      <c r="BM116" s="228">
        <f>G116</f>
        <v>-1459.248</v>
      </c>
      <c r="BN116" s="228">
        <f>K116</f>
        <v>-1864.5820000000001</v>
      </c>
      <c r="BO116" s="228">
        <f>O116</f>
        <v>-2147.828</v>
      </c>
      <c r="BP116" s="228">
        <f>S116</f>
        <v>-945.06899999999996</v>
      </c>
      <c r="BQ116" s="228">
        <f>W116</f>
        <v>-1669.1479999999999</v>
      </c>
      <c r="BR116" s="228">
        <f>AA116</f>
        <v>-2578.393</v>
      </c>
      <c r="BS116" s="228">
        <f>AE116</f>
        <v>-4333.5079999999998</v>
      </c>
      <c r="BT116" s="228">
        <f>AI116</f>
        <v>-3910.3980000000001</v>
      </c>
      <c r="BU116" s="228">
        <f>AM116</f>
        <v>-3843.395</v>
      </c>
      <c r="BV116" s="228">
        <f>AQ116</f>
        <v>-3742.7420000000002</v>
      </c>
      <c r="BW116" s="228">
        <f>AU116</f>
        <v>-3262.3240000000001</v>
      </c>
      <c r="BX116" s="228">
        <f>AY116</f>
        <v>-2817.1970000000001</v>
      </c>
      <c r="BY116" s="228">
        <f>BC116</f>
        <v>-2211.3719999999998</v>
      </c>
      <c r="BZ116" s="228">
        <f>BG116</f>
        <v>0</v>
      </c>
      <c r="CA116" s="228">
        <f>BK116</f>
        <v>0</v>
      </c>
      <c r="CB116" s="1021">
        <f>CB34</f>
        <v>0</v>
      </c>
      <c r="CC116" s="20"/>
      <c r="CD116" s="228">
        <f t="shared" ref="CD116:CL116" si="372">CD34</f>
        <v>-1446.078</v>
      </c>
      <c r="CE116" s="228">
        <f t="shared" si="372"/>
        <v>-2453.4650000000001</v>
      </c>
      <c r="CF116" s="228">
        <f t="shared" si="372"/>
        <v>-1096.7570000000001</v>
      </c>
      <c r="CG116" s="228">
        <f t="shared" si="372"/>
        <v>-1438.123</v>
      </c>
      <c r="CH116" s="228">
        <f t="shared" si="372"/>
        <v>-2167.4960000000001</v>
      </c>
      <c r="CI116" s="228">
        <f t="shared" si="372"/>
        <v>-4174.2789999999995</v>
      </c>
      <c r="CJ116" s="228">
        <f t="shared" si="372"/>
        <v>-3878.3270000000002</v>
      </c>
      <c r="CK116" s="228">
        <f t="shared" si="372"/>
        <v>-4098.098</v>
      </c>
      <c r="CL116" s="228">
        <f t="shared" si="372"/>
        <v>-2802.7969999999996</v>
      </c>
      <c r="CM116" s="228">
        <f t="shared" si="370"/>
        <v>-3884.4540000000006</v>
      </c>
      <c r="CN116" s="228">
        <f t="shared" si="370"/>
        <v>1677.4929999999995</v>
      </c>
      <c r="CO116" s="228">
        <f t="shared" si="371"/>
        <v>-7714.5459999999994</v>
      </c>
      <c r="CP116" s="228">
        <f t="shared" si="371"/>
        <v>0</v>
      </c>
      <c r="CQ116" s="228">
        <f>CQ34</f>
        <v>0</v>
      </c>
      <c r="CR116" s="22"/>
      <c r="CS116" s="14"/>
    </row>
    <row r="117" spans="1:97" ht="14.25" customHeight="1" outlineLevel="1">
      <c r="A117" s="8"/>
      <c r="B117" s="28" t="s">
        <v>259</v>
      </c>
      <c r="C117" s="29"/>
      <c r="D117" s="233">
        <v>382.60599999999999</v>
      </c>
      <c r="E117" s="231">
        <v>1075.787</v>
      </c>
      <c r="F117" s="231">
        <v>1435.7650000000001</v>
      </c>
      <c r="G117" s="232">
        <v>1812.58</v>
      </c>
      <c r="H117" s="233">
        <v>214.303</v>
      </c>
      <c r="I117" s="231">
        <v>676.20699999999999</v>
      </c>
      <c r="J117" s="231">
        <v>1042.059</v>
      </c>
      <c r="K117" s="232">
        <v>1693.152</v>
      </c>
      <c r="L117" s="233">
        <v>401.60199999999998</v>
      </c>
      <c r="M117" s="231">
        <v>755.96299999999997</v>
      </c>
      <c r="N117" s="231">
        <v>1568.0820000000001</v>
      </c>
      <c r="O117" s="232">
        <v>2380.0549999999998</v>
      </c>
      <c r="P117" s="233">
        <v>182.08099999999999</v>
      </c>
      <c r="Q117" s="231">
        <v>539.65499999999997</v>
      </c>
      <c r="R117" s="231">
        <v>1078.1610000000001</v>
      </c>
      <c r="S117" s="232">
        <v>1259.511</v>
      </c>
      <c r="T117" s="233">
        <v>120.09699999999999</v>
      </c>
      <c r="U117" s="231">
        <v>589.87199999999996</v>
      </c>
      <c r="V117" s="231">
        <v>1001.091</v>
      </c>
      <c r="W117" s="232">
        <v>1362.838</v>
      </c>
      <c r="X117" s="233">
        <v>327.66399999999999</v>
      </c>
      <c r="Y117" s="231">
        <v>920.62800000000004</v>
      </c>
      <c r="Z117" s="231">
        <v>1435.2760000000001</v>
      </c>
      <c r="AA117" s="232">
        <v>2052.0160000000001</v>
      </c>
      <c r="AB117" s="233">
        <v>644.44399999999996</v>
      </c>
      <c r="AC117" s="231">
        <v>1514.431</v>
      </c>
      <c r="AD117" s="231">
        <f>2623.384</f>
        <v>2623.384</v>
      </c>
      <c r="AE117" s="232">
        <v>3481.5010000000002</v>
      </c>
      <c r="AF117" s="233">
        <v>876.82299999999998</v>
      </c>
      <c r="AG117" s="231">
        <v>1766.2159999999999</v>
      </c>
      <c r="AH117" s="231">
        <v>2684.9940000000001</v>
      </c>
      <c r="AI117" s="232">
        <v>3514.2240000000002</v>
      </c>
      <c r="AJ117" s="233">
        <v>961.53800000000001</v>
      </c>
      <c r="AK117" s="231">
        <v>1767.1780000000001</v>
      </c>
      <c r="AL117" s="231">
        <v>2758.9409999999998</v>
      </c>
      <c r="AM117" s="232">
        <v>3900.8580000000002</v>
      </c>
      <c r="AN117" s="233">
        <v>570.04300000000001</v>
      </c>
      <c r="AO117" s="231">
        <v>1432.191</v>
      </c>
      <c r="AP117" s="231">
        <v>2646.41</v>
      </c>
      <c r="AQ117" s="232">
        <v>3756.0210000000002</v>
      </c>
      <c r="AR117" s="233">
        <v>460.791</v>
      </c>
      <c r="AS117" s="231">
        <v>1248.9390000000001</v>
      </c>
      <c r="AT117" s="231">
        <v>2183.2959999999998</v>
      </c>
      <c r="AU117" s="232">
        <v>2882.3420000000001</v>
      </c>
      <c r="AV117" s="233">
        <v>827.68899999999996</v>
      </c>
      <c r="AW117" s="231">
        <v>2023.3140000000001</v>
      </c>
      <c r="AX117" s="231">
        <v>-2250.81</v>
      </c>
      <c r="AY117" s="232">
        <v>3404.5770000000002</v>
      </c>
      <c r="AZ117" s="233">
        <v>613.39599999999996</v>
      </c>
      <c r="BA117" s="231">
        <v>1257.5709999999999</v>
      </c>
      <c r="BB117" s="231">
        <v>1939.2449999999999</v>
      </c>
      <c r="BC117" s="229">
        <f>BB117+BC35</f>
        <v>2620.9189999999999</v>
      </c>
      <c r="BD117" s="228">
        <f>+BD35</f>
        <v>0</v>
      </c>
      <c r="BE117" s="228">
        <f t="shared" si="367"/>
        <v>0</v>
      </c>
      <c r="BF117" s="228">
        <f t="shared" si="367"/>
        <v>0</v>
      </c>
      <c r="BG117" s="229">
        <f t="shared" si="367"/>
        <v>0</v>
      </c>
      <c r="BH117" s="228">
        <f>+BH35</f>
        <v>0</v>
      </c>
      <c r="BI117" s="228">
        <f t="shared" si="368"/>
        <v>0</v>
      </c>
      <c r="BJ117" s="228">
        <f t="shared" si="368"/>
        <v>0</v>
      </c>
      <c r="BK117" s="229">
        <f t="shared" si="368"/>
        <v>0</v>
      </c>
      <c r="BL117" s="192"/>
      <c r="BM117" s="228">
        <f>G117</f>
        <v>1812.58</v>
      </c>
      <c r="BN117" s="228">
        <f>K117</f>
        <v>1693.152</v>
      </c>
      <c r="BO117" s="228">
        <f>O117</f>
        <v>2380.0549999999998</v>
      </c>
      <c r="BP117" s="228">
        <f>S117</f>
        <v>1259.511</v>
      </c>
      <c r="BQ117" s="228">
        <f>W117</f>
        <v>1362.838</v>
      </c>
      <c r="BR117" s="228">
        <f>AA117</f>
        <v>2052.0160000000001</v>
      </c>
      <c r="BS117" s="228">
        <f>AE117</f>
        <v>3481.5010000000002</v>
      </c>
      <c r="BT117" s="228">
        <f>AI117</f>
        <v>3514.2240000000002</v>
      </c>
      <c r="BU117" s="228">
        <f>AM117</f>
        <v>3900.8580000000002</v>
      </c>
      <c r="BV117" s="228">
        <f>AQ117</f>
        <v>3756.0210000000002</v>
      </c>
      <c r="BW117" s="228">
        <f>AU117</f>
        <v>2882.3420000000001</v>
      </c>
      <c r="BX117" s="228">
        <f>AY117</f>
        <v>3404.5770000000002</v>
      </c>
      <c r="BY117" s="228">
        <f>BC117</f>
        <v>2620.9189999999999</v>
      </c>
      <c r="BZ117" s="228">
        <f>BG117</f>
        <v>0</v>
      </c>
      <c r="CA117" s="228">
        <f>BK117</f>
        <v>0</v>
      </c>
      <c r="CB117" s="1021">
        <f>CB35</f>
        <v>0</v>
      </c>
      <c r="CC117" s="20"/>
      <c r="CD117" s="228">
        <f t="shared" ref="CD117:CL117" si="373">CD35</f>
        <v>1418.8739999999998</v>
      </c>
      <c r="CE117" s="228">
        <f t="shared" si="373"/>
        <v>2219.1750000000002</v>
      </c>
      <c r="CF117" s="228">
        <f t="shared" si="373"/>
        <v>1890.1339999999998</v>
      </c>
      <c r="CG117" s="228">
        <f t="shared" si="373"/>
        <v>1182.441</v>
      </c>
      <c r="CH117" s="228">
        <f t="shared" si="373"/>
        <v>1797.0230000000001</v>
      </c>
      <c r="CI117" s="228">
        <f t="shared" si="373"/>
        <v>3240.1239999999998</v>
      </c>
      <c r="CJ117" s="228">
        <f t="shared" si="373"/>
        <v>3543.1110000000003</v>
      </c>
      <c r="CK117" s="228">
        <f t="shared" si="373"/>
        <v>3588.1710000000003</v>
      </c>
      <c r="CL117" s="228">
        <f t="shared" si="373"/>
        <v>3788.3270000000002</v>
      </c>
      <c r="CM117" s="228">
        <f t="shared" si="370"/>
        <v>3292.9070000000002</v>
      </c>
      <c r="CN117" s="228">
        <f t="shared" si="370"/>
        <v>-1551.7639999999997</v>
      </c>
      <c r="CO117" s="228">
        <f t="shared" si="371"/>
        <v>7594.6319999999996</v>
      </c>
      <c r="CP117" s="228">
        <f t="shared" si="371"/>
        <v>681.67399999999998</v>
      </c>
      <c r="CQ117" s="228">
        <f>CQ35</f>
        <v>0</v>
      </c>
      <c r="CR117" s="22"/>
      <c r="CS117" s="14"/>
    </row>
    <row r="118" spans="1:97" ht="14.25" customHeight="1" outlineLevel="1">
      <c r="A118" s="8"/>
      <c r="B118" s="28" t="s">
        <v>213</v>
      </c>
      <c r="C118" s="29"/>
      <c r="D118" s="233">
        <v>0</v>
      </c>
      <c r="E118" s="231">
        <v>0</v>
      </c>
      <c r="F118" s="231">
        <v>0</v>
      </c>
      <c r="G118" s="232">
        <v>0</v>
      </c>
      <c r="H118" s="233">
        <v>0</v>
      </c>
      <c r="I118" s="231">
        <v>0</v>
      </c>
      <c r="J118" s="231">
        <v>0</v>
      </c>
      <c r="K118" s="232">
        <v>0</v>
      </c>
      <c r="L118" s="233">
        <v>0</v>
      </c>
      <c r="M118" s="231">
        <v>0</v>
      </c>
      <c r="N118" s="231">
        <v>0</v>
      </c>
      <c r="O118" s="232">
        <v>0</v>
      </c>
      <c r="P118" s="233">
        <v>0</v>
      </c>
      <c r="Q118" s="231">
        <v>0</v>
      </c>
      <c r="R118" s="231">
        <v>0</v>
      </c>
      <c r="S118" s="232">
        <v>0</v>
      </c>
      <c r="T118" s="233">
        <v>0</v>
      </c>
      <c r="U118" s="231">
        <v>0</v>
      </c>
      <c r="V118" s="231">
        <v>0</v>
      </c>
      <c r="W118" s="232">
        <v>0</v>
      </c>
      <c r="X118" s="233">
        <v>0</v>
      </c>
      <c r="Y118" s="231">
        <v>0</v>
      </c>
      <c r="Z118" s="231">
        <v>0</v>
      </c>
      <c r="AA118" s="232">
        <v>0</v>
      </c>
      <c r="AB118" s="233">
        <v>0</v>
      </c>
      <c r="AC118" s="231">
        <v>0</v>
      </c>
      <c r="AD118" s="228">
        <v>0</v>
      </c>
      <c r="AE118" s="232">
        <v>0</v>
      </c>
      <c r="AF118" s="233">
        <v>0</v>
      </c>
      <c r="AG118" s="231">
        <v>0</v>
      </c>
      <c r="AH118" s="228">
        <v>0</v>
      </c>
      <c r="AI118" s="232">
        <v>0</v>
      </c>
      <c r="AJ118" s="233">
        <v>0</v>
      </c>
      <c r="AK118" s="231">
        <v>0</v>
      </c>
      <c r="AL118" s="228">
        <v>0</v>
      </c>
      <c r="AM118" s="232">
        <v>0</v>
      </c>
      <c r="AN118" s="233">
        <v>0</v>
      </c>
      <c r="AO118" s="231">
        <v>0</v>
      </c>
      <c r="AP118" s="228">
        <v>0</v>
      </c>
      <c r="AQ118" s="232">
        <v>0</v>
      </c>
      <c r="AR118" s="233">
        <v>0</v>
      </c>
      <c r="AS118" s="231">
        <v>0</v>
      </c>
      <c r="AT118" s="228">
        <v>0</v>
      </c>
      <c r="AU118" s="232">
        <v>0</v>
      </c>
      <c r="AV118" s="233">
        <v>0</v>
      </c>
      <c r="AW118" s="231">
        <v>0</v>
      </c>
      <c r="AX118" s="228">
        <v>0</v>
      </c>
      <c r="AY118" s="232">
        <f>AX118</f>
        <v>0</v>
      </c>
      <c r="AZ118" s="233">
        <v>0</v>
      </c>
      <c r="BA118" s="231">
        <v>0</v>
      </c>
      <c r="BB118" s="228">
        <v>0</v>
      </c>
      <c r="BC118" s="229">
        <f>BB118+BC36</f>
        <v>0</v>
      </c>
      <c r="BD118" s="228">
        <f>+BD36</f>
        <v>0</v>
      </c>
      <c r="BE118" s="228">
        <f t="shared" si="367"/>
        <v>0</v>
      </c>
      <c r="BF118" s="228">
        <f t="shared" si="367"/>
        <v>0</v>
      </c>
      <c r="BG118" s="229">
        <f t="shared" si="367"/>
        <v>0</v>
      </c>
      <c r="BH118" s="228">
        <f>+BH36</f>
        <v>0</v>
      </c>
      <c r="BI118" s="228">
        <f t="shared" si="368"/>
        <v>0</v>
      </c>
      <c r="BJ118" s="228">
        <f t="shared" si="368"/>
        <v>0</v>
      </c>
      <c r="BK118" s="229">
        <f t="shared" si="368"/>
        <v>0</v>
      </c>
      <c r="BL118" s="192"/>
      <c r="BM118" s="228">
        <f>G118</f>
        <v>0</v>
      </c>
      <c r="BN118" s="228">
        <f>K118</f>
        <v>0</v>
      </c>
      <c r="BO118" s="228">
        <f>O118</f>
        <v>0</v>
      </c>
      <c r="BP118" s="228">
        <f>S118</f>
        <v>0</v>
      </c>
      <c r="BQ118" s="228">
        <f>W118</f>
        <v>0</v>
      </c>
      <c r="BR118" s="228">
        <f>AA118</f>
        <v>0</v>
      </c>
      <c r="BS118" s="228">
        <f>AE118</f>
        <v>0</v>
      </c>
      <c r="BT118" s="228">
        <f>AI118</f>
        <v>0</v>
      </c>
      <c r="BU118" s="228">
        <f>AM118</f>
        <v>0</v>
      </c>
      <c r="BV118" s="228">
        <f>AQ118</f>
        <v>0</v>
      </c>
      <c r="BW118" s="228">
        <f>AU118</f>
        <v>0</v>
      </c>
      <c r="BX118" s="228">
        <f>AY118</f>
        <v>0</v>
      </c>
      <c r="BY118" s="228">
        <f>BC118</f>
        <v>0</v>
      </c>
      <c r="BZ118" s="228">
        <f>BG118</f>
        <v>0</v>
      </c>
      <c r="CA118" s="228">
        <f>BK118</f>
        <v>0</v>
      </c>
      <c r="CB118" s="1021">
        <f>CB36</f>
        <v>0</v>
      </c>
      <c r="CC118" s="20"/>
      <c r="CD118" s="228">
        <f t="shared" ref="CD118:CL118" si="374">CD36</f>
        <v>0</v>
      </c>
      <c r="CE118" s="228">
        <f t="shared" si="374"/>
        <v>0</v>
      </c>
      <c r="CF118" s="228">
        <f t="shared" si="374"/>
        <v>0</v>
      </c>
      <c r="CG118" s="228">
        <f t="shared" si="374"/>
        <v>0</v>
      </c>
      <c r="CH118" s="228">
        <f t="shared" si="374"/>
        <v>0</v>
      </c>
      <c r="CI118" s="228">
        <f t="shared" si="374"/>
        <v>0</v>
      </c>
      <c r="CJ118" s="228">
        <f t="shared" si="374"/>
        <v>0</v>
      </c>
      <c r="CK118" s="228">
        <f t="shared" si="374"/>
        <v>0</v>
      </c>
      <c r="CL118" s="228">
        <f t="shared" si="374"/>
        <v>0</v>
      </c>
      <c r="CM118" s="228">
        <f t="shared" si="370"/>
        <v>0</v>
      </c>
      <c r="CN118" s="228">
        <f t="shared" si="370"/>
        <v>0</v>
      </c>
      <c r="CO118" s="228">
        <f t="shared" si="371"/>
        <v>0</v>
      </c>
      <c r="CP118" s="228">
        <f t="shared" si="371"/>
        <v>0</v>
      </c>
      <c r="CQ118" s="228">
        <f>CQ36</f>
        <v>0</v>
      </c>
      <c r="CR118" s="22"/>
      <c r="CS118" s="14"/>
    </row>
    <row r="119" spans="1:97" ht="14.25" customHeight="1" outlineLevel="1">
      <c r="A119" s="11"/>
      <c r="B119" s="28" t="s">
        <v>151</v>
      </c>
      <c r="C119" s="29"/>
      <c r="D119" s="233">
        <v>-11.375999999999999</v>
      </c>
      <c r="E119" s="231">
        <v>-15.51</v>
      </c>
      <c r="F119" s="231">
        <v>-24.109000000000002</v>
      </c>
      <c r="G119" s="232">
        <f>-24.436-19.476</f>
        <v>-43.911999999999999</v>
      </c>
      <c r="H119" s="233">
        <v>-0.98099999999999998</v>
      </c>
      <c r="I119" s="231">
        <v>-0.98099999999999998</v>
      </c>
      <c r="J119" s="231">
        <v>-1.5640000000000001</v>
      </c>
      <c r="K119" s="232">
        <v>-1.5640000000000001</v>
      </c>
      <c r="L119" s="233">
        <v>-1.6</v>
      </c>
      <c r="M119" s="231">
        <v>-2.641</v>
      </c>
      <c r="N119" s="231">
        <f>10.693-4.558</f>
        <v>6.1349999999999998</v>
      </c>
      <c r="O119" s="232">
        <f>10.693-5.308</f>
        <v>5.3849999999999998</v>
      </c>
      <c r="P119" s="233">
        <v>0</v>
      </c>
      <c r="Q119" s="231">
        <v>-0.49299999999999999</v>
      </c>
      <c r="R119" s="231">
        <v>-0.49299999999999999</v>
      </c>
      <c r="S119" s="232">
        <v>-0.79300000000000004</v>
      </c>
      <c r="T119" s="233">
        <v>-0.71599999999999997</v>
      </c>
      <c r="U119" s="231">
        <v>-2.8159999999999998</v>
      </c>
      <c r="V119" s="231">
        <v>-2.972</v>
      </c>
      <c r="W119" s="232">
        <v>-2.27</v>
      </c>
      <c r="X119" s="233">
        <v>-1</v>
      </c>
      <c r="Y119" s="231">
        <v>-1</v>
      </c>
      <c r="Z119" s="231">
        <v>-1.4</v>
      </c>
      <c r="AA119" s="232">
        <v>-34.085000000000001</v>
      </c>
      <c r="AB119" s="233">
        <v>-29.989000000000001</v>
      </c>
      <c r="AC119" s="231">
        <v>-34.506999999999998</v>
      </c>
      <c r="AD119" s="231">
        <f>-33.886</f>
        <v>-33.886000000000003</v>
      </c>
      <c r="AE119" s="232">
        <v>-38.819000000000003</v>
      </c>
      <c r="AF119" s="233">
        <v>-3.7879999999999998</v>
      </c>
      <c r="AG119" s="231">
        <v>-27.649000000000001</v>
      </c>
      <c r="AH119" s="231">
        <v>-32.348999999999997</v>
      </c>
      <c r="AI119" s="232">
        <v>-85.075999999999993</v>
      </c>
      <c r="AJ119" s="233">
        <v>36.920999999999999</v>
      </c>
      <c r="AK119" s="231">
        <v>37.216999999999999</v>
      </c>
      <c r="AL119" s="231">
        <v>27.091999999999999</v>
      </c>
      <c r="AM119" s="232">
        <v>16.047999999999998</v>
      </c>
      <c r="AN119" s="233">
        <v>-3.742</v>
      </c>
      <c r="AO119" s="231">
        <v>-5.2510000000000003</v>
      </c>
      <c r="AP119" s="231">
        <v>-7.44</v>
      </c>
      <c r="AQ119" s="232">
        <v>29.295999999999999</v>
      </c>
      <c r="AR119" s="233">
        <v>0.33300000000000002</v>
      </c>
      <c r="AS119" s="231">
        <v>0.24199999999999999</v>
      </c>
      <c r="AT119" s="231">
        <v>-5.7</v>
      </c>
      <c r="AU119" s="232">
        <v>-9.9499999999999993</v>
      </c>
      <c r="AV119" s="233">
        <v>-3.5</v>
      </c>
      <c r="AW119" s="231">
        <v>-15.849</v>
      </c>
      <c r="AX119" s="231">
        <v>-20.754000000000001</v>
      </c>
      <c r="AY119" s="232">
        <v>-21.379000000000001</v>
      </c>
      <c r="AZ119" s="233">
        <v>-3.008</v>
      </c>
      <c r="BA119" s="231">
        <v>-8.4610000000000003</v>
      </c>
      <c r="BB119" s="231">
        <v>-17.786999999999999</v>
      </c>
      <c r="BC119" s="229">
        <f>BB119+BC37</f>
        <v>-17.786999999999999</v>
      </c>
      <c r="BD119" s="228">
        <f>+BD37</f>
        <v>0</v>
      </c>
      <c r="BE119" s="228">
        <f t="shared" si="367"/>
        <v>0</v>
      </c>
      <c r="BF119" s="228">
        <f t="shared" si="367"/>
        <v>0</v>
      </c>
      <c r="BG119" s="229">
        <f t="shared" si="367"/>
        <v>0</v>
      </c>
      <c r="BH119" s="228">
        <f>+BH37</f>
        <v>0</v>
      </c>
      <c r="BI119" s="228">
        <f t="shared" si="368"/>
        <v>0</v>
      </c>
      <c r="BJ119" s="228">
        <f t="shared" si="368"/>
        <v>0</v>
      </c>
      <c r="BK119" s="229">
        <f t="shared" si="368"/>
        <v>0</v>
      </c>
      <c r="BL119" s="192"/>
      <c r="BM119" s="228">
        <f>G119</f>
        <v>-43.911999999999999</v>
      </c>
      <c r="BN119" s="228">
        <f>K119</f>
        <v>-1.5640000000000001</v>
      </c>
      <c r="BO119" s="228">
        <f>O119</f>
        <v>5.3849999999999998</v>
      </c>
      <c r="BP119" s="228">
        <f>S119</f>
        <v>-0.79300000000000004</v>
      </c>
      <c r="BQ119" s="228">
        <f>W119</f>
        <v>-2.27</v>
      </c>
      <c r="BR119" s="228">
        <f>AA119</f>
        <v>-34.085000000000001</v>
      </c>
      <c r="BS119" s="228">
        <f>AE119</f>
        <v>-38.819000000000003</v>
      </c>
      <c r="BT119" s="228">
        <f>AI119</f>
        <v>-85.075999999999993</v>
      </c>
      <c r="BU119" s="228">
        <f>AM119</f>
        <v>16.047999999999998</v>
      </c>
      <c r="BV119" s="228">
        <f>AQ119</f>
        <v>29.295999999999999</v>
      </c>
      <c r="BW119" s="228">
        <f>AU119</f>
        <v>-9.9499999999999993</v>
      </c>
      <c r="BX119" s="228">
        <f>AY119</f>
        <v>-21.379000000000001</v>
      </c>
      <c r="BY119" s="228">
        <f>BC119</f>
        <v>-17.786999999999999</v>
      </c>
      <c r="BZ119" s="228">
        <f>BG119</f>
        <v>0</v>
      </c>
      <c r="CA119" s="228">
        <f>BK119</f>
        <v>0</v>
      </c>
      <c r="CB119" s="1021">
        <f>CB37</f>
        <v>0</v>
      </c>
      <c r="CC119" s="192"/>
      <c r="CD119" s="228">
        <f t="shared" ref="CD119:CL119" si="375">CD37</f>
        <v>-21.366999999999997</v>
      </c>
      <c r="CE119" s="228">
        <f t="shared" si="375"/>
        <v>6.1349999999999998</v>
      </c>
      <c r="CF119" s="228">
        <f t="shared" si="375"/>
        <v>-1.2429999999999999</v>
      </c>
      <c r="CG119" s="228">
        <f t="shared" si="375"/>
        <v>-3.2720000000000002</v>
      </c>
      <c r="CH119" s="228">
        <f t="shared" si="375"/>
        <v>-0.69800000000000018</v>
      </c>
      <c r="CI119" s="228">
        <f t="shared" si="375"/>
        <v>-66.571000000000012</v>
      </c>
      <c r="CJ119" s="228">
        <f t="shared" si="375"/>
        <v>-37.281999999999989</v>
      </c>
      <c r="CK119" s="228">
        <f t="shared" si="375"/>
        <v>-25.635000000000005</v>
      </c>
      <c r="CL119" s="228">
        <f t="shared" si="375"/>
        <v>-18.484000000000002</v>
      </c>
      <c r="CM119" s="228">
        <f t="shared" si="370"/>
        <v>31.035999999999994</v>
      </c>
      <c r="CN119" s="228">
        <f t="shared" si="370"/>
        <v>-25.004000000000001</v>
      </c>
      <c r="CO119" s="228">
        <f t="shared" si="371"/>
        <v>-18.411999999999999</v>
      </c>
      <c r="CP119" s="228">
        <f t="shared" si="371"/>
        <v>0</v>
      </c>
      <c r="CQ119" s="228">
        <f>CQ37</f>
        <v>0</v>
      </c>
      <c r="CR119" s="23"/>
      <c r="CS119" s="71"/>
    </row>
    <row r="120" spans="1:97" ht="14.25" customHeight="1" outlineLevel="1" thickBot="1">
      <c r="A120" s="8"/>
      <c r="B120" s="234" t="s">
        <v>152</v>
      </c>
      <c r="C120" s="235"/>
      <c r="D120" s="237">
        <f t="shared" ref="D120:AA120" si="376">SUM(D115:D119)</f>
        <v>-29.669000000000004</v>
      </c>
      <c r="E120" s="236">
        <f t="shared" si="376"/>
        <v>56.60799999999994</v>
      </c>
      <c r="F120" s="236">
        <f t="shared" si="376"/>
        <v>58.823000000000015</v>
      </c>
      <c r="G120" s="238">
        <f t="shared" si="376"/>
        <v>242.37999999999991</v>
      </c>
      <c r="H120" s="237">
        <f t="shared" si="376"/>
        <v>10.874999999999995</v>
      </c>
      <c r="I120" s="236">
        <f t="shared" si="376"/>
        <v>89.918000000000006</v>
      </c>
      <c r="J120" s="236">
        <f t="shared" si="376"/>
        <v>-302.20600000000007</v>
      </c>
      <c r="K120" s="238">
        <f t="shared" si="376"/>
        <v>-283.77100000000013</v>
      </c>
      <c r="L120" s="237">
        <f t="shared" si="376"/>
        <v>-146.56700000000009</v>
      </c>
      <c r="M120" s="236">
        <f t="shared" si="376"/>
        <v>-396.35000000000008</v>
      </c>
      <c r="N120" s="236">
        <f t="shared" si="376"/>
        <v>-349.12799999999993</v>
      </c>
      <c r="O120" s="238">
        <f t="shared" si="376"/>
        <v>192.01900000000001</v>
      </c>
      <c r="P120" s="237">
        <f t="shared" si="376"/>
        <v>-98.619</v>
      </c>
      <c r="Q120" s="236">
        <f t="shared" si="376"/>
        <v>-147.54799999999994</v>
      </c>
      <c r="R120" s="236">
        <f t="shared" si="376"/>
        <v>212.03800000000007</v>
      </c>
      <c r="S120" s="238">
        <f t="shared" si="376"/>
        <v>274.53999999999996</v>
      </c>
      <c r="T120" s="237">
        <f t="shared" si="376"/>
        <v>-321.94300000000004</v>
      </c>
      <c r="U120" s="236">
        <f t="shared" si="376"/>
        <v>-225.11300000000003</v>
      </c>
      <c r="V120" s="236">
        <f t="shared" si="376"/>
        <v>-345.39399999999989</v>
      </c>
      <c r="W120" s="238">
        <f t="shared" si="376"/>
        <v>-336.73199999999997</v>
      </c>
      <c r="X120" s="237">
        <f t="shared" si="376"/>
        <v>-275.31000000000006</v>
      </c>
      <c r="Y120" s="236">
        <f t="shared" si="376"/>
        <v>-421.70499999999981</v>
      </c>
      <c r="Z120" s="236">
        <f t="shared" si="376"/>
        <v>-438.76899999999989</v>
      </c>
      <c r="AA120" s="238">
        <f t="shared" si="376"/>
        <v>-625.4409999999998</v>
      </c>
      <c r="AB120" s="236">
        <f t="shared" ref="AB120:AQ120" si="377">SUM(AB115:AB119)</f>
        <v>-414.15600000000012</v>
      </c>
      <c r="AC120" s="236">
        <f t="shared" si="377"/>
        <v>-838.5089999999999</v>
      </c>
      <c r="AD120" s="236">
        <f t="shared" si="377"/>
        <v>-881.10999999999967</v>
      </c>
      <c r="AE120" s="238">
        <f t="shared" si="377"/>
        <v>-960.89699999999948</v>
      </c>
      <c r="AF120" s="236">
        <f t="shared" si="377"/>
        <v>-285.8330000000002</v>
      </c>
      <c r="AG120" s="236">
        <f t="shared" si="377"/>
        <v>-298.20400000000006</v>
      </c>
      <c r="AH120" s="236">
        <f t="shared" si="377"/>
        <v>-336.43399999999957</v>
      </c>
      <c r="AI120" s="238">
        <f t="shared" si="377"/>
        <v>-511.51499999999987</v>
      </c>
      <c r="AJ120" s="236">
        <f t="shared" si="377"/>
        <v>-226.30299999999994</v>
      </c>
      <c r="AK120" s="236">
        <f t="shared" si="377"/>
        <v>-393.91200000000015</v>
      </c>
      <c r="AL120" s="236">
        <f>SUM(AL115:AL119)</f>
        <v>-397.41000000000042</v>
      </c>
      <c r="AM120" s="238">
        <f>SUM(AM115:AM119)</f>
        <v>28.646000000000409</v>
      </c>
      <c r="AN120" s="236">
        <f t="shared" si="377"/>
        <v>-317.18199999999996</v>
      </c>
      <c r="AO120" s="236">
        <f>SUM(AO115:AO119)</f>
        <v>-156.89199999999985</v>
      </c>
      <c r="AP120" s="236">
        <f>SUM(AP115:AP119)</f>
        <v>503.15999999999991</v>
      </c>
      <c r="AQ120" s="238">
        <f t="shared" si="377"/>
        <v>12.955999999999854</v>
      </c>
      <c r="AR120" s="236">
        <f t="shared" ref="AR120:AY120" si="378">SUM(AR115:AR119)</f>
        <v>-251.46399999999997</v>
      </c>
      <c r="AS120" s="236">
        <f t="shared" si="378"/>
        <v>-113.72199999999994</v>
      </c>
      <c r="AT120" s="236">
        <f t="shared" si="378"/>
        <v>-95.413000000000196</v>
      </c>
      <c r="AU120" s="238">
        <f t="shared" si="378"/>
        <v>-423.93599999999986</v>
      </c>
      <c r="AV120" s="236">
        <f t="shared" si="378"/>
        <v>-87.634000000000128</v>
      </c>
      <c r="AW120" s="236">
        <f t="shared" si="378"/>
        <v>22.547999999999934</v>
      </c>
      <c r="AX120" s="236">
        <f>SUM(AX115:AX119)</f>
        <v>362.58800000000008</v>
      </c>
      <c r="AY120" s="238">
        <f t="shared" si="378"/>
        <v>493.95000000000016</v>
      </c>
      <c r="AZ120" s="236">
        <f t="shared" ref="AZ120:BG120" si="379">SUM(AZ115:AZ119)</f>
        <v>-232.24300000000014</v>
      </c>
      <c r="BA120" s="236">
        <f t="shared" si="379"/>
        <v>-141.01100000000019</v>
      </c>
      <c r="BB120" s="236">
        <f>SUM(BB115:BB119)</f>
        <v>-318.85399999999998</v>
      </c>
      <c r="BC120" s="238">
        <f t="shared" si="379"/>
        <v>341.84199999999993</v>
      </c>
      <c r="BD120" s="236">
        <f t="shared" si="379"/>
        <v>-10.132292426999998</v>
      </c>
      <c r="BE120" s="236">
        <f t="shared" si="379"/>
        <v>-20.322059043884998</v>
      </c>
      <c r="BF120" s="236">
        <f t="shared" si="379"/>
        <v>-30.491393230490097</v>
      </c>
      <c r="BG120" s="238">
        <f t="shared" si="379"/>
        <v>-40.911532502694698</v>
      </c>
      <c r="BH120" s="236">
        <f>SUM(BH115:BH119)</f>
        <v>-10.768306124128591</v>
      </c>
      <c r="BI120" s="236">
        <f>SUM(BI115:BI119)</f>
        <v>-21.630010861442745</v>
      </c>
      <c r="BJ120" s="236">
        <f>SUM(BJ115:BJ119)</f>
        <v>-32.402086630386208</v>
      </c>
      <c r="BK120" s="238">
        <f>SUM(BK115:BK119)</f>
        <v>-43.361538646025934</v>
      </c>
      <c r="BL120" s="192"/>
      <c r="BM120" s="236">
        <f t="shared" ref="BM120:BW120" si="380">SUM(BM115:BM119)</f>
        <v>242.37999999999991</v>
      </c>
      <c r="BN120" s="236">
        <f t="shared" si="380"/>
        <v>-283.77100000000013</v>
      </c>
      <c r="BO120" s="236">
        <f t="shared" si="380"/>
        <v>192.01900000000001</v>
      </c>
      <c r="BP120" s="236">
        <f t="shared" si="380"/>
        <v>274.53999999999996</v>
      </c>
      <c r="BQ120" s="236">
        <f t="shared" si="380"/>
        <v>-336.73199999999997</v>
      </c>
      <c r="BR120" s="236">
        <f t="shared" si="380"/>
        <v>-625.4409999999998</v>
      </c>
      <c r="BS120" s="236">
        <f t="shared" si="380"/>
        <v>-960.89699999999948</v>
      </c>
      <c r="BT120" s="236">
        <f t="shared" si="380"/>
        <v>-511.51499999999987</v>
      </c>
      <c r="BU120" s="236">
        <f t="shared" si="380"/>
        <v>28.646000000000409</v>
      </c>
      <c r="BV120" s="236">
        <f t="shared" si="380"/>
        <v>12.955999999999854</v>
      </c>
      <c r="BW120" s="236">
        <f t="shared" si="380"/>
        <v>-423.93599999999986</v>
      </c>
      <c r="BX120" s="236">
        <f>SUM(BX115:BX119)</f>
        <v>493.95000000000016</v>
      </c>
      <c r="BY120" s="236">
        <f>SUM(BY115:BY119)</f>
        <v>341.84199999999993</v>
      </c>
      <c r="BZ120" s="236">
        <f>SUM(BZ115:BZ119)</f>
        <v>-40.911532502694698</v>
      </c>
      <c r="CA120" s="236">
        <f>SUM(CA115:CA119)</f>
        <v>-43.361538646025934</v>
      </c>
      <c r="CB120" s="1022">
        <f>SUM(CB115:CB119)</f>
        <v>-61.014237610133094</v>
      </c>
      <c r="CC120" s="20"/>
      <c r="CD120" s="236">
        <f t="shared" ref="CD120:CM120" si="381">SUM(CD115:CD119)</f>
        <v>-118.64900000000014</v>
      </c>
      <c r="CE120" s="236">
        <f t="shared" si="381"/>
        <v>-330.69299999999998</v>
      </c>
      <c r="CF120" s="236">
        <f t="shared" si="381"/>
        <v>753.1849999999996</v>
      </c>
      <c r="CG120" s="236">
        <f t="shared" si="381"/>
        <v>-282.89200000000011</v>
      </c>
      <c r="CH120" s="236">
        <f t="shared" si="381"/>
        <v>-430.10700000000008</v>
      </c>
      <c r="CI120" s="236">
        <f t="shared" si="381"/>
        <v>-1067.7819999999992</v>
      </c>
      <c r="CJ120" s="236">
        <f t="shared" si="381"/>
        <v>-416.22099999999983</v>
      </c>
      <c r="CK120" s="236">
        <f t="shared" si="381"/>
        <v>-572.49099999999976</v>
      </c>
      <c r="CL120" s="236">
        <f t="shared" si="381"/>
        <v>929.21600000000069</v>
      </c>
      <c r="CM120" s="236">
        <f t="shared" si="381"/>
        <v>-585.61700000000076</v>
      </c>
      <c r="CN120" s="236">
        <f>SUM(CN115:CN119)</f>
        <v>34.064999999999728</v>
      </c>
      <c r="CO120" s="236">
        <f>SUM(CO115:CO119)</f>
        <v>-187.49199999999993</v>
      </c>
      <c r="CP120" s="236">
        <f>SUM(CP115:CP119)</f>
        <v>630.20460676950984</v>
      </c>
      <c r="CQ120" s="236">
        <f>SUM(CQ115:CQ119)</f>
        <v>-42.822225902590809</v>
      </c>
      <c r="CR120" s="22"/>
      <c r="CS120" s="14"/>
    </row>
    <row r="121" spans="1:97" ht="14.25" customHeight="1" outlineLevel="1" thickTop="1">
      <c r="A121" s="8"/>
      <c r="B121" s="23"/>
      <c r="C121" s="24"/>
      <c r="D121" s="233"/>
      <c r="E121" s="231"/>
      <c r="F121" s="231"/>
      <c r="G121" s="232"/>
      <c r="H121" s="233"/>
      <c r="I121" s="231"/>
      <c r="J121" s="231"/>
      <c r="K121" s="232"/>
      <c r="L121" s="233"/>
      <c r="M121" s="231"/>
      <c r="N121" s="231"/>
      <c r="O121" s="232"/>
      <c r="P121" s="233"/>
      <c r="Q121" s="231"/>
      <c r="R121" s="231"/>
      <c r="S121" s="232"/>
      <c r="T121" s="233"/>
      <c r="U121" s="231"/>
      <c r="V121" s="231"/>
      <c r="W121" s="232"/>
      <c r="X121" s="233"/>
      <c r="Y121" s="231"/>
      <c r="Z121" s="231"/>
      <c r="AA121" s="232"/>
      <c r="AB121" s="231"/>
      <c r="AC121" s="231"/>
      <c r="AD121" s="231"/>
      <c r="AE121" s="232"/>
      <c r="AF121" s="231"/>
      <c r="AG121" s="231"/>
      <c r="AH121" s="231"/>
      <c r="AI121" s="232"/>
      <c r="AJ121" s="231"/>
      <c r="AK121" s="231"/>
      <c r="AL121" s="231"/>
      <c r="AM121" s="232"/>
      <c r="AN121" s="231"/>
      <c r="AO121" s="231"/>
      <c r="AP121" s="231"/>
      <c r="AQ121" s="232"/>
      <c r="AR121" s="231"/>
      <c r="AS121" s="231"/>
      <c r="AT121" s="231"/>
      <c r="AU121" s="232"/>
      <c r="AV121" s="231"/>
      <c r="AW121" s="231"/>
      <c r="AX121" s="231"/>
      <c r="AY121" s="232"/>
      <c r="AZ121" s="231"/>
      <c r="BA121" s="231"/>
      <c r="BB121" s="231"/>
      <c r="BC121" s="232"/>
      <c r="BD121" s="231"/>
      <c r="BE121" s="231"/>
      <c r="BF121" s="231"/>
      <c r="BG121" s="232"/>
      <c r="BH121" s="231"/>
      <c r="BI121" s="231"/>
      <c r="BJ121" s="231"/>
      <c r="BK121" s="232"/>
      <c r="BL121" s="192"/>
      <c r="BM121" s="231"/>
      <c r="BN121" s="231"/>
      <c r="BO121" s="231"/>
      <c r="BP121" s="231"/>
      <c r="BQ121" s="231"/>
      <c r="BR121" s="231"/>
      <c r="BS121" s="231"/>
      <c r="BT121" s="231"/>
      <c r="BU121" s="231"/>
      <c r="BV121" s="231"/>
      <c r="BW121" s="231"/>
      <c r="BX121" s="231"/>
      <c r="BY121" s="231"/>
      <c r="BZ121" s="231"/>
      <c r="CA121" s="231"/>
      <c r="CB121" s="1023"/>
      <c r="CC121" s="20"/>
      <c r="CD121" s="231"/>
      <c r="CE121" s="231"/>
      <c r="CF121" s="231"/>
      <c r="CG121" s="231"/>
      <c r="CH121" s="231"/>
      <c r="CI121" s="231"/>
      <c r="CJ121" s="231"/>
      <c r="CK121" s="231"/>
      <c r="CL121" s="231"/>
      <c r="CM121" s="231"/>
      <c r="CN121" s="231"/>
      <c r="CO121" s="231"/>
      <c r="CP121" s="231"/>
      <c r="CQ121" s="231"/>
      <c r="CR121" s="22"/>
      <c r="CS121" s="14"/>
    </row>
    <row r="122" spans="1:97" ht="14.25" customHeight="1" outlineLevel="1">
      <c r="A122" s="8"/>
      <c r="B122" s="239" t="s">
        <v>153</v>
      </c>
      <c r="C122" s="240"/>
      <c r="D122" s="233"/>
      <c r="E122" s="241"/>
      <c r="F122" s="241"/>
      <c r="G122" s="232"/>
      <c r="H122" s="233"/>
      <c r="I122" s="241"/>
      <c r="J122" s="241"/>
      <c r="K122" s="232"/>
      <c r="L122" s="233"/>
      <c r="M122" s="241"/>
      <c r="N122" s="241"/>
      <c r="O122" s="232"/>
      <c r="P122" s="233"/>
      <c r="Q122" s="241"/>
      <c r="R122" s="241"/>
      <c r="S122" s="232"/>
      <c r="T122" s="233"/>
      <c r="U122" s="241"/>
      <c r="V122" s="241"/>
      <c r="W122" s="232"/>
      <c r="X122" s="233"/>
      <c r="Y122" s="241"/>
      <c r="Z122" s="241"/>
      <c r="AA122" s="232"/>
      <c r="AB122" s="231"/>
      <c r="AC122" s="231"/>
      <c r="AD122" s="231"/>
      <c r="AE122" s="232"/>
      <c r="AF122" s="231"/>
      <c r="AG122" s="231"/>
      <c r="AH122" s="231"/>
      <c r="AI122" s="232"/>
      <c r="AJ122" s="231"/>
      <c r="AK122" s="231"/>
      <c r="AL122" s="231"/>
      <c r="AM122" s="232"/>
      <c r="AN122" s="231"/>
      <c r="AO122" s="231"/>
      <c r="AP122" s="231"/>
      <c r="AQ122" s="232"/>
      <c r="AR122" s="231"/>
      <c r="AS122" s="231"/>
      <c r="AT122" s="231"/>
      <c r="AU122" s="232"/>
      <c r="AV122" s="231"/>
      <c r="AW122" s="231"/>
      <c r="AX122" s="231"/>
      <c r="AY122" s="232"/>
      <c r="AZ122" s="231"/>
      <c r="BA122" s="231"/>
      <c r="BB122" s="231"/>
      <c r="BC122" s="232"/>
      <c r="BD122" s="231"/>
      <c r="BE122" s="231"/>
      <c r="BF122" s="231"/>
      <c r="BG122" s="232"/>
      <c r="BH122" s="231"/>
      <c r="BI122" s="231"/>
      <c r="BJ122" s="231"/>
      <c r="BK122" s="232"/>
      <c r="BL122" s="192"/>
      <c r="BM122" s="231"/>
      <c r="BN122" s="231"/>
      <c r="BO122" s="231"/>
      <c r="BP122" s="231"/>
      <c r="BQ122" s="231"/>
      <c r="BR122" s="231"/>
      <c r="BS122" s="231"/>
      <c r="BT122" s="231"/>
      <c r="BU122" s="231"/>
      <c r="BV122" s="231"/>
      <c r="BW122" s="231"/>
      <c r="BX122" s="231"/>
      <c r="BY122" s="231"/>
      <c r="BZ122" s="231"/>
      <c r="CA122" s="231"/>
      <c r="CB122" s="1023"/>
      <c r="CC122" s="20"/>
      <c r="CD122" s="231"/>
      <c r="CE122" s="231"/>
      <c r="CF122" s="231"/>
      <c r="CG122" s="231"/>
      <c r="CH122" s="231"/>
      <c r="CI122" s="231"/>
      <c r="CJ122" s="231"/>
      <c r="CK122" s="231"/>
      <c r="CL122" s="231"/>
      <c r="CM122" s="231"/>
      <c r="CN122" s="231"/>
      <c r="CO122" s="231"/>
      <c r="CP122" s="231"/>
      <c r="CQ122" s="231"/>
      <c r="CR122" s="22"/>
      <c r="CS122" s="14"/>
    </row>
    <row r="123" spans="1:97" ht="14.25" customHeight="1" outlineLevel="1">
      <c r="A123" s="8"/>
      <c r="B123" s="28" t="s">
        <v>214</v>
      </c>
      <c r="C123" s="29"/>
      <c r="D123" s="233">
        <v>0</v>
      </c>
      <c r="E123" s="231">
        <v>0</v>
      </c>
      <c r="F123" s="231">
        <v>0</v>
      </c>
      <c r="G123" s="232">
        <v>0</v>
      </c>
      <c r="H123" s="233">
        <v>0</v>
      </c>
      <c r="I123" s="231">
        <v>0</v>
      </c>
      <c r="J123" s="231">
        <v>0</v>
      </c>
      <c r="K123" s="232">
        <v>980</v>
      </c>
      <c r="L123" s="233">
        <v>0</v>
      </c>
      <c r="M123" s="231">
        <v>0</v>
      </c>
      <c r="N123" s="231">
        <v>0</v>
      </c>
      <c r="O123" s="232">
        <v>0</v>
      </c>
      <c r="P123" s="233">
        <v>0</v>
      </c>
      <c r="Q123" s="231">
        <v>0</v>
      </c>
      <c r="R123" s="231">
        <v>-146.32400000000001</v>
      </c>
      <c r="S123" s="232">
        <v>-193.18199999999999</v>
      </c>
      <c r="T123" s="233">
        <v>0</v>
      </c>
      <c r="U123" s="231">
        <v>0</v>
      </c>
      <c r="V123" s="231">
        <v>0</v>
      </c>
      <c r="W123" s="232">
        <v>0</v>
      </c>
      <c r="X123" s="233">
        <v>588</v>
      </c>
      <c r="Y123" s="231">
        <v>587.64400000000001</v>
      </c>
      <c r="Z123" s="231">
        <v>587.64400000000001</v>
      </c>
      <c r="AA123" s="232">
        <v>587.64400000000001</v>
      </c>
      <c r="AB123" s="233">
        <v>0</v>
      </c>
      <c r="AC123" s="231">
        <v>0</v>
      </c>
      <c r="AD123" s="231">
        <v>0</v>
      </c>
      <c r="AE123" s="232">
        <v>0</v>
      </c>
      <c r="AF123" s="233">
        <v>0</v>
      </c>
      <c r="AG123" s="231">
        <v>0</v>
      </c>
      <c r="AH123" s="231">
        <v>0</v>
      </c>
      <c r="AI123" s="232">
        <v>0</v>
      </c>
      <c r="AJ123" s="233">
        <v>0</v>
      </c>
      <c r="AK123" s="231">
        <v>0</v>
      </c>
      <c r="AL123" s="231">
        <v>0</v>
      </c>
      <c r="AM123" s="232">
        <v>990.149</v>
      </c>
      <c r="AN123" s="233">
        <v>0</v>
      </c>
      <c r="AO123" s="231">
        <v>0</v>
      </c>
      <c r="AP123" s="231">
        <v>0</v>
      </c>
      <c r="AQ123" s="232">
        <v>0</v>
      </c>
      <c r="AR123" s="233">
        <v>0</v>
      </c>
      <c r="AS123" s="231">
        <v>0</v>
      </c>
      <c r="AT123" s="231">
        <v>0</v>
      </c>
      <c r="AU123" s="232">
        <v>0</v>
      </c>
      <c r="AV123" s="233">
        <v>0</v>
      </c>
      <c r="AW123" s="231">
        <v>0</v>
      </c>
      <c r="AX123" s="231">
        <v>0</v>
      </c>
      <c r="AY123" s="232">
        <v>-142.08199999999999</v>
      </c>
      <c r="AZ123" s="233">
        <f>745.871-457.918</f>
        <v>287.95299999999997</v>
      </c>
      <c r="BA123" s="231">
        <v>745.17499999999995</v>
      </c>
      <c r="BB123" s="231">
        <v>745.17499999999995</v>
      </c>
      <c r="BC123" s="229">
        <f>BB123+BC41</f>
        <v>745.17499999999995</v>
      </c>
      <c r="BD123" s="228">
        <f>+BD41</f>
        <v>0</v>
      </c>
      <c r="BE123" s="228">
        <f t="shared" ref="BE123:BG127" si="382">BD123+BE41</f>
        <v>0</v>
      </c>
      <c r="BF123" s="228">
        <f t="shared" si="382"/>
        <v>0</v>
      </c>
      <c r="BG123" s="229">
        <f t="shared" si="382"/>
        <v>0</v>
      </c>
      <c r="BH123" s="228">
        <f>+BH41</f>
        <v>0</v>
      </c>
      <c r="BI123" s="228">
        <f t="shared" ref="BI123:BK127" si="383">BH123+BI41</f>
        <v>0</v>
      </c>
      <c r="BJ123" s="228">
        <f t="shared" si="383"/>
        <v>0</v>
      </c>
      <c r="BK123" s="229">
        <f t="shared" si="383"/>
        <v>0</v>
      </c>
      <c r="BL123" s="192"/>
      <c r="BM123" s="228">
        <f>G123</f>
        <v>0</v>
      </c>
      <c r="BN123" s="228">
        <f>K123</f>
        <v>980</v>
      </c>
      <c r="BO123" s="228">
        <f>O123</f>
        <v>0</v>
      </c>
      <c r="BP123" s="228">
        <f>S123</f>
        <v>-193.18199999999999</v>
      </c>
      <c r="BQ123" s="228">
        <f>W123</f>
        <v>0</v>
      </c>
      <c r="BR123" s="228">
        <f>AA123</f>
        <v>587.64400000000001</v>
      </c>
      <c r="BS123" s="228">
        <f>AE123</f>
        <v>0</v>
      </c>
      <c r="BT123" s="228">
        <f>AI123</f>
        <v>0</v>
      </c>
      <c r="BU123" s="228">
        <f>AM123</f>
        <v>990.149</v>
      </c>
      <c r="BV123" s="228">
        <f>AQ123</f>
        <v>0</v>
      </c>
      <c r="BW123" s="228">
        <f>AU123</f>
        <v>0</v>
      </c>
      <c r="BX123" s="228">
        <f>AY123</f>
        <v>-142.08199999999999</v>
      </c>
      <c r="BY123" s="228">
        <f>BC123</f>
        <v>745.17499999999995</v>
      </c>
      <c r="BZ123" s="228">
        <f>BG123</f>
        <v>0</v>
      </c>
      <c r="CA123" s="228">
        <f>BK123</f>
        <v>0</v>
      </c>
      <c r="CB123" s="1021">
        <f>CB41</f>
        <v>0</v>
      </c>
      <c r="CC123" s="20"/>
      <c r="CD123" s="228">
        <f t="shared" ref="CD123:CL123" si="384">CD41</f>
        <v>0</v>
      </c>
      <c r="CE123" s="228">
        <f t="shared" si="384"/>
        <v>980</v>
      </c>
      <c r="CF123" s="228">
        <f t="shared" si="384"/>
        <v>-146.32400000000001</v>
      </c>
      <c r="CG123" s="228">
        <f t="shared" si="384"/>
        <v>-46.857999999999976</v>
      </c>
      <c r="CH123" s="228">
        <f t="shared" si="384"/>
        <v>587.64400000000001</v>
      </c>
      <c r="CI123" s="228">
        <f t="shared" si="384"/>
        <v>0</v>
      </c>
      <c r="CJ123" s="228">
        <f t="shared" si="384"/>
        <v>0</v>
      </c>
      <c r="CK123" s="228">
        <f t="shared" si="384"/>
        <v>0</v>
      </c>
      <c r="CL123" s="228">
        <f t="shared" si="384"/>
        <v>990.149</v>
      </c>
      <c r="CM123" s="228">
        <f t="shared" ref="CM123:CN127" si="385">CM41</f>
        <v>0</v>
      </c>
      <c r="CN123" s="228">
        <f t="shared" si="385"/>
        <v>0</v>
      </c>
      <c r="CO123" s="228">
        <f t="shared" ref="CO123:CP127" si="386">CO41</f>
        <v>603.09299999999996</v>
      </c>
      <c r="CP123" s="228">
        <f t="shared" si="386"/>
        <v>0</v>
      </c>
      <c r="CQ123" s="228">
        <f>CQ41</f>
        <v>0</v>
      </c>
      <c r="CR123" s="22"/>
      <c r="CS123" s="14"/>
    </row>
    <row r="124" spans="1:97" ht="14.25" customHeight="1" outlineLevel="1">
      <c r="A124" s="8"/>
      <c r="B124" s="28" t="s">
        <v>200</v>
      </c>
      <c r="C124" s="29"/>
      <c r="D124" s="233">
        <v>-64.697000000000003</v>
      </c>
      <c r="E124" s="231">
        <v>-151.435</v>
      </c>
      <c r="F124" s="231">
        <v>-276.584</v>
      </c>
      <c r="G124" s="232">
        <v>-401.584</v>
      </c>
      <c r="H124" s="233">
        <v>-125</v>
      </c>
      <c r="I124" s="231">
        <v>-250</v>
      </c>
      <c r="J124" s="231">
        <v>-400</v>
      </c>
      <c r="K124" s="232">
        <v>-1430</v>
      </c>
      <c r="L124" s="233">
        <v>0</v>
      </c>
      <c r="M124" s="231">
        <v>-150</v>
      </c>
      <c r="N124" s="231">
        <v>-350</v>
      </c>
      <c r="O124" s="232">
        <v>-550</v>
      </c>
      <c r="P124" s="233">
        <v>-150</v>
      </c>
      <c r="Q124" s="231">
        <v>-275</v>
      </c>
      <c r="R124" s="231">
        <v>-275</v>
      </c>
      <c r="S124" s="232">
        <v>-275</v>
      </c>
      <c r="T124" s="233">
        <v>0</v>
      </c>
      <c r="U124" s="231">
        <v>0</v>
      </c>
      <c r="V124" s="231">
        <v>-25</v>
      </c>
      <c r="W124" s="232">
        <v>-149.99700000000001</v>
      </c>
      <c r="X124" s="233">
        <v>-433.33300000000003</v>
      </c>
      <c r="Y124" s="231">
        <v>-466.30900000000003</v>
      </c>
      <c r="Z124" s="231">
        <v>-468.94299999999998</v>
      </c>
      <c r="AA124" s="232">
        <v>-468.94299999999998</v>
      </c>
      <c r="AB124" s="233">
        <v>-65.653999999999996</v>
      </c>
      <c r="AC124" s="231">
        <v>-177.191</v>
      </c>
      <c r="AD124" s="231">
        <f>-219.638</f>
        <v>-219.63800000000001</v>
      </c>
      <c r="AE124" s="232">
        <v>-219.63800000000001</v>
      </c>
      <c r="AF124" s="233">
        <v>-90.706999999999994</v>
      </c>
      <c r="AG124" s="231">
        <v>-178.148</v>
      </c>
      <c r="AH124" s="231">
        <v>-197.75</v>
      </c>
      <c r="AI124" s="232">
        <v>-197.68899999999999</v>
      </c>
      <c r="AJ124" s="233">
        <v>0</v>
      </c>
      <c r="AK124" s="231">
        <v>-69.980999999999995</v>
      </c>
      <c r="AL124" s="231">
        <v>-167.12100000000001</v>
      </c>
      <c r="AM124" s="232">
        <v>-241.07599999999999</v>
      </c>
      <c r="AN124" s="233">
        <v>-101.01600000000001</v>
      </c>
      <c r="AO124" s="231">
        <v>-301.01499999999999</v>
      </c>
      <c r="AP124" s="231">
        <v>-476.012</v>
      </c>
      <c r="AQ124" s="232">
        <v>-651.00599999999997</v>
      </c>
      <c r="AR124" s="233">
        <v>-100</v>
      </c>
      <c r="AS124" s="231">
        <v>-199.99799999999999</v>
      </c>
      <c r="AT124" s="231">
        <v>-299.99799999999999</v>
      </c>
      <c r="AU124" s="232">
        <v>-443.18099999999998</v>
      </c>
      <c r="AV124" s="233">
        <v>-100.154</v>
      </c>
      <c r="AW124" s="231">
        <v>-200.13900000000001</v>
      </c>
      <c r="AX124" s="231">
        <v>-413.983</v>
      </c>
      <c r="AY124" s="232">
        <v>-522.04499999999996</v>
      </c>
      <c r="AZ124" s="233">
        <v>-67.061999999999998</v>
      </c>
      <c r="BA124" s="231">
        <v>-237.51599999999999</v>
      </c>
      <c r="BB124" s="231">
        <v>-310.80599999999998</v>
      </c>
      <c r="BC124" s="232">
        <v>-474.25400000000002</v>
      </c>
      <c r="BD124" s="228">
        <f>+BD42</f>
        <v>-100</v>
      </c>
      <c r="BE124" s="228">
        <f t="shared" si="382"/>
        <v>-200</v>
      </c>
      <c r="BF124" s="228">
        <f t="shared" si="382"/>
        <v>-300</v>
      </c>
      <c r="BG124" s="229">
        <f t="shared" si="382"/>
        <v>-400</v>
      </c>
      <c r="BH124" s="228">
        <f>+BH42</f>
        <v>-100</v>
      </c>
      <c r="BI124" s="228">
        <f t="shared" si="383"/>
        <v>-200</v>
      </c>
      <c r="BJ124" s="228">
        <f t="shared" si="383"/>
        <v>-300</v>
      </c>
      <c r="BK124" s="229">
        <f t="shared" si="383"/>
        <v>-400</v>
      </c>
      <c r="BL124" s="192"/>
      <c r="BM124" s="228">
        <f>G124</f>
        <v>-401.584</v>
      </c>
      <c r="BN124" s="228">
        <f>K124</f>
        <v>-1430</v>
      </c>
      <c r="BO124" s="228">
        <f>O124</f>
        <v>-550</v>
      </c>
      <c r="BP124" s="228">
        <f>S124</f>
        <v>-275</v>
      </c>
      <c r="BQ124" s="228">
        <f>W124</f>
        <v>-149.99700000000001</v>
      </c>
      <c r="BR124" s="228">
        <f>AA124</f>
        <v>-468.94299999999998</v>
      </c>
      <c r="BS124" s="228">
        <f>AE124</f>
        <v>-219.63800000000001</v>
      </c>
      <c r="BT124" s="228">
        <f>AI124</f>
        <v>-197.68899999999999</v>
      </c>
      <c r="BU124" s="228">
        <f>AM124</f>
        <v>-241.07599999999999</v>
      </c>
      <c r="BV124" s="228">
        <f>AQ124</f>
        <v>-651.00599999999997</v>
      </c>
      <c r="BW124" s="228">
        <f>AU124</f>
        <v>-443.18099999999998</v>
      </c>
      <c r="BX124" s="228">
        <f>AY124</f>
        <v>-522.04499999999996</v>
      </c>
      <c r="BY124" s="228">
        <f>BC124</f>
        <v>-474.25400000000002</v>
      </c>
      <c r="BZ124" s="228">
        <f>BG124</f>
        <v>-400</v>
      </c>
      <c r="CA124" s="228">
        <f>BK124</f>
        <v>-400</v>
      </c>
      <c r="CB124" s="1021">
        <f>CB42</f>
        <v>-400</v>
      </c>
      <c r="CC124" s="20"/>
      <c r="CD124" s="228">
        <f t="shared" ref="CD124:CL124" si="387">CD42</f>
        <v>-525</v>
      </c>
      <c r="CE124" s="228">
        <f t="shared" si="387"/>
        <v>-1380</v>
      </c>
      <c r="CF124" s="228">
        <f t="shared" si="387"/>
        <v>-475</v>
      </c>
      <c r="CG124" s="228">
        <f t="shared" si="387"/>
        <v>-25</v>
      </c>
      <c r="CH124" s="228">
        <f t="shared" si="387"/>
        <v>-593.94000000000005</v>
      </c>
      <c r="CI124" s="228">
        <f t="shared" si="387"/>
        <v>-219.63800000000001</v>
      </c>
      <c r="CJ124" s="228">
        <f t="shared" si="387"/>
        <v>-197.75</v>
      </c>
      <c r="CK124" s="228">
        <f t="shared" si="387"/>
        <v>-167.06</v>
      </c>
      <c r="CL124" s="228">
        <f t="shared" si="387"/>
        <v>-549.96699999999998</v>
      </c>
      <c r="CM124" s="228">
        <f t="shared" si="385"/>
        <v>-474.99199999999996</v>
      </c>
      <c r="CN124" s="228">
        <f t="shared" si="385"/>
        <v>-557.16599999999994</v>
      </c>
      <c r="CO124" s="228">
        <f t="shared" si="386"/>
        <v>-418.86799999999994</v>
      </c>
      <c r="CP124" s="228">
        <f t="shared" si="386"/>
        <v>-463.44800000000004</v>
      </c>
      <c r="CQ124" s="228">
        <f>CQ42</f>
        <v>-400</v>
      </c>
      <c r="CR124" s="22"/>
      <c r="CS124" s="14"/>
    </row>
    <row r="125" spans="1:97" ht="14.25" customHeight="1" outlineLevel="1">
      <c r="A125" s="8"/>
      <c r="B125" s="28" t="s">
        <v>224</v>
      </c>
      <c r="C125" s="29"/>
      <c r="D125" s="233">
        <v>13.16</v>
      </c>
      <c r="E125" s="231">
        <v>46.08</v>
      </c>
      <c r="F125" s="231">
        <v>59.716000000000001</v>
      </c>
      <c r="G125" s="232">
        <v>100.949</v>
      </c>
      <c r="H125" s="233">
        <v>28.678999999999998</v>
      </c>
      <c r="I125" s="231">
        <v>55.642000000000003</v>
      </c>
      <c r="J125" s="231">
        <v>85.117000000000004</v>
      </c>
      <c r="K125" s="232">
        <v>128.136</v>
      </c>
      <c r="L125" s="233">
        <v>40.203000000000003</v>
      </c>
      <c r="M125" s="231">
        <v>68.563000000000002</v>
      </c>
      <c r="N125" s="231">
        <v>78.337999999999994</v>
      </c>
      <c r="O125" s="232">
        <v>125.61199999999999</v>
      </c>
      <c r="P125" s="233">
        <v>28.667000000000002</v>
      </c>
      <c r="Q125" s="231">
        <v>76.828000000000003</v>
      </c>
      <c r="R125" s="231">
        <v>79.62</v>
      </c>
      <c r="S125" s="232">
        <v>99.858999999999995</v>
      </c>
      <c r="T125" s="233">
        <v>0.436</v>
      </c>
      <c r="U125" s="231">
        <v>15.917999999999999</v>
      </c>
      <c r="V125" s="231">
        <v>29.035</v>
      </c>
      <c r="W125" s="232">
        <v>64.870999999999995</v>
      </c>
      <c r="X125" s="233">
        <v>4.7960000000000003</v>
      </c>
      <c r="Y125" s="231">
        <v>45.554000000000002</v>
      </c>
      <c r="Z125" s="231">
        <v>69.947000000000003</v>
      </c>
      <c r="AA125" s="232">
        <v>170.35300000000001</v>
      </c>
      <c r="AB125" s="233">
        <v>25.420999999999999</v>
      </c>
      <c r="AC125" s="231">
        <v>51.890999999999998</v>
      </c>
      <c r="AD125" s="231">
        <f>63.263</f>
        <v>63.262999999999998</v>
      </c>
      <c r="AE125" s="232">
        <v>108.663</v>
      </c>
      <c r="AF125" s="233">
        <v>8.2210000000000001</v>
      </c>
      <c r="AG125" s="231">
        <v>32.887999999999998</v>
      </c>
      <c r="AH125" s="231">
        <v>51.95</v>
      </c>
      <c r="AI125" s="232">
        <v>107.71599999999999</v>
      </c>
      <c r="AJ125" s="233">
        <v>31.936</v>
      </c>
      <c r="AK125" s="231">
        <v>125.968</v>
      </c>
      <c r="AL125" s="231">
        <v>137.363</v>
      </c>
      <c r="AM125" s="232">
        <v>238.15799999999999</v>
      </c>
      <c r="AN125" s="233">
        <v>14.195</v>
      </c>
      <c r="AO125" s="231">
        <v>5.532</v>
      </c>
      <c r="AP125" s="231">
        <v>19.338000000000001</v>
      </c>
      <c r="AQ125" s="232">
        <v>52.661000000000001</v>
      </c>
      <c r="AR125" s="233">
        <v>18.443999999999999</v>
      </c>
      <c r="AS125" s="231">
        <v>14.823</v>
      </c>
      <c r="AT125" s="231">
        <v>21.72</v>
      </c>
      <c r="AU125" s="232">
        <v>51.094000000000001</v>
      </c>
      <c r="AV125" s="233">
        <v>11.297000000000001</v>
      </c>
      <c r="AW125" s="231">
        <v>9.5129999999999999</v>
      </c>
      <c r="AX125" s="231">
        <v>10.708</v>
      </c>
      <c r="AY125" s="232">
        <f>68.184-35.392</f>
        <v>32.791999999999994</v>
      </c>
      <c r="AZ125" s="233">
        <v>2.0030000000000001</v>
      </c>
      <c r="BA125" s="231">
        <v>19.358000000000001</v>
      </c>
      <c r="BB125" s="231">
        <v>19.602</v>
      </c>
      <c r="BC125" s="229">
        <f>BB125+BC43</f>
        <v>19.602</v>
      </c>
      <c r="BD125" s="228">
        <f>+BD43</f>
        <v>0</v>
      </c>
      <c r="BE125" s="228">
        <f t="shared" si="382"/>
        <v>0</v>
      </c>
      <c r="BF125" s="228">
        <f t="shared" si="382"/>
        <v>0</v>
      </c>
      <c r="BG125" s="229">
        <f t="shared" si="382"/>
        <v>0</v>
      </c>
      <c r="BH125" s="228">
        <f>+BH43</f>
        <v>0</v>
      </c>
      <c r="BI125" s="228">
        <f t="shared" si="383"/>
        <v>0</v>
      </c>
      <c r="BJ125" s="228">
        <f t="shared" si="383"/>
        <v>0</v>
      </c>
      <c r="BK125" s="229">
        <f t="shared" si="383"/>
        <v>0</v>
      </c>
      <c r="BL125" s="192"/>
      <c r="BM125" s="228">
        <f>G125</f>
        <v>100.949</v>
      </c>
      <c r="BN125" s="228">
        <f>K125</f>
        <v>128.136</v>
      </c>
      <c r="BO125" s="228">
        <f>O125</f>
        <v>125.61199999999999</v>
      </c>
      <c r="BP125" s="228">
        <f>S125</f>
        <v>99.858999999999995</v>
      </c>
      <c r="BQ125" s="228">
        <f>W125</f>
        <v>64.870999999999995</v>
      </c>
      <c r="BR125" s="228">
        <f>AA125</f>
        <v>170.35300000000001</v>
      </c>
      <c r="BS125" s="228">
        <f>AE125</f>
        <v>108.663</v>
      </c>
      <c r="BT125" s="228">
        <f>AI125</f>
        <v>107.71599999999999</v>
      </c>
      <c r="BU125" s="228">
        <f>AM125</f>
        <v>238.15799999999999</v>
      </c>
      <c r="BV125" s="228">
        <f>AQ125</f>
        <v>52.661000000000001</v>
      </c>
      <c r="BW125" s="228">
        <f>AU125</f>
        <v>51.094000000000001</v>
      </c>
      <c r="BX125" s="228">
        <f>AY125</f>
        <v>32.791999999999994</v>
      </c>
      <c r="BY125" s="228">
        <f>BC125</f>
        <v>19.602</v>
      </c>
      <c r="BZ125" s="228">
        <f>BG125</f>
        <v>0</v>
      </c>
      <c r="CA125" s="228">
        <f>BK125</f>
        <v>0</v>
      </c>
      <c r="CB125" s="1021">
        <f>CB43</f>
        <v>0</v>
      </c>
      <c r="CC125" s="20"/>
      <c r="CD125" s="228">
        <f t="shared" ref="CD125:CL125" si="388">CD43</f>
        <v>126.35000000000001</v>
      </c>
      <c r="CE125" s="228">
        <f t="shared" si="388"/>
        <v>121.35699999999999</v>
      </c>
      <c r="CF125" s="228">
        <f t="shared" si="388"/>
        <v>126.89400000000001</v>
      </c>
      <c r="CG125" s="228">
        <f t="shared" si="388"/>
        <v>49.273999999999987</v>
      </c>
      <c r="CH125" s="228">
        <f t="shared" si="388"/>
        <v>105.78299999999999</v>
      </c>
      <c r="CI125" s="228">
        <f t="shared" si="388"/>
        <v>163.66899999999998</v>
      </c>
      <c r="CJ125" s="228">
        <f t="shared" si="388"/>
        <v>97.35</v>
      </c>
      <c r="CK125" s="228">
        <f t="shared" si="388"/>
        <v>193.12899999999999</v>
      </c>
      <c r="CL125" s="228">
        <f t="shared" si="388"/>
        <v>120.13299999999998</v>
      </c>
      <c r="CM125" s="228">
        <f t="shared" si="385"/>
        <v>55.042999999999999</v>
      </c>
      <c r="CN125" s="228">
        <f t="shared" si="385"/>
        <v>40.082000000000001</v>
      </c>
      <c r="CO125" s="228">
        <f t="shared" si="386"/>
        <v>41.685999999999993</v>
      </c>
      <c r="CP125" s="228">
        <f t="shared" si="386"/>
        <v>0</v>
      </c>
      <c r="CQ125" s="228">
        <f>CQ43</f>
        <v>0</v>
      </c>
      <c r="CR125" s="22"/>
      <c r="CS125" s="14"/>
    </row>
    <row r="126" spans="1:97" ht="14.25" customHeight="1" outlineLevel="1">
      <c r="A126" s="8"/>
      <c r="B126" s="28" t="s">
        <v>225</v>
      </c>
      <c r="C126" s="29"/>
      <c r="D126" s="233">
        <v>-24.555</v>
      </c>
      <c r="E126" s="231">
        <v>-49.094000000000001</v>
      </c>
      <c r="F126" s="231">
        <v>-73.075999999999993</v>
      </c>
      <c r="G126" s="232">
        <v>-97.19</v>
      </c>
      <c r="H126" s="233">
        <v>-30.83</v>
      </c>
      <c r="I126" s="231">
        <v>-61.161000000000001</v>
      </c>
      <c r="J126" s="231">
        <v>-91.22</v>
      </c>
      <c r="K126" s="232">
        <v>-120.833</v>
      </c>
      <c r="L126" s="233">
        <v>-35.718000000000004</v>
      </c>
      <c r="M126" s="231">
        <v>-71.400999999999996</v>
      </c>
      <c r="N126" s="231">
        <v>-105.881</v>
      </c>
      <c r="O126" s="232">
        <v>-139.97399999999999</v>
      </c>
      <c r="P126" s="233">
        <v>-38.927999999999997</v>
      </c>
      <c r="Q126" s="231">
        <v>-77.625</v>
      </c>
      <c r="R126" s="231">
        <v>-115.982</v>
      </c>
      <c r="S126" s="232">
        <v>-154.53399999999999</v>
      </c>
      <c r="T126" s="233">
        <v>-38.573999999999998</v>
      </c>
      <c r="U126" s="231">
        <v>-77.317999999999998</v>
      </c>
      <c r="V126" s="231">
        <v>-121.617</v>
      </c>
      <c r="W126" s="232">
        <v>-165.648</v>
      </c>
      <c r="X126" s="233">
        <v>-43.817</v>
      </c>
      <c r="Y126" s="231">
        <v>-85.462000000000003</v>
      </c>
      <c r="Z126" s="231">
        <v>-126.95099999999999</v>
      </c>
      <c r="AA126" s="232">
        <v>-169.072</v>
      </c>
      <c r="AB126" s="233">
        <v>-50.456000000000003</v>
      </c>
      <c r="AC126" s="231">
        <v>-100.804</v>
      </c>
      <c r="AD126" s="231">
        <f>-150.37</f>
        <v>-150.37</v>
      </c>
      <c r="AE126" s="232">
        <v>-200.36099999999999</v>
      </c>
      <c r="AF126" s="233">
        <v>-58.066000000000003</v>
      </c>
      <c r="AG126" s="231">
        <v>-115.321</v>
      </c>
      <c r="AH126" s="231">
        <v>-172.64699999999999</v>
      </c>
      <c r="AI126" s="232">
        <v>-230.46899999999999</v>
      </c>
      <c r="AJ126" s="233">
        <v>-66.007000000000005</v>
      </c>
      <c r="AK126" s="231">
        <v>-133.20500000000001</v>
      </c>
      <c r="AL126" s="231">
        <v>-200.30099999999999</v>
      </c>
      <c r="AM126" s="232">
        <v>-267.34300000000002</v>
      </c>
      <c r="AN126" s="233">
        <v>-77.421000000000006</v>
      </c>
      <c r="AO126" s="231">
        <v>-154.37799999999999</v>
      </c>
      <c r="AP126" s="231">
        <v>-230.55</v>
      </c>
      <c r="AQ126" s="232">
        <v>-306.15800000000002</v>
      </c>
      <c r="AR126" s="233">
        <v>-80.206000000000003</v>
      </c>
      <c r="AS126" s="231">
        <v>-160.40199999999999</v>
      </c>
      <c r="AT126" s="231">
        <v>-240.11099999999999</v>
      </c>
      <c r="AU126" s="232">
        <v>-318.988</v>
      </c>
      <c r="AV126" s="233">
        <v>-83.599000000000004</v>
      </c>
      <c r="AW126" s="231">
        <v>-167.477</v>
      </c>
      <c r="AX126" s="231">
        <v>-250.733</v>
      </c>
      <c r="AY126" s="232">
        <v>-332.54199999999997</v>
      </c>
      <c r="AZ126" s="233">
        <v>-87.302999999999997</v>
      </c>
      <c r="BA126" s="231">
        <v>-174.26</v>
      </c>
      <c r="BB126" s="231">
        <v>-263.75099999999998</v>
      </c>
      <c r="BC126" s="232">
        <v>-353.053</v>
      </c>
      <c r="BD126" s="228">
        <f>+BD44</f>
        <v>-89.302000000000021</v>
      </c>
      <c r="BE126" s="228">
        <f t="shared" si="382"/>
        <v>-178.60400000000004</v>
      </c>
      <c r="BF126" s="228">
        <f t="shared" si="382"/>
        <v>-267.90600000000006</v>
      </c>
      <c r="BG126" s="229">
        <f t="shared" si="382"/>
        <v>-357.20800000000008</v>
      </c>
      <c r="BH126" s="228">
        <f>+BH44</f>
        <v>-89.302000000000021</v>
      </c>
      <c r="BI126" s="228">
        <f t="shared" si="383"/>
        <v>-178.60400000000004</v>
      </c>
      <c r="BJ126" s="228">
        <f t="shared" si="383"/>
        <v>-267.90600000000006</v>
      </c>
      <c r="BK126" s="229">
        <f t="shared" si="383"/>
        <v>-357.20800000000008</v>
      </c>
      <c r="BL126" s="192"/>
      <c r="BM126" s="228">
        <f>G126</f>
        <v>-97.19</v>
      </c>
      <c r="BN126" s="228">
        <f>K126</f>
        <v>-120.833</v>
      </c>
      <c r="BO126" s="228">
        <f>O126</f>
        <v>-139.97399999999999</v>
      </c>
      <c r="BP126" s="228">
        <f>S126</f>
        <v>-154.53399999999999</v>
      </c>
      <c r="BQ126" s="228">
        <f>W126</f>
        <v>-165.648</v>
      </c>
      <c r="BR126" s="228">
        <f>AA126</f>
        <v>-169.072</v>
      </c>
      <c r="BS126" s="228">
        <f>AE126</f>
        <v>-200.36099999999999</v>
      </c>
      <c r="BT126" s="228">
        <f>AI126</f>
        <v>-230.46899999999999</v>
      </c>
      <c r="BU126" s="228">
        <f>AM126</f>
        <v>-267.34300000000002</v>
      </c>
      <c r="BV126" s="228">
        <f>AQ126</f>
        <v>-306.15800000000002</v>
      </c>
      <c r="BW126" s="228">
        <f>AU126</f>
        <v>-318.988</v>
      </c>
      <c r="BX126" s="228">
        <f>AY126</f>
        <v>-332.54199999999997</v>
      </c>
      <c r="BY126" s="228">
        <f>BC126</f>
        <v>-353.053</v>
      </c>
      <c r="BZ126" s="228">
        <f>BG126</f>
        <v>-357.20800000000008</v>
      </c>
      <c r="CA126" s="228">
        <f>BK126</f>
        <v>-357.20800000000008</v>
      </c>
      <c r="CB126" s="1021">
        <f>CB44</f>
        <v>-243.76</v>
      </c>
      <c r="CC126" s="20"/>
      <c r="CD126" s="228">
        <f t="shared" ref="CD126:CL126" si="389">CD44</f>
        <v>-115.334</v>
      </c>
      <c r="CE126" s="228">
        <f t="shared" si="389"/>
        <v>-135.494</v>
      </c>
      <c r="CF126" s="228">
        <f t="shared" si="389"/>
        <v>-150.07499999999999</v>
      </c>
      <c r="CG126" s="228">
        <f t="shared" si="389"/>
        <v>-160.16899999999998</v>
      </c>
      <c r="CH126" s="228">
        <f t="shared" si="389"/>
        <v>-170.98199999999997</v>
      </c>
      <c r="CI126" s="228">
        <f t="shared" si="389"/>
        <v>-192.49100000000001</v>
      </c>
      <c r="CJ126" s="228">
        <f t="shared" si="389"/>
        <v>-222.63799999999998</v>
      </c>
      <c r="CK126" s="228">
        <f t="shared" si="389"/>
        <v>-258.12299999999999</v>
      </c>
      <c r="CL126" s="228">
        <f t="shared" si="389"/>
        <v>-297.59200000000004</v>
      </c>
      <c r="CM126" s="228">
        <f t="shared" si="385"/>
        <v>-315.71899999999999</v>
      </c>
      <c r="CN126" s="228">
        <f t="shared" si="385"/>
        <v>-329.61</v>
      </c>
      <c r="CO126" s="228">
        <f t="shared" si="386"/>
        <v>-345.55999999999995</v>
      </c>
      <c r="CP126" s="228">
        <f t="shared" si="386"/>
        <v>-357.20800000000008</v>
      </c>
      <c r="CQ126" s="228">
        <f>CQ44</f>
        <v>-357.20800000000008</v>
      </c>
      <c r="CR126" s="22"/>
      <c r="CS126" s="14"/>
    </row>
    <row r="127" spans="1:97" ht="14.25" customHeight="1" outlineLevel="1">
      <c r="A127" s="11"/>
      <c r="B127" s="28" t="s">
        <v>176</v>
      </c>
      <c r="C127" s="29"/>
      <c r="D127" s="233">
        <v>0</v>
      </c>
      <c r="E127" s="231">
        <v>0</v>
      </c>
      <c r="F127" s="231">
        <v>0</v>
      </c>
      <c r="G127" s="232">
        <v>0</v>
      </c>
      <c r="H127" s="233">
        <v>8.8829999999999991</v>
      </c>
      <c r="I127" s="231">
        <v>13.057</v>
      </c>
      <c r="J127" s="231">
        <v>19.056000000000001</v>
      </c>
      <c r="K127" s="232">
        <v>27.413</v>
      </c>
      <c r="L127" s="233">
        <v>7.843</v>
      </c>
      <c r="M127" s="231">
        <v>10.221</v>
      </c>
      <c r="N127" s="231">
        <v>12.055999999999999</v>
      </c>
      <c r="O127" s="232">
        <v>22.459</v>
      </c>
      <c r="P127" s="233">
        <v>2.8639999999999999</v>
      </c>
      <c r="Q127" s="231">
        <v>4.5590000000000002</v>
      </c>
      <c r="R127" s="231">
        <v>4.7590000000000003</v>
      </c>
      <c r="S127" s="232">
        <v>4.7789999999999999</v>
      </c>
      <c r="T127" s="233">
        <v>-16.492000000000001</v>
      </c>
      <c r="U127" s="231">
        <v>-16.297000000000001</v>
      </c>
      <c r="V127" s="231">
        <v>-15.868</v>
      </c>
      <c r="W127" s="232">
        <v>-1.3149999999999999</v>
      </c>
      <c r="X127" s="233">
        <f>-112.319+46.908+1.021</f>
        <v>-64.39</v>
      </c>
      <c r="Y127" s="231">
        <f>-112.319+46.908+2.079</f>
        <v>-63.332000000000001</v>
      </c>
      <c r="Z127" s="231">
        <f>-112.319+46.908+30.214+2.677</f>
        <v>-32.520000000000003</v>
      </c>
      <c r="AA127" s="232">
        <f>7.406-112.319+46.908+30.214</f>
        <v>-27.790999999999997</v>
      </c>
      <c r="AB127" s="233">
        <v>6.0289999999999999</v>
      </c>
      <c r="AC127" s="231">
        <v>7.9279999999999999</v>
      </c>
      <c r="AD127" s="231">
        <f>8.573</f>
        <v>8.5730000000000004</v>
      </c>
      <c r="AE127" s="232">
        <v>11.957000000000001</v>
      </c>
      <c r="AF127" s="233">
        <v>0.80600000000000005</v>
      </c>
      <c r="AG127" s="231">
        <v>4.766</v>
      </c>
      <c r="AH127" s="231">
        <v>6.3120000000000003</v>
      </c>
      <c r="AI127" s="232">
        <v>10.156000000000001</v>
      </c>
      <c r="AJ127" s="233">
        <v>2.0209999999999999</v>
      </c>
      <c r="AK127" s="231">
        <v>18.914000000000001</v>
      </c>
      <c r="AL127" s="231">
        <v>20.248000000000001</v>
      </c>
      <c r="AM127" s="232">
        <f>30.754-1234.086</f>
        <v>-1203.3320000000001</v>
      </c>
      <c r="AN127" s="233">
        <v>2.66</v>
      </c>
      <c r="AO127" s="231">
        <v>13.775</v>
      </c>
      <c r="AP127" s="231">
        <v>16.669</v>
      </c>
      <c r="AQ127" s="232">
        <v>19.661999999999999</v>
      </c>
      <c r="AR127" s="233">
        <v>3.839</v>
      </c>
      <c r="AS127" s="231">
        <v>10.455</v>
      </c>
      <c r="AT127" s="231">
        <v>12.326000000000001</v>
      </c>
      <c r="AU127" s="232">
        <v>16.152999999999999</v>
      </c>
      <c r="AV127" s="233">
        <v>0</v>
      </c>
      <c r="AW127" s="231">
        <v>0</v>
      </c>
      <c r="AX127" s="231">
        <v>-0.66300000000000003</v>
      </c>
      <c r="AY127" s="232">
        <v>-1.325</v>
      </c>
      <c r="AZ127" s="233">
        <f>-0.933-0.663</f>
        <v>-1.5960000000000001</v>
      </c>
      <c r="BA127" s="231">
        <f>-457.918-1.325-42.053</f>
        <v>-501.29599999999999</v>
      </c>
      <c r="BB127" s="231">
        <f>-1.988-457.918-44.428</f>
        <v>-504.334</v>
      </c>
      <c r="BC127" s="229">
        <f>BB127+BC45</f>
        <v>-504.334</v>
      </c>
      <c r="BD127" s="228">
        <f>+BD45</f>
        <v>0</v>
      </c>
      <c r="BE127" s="228">
        <f t="shared" si="382"/>
        <v>0</v>
      </c>
      <c r="BF127" s="228">
        <f t="shared" si="382"/>
        <v>0</v>
      </c>
      <c r="BG127" s="229">
        <f t="shared" si="382"/>
        <v>0</v>
      </c>
      <c r="BH127" s="228">
        <f>+BH45</f>
        <v>0</v>
      </c>
      <c r="BI127" s="228">
        <f t="shared" si="383"/>
        <v>0</v>
      </c>
      <c r="BJ127" s="228">
        <f t="shared" si="383"/>
        <v>0</v>
      </c>
      <c r="BK127" s="229">
        <f t="shared" si="383"/>
        <v>0</v>
      </c>
      <c r="BL127" s="192"/>
      <c r="BM127" s="228">
        <f>G127</f>
        <v>0</v>
      </c>
      <c r="BN127" s="228">
        <f>K127</f>
        <v>27.413</v>
      </c>
      <c r="BO127" s="228">
        <f>O127</f>
        <v>22.459</v>
      </c>
      <c r="BP127" s="228">
        <f>S127</f>
        <v>4.7789999999999999</v>
      </c>
      <c r="BQ127" s="228">
        <f>W127</f>
        <v>-1.3149999999999999</v>
      </c>
      <c r="BR127" s="228">
        <f>AA127</f>
        <v>-27.790999999999997</v>
      </c>
      <c r="BS127" s="228">
        <f>AE127</f>
        <v>11.957000000000001</v>
      </c>
      <c r="BT127" s="228">
        <f>AI127</f>
        <v>10.156000000000001</v>
      </c>
      <c r="BU127" s="228">
        <f>AM127</f>
        <v>-1203.3320000000001</v>
      </c>
      <c r="BV127" s="228">
        <f>AQ127</f>
        <v>19.661999999999999</v>
      </c>
      <c r="BW127" s="228">
        <f>AU127</f>
        <v>16.152999999999999</v>
      </c>
      <c r="BX127" s="228">
        <f>AY127</f>
        <v>-1.325</v>
      </c>
      <c r="BY127" s="228">
        <f>BC127</f>
        <v>-504.334</v>
      </c>
      <c r="BZ127" s="228">
        <f>BG127</f>
        <v>0</v>
      </c>
      <c r="CA127" s="228">
        <f>BK127</f>
        <v>0</v>
      </c>
      <c r="CB127" s="1021">
        <f>CB45</f>
        <v>0</v>
      </c>
      <c r="CC127" s="192"/>
      <c r="CD127" s="228">
        <f t="shared" ref="CD127:CL127" si="390">CD45</f>
        <v>19.056000000000001</v>
      </c>
      <c r="CE127" s="228">
        <f t="shared" si="390"/>
        <v>20.413000000000004</v>
      </c>
      <c r="CF127" s="228">
        <f t="shared" si="390"/>
        <v>15.162000000000003</v>
      </c>
      <c r="CG127" s="228">
        <f t="shared" si="390"/>
        <v>-15.848000000000003</v>
      </c>
      <c r="CH127" s="228">
        <f t="shared" si="390"/>
        <v>-17.966999999999999</v>
      </c>
      <c r="CI127" s="228">
        <f t="shared" si="390"/>
        <v>13.302000000000007</v>
      </c>
      <c r="CJ127" s="228">
        <f t="shared" si="390"/>
        <v>9.6960000000000015</v>
      </c>
      <c r="CK127" s="228">
        <f t="shared" si="390"/>
        <v>24.091999999999999</v>
      </c>
      <c r="CL127" s="228">
        <f t="shared" si="390"/>
        <v>-1206.9110000000001</v>
      </c>
      <c r="CM127" s="228">
        <f t="shared" si="385"/>
        <v>15.319000000000001</v>
      </c>
      <c r="CN127" s="228">
        <f t="shared" si="385"/>
        <v>3.1639999999999988</v>
      </c>
      <c r="CO127" s="228">
        <f t="shared" si="386"/>
        <v>-504.99599999999998</v>
      </c>
      <c r="CP127" s="228">
        <f t="shared" si="386"/>
        <v>0</v>
      </c>
      <c r="CQ127" s="228">
        <f>CQ45</f>
        <v>0</v>
      </c>
      <c r="CR127" s="23"/>
      <c r="CS127" s="71"/>
    </row>
    <row r="128" spans="1:97" ht="14.25" customHeight="1" outlineLevel="1" thickBot="1">
      <c r="A128" s="8"/>
      <c r="B128" s="234" t="s">
        <v>154</v>
      </c>
      <c r="C128" s="235"/>
      <c r="D128" s="237">
        <f t="shared" ref="D128:AQ128" si="391">SUM(D123:D127)</f>
        <v>-76.092000000000013</v>
      </c>
      <c r="E128" s="236">
        <f t="shared" si="391"/>
        <v>-154.44900000000001</v>
      </c>
      <c r="F128" s="236">
        <f t="shared" si="391"/>
        <v>-289.94399999999996</v>
      </c>
      <c r="G128" s="238">
        <f t="shared" si="391"/>
        <v>-397.82499999999999</v>
      </c>
      <c r="H128" s="237">
        <f t="shared" si="391"/>
        <v>-118.268</v>
      </c>
      <c r="I128" s="236">
        <f t="shared" si="391"/>
        <v>-242.46200000000002</v>
      </c>
      <c r="J128" s="236">
        <f t="shared" si="391"/>
        <v>-387.04699999999997</v>
      </c>
      <c r="K128" s="238">
        <f t="shared" si="391"/>
        <v>-415.28399999999999</v>
      </c>
      <c r="L128" s="237">
        <f t="shared" si="391"/>
        <v>12.327999999999999</v>
      </c>
      <c r="M128" s="236">
        <f t="shared" si="391"/>
        <v>-142.61699999999999</v>
      </c>
      <c r="N128" s="236">
        <f t="shared" si="391"/>
        <v>-365.48700000000002</v>
      </c>
      <c r="O128" s="238">
        <f t="shared" si="391"/>
        <v>-541.90300000000013</v>
      </c>
      <c r="P128" s="237">
        <f t="shared" si="391"/>
        <v>-157.39699999999999</v>
      </c>
      <c r="Q128" s="236">
        <f t="shared" si="391"/>
        <v>-271.238</v>
      </c>
      <c r="R128" s="236">
        <f t="shared" si="391"/>
        <v>-452.92700000000002</v>
      </c>
      <c r="S128" s="238">
        <f t="shared" si="391"/>
        <v>-518.07799999999997</v>
      </c>
      <c r="T128" s="237">
        <f t="shared" si="391"/>
        <v>-54.629999999999995</v>
      </c>
      <c r="U128" s="236">
        <f t="shared" si="391"/>
        <v>-77.697000000000003</v>
      </c>
      <c r="V128" s="236">
        <f t="shared" si="391"/>
        <v>-133.45000000000002</v>
      </c>
      <c r="W128" s="238">
        <f t="shared" si="391"/>
        <v>-252.089</v>
      </c>
      <c r="X128" s="237">
        <f t="shared" si="391"/>
        <v>51.255999999999958</v>
      </c>
      <c r="Y128" s="236">
        <f t="shared" si="391"/>
        <v>18.094999999999978</v>
      </c>
      <c r="Z128" s="236">
        <f t="shared" si="391"/>
        <v>29.177000000000028</v>
      </c>
      <c r="AA128" s="238">
        <f t="shared" si="391"/>
        <v>92.191000000000031</v>
      </c>
      <c r="AB128" s="236">
        <f t="shared" si="391"/>
        <v>-84.66</v>
      </c>
      <c r="AC128" s="236">
        <f t="shared" si="391"/>
        <v>-218.17600000000002</v>
      </c>
      <c r="AD128" s="236">
        <f t="shared" si="391"/>
        <v>-298.17200000000003</v>
      </c>
      <c r="AE128" s="238">
        <f t="shared" si="391"/>
        <v>-299.37900000000002</v>
      </c>
      <c r="AF128" s="236">
        <f t="shared" si="391"/>
        <v>-139.74599999999998</v>
      </c>
      <c r="AG128" s="236">
        <f t="shared" si="391"/>
        <v>-255.81500000000003</v>
      </c>
      <c r="AH128" s="236">
        <f t="shared" si="391"/>
        <v>-312.13499999999999</v>
      </c>
      <c r="AI128" s="238">
        <f t="shared" si="391"/>
        <v>-310.286</v>
      </c>
      <c r="AJ128" s="236">
        <f t="shared" si="391"/>
        <v>-32.050000000000004</v>
      </c>
      <c r="AK128" s="236">
        <f t="shared" si="391"/>
        <v>-58.304000000000002</v>
      </c>
      <c r="AL128" s="236">
        <f>SUM(AL123:AL127)</f>
        <v>-209.81100000000001</v>
      </c>
      <c r="AM128" s="238">
        <f>SUM(AM123:AM127)</f>
        <v>-483.44400000000019</v>
      </c>
      <c r="AN128" s="236">
        <f t="shared" si="391"/>
        <v>-161.58200000000002</v>
      </c>
      <c r="AO128" s="236">
        <f>SUM(AO123:AO127)</f>
        <v>-436.08600000000001</v>
      </c>
      <c r="AP128" s="236">
        <f>SUM(AP123:AP127)</f>
        <v>-670.55499999999995</v>
      </c>
      <c r="AQ128" s="238">
        <f t="shared" si="391"/>
        <v>-884.84100000000001</v>
      </c>
      <c r="AR128" s="236">
        <f t="shared" ref="AR128:AY128" si="392">SUM(AR123:AR127)</f>
        <v>-157.923</v>
      </c>
      <c r="AS128" s="236">
        <f t="shared" si="392"/>
        <v>-335.12200000000001</v>
      </c>
      <c r="AT128" s="236">
        <f t="shared" si="392"/>
        <v>-506.06299999999999</v>
      </c>
      <c r="AU128" s="238">
        <f t="shared" si="392"/>
        <v>-694.92200000000003</v>
      </c>
      <c r="AV128" s="236">
        <f t="shared" si="392"/>
        <v>-172.45600000000002</v>
      </c>
      <c r="AW128" s="236">
        <f t="shared" si="392"/>
        <v>-358.10300000000001</v>
      </c>
      <c r="AX128" s="236">
        <f>SUM(AX123:AX127)</f>
        <v>-654.67100000000005</v>
      </c>
      <c r="AY128" s="238">
        <f t="shared" si="392"/>
        <v>-965.202</v>
      </c>
      <c r="AZ128" s="236">
        <f t="shared" ref="AZ128:BG128" si="393">SUM(AZ123:AZ127)</f>
        <v>133.99499999999995</v>
      </c>
      <c r="BA128" s="236">
        <f t="shared" si="393"/>
        <v>-148.53900000000004</v>
      </c>
      <c r="BB128" s="236">
        <f>SUM(BB123:BB127)</f>
        <v>-314.11400000000003</v>
      </c>
      <c r="BC128" s="238">
        <f t="shared" si="393"/>
        <v>-566.86400000000003</v>
      </c>
      <c r="BD128" s="236">
        <f t="shared" si="393"/>
        <v>-189.30200000000002</v>
      </c>
      <c r="BE128" s="236">
        <f t="shared" si="393"/>
        <v>-378.60400000000004</v>
      </c>
      <c r="BF128" s="236">
        <f t="shared" si="393"/>
        <v>-567.90600000000006</v>
      </c>
      <c r="BG128" s="238">
        <f t="shared" si="393"/>
        <v>-757.20800000000008</v>
      </c>
      <c r="BH128" s="236">
        <f>SUM(BH123:BH127)</f>
        <v>-189.30200000000002</v>
      </c>
      <c r="BI128" s="236">
        <f>SUM(BI123:BI127)</f>
        <v>-378.60400000000004</v>
      </c>
      <c r="BJ128" s="236">
        <f>SUM(BJ123:BJ127)</f>
        <v>-567.90600000000006</v>
      </c>
      <c r="BK128" s="238">
        <f>SUM(BK123:BK127)</f>
        <v>-757.20800000000008</v>
      </c>
      <c r="BL128" s="192"/>
      <c r="BM128" s="236">
        <f t="shared" ref="BM128:BW128" si="394">SUM(BM123:BM127)</f>
        <v>-397.82499999999999</v>
      </c>
      <c r="BN128" s="236">
        <f t="shared" si="394"/>
        <v>-415.28399999999999</v>
      </c>
      <c r="BO128" s="236">
        <f t="shared" si="394"/>
        <v>-541.90300000000013</v>
      </c>
      <c r="BP128" s="236">
        <f t="shared" si="394"/>
        <v>-518.07799999999997</v>
      </c>
      <c r="BQ128" s="236">
        <f t="shared" si="394"/>
        <v>-252.089</v>
      </c>
      <c r="BR128" s="236">
        <f t="shared" si="394"/>
        <v>92.191000000000031</v>
      </c>
      <c r="BS128" s="236">
        <f t="shared" si="394"/>
        <v>-299.37900000000002</v>
      </c>
      <c r="BT128" s="236">
        <f t="shared" si="394"/>
        <v>-310.286</v>
      </c>
      <c r="BU128" s="236">
        <f t="shared" si="394"/>
        <v>-483.44400000000019</v>
      </c>
      <c r="BV128" s="236">
        <f t="shared" si="394"/>
        <v>-884.84100000000001</v>
      </c>
      <c r="BW128" s="236">
        <f t="shared" si="394"/>
        <v>-694.92200000000003</v>
      </c>
      <c r="BX128" s="236">
        <f>SUM(BX123:BX127)</f>
        <v>-965.202</v>
      </c>
      <c r="BY128" s="236">
        <f>SUM(BY123:BY127)</f>
        <v>-566.86400000000003</v>
      </c>
      <c r="BZ128" s="236">
        <f>SUM(BZ123:BZ127)</f>
        <v>-757.20800000000008</v>
      </c>
      <c r="CA128" s="236">
        <f>SUM(CA123:CA127)</f>
        <v>-757.20800000000008</v>
      </c>
      <c r="CB128" s="1022">
        <f>SUM(CB123:CB127)</f>
        <v>-643.76</v>
      </c>
      <c r="CC128" s="20"/>
      <c r="CD128" s="236">
        <f t="shared" ref="CD128:CM128" si="395">SUM(CD123:CD127)</f>
        <v>-494.92799999999994</v>
      </c>
      <c r="CE128" s="236">
        <f t="shared" si="395"/>
        <v>-393.72400000000005</v>
      </c>
      <c r="CF128" s="236">
        <f t="shared" si="395"/>
        <v>-629.34300000000007</v>
      </c>
      <c r="CG128" s="236">
        <f t="shared" si="395"/>
        <v>-198.601</v>
      </c>
      <c r="CH128" s="236">
        <f t="shared" si="395"/>
        <v>-89.462000000000032</v>
      </c>
      <c r="CI128" s="236">
        <f t="shared" si="395"/>
        <v>-235.15800000000002</v>
      </c>
      <c r="CJ128" s="236">
        <f t="shared" si="395"/>
        <v>-313.34199999999998</v>
      </c>
      <c r="CK128" s="236">
        <f t="shared" si="395"/>
        <v>-207.96199999999999</v>
      </c>
      <c r="CL128" s="236">
        <f t="shared" si="395"/>
        <v>-944.1880000000001</v>
      </c>
      <c r="CM128" s="236">
        <f t="shared" si="395"/>
        <v>-720.34899999999993</v>
      </c>
      <c r="CN128" s="236">
        <f>SUM(CN123:CN127)</f>
        <v>-843.53</v>
      </c>
      <c r="CO128" s="236">
        <f>SUM(CO123:CO127)</f>
        <v>-624.64499999999998</v>
      </c>
      <c r="CP128" s="236">
        <f>SUM(CP123:CP127)</f>
        <v>-820.65600000000018</v>
      </c>
      <c r="CQ128" s="236">
        <f>SUM(CQ123:CQ127)</f>
        <v>-757.20800000000008</v>
      </c>
      <c r="CR128" s="22"/>
      <c r="CS128" s="14"/>
    </row>
    <row r="129" spans="1:97" ht="14.25" customHeight="1" outlineLevel="1" thickTop="1">
      <c r="A129" s="8"/>
      <c r="B129" s="50"/>
      <c r="C129" s="51"/>
      <c r="D129" s="243"/>
      <c r="E129" s="242"/>
      <c r="F129" s="242"/>
      <c r="G129" s="244"/>
      <c r="H129" s="243"/>
      <c r="I129" s="242"/>
      <c r="J129" s="242"/>
      <c r="K129" s="244"/>
      <c r="L129" s="243"/>
      <c r="M129" s="242"/>
      <c r="N129" s="242"/>
      <c r="O129" s="244"/>
      <c r="P129" s="243"/>
      <c r="Q129" s="242"/>
      <c r="R129" s="242"/>
      <c r="S129" s="244"/>
      <c r="T129" s="243"/>
      <c r="U129" s="242"/>
      <c r="V129" s="242"/>
      <c r="W129" s="244"/>
      <c r="X129" s="243"/>
      <c r="Y129" s="242"/>
      <c r="Z129" s="242"/>
      <c r="AA129" s="244"/>
      <c r="AB129" s="242"/>
      <c r="AC129" s="242"/>
      <c r="AD129" s="242"/>
      <c r="AE129" s="244"/>
      <c r="AF129" s="242"/>
      <c r="AG129" s="242"/>
      <c r="AH129" s="242"/>
      <c r="AI129" s="244"/>
      <c r="AJ129" s="242"/>
      <c r="AK129" s="242"/>
      <c r="AL129" s="242"/>
      <c r="AM129" s="244"/>
      <c r="AN129" s="242"/>
      <c r="AO129" s="242"/>
      <c r="AP129" s="242"/>
      <c r="AQ129" s="244"/>
      <c r="AR129" s="242"/>
      <c r="AS129" s="242"/>
      <c r="AT129" s="242"/>
      <c r="AU129" s="244"/>
      <c r="AV129" s="242"/>
      <c r="AW129" s="242"/>
      <c r="AX129" s="242"/>
      <c r="AY129" s="244"/>
      <c r="AZ129" s="242"/>
      <c r="BA129" s="242"/>
      <c r="BB129" s="242"/>
      <c r="BC129" s="244"/>
      <c r="BD129" s="242"/>
      <c r="BE129" s="849"/>
      <c r="BF129" s="242"/>
      <c r="BG129" s="244"/>
      <c r="BH129" s="242"/>
      <c r="BI129" s="849"/>
      <c r="BJ129" s="242"/>
      <c r="BK129" s="244"/>
      <c r="BL129" s="192"/>
      <c r="BM129" s="242"/>
      <c r="BN129" s="242"/>
      <c r="BO129" s="242"/>
      <c r="BP129" s="242"/>
      <c r="BQ129" s="242"/>
      <c r="BR129" s="242"/>
      <c r="BS129" s="242"/>
      <c r="BT129" s="242"/>
      <c r="BU129" s="242"/>
      <c r="BV129" s="242"/>
      <c r="BW129" s="242"/>
      <c r="BX129" s="242"/>
      <c r="BY129" s="242"/>
      <c r="BZ129" s="242"/>
      <c r="CA129" s="242"/>
      <c r="CB129" s="1002"/>
      <c r="CC129" s="20"/>
      <c r="CD129" s="242"/>
      <c r="CE129" s="242"/>
      <c r="CF129" s="242"/>
      <c r="CG129" s="242"/>
      <c r="CH129" s="242"/>
      <c r="CI129" s="242"/>
      <c r="CJ129" s="242"/>
      <c r="CK129" s="242"/>
      <c r="CL129" s="242"/>
      <c r="CM129" s="242"/>
      <c r="CN129" s="242"/>
      <c r="CO129" s="242"/>
      <c r="CP129" s="242"/>
      <c r="CQ129" s="242"/>
      <c r="CR129" s="22"/>
      <c r="CS129" s="14"/>
    </row>
    <row r="130" spans="1:97" ht="14.25" customHeight="1" outlineLevel="1">
      <c r="A130" s="8"/>
      <c r="B130" s="50" t="s">
        <v>155</v>
      </c>
      <c r="C130" s="51"/>
      <c r="D130" s="233">
        <v>0</v>
      </c>
      <c r="E130" s="231">
        <v>0</v>
      </c>
      <c r="F130" s="231">
        <v>0</v>
      </c>
      <c r="G130" s="232">
        <v>0</v>
      </c>
      <c r="H130" s="233">
        <v>0</v>
      </c>
      <c r="I130" s="231">
        <v>0</v>
      </c>
      <c r="J130" s="231">
        <v>0</v>
      </c>
      <c r="K130" s="232">
        <v>0</v>
      </c>
      <c r="L130" s="233">
        <v>0</v>
      </c>
      <c r="M130" s="231">
        <v>0</v>
      </c>
      <c r="N130" s="231">
        <v>0</v>
      </c>
      <c r="O130" s="232">
        <v>0</v>
      </c>
      <c r="P130" s="233">
        <v>0</v>
      </c>
      <c r="Q130" s="231">
        <v>0</v>
      </c>
      <c r="R130" s="231">
        <v>0</v>
      </c>
      <c r="S130" s="232">
        <v>0</v>
      </c>
      <c r="T130" s="233">
        <v>0</v>
      </c>
      <c r="U130" s="231">
        <v>0</v>
      </c>
      <c r="V130" s="231">
        <v>0</v>
      </c>
      <c r="W130" s="232">
        <v>0</v>
      </c>
      <c r="X130" s="233">
        <v>0</v>
      </c>
      <c r="Y130" s="231">
        <v>0</v>
      </c>
      <c r="Z130" s="231">
        <v>0</v>
      </c>
      <c r="AA130" s="232">
        <v>0</v>
      </c>
      <c r="AB130" s="231">
        <v>0</v>
      </c>
      <c r="AC130" s="231">
        <v>0</v>
      </c>
      <c r="AD130" s="228">
        <f>AC130+AD48</f>
        <v>0</v>
      </c>
      <c r="AE130" s="232"/>
      <c r="AF130" s="231">
        <v>0</v>
      </c>
      <c r="AG130" s="231">
        <v>0</v>
      </c>
      <c r="AH130" s="228">
        <f>AG130+AH48</f>
        <v>0</v>
      </c>
      <c r="AI130" s="232"/>
      <c r="AJ130" s="231">
        <v>0</v>
      </c>
      <c r="AK130" s="231">
        <v>0</v>
      </c>
      <c r="AL130" s="228">
        <f>AK130+AL48</f>
        <v>0</v>
      </c>
      <c r="AM130" s="232">
        <v>0</v>
      </c>
      <c r="AN130" s="228">
        <f>AN48</f>
        <v>0</v>
      </c>
      <c r="AO130" s="231">
        <v>0</v>
      </c>
      <c r="AP130" s="228">
        <f>AO130+AP48</f>
        <v>0</v>
      </c>
      <c r="AQ130" s="232">
        <f>AP130+AQ48</f>
        <v>0</v>
      </c>
      <c r="AR130" s="228">
        <f>AR48</f>
        <v>0</v>
      </c>
      <c r="AS130" s="231">
        <v>0</v>
      </c>
      <c r="AT130" s="228">
        <f>AS130+AT48</f>
        <v>0</v>
      </c>
      <c r="AU130" s="232">
        <f>AT130+AU48</f>
        <v>0</v>
      </c>
      <c r="AV130" s="228">
        <f>AV48</f>
        <v>0</v>
      </c>
      <c r="AW130" s="231">
        <v>0</v>
      </c>
      <c r="AX130" s="228">
        <f t="shared" ref="AX130:BG130" si="396">AW130+AX48</f>
        <v>0</v>
      </c>
      <c r="AY130" s="229">
        <f t="shared" si="396"/>
        <v>0</v>
      </c>
      <c r="AZ130" s="228">
        <f t="shared" si="396"/>
        <v>0</v>
      </c>
      <c r="BA130" s="231">
        <v>0</v>
      </c>
      <c r="BB130" s="228">
        <f t="shared" si="396"/>
        <v>0</v>
      </c>
      <c r="BC130" s="229">
        <f t="shared" si="396"/>
        <v>0</v>
      </c>
      <c r="BD130" s="228">
        <f t="shared" si="396"/>
        <v>0</v>
      </c>
      <c r="BE130" s="228">
        <f t="shared" si="396"/>
        <v>0</v>
      </c>
      <c r="BF130" s="228">
        <f t="shared" si="396"/>
        <v>0</v>
      </c>
      <c r="BG130" s="229">
        <f t="shared" si="396"/>
        <v>0</v>
      </c>
      <c r="BH130" s="228">
        <f>BG130+BH48</f>
        <v>0</v>
      </c>
      <c r="BI130" s="228">
        <f>BH130+BI48</f>
        <v>0</v>
      </c>
      <c r="BJ130" s="228">
        <f>BI130+BJ48</f>
        <v>0</v>
      </c>
      <c r="BK130" s="229">
        <f>BJ130+BK48</f>
        <v>0</v>
      </c>
      <c r="BL130" s="192"/>
      <c r="BM130" s="228">
        <f>G130</f>
        <v>0</v>
      </c>
      <c r="BN130" s="228">
        <f>K130</f>
        <v>0</v>
      </c>
      <c r="BO130" s="228">
        <f>O130</f>
        <v>0</v>
      </c>
      <c r="BP130" s="228">
        <f>S130</f>
        <v>0</v>
      </c>
      <c r="BQ130" s="228">
        <f>W130</f>
        <v>0</v>
      </c>
      <c r="BR130" s="228">
        <f>AA130</f>
        <v>0</v>
      </c>
      <c r="BS130" s="228">
        <f>AE130</f>
        <v>0</v>
      </c>
      <c r="BT130" s="228">
        <f>AI130</f>
        <v>0</v>
      </c>
      <c r="BU130" s="228">
        <f>AM130</f>
        <v>0</v>
      </c>
      <c r="BV130" s="228">
        <f>AQ130</f>
        <v>0</v>
      </c>
      <c r="BW130" s="228">
        <f>AU130</f>
        <v>0</v>
      </c>
      <c r="BX130" s="228">
        <f>AY130</f>
        <v>0</v>
      </c>
      <c r="BY130" s="228">
        <f>BC130</f>
        <v>0</v>
      </c>
      <c r="BZ130" s="228">
        <f>BG130</f>
        <v>0</v>
      </c>
      <c r="CA130" s="228">
        <f>BK130</f>
        <v>0</v>
      </c>
      <c r="CB130" s="1021">
        <f>CB48</f>
        <v>0</v>
      </c>
      <c r="CC130" s="20"/>
      <c r="CD130" s="228">
        <f t="shared" ref="CD130:CL130" si="397">CD48</f>
        <v>0</v>
      </c>
      <c r="CE130" s="228">
        <f t="shared" si="397"/>
        <v>0</v>
      </c>
      <c r="CF130" s="228">
        <f t="shared" si="397"/>
        <v>0</v>
      </c>
      <c r="CG130" s="228">
        <f t="shared" si="397"/>
        <v>0</v>
      </c>
      <c r="CH130" s="228">
        <f t="shared" si="397"/>
        <v>0</v>
      </c>
      <c r="CI130" s="228">
        <f t="shared" si="397"/>
        <v>0</v>
      </c>
      <c r="CJ130" s="228">
        <f t="shared" si="397"/>
        <v>0</v>
      </c>
      <c r="CK130" s="228">
        <f t="shared" si="397"/>
        <v>0</v>
      </c>
      <c r="CL130" s="228">
        <f t="shared" si="397"/>
        <v>0</v>
      </c>
      <c r="CM130" s="228">
        <f>CM48</f>
        <v>0</v>
      </c>
      <c r="CN130" s="228">
        <f>CN48</f>
        <v>0</v>
      </c>
      <c r="CO130" s="228">
        <f>CO48</f>
        <v>0</v>
      </c>
      <c r="CP130" s="228">
        <f>CP48</f>
        <v>0</v>
      </c>
      <c r="CQ130" s="228">
        <f>CQ48</f>
        <v>0</v>
      </c>
      <c r="CR130" s="22"/>
      <c r="CS130" s="14"/>
    </row>
    <row r="131" spans="1:97" ht="14.25" customHeight="1" outlineLevel="1">
      <c r="A131" s="8"/>
      <c r="B131" s="50"/>
      <c r="C131" s="51"/>
      <c r="D131" s="247"/>
      <c r="E131" s="245"/>
      <c r="F131" s="245"/>
      <c r="G131" s="246"/>
      <c r="H131" s="247"/>
      <c r="I131" s="245"/>
      <c r="J131" s="245"/>
      <c r="K131" s="246"/>
      <c r="L131" s="247"/>
      <c r="M131" s="245"/>
      <c r="N131" s="245"/>
      <c r="O131" s="246"/>
      <c r="P131" s="247"/>
      <c r="Q131" s="245"/>
      <c r="R131" s="245"/>
      <c r="S131" s="246"/>
      <c r="T131" s="247"/>
      <c r="U131" s="245"/>
      <c r="V131" s="245"/>
      <c r="W131" s="246"/>
      <c r="X131" s="247"/>
      <c r="Y131" s="245"/>
      <c r="Z131" s="245"/>
      <c r="AA131" s="246"/>
      <c r="AB131" s="247"/>
      <c r="AC131" s="245"/>
      <c r="AD131" s="245"/>
      <c r="AE131" s="246"/>
      <c r="AF131" s="247"/>
      <c r="AG131" s="245"/>
      <c r="AH131" s="245"/>
      <c r="AI131" s="246"/>
      <c r="AJ131" s="247"/>
      <c r="AK131" s="245"/>
      <c r="AL131" s="245"/>
      <c r="AM131" s="246"/>
      <c r="AN131" s="247"/>
      <c r="AO131" s="245"/>
      <c r="AP131" s="245"/>
      <c r="AQ131" s="246"/>
      <c r="AR131" s="247"/>
      <c r="AS131" s="245"/>
      <c r="AT131" s="245"/>
      <c r="AU131" s="246"/>
      <c r="AV131" s="247"/>
      <c r="AW131" s="245"/>
      <c r="AX131" s="245"/>
      <c r="AY131" s="246"/>
      <c r="AZ131" s="245"/>
      <c r="BA131" s="245"/>
      <c r="BB131" s="245"/>
      <c r="BC131" s="246"/>
      <c r="BD131" s="245"/>
      <c r="BE131" s="245"/>
      <c r="BF131" s="245"/>
      <c r="BG131" s="246"/>
      <c r="BH131" s="245"/>
      <c r="BI131" s="245"/>
      <c r="BJ131" s="245"/>
      <c r="BK131" s="246"/>
      <c r="BL131" s="192"/>
      <c r="BM131" s="245"/>
      <c r="BN131" s="245"/>
      <c r="BO131" s="245"/>
      <c r="BP131" s="245"/>
      <c r="BQ131" s="245"/>
      <c r="BR131" s="245"/>
      <c r="BS131" s="245"/>
      <c r="BT131" s="245"/>
      <c r="BU131" s="245"/>
      <c r="BV131" s="245"/>
      <c r="BW131" s="245"/>
      <c r="BX131" s="245"/>
      <c r="BY131" s="245"/>
      <c r="BZ131" s="245"/>
      <c r="CA131" s="245"/>
      <c r="CB131" s="1024"/>
      <c r="CC131" s="20"/>
      <c r="CD131" s="245"/>
      <c r="CE131" s="245"/>
      <c r="CF131" s="245"/>
      <c r="CG131" s="245"/>
      <c r="CH131" s="245"/>
      <c r="CI131" s="245"/>
      <c r="CJ131" s="245"/>
      <c r="CK131" s="245"/>
      <c r="CL131" s="245"/>
      <c r="CM131" s="245"/>
      <c r="CN131" s="245"/>
      <c r="CO131" s="245"/>
      <c r="CP131" s="245"/>
      <c r="CQ131" s="245"/>
      <c r="CR131" s="22"/>
      <c r="CS131" s="14"/>
    </row>
    <row r="132" spans="1:97" ht="14.25" customHeight="1" outlineLevel="1">
      <c r="A132" s="8"/>
      <c r="B132" s="50" t="s">
        <v>156</v>
      </c>
      <c r="C132" s="51"/>
      <c r="D132" s="247">
        <v>449.38799999999998</v>
      </c>
      <c r="E132" s="242">
        <f>D132</f>
        <v>449.38799999999998</v>
      </c>
      <c r="F132" s="242">
        <f>D132</f>
        <v>449.38799999999998</v>
      </c>
      <c r="G132" s="242">
        <f>D132</f>
        <v>449.38799999999998</v>
      </c>
      <c r="H132" s="243">
        <f>G135</f>
        <v>783.36599999999999</v>
      </c>
      <c r="I132" s="242">
        <f>H132</f>
        <v>783.36599999999999</v>
      </c>
      <c r="J132" s="242">
        <f>H132</f>
        <v>783.36599999999999</v>
      </c>
      <c r="K132" s="242">
        <f>H132</f>
        <v>783.36599999999999</v>
      </c>
      <c r="L132" s="243">
        <f>K135</f>
        <v>635.87899999999991</v>
      </c>
      <c r="M132" s="242">
        <f>L132</f>
        <v>635.87899999999991</v>
      </c>
      <c r="N132" s="242">
        <f>L132</f>
        <v>635.87899999999991</v>
      </c>
      <c r="O132" s="242">
        <f>L132</f>
        <v>635.87899999999991</v>
      </c>
      <c r="P132" s="243">
        <f>O135</f>
        <v>866.99499999999978</v>
      </c>
      <c r="Q132" s="242">
        <f>P132</f>
        <v>866.99499999999978</v>
      </c>
      <c r="R132" s="242">
        <f>P132</f>
        <v>866.99499999999978</v>
      </c>
      <c r="S132" s="242">
        <f>P132</f>
        <v>866.99499999999978</v>
      </c>
      <c r="T132" s="243">
        <f>S135</f>
        <v>1065.9869999999999</v>
      </c>
      <c r="U132" s="242">
        <f>T132</f>
        <v>1065.9869999999999</v>
      </c>
      <c r="V132" s="242">
        <f>T132</f>
        <v>1065.9869999999999</v>
      </c>
      <c r="W132" s="242">
        <f>T132</f>
        <v>1065.9869999999999</v>
      </c>
      <c r="X132" s="243">
        <f>W135</f>
        <v>1031.4569999999999</v>
      </c>
      <c r="Y132" s="242">
        <f>X132</f>
        <v>1031.4569999999999</v>
      </c>
      <c r="Z132" s="242">
        <f>X132</f>
        <v>1031.4569999999999</v>
      </c>
      <c r="AA132" s="242">
        <f>X132</f>
        <v>1031.4569999999999</v>
      </c>
      <c r="AB132" s="243">
        <f>AA135</f>
        <v>1222.3590000000002</v>
      </c>
      <c r="AC132" s="242">
        <f>AB132</f>
        <v>1222.3590000000002</v>
      </c>
      <c r="AD132" s="242">
        <f>AB132</f>
        <v>1222.3590000000002</v>
      </c>
      <c r="AE132" s="242">
        <f>AB132</f>
        <v>1222.3590000000002</v>
      </c>
      <c r="AF132" s="243">
        <f>AE135</f>
        <v>788.82200000000068</v>
      </c>
      <c r="AG132" s="242">
        <f>AF132</f>
        <v>788.82200000000068</v>
      </c>
      <c r="AH132" s="242">
        <f>AF132</f>
        <v>788.82200000000068</v>
      </c>
      <c r="AI132" s="242">
        <f>AF132</f>
        <v>788.82200000000068</v>
      </c>
      <c r="AJ132" s="243">
        <f>AI135</f>
        <v>623.55800000000079</v>
      </c>
      <c r="AK132" s="242">
        <f>AJ132</f>
        <v>623.55800000000079</v>
      </c>
      <c r="AL132" s="242">
        <f>AJ132</f>
        <v>623.55800000000079</v>
      </c>
      <c r="AM132" s="242">
        <f>AJ132</f>
        <v>623.55800000000079</v>
      </c>
      <c r="AN132" s="243">
        <f>AM135</f>
        <v>973.67700000000093</v>
      </c>
      <c r="AO132" s="242">
        <f>AN132</f>
        <v>973.67700000000093</v>
      </c>
      <c r="AP132" s="242">
        <f>AN132</f>
        <v>973.67700000000093</v>
      </c>
      <c r="AQ132" s="242">
        <f>AN132</f>
        <v>973.67700000000093</v>
      </c>
      <c r="AR132" s="243">
        <f>AQ135</f>
        <v>892.57200000000068</v>
      </c>
      <c r="AS132" s="242">
        <f>AR132</f>
        <v>892.57200000000068</v>
      </c>
      <c r="AT132" s="242">
        <f>AR132</f>
        <v>892.57200000000068</v>
      </c>
      <c r="AU132" s="242">
        <f>AR132</f>
        <v>892.57200000000068</v>
      </c>
      <c r="AV132" s="243">
        <f>AU135</f>
        <v>503.81600000000083</v>
      </c>
      <c r="AW132" s="242">
        <f>AV132</f>
        <v>503.81600000000083</v>
      </c>
      <c r="AX132" s="242">
        <f>AV132</f>
        <v>503.81600000000083</v>
      </c>
      <c r="AY132" s="244">
        <f>AV132</f>
        <v>503.81600000000083</v>
      </c>
      <c r="AZ132" s="242">
        <f>+AY135</f>
        <v>966.69500000000073</v>
      </c>
      <c r="BA132" s="242">
        <f>AZ132</f>
        <v>966.69500000000073</v>
      </c>
      <c r="BB132" s="242">
        <f>AZ132</f>
        <v>966.69500000000073</v>
      </c>
      <c r="BC132" s="244">
        <f>AZ132</f>
        <v>966.69500000000073</v>
      </c>
      <c r="BD132" s="242">
        <f>+BC135</f>
        <v>817.45500000000038</v>
      </c>
      <c r="BE132" s="242">
        <f>+BD132</f>
        <v>817.45500000000038</v>
      </c>
      <c r="BF132" s="242">
        <f>BD132</f>
        <v>817.45500000000038</v>
      </c>
      <c r="BG132" s="244">
        <f>BD132</f>
        <v>817.45500000000038</v>
      </c>
      <c r="BH132" s="242">
        <f>+BG135</f>
        <v>1075.6490979707019</v>
      </c>
      <c r="BI132" s="242">
        <f>+BH132</f>
        <v>1075.6490979707019</v>
      </c>
      <c r="BJ132" s="242">
        <f>BH132</f>
        <v>1075.6490979707019</v>
      </c>
      <c r="BK132" s="244">
        <f>BH132</f>
        <v>1075.6490979707019</v>
      </c>
      <c r="BL132" s="192"/>
      <c r="BM132" s="242">
        <f>G132</f>
        <v>449.38799999999998</v>
      </c>
      <c r="BN132" s="242">
        <f>H132</f>
        <v>783.36599999999999</v>
      </c>
      <c r="BO132" s="242">
        <f t="shared" ref="BO132:CB132" si="398">BN135</f>
        <v>635.87899999999991</v>
      </c>
      <c r="BP132" s="242">
        <f t="shared" si="398"/>
        <v>866.99499999999978</v>
      </c>
      <c r="BQ132" s="242">
        <f t="shared" si="398"/>
        <v>1065.9869999999999</v>
      </c>
      <c r="BR132" s="242">
        <f t="shared" si="398"/>
        <v>1031.4569999999999</v>
      </c>
      <c r="BS132" s="242">
        <f t="shared" si="398"/>
        <v>1222.3590000000002</v>
      </c>
      <c r="BT132" s="242">
        <f t="shared" si="398"/>
        <v>788.82200000000068</v>
      </c>
      <c r="BU132" s="242">
        <f t="shared" si="398"/>
        <v>623.55800000000079</v>
      </c>
      <c r="BV132" s="242">
        <f t="shared" si="398"/>
        <v>973.67700000000093</v>
      </c>
      <c r="BW132" s="242">
        <f t="shared" si="398"/>
        <v>892.57200000000068</v>
      </c>
      <c r="BX132" s="242">
        <f t="shared" si="398"/>
        <v>503.81600000000083</v>
      </c>
      <c r="BY132" s="242">
        <f t="shared" si="398"/>
        <v>966.69500000000073</v>
      </c>
      <c r="BZ132" s="242">
        <f t="shared" si="398"/>
        <v>817.45500000000038</v>
      </c>
      <c r="CA132" s="242">
        <f t="shared" si="398"/>
        <v>1075.6490979707019</v>
      </c>
      <c r="CB132" s="1002">
        <f t="shared" si="398"/>
        <v>1392.5374561978601</v>
      </c>
      <c r="CC132" s="20"/>
      <c r="CD132" s="242">
        <f>CD50</f>
        <v>623.90700000000015</v>
      </c>
      <c r="CE132" s="242">
        <f>CD135</f>
        <v>540.04800000000012</v>
      </c>
      <c r="CF132" s="242">
        <f t="shared" ref="CF132:CQ132" si="399">CE135</f>
        <v>400.39800000000014</v>
      </c>
      <c r="CG132" s="242">
        <f t="shared" si="399"/>
        <v>1007.7819999999997</v>
      </c>
      <c r="CH132" s="242">
        <f t="shared" si="399"/>
        <v>1037.5639999999996</v>
      </c>
      <c r="CI132" s="242">
        <f t="shared" si="399"/>
        <v>1101.0499999999997</v>
      </c>
      <c r="CJ132" s="242">
        <f t="shared" si="399"/>
        <v>661.32500000000039</v>
      </c>
      <c r="CK132" s="242">
        <f t="shared" si="399"/>
        <v>623.13700000000051</v>
      </c>
      <c r="CL132" s="242">
        <f t="shared" si="399"/>
        <v>631.8790000000007</v>
      </c>
      <c r="CM132" s="242">
        <f t="shared" si="399"/>
        <v>1431.023000000001</v>
      </c>
      <c r="CN132" s="242">
        <f t="shared" si="399"/>
        <v>898.26400000000035</v>
      </c>
      <c r="CO132" s="242">
        <f t="shared" si="399"/>
        <v>839.54600000000005</v>
      </c>
      <c r="CP132" s="242">
        <f t="shared" si="399"/>
        <v>911.46100000000001</v>
      </c>
      <c r="CQ132" s="242">
        <f t="shared" si="399"/>
        <v>1019.0152087056495</v>
      </c>
      <c r="CR132" s="22"/>
      <c r="CS132" s="14"/>
    </row>
    <row r="133" spans="1:97" ht="14.25" customHeight="1" outlineLevel="1">
      <c r="A133" s="8"/>
      <c r="B133" s="50" t="s">
        <v>157</v>
      </c>
      <c r="C133" s="51"/>
      <c r="D133" s="247"/>
      <c r="E133" s="245"/>
      <c r="F133" s="245"/>
      <c r="G133" s="245"/>
      <c r="H133" s="247"/>
      <c r="I133" s="245"/>
      <c r="J133" s="245"/>
      <c r="K133" s="245"/>
      <c r="L133" s="247"/>
      <c r="M133" s="245"/>
      <c r="N133" s="245"/>
      <c r="O133" s="245"/>
      <c r="P133" s="247"/>
      <c r="Q133" s="245"/>
      <c r="R133" s="245"/>
      <c r="S133" s="245"/>
      <c r="T133" s="247"/>
      <c r="U133" s="245"/>
      <c r="V133" s="245"/>
      <c r="W133" s="245"/>
      <c r="X133" s="247"/>
      <c r="Y133" s="245"/>
      <c r="Z133" s="245"/>
      <c r="AA133" s="246"/>
      <c r="AB133" s="245"/>
      <c r="AC133" s="245"/>
      <c r="AD133" s="245"/>
      <c r="AE133" s="246"/>
      <c r="AF133" s="245"/>
      <c r="AG133" s="245"/>
      <c r="AH133" s="245"/>
      <c r="AI133" s="246"/>
      <c r="AJ133" s="245"/>
      <c r="AK133" s="245"/>
      <c r="AL133" s="245"/>
      <c r="AM133" s="246"/>
      <c r="AN133" s="228">
        <v>0</v>
      </c>
      <c r="AO133" s="245"/>
      <c r="AP133" s="245"/>
      <c r="AQ133" s="246"/>
      <c r="AR133" s="228">
        <v>0</v>
      </c>
      <c r="AS133" s="245"/>
      <c r="AT133" s="245"/>
      <c r="AU133" s="246"/>
      <c r="AV133" s="228">
        <v>0</v>
      </c>
      <c r="AW133" s="245">
        <v>0</v>
      </c>
      <c r="AX133" s="245"/>
      <c r="AY133" s="229">
        <v>0</v>
      </c>
      <c r="AZ133" s="885">
        <v>0</v>
      </c>
      <c r="BA133" s="245">
        <v>0</v>
      </c>
      <c r="BB133" s="245"/>
      <c r="BC133" s="923">
        <v>-719.67600000000039</v>
      </c>
      <c r="BD133" s="228">
        <v>0</v>
      </c>
      <c r="BE133" s="228">
        <f>BD133+BE51</f>
        <v>0</v>
      </c>
      <c r="BF133" s="228">
        <f>BE133+BF51</f>
        <v>0</v>
      </c>
      <c r="BG133" s="229">
        <f>BF133+BG51</f>
        <v>0</v>
      </c>
      <c r="BH133" s="228">
        <v>0</v>
      </c>
      <c r="BI133" s="228">
        <f>BH133+BI51</f>
        <v>0</v>
      </c>
      <c r="BJ133" s="228">
        <f>BI133+BJ51</f>
        <v>0</v>
      </c>
      <c r="BK133" s="229">
        <f>BJ133+BK51</f>
        <v>0</v>
      </c>
      <c r="BL133" s="192"/>
      <c r="BM133" s="245"/>
      <c r="BN133" s="228"/>
      <c r="BO133" s="228"/>
      <c r="BP133" s="228"/>
      <c r="BQ133" s="228"/>
      <c r="BR133" s="228"/>
      <c r="BS133" s="228"/>
      <c r="BT133" s="228"/>
      <c r="BU133" s="228">
        <f>AM133</f>
        <v>0</v>
      </c>
      <c r="BV133" s="228">
        <f>AQ133</f>
        <v>0</v>
      </c>
      <c r="BW133" s="228">
        <f>AU133</f>
        <v>0</v>
      </c>
      <c r="BX133" s="228">
        <f>+AY133</f>
        <v>0</v>
      </c>
      <c r="BY133" s="228">
        <f>+BC133</f>
        <v>-719.67600000000039</v>
      </c>
      <c r="BZ133" s="228">
        <f>+BG133</f>
        <v>0</v>
      </c>
      <c r="CA133" s="228">
        <f>+BK133</f>
        <v>0</v>
      </c>
      <c r="CB133" s="1024"/>
      <c r="CC133" s="20"/>
      <c r="CD133" s="245"/>
      <c r="CE133" s="245"/>
      <c r="CF133" s="245"/>
      <c r="CG133" s="245"/>
      <c r="CH133" s="245"/>
      <c r="CI133" s="245"/>
      <c r="CJ133" s="245"/>
      <c r="CK133" s="228">
        <f t="shared" ref="CK133:CP133" si="400">CK51</f>
        <v>0</v>
      </c>
      <c r="CL133" s="245">
        <f t="shared" si="400"/>
        <v>0</v>
      </c>
      <c r="CM133" s="245">
        <f t="shared" si="400"/>
        <v>0</v>
      </c>
      <c r="CN133" s="242">
        <f t="shared" si="400"/>
        <v>0</v>
      </c>
      <c r="CO133" s="228">
        <f t="shared" si="400"/>
        <v>0</v>
      </c>
      <c r="CP133" s="228">
        <f t="shared" si="400"/>
        <v>-719.67600000000039</v>
      </c>
      <c r="CQ133" s="245">
        <f>CQ51</f>
        <v>0</v>
      </c>
      <c r="CR133" s="22"/>
      <c r="CS133" s="14"/>
    </row>
    <row r="134" spans="1:97" ht="14.25" customHeight="1" outlineLevel="1">
      <c r="A134" s="8"/>
      <c r="B134" s="239" t="s">
        <v>158</v>
      </c>
      <c r="C134" s="240"/>
      <c r="D134" s="243">
        <f t="shared" ref="D134:AQ134" si="401">D128+D120+D112+D130</f>
        <v>47.759000000000015</v>
      </c>
      <c r="E134" s="242">
        <f t="shared" si="401"/>
        <v>117.63799999999995</v>
      </c>
      <c r="F134" s="242">
        <f t="shared" si="401"/>
        <v>174.51900000000009</v>
      </c>
      <c r="G134" s="242">
        <f t="shared" si="401"/>
        <v>333.97799999999995</v>
      </c>
      <c r="H134" s="243">
        <f t="shared" si="401"/>
        <v>45.871999999999986</v>
      </c>
      <c r="I134" s="242">
        <f t="shared" si="401"/>
        <v>120.21799999999999</v>
      </c>
      <c r="J134" s="242">
        <f t="shared" si="401"/>
        <v>-243.31799999999998</v>
      </c>
      <c r="K134" s="242">
        <f t="shared" si="401"/>
        <v>-147.48700000000008</v>
      </c>
      <c r="L134" s="243">
        <f t="shared" si="401"/>
        <v>-7.9150000000001199</v>
      </c>
      <c r="M134" s="242">
        <f t="shared" si="401"/>
        <v>-267.57700000000011</v>
      </c>
      <c r="N134" s="242">
        <f t="shared" si="401"/>
        <v>-235.48099999999999</v>
      </c>
      <c r="O134" s="242">
        <f t="shared" si="401"/>
        <v>231.11599999999987</v>
      </c>
      <c r="P134" s="243">
        <f t="shared" si="401"/>
        <v>-97.518999999999949</v>
      </c>
      <c r="Q134" s="242">
        <f t="shared" si="401"/>
        <v>-165.58899999999997</v>
      </c>
      <c r="R134" s="242">
        <f t="shared" si="401"/>
        <v>140.78700000000009</v>
      </c>
      <c r="S134" s="242">
        <f t="shared" si="401"/>
        <v>198.99200000000008</v>
      </c>
      <c r="T134" s="243">
        <f t="shared" si="401"/>
        <v>-229.60600000000002</v>
      </c>
      <c r="U134" s="242">
        <f t="shared" si="401"/>
        <v>-37.867000000000019</v>
      </c>
      <c r="V134" s="242">
        <f t="shared" si="401"/>
        <v>-28.422999999999774</v>
      </c>
      <c r="W134" s="242">
        <f t="shared" si="401"/>
        <v>-34.529999999999859</v>
      </c>
      <c r="X134" s="243">
        <f t="shared" si="401"/>
        <v>-119.0120000000001</v>
      </c>
      <c r="Y134" s="242">
        <f t="shared" si="401"/>
        <v>-256.95199999999983</v>
      </c>
      <c r="Z134" s="242">
        <f t="shared" si="401"/>
        <v>69.593000000000245</v>
      </c>
      <c r="AA134" s="244">
        <f t="shared" si="401"/>
        <v>190.90200000000027</v>
      </c>
      <c r="AB134" s="242">
        <f>AB128+AB120+AB112+AB130</f>
        <v>-261.12200000000018</v>
      </c>
      <c r="AC134" s="242">
        <f t="shared" si="401"/>
        <v>-619.40699999999993</v>
      </c>
      <c r="AD134" s="242">
        <f t="shared" si="401"/>
        <v>-561.03399999999976</v>
      </c>
      <c r="AE134" s="244">
        <f t="shared" si="401"/>
        <v>-433.53699999999947</v>
      </c>
      <c r="AF134" s="242">
        <f t="shared" ref="AF134:AK134" si="402">AF128+AF120+AF112+AF130</f>
        <v>-262.63300000000015</v>
      </c>
      <c r="AG134" s="242">
        <f t="shared" si="402"/>
        <v>-193.70300000000003</v>
      </c>
      <c r="AH134" s="242">
        <f t="shared" si="402"/>
        <v>-165.68499999999949</v>
      </c>
      <c r="AI134" s="244">
        <f t="shared" si="402"/>
        <v>-165.2639999999999</v>
      </c>
      <c r="AJ134" s="242">
        <f t="shared" si="402"/>
        <v>-114.14399999999989</v>
      </c>
      <c r="AK134" s="242">
        <f t="shared" si="402"/>
        <v>-53.064000000000078</v>
      </c>
      <c r="AL134" s="242">
        <f>AL128+AL120+AL112+AL130</f>
        <v>8.3209999999995716</v>
      </c>
      <c r="AM134" s="244">
        <f>AM128+AM120+AM112+AM130</f>
        <v>350.11900000000014</v>
      </c>
      <c r="AN134" s="242">
        <f t="shared" si="401"/>
        <v>-348.64499999999992</v>
      </c>
      <c r="AO134" s="242">
        <f t="shared" si="401"/>
        <v>-258.97799999999972</v>
      </c>
      <c r="AP134" s="242">
        <f>AP128+AP120+AP112+AP130</f>
        <v>457.34599999999995</v>
      </c>
      <c r="AQ134" s="244">
        <f t="shared" si="401"/>
        <v>-81.105000000000246</v>
      </c>
      <c r="AR134" s="242">
        <f t="shared" ref="AR134:AW134" si="403">AR128+AR120+AR112+AR130</f>
        <v>-226.23399999999992</v>
      </c>
      <c r="AS134" s="242">
        <f t="shared" si="403"/>
        <v>-131.9609999999999</v>
      </c>
      <c r="AT134" s="242">
        <f t="shared" si="403"/>
        <v>5.6919999999998936</v>
      </c>
      <c r="AU134" s="244">
        <f t="shared" si="403"/>
        <v>-388.75599999999986</v>
      </c>
      <c r="AV134" s="242">
        <f t="shared" si="403"/>
        <v>78.545999999999822</v>
      </c>
      <c r="AW134" s="242">
        <f t="shared" si="403"/>
        <v>186.67399999999986</v>
      </c>
      <c r="AX134" s="242">
        <f>AX128+AX120+AX112+AX130</f>
        <v>335.7299999999999</v>
      </c>
      <c r="AY134" s="244">
        <f>AY128+AY120+AY112+AY130</f>
        <v>462.87899999999991</v>
      </c>
      <c r="AZ134" s="242">
        <f t="shared" ref="AZ134:BG134" si="404">AZ128+AZ120+AZ112+AZ130</f>
        <v>92.659999999999769</v>
      </c>
      <c r="BA134" s="242">
        <f t="shared" si="404"/>
        <v>103.49799999999976</v>
      </c>
      <c r="BB134" s="242">
        <f>BB128+BB120+BB112+BB130</f>
        <v>-55.234000000000037</v>
      </c>
      <c r="BC134" s="244">
        <f t="shared" si="404"/>
        <v>570.43599999999992</v>
      </c>
      <c r="BD134" s="242">
        <f t="shared" si="404"/>
        <v>29.565466453960028</v>
      </c>
      <c r="BE134" s="242">
        <f t="shared" si="404"/>
        <v>127.75873833697699</v>
      </c>
      <c r="BF134" s="242">
        <f t="shared" si="404"/>
        <v>201.56020870564998</v>
      </c>
      <c r="BG134" s="244">
        <f t="shared" si="404"/>
        <v>258.19409797070136</v>
      </c>
      <c r="BH134" s="242">
        <f>BH128+BH120+BH112+BH130</f>
        <v>82.249501201361483</v>
      </c>
      <c r="BI134" s="242">
        <f>BI128+BI120+BI112+BI130</f>
        <v>158.38362265256092</v>
      </c>
      <c r="BJ134" s="242">
        <f>BJ128+BJ120+BJ112+BJ130</f>
        <v>240.58150497998122</v>
      </c>
      <c r="BK134" s="244">
        <f>BK128+BK120+BK112+BK130</f>
        <v>316.88835822715816</v>
      </c>
      <c r="BL134" s="192"/>
      <c r="BM134" s="242">
        <f t="shared" ref="BM134:BV134" si="405">BM128+BM120+BM112+BM130</f>
        <v>333.97799999999995</v>
      </c>
      <c r="BN134" s="242">
        <f t="shared" si="405"/>
        <v>-147.48700000000008</v>
      </c>
      <c r="BO134" s="242">
        <f t="shared" si="405"/>
        <v>231.11599999999987</v>
      </c>
      <c r="BP134" s="242">
        <f t="shared" si="405"/>
        <v>198.99200000000008</v>
      </c>
      <c r="BQ134" s="242">
        <f t="shared" si="405"/>
        <v>-34.529999999999859</v>
      </c>
      <c r="BR134" s="242">
        <f t="shared" si="405"/>
        <v>190.90200000000027</v>
      </c>
      <c r="BS134" s="242">
        <f t="shared" si="405"/>
        <v>-433.53699999999947</v>
      </c>
      <c r="BT134" s="242">
        <f t="shared" si="405"/>
        <v>-165.2639999999999</v>
      </c>
      <c r="BU134" s="242">
        <f t="shared" si="405"/>
        <v>350.11900000000014</v>
      </c>
      <c r="BV134" s="242">
        <f t="shared" si="405"/>
        <v>-81.105000000000246</v>
      </c>
      <c r="BW134" s="242">
        <f t="shared" ref="BW134:CB134" si="406">BW128+BW120+BW112+BW130</f>
        <v>-388.75599999999986</v>
      </c>
      <c r="BX134" s="242">
        <f t="shared" si="406"/>
        <v>462.87899999999991</v>
      </c>
      <c r="BY134" s="242">
        <f t="shared" si="406"/>
        <v>570.43599999999992</v>
      </c>
      <c r="BZ134" s="242">
        <f t="shared" si="406"/>
        <v>258.19409797070136</v>
      </c>
      <c r="CA134" s="242">
        <f t="shared" si="406"/>
        <v>316.88835822715816</v>
      </c>
      <c r="CB134" s="1002">
        <f t="shared" si="406"/>
        <v>400.48543049155285</v>
      </c>
      <c r="CC134" s="20"/>
      <c r="CD134" s="242">
        <f t="shared" ref="CD134:CL134" si="407">CD128+CD120+CD112+CD130</f>
        <v>-83.859000000000037</v>
      </c>
      <c r="CE134" s="242">
        <f t="shared" si="407"/>
        <v>-139.64999999999998</v>
      </c>
      <c r="CF134" s="242">
        <f t="shared" si="407"/>
        <v>607.38399999999956</v>
      </c>
      <c r="CG134" s="242">
        <f t="shared" si="407"/>
        <v>29.781999999999982</v>
      </c>
      <c r="CH134" s="242">
        <f t="shared" si="407"/>
        <v>63.48599999999999</v>
      </c>
      <c r="CI134" s="242">
        <f t="shared" si="407"/>
        <v>-439.72499999999934</v>
      </c>
      <c r="CJ134" s="242">
        <f t="shared" si="407"/>
        <v>-38.187999999999874</v>
      </c>
      <c r="CK134" s="242">
        <f t="shared" si="407"/>
        <v>8.7420000000001892</v>
      </c>
      <c r="CL134" s="242">
        <f t="shared" si="407"/>
        <v>799.14400000000046</v>
      </c>
      <c r="CM134" s="242">
        <f>CM128+CM120+CM112+CM130</f>
        <v>-532.7590000000007</v>
      </c>
      <c r="CN134" s="242">
        <f>CN128+CN120+CN112+CN130</f>
        <v>-58.718000000000302</v>
      </c>
      <c r="CO134" s="242">
        <f>CO128+CO120+CO112+CO130</f>
        <v>71.914999999999964</v>
      </c>
      <c r="CP134" s="242">
        <f>CP128+CP120+CP112+CP130</f>
        <v>827.23020870564983</v>
      </c>
      <c r="CQ134" s="242">
        <f>CQ128+CQ120+CQ112+CQ130</f>
        <v>297.21539424503226</v>
      </c>
      <c r="CR134" s="22"/>
      <c r="CS134" s="14"/>
    </row>
    <row r="135" spans="1:97" ht="14.25" customHeight="1" outlineLevel="1">
      <c r="A135" s="8"/>
      <c r="B135" s="248" t="s">
        <v>159</v>
      </c>
      <c r="C135" s="249"/>
      <c r="D135" s="251">
        <f>D134+D132+D133</f>
        <v>497.14699999999999</v>
      </c>
      <c r="E135" s="250">
        <f>E134+E132+E133</f>
        <v>567.02599999999995</v>
      </c>
      <c r="F135" s="250">
        <f>F134+F132+F133</f>
        <v>623.90700000000004</v>
      </c>
      <c r="G135" s="250">
        <f>G134+G132+G133</f>
        <v>783.36599999999999</v>
      </c>
      <c r="H135" s="251">
        <f t="shared" ref="H135:X135" si="408">H134+H132+H133</f>
        <v>829.23799999999994</v>
      </c>
      <c r="I135" s="250">
        <f t="shared" si="408"/>
        <v>903.58399999999995</v>
      </c>
      <c r="J135" s="250">
        <f t="shared" si="408"/>
        <v>540.048</v>
      </c>
      <c r="K135" s="250">
        <f t="shared" si="408"/>
        <v>635.87899999999991</v>
      </c>
      <c r="L135" s="251">
        <f t="shared" si="408"/>
        <v>627.96399999999983</v>
      </c>
      <c r="M135" s="250">
        <f t="shared" si="408"/>
        <v>368.30199999999979</v>
      </c>
      <c r="N135" s="250">
        <f t="shared" si="408"/>
        <v>400.39799999999991</v>
      </c>
      <c r="O135" s="250">
        <f t="shared" si="408"/>
        <v>866.99499999999978</v>
      </c>
      <c r="P135" s="251">
        <f t="shared" si="408"/>
        <v>769.47599999999989</v>
      </c>
      <c r="Q135" s="250">
        <f t="shared" si="408"/>
        <v>701.40599999999984</v>
      </c>
      <c r="R135" s="250">
        <f t="shared" si="408"/>
        <v>1007.7819999999999</v>
      </c>
      <c r="S135" s="250">
        <f t="shared" si="408"/>
        <v>1065.9869999999999</v>
      </c>
      <c r="T135" s="251">
        <f t="shared" si="408"/>
        <v>836.38099999999986</v>
      </c>
      <c r="U135" s="250">
        <f t="shared" si="408"/>
        <v>1028.1199999999999</v>
      </c>
      <c r="V135" s="250">
        <f t="shared" si="408"/>
        <v>1037.5640000000001</v>
      </c>
      <c r="W135" s="250">
        <f t="shared" si="408"/>
        <v>1031.4569999999999</v>
      </c>
      <c r="X135" s="251">
        <f t="shared" si="408"/>
        <v>912.44499999999982</v>
      </c>
      <c r="Y135" s="250">
        <f t="shared" ref="Y135:BW135" si="409">Y134+Y132+Y133</f>
        <v>774.50500000000011</v>
      </c>
      <c r="Z135" s="250">
        <f t="shared" si="409"/>
        <v>1101.0500000000002</v>
      </c>
      <c r="AA135" s="252">
        <f t="shared" si="409"/>
        <v>1222.3590000000002</v>
      </c>
      <c r="AB135" s="250">
        <f t="shared" si="409"/>
        <v>961.23699999999997</v>
      </c>
      <c r="AC135" s="250">
        <f t="shared" si="409"/>
        <v>602.95200000000023</v>
      </c>
      <c r="AD135" s="250">
        <f t="shared" si="409"/>
        <v>661.32500000000039</v>
      </c>
      <c r="AE135" s="252">
        <f t="shared" si="409"/>
        <v>788.82200000000068</v>
      </c>
      <c r="AF135" s="250">
        <f t="shared" si="409"/>
        <v>526.18900000000053</v>
      </c>
      <c r="AG135" s="250">
        <f t="shared" si="409"/>
        <v>595.1190000000006</v>
      </c>
      <c r="AH135" s="250">
        <f t="shared" si="409"/>
        <v>623.13700000000119</v>
      </c>
      <c r="AI135" s="252">
        <f t="shared" si="409"/>
        <v>623.55800000000079</v>
      </c>
      <c r="AJ135" s="250">
        <f t="shared" si="409"/>
        <v>509.4140000000009</v>
      </c>
      <c r="AK135" s="250">
        <f t="shared" si="409"/>
        <v>570.49400000000071</v>
      </c>
      <c r="AL135" s="250">
        <f>AL134+AL132+AL133</f>
        <v>631.87900000000036</v>
      </c>
      <c r="AM135" s="252">
        <f>AM134+AM132+AM133</f>
        <v>973.67700000000093</v>
      </c>
      <c r="AN135" s="250">
        <f t="shared" si="409"/>
        <v>625.03200000000106</v>
      </c>
      <c r="AO135" s="250">
        <f>AO134+AO132+AO133</f>
        <v>714.69900000000121</v>
      </c>
      <c r="AP135" s="250">
        <f>AP134+AP132+AP133</f>
        <v>1431.0230000000008</v>
      </c>
      <c r="AQ135" s="252">
        <f t="shared" si="409"/>
        <v>892.57200000000068</v>
      </c>
      <c r="AR135" s="250">
        <f t="shared" ref="AR135:AY135" si="410">AR134+AR132+AR133</f>
        <v>666.33800000000076</v>
      </c>
      <c r="AS135" s="250">
        <f t="shared" si="410"/>
        <v>760.61100000000079</v>
      </c>
      <c r="AT135" s="250">
        <f t="shared" si="410"/>
        <v>898.26400000000058</v>
      </c>
      <c r="AU135" s="252">
        <f t="shared" si="410"/>
        <v>503.81600000000083</v>
      </c>
      <c r="AV135" s="250">
        <f t="shared" si="410"/>
        <v>582.36200000000065</v>
      </c>
      <c r="AW135" s="250">
        <f t="shared" si="410"/>
        <v>690.49000000000069</v>
      </c>
      <c r="AX135" s="250">
        <f>AX134+AX132+AX133</f>
        <v>839.54600000000073</v>
      </c>
      <c r="AY135" s="252">
        <f t="shared" si="410"/>
        <v>966.69500000000073</v>
      </c>
      <c r="AZ135" s="250">
        <f t="shared" ref="AZ135:BG135" si="411">AZ134+AZ132+AZ133</f>
        <v>1059.3550000000005</v>
      </c>
      <c r="BA135" s="250">
        <f t="shared" si="411"/>
        <v>1070.1930000000004</v>
      </c>
      <c r="BB135" s="250">
        <f>BB134+BB132+BB133</f>
        <v>911.46100000000069</v>
      </c>
      <c r="BC135" s="252">
        <f t="shared" si="411"/>
        <v>817.45500000000038</v>
      </c>
      <c r="BD135" s="250">
        <f t="shared" si="411"/>
        <v>847.02046645396035</v>
      </c>
      <c r="BE135" s="250">
        <f t="shared" si="411"/>
        <v>945.21373833697737</v>
      </c>
      <c r="BF135" s="250">
        <f t="shared" si="411"/>
        <v>1019.0152087056504</v>
      </c>
      <c r="BG135" s="252">
        <f t="shared" si="411"/>
        <v>1075.6490979707019</v>
      </c>
      <c r="BH135" s="250">
        <f>BH134+BH132+BH133</f>
        <v>1157.8985991720633</v>
      </c>
      <c r="BI135" s="250">
        <f>BI134+BI132+BI133</f>
        <v>1234.0327206232628</v>
      </c>
      <c r="BJ135" s="250">
        <f>BJ134+BJ132+BJ133</f>
        <v>1316.2306029506831</v>
      </c>
      <c r="BK135" s="252">
        <f>BK134+BK132+BK133</f>
        <v>1392.5374561978601</v>
      </c>
      <c r="BL135" s="192"/>
      <c r="BM135" s="250">
        <f t="shared" si="409"/>
        <v>783.36599999999999</v>
      </c>
      <c r="BN135" s="250">
        <f t="shared" si="409"/>
        <v>635.87899999999991</v>
      </c>
      <c r="BO135" s="250">
        <f t="shared" si="409"/>
        <v>866.99499999999978</v>
      </c>
      <c r="BP135" s="250">
        <f t="shared" si="409"/>
        <v>1065.9869999999999</v>
      </c>
      <c r="BQ135" s="250">
        <f t="shared" si="409"/>
        <v>1031.4569999999999</v>
      </c>
      <c r="BR135" s="250">
        <f t="shared" si="409"/>
        <v>1222.3590000000002</v>
      </c>
      <c r="BS135" s="250">
        <f t="shared" si="409"/>
        <v>788.82200000000068</v>
      </c>
      <c r="BT135" s="250">
        <f t="shared" si="409"/>
        <v>623.55800000000079</v>
      </c>
      <c r="BU135" s="250">
        <f t="shared" si="409"/>
        <v>973.67700000000093</v>
      </c>
      <c r="BV135" s="250">
        <f t="shared" si="409"/>
        <v>892.57200000000068</v>
      </c>
      <c r="BW135" s="250">
        <f t="shared" si="409"/>
        <v>503.81600000000083</v>
      </c>
      <c r="BX135" s="250">
        <f>BX134+BX132+BX133</f>
        <v>966.69500000000073</v>
      </c>
      <c r="BY135" s="250">
        <f>BY134+BY132+BY133</f>
        <v>817.45500000000038</v>
      </c>
      <c r="BZ135" s="250">
        <f>BZ134+BZ132+BZ133</f>
        <v>1075.6490979707019</v>
      </c>
      <c r="CA135" s="250">
        <f>CA134+CA132+CA133</f>
        <v>1392.5374561978601</v>
      </c>
      <c r="CB135" s="1025">
        <f>CB134+CB132+CB133</f>
        <v>1793.0228866894131</v>
      </c>
      <c r="CC135" s="20"/>
      <c r="CD135" s="250">
        <f t="shared" ref="CD135:CM135" si="412">CD134+CD132+CD133</f>
        <v>540.04800000000012</v>
      </c>
      <c r="CE135" s="250">
        <f t="shared" si="412"/>
        <v>400.39800000000014</v>
      </c>
      <c r="CF135" s="250">
        <f t="shared" si="412"/>
        <v>1007.7819999999997</v>
      </c>
      <c r="CG135" s="250">
        <f t="shared" si="412"/>
        <v>1037.5639999999996</v>
      </c>
      <c r="CH135" s="250">
        <f t="shared" si="412"/>
        <v>1101.0499999999997</v>
      </c>
      <c r="CI135" s="250">
        <f t="shared" si="412"/>
        <v>661.32500000000039</v>
      </c>
      <c r="CJ135" s="250">
        <f t="shared" si="412"/>
        <v>623.13700000000051</v>
      </c>
      <c r="CK135" s="250">
        <f t="shared" si="412"/>
        <v>631.8790000000007</v>
      </c>
      <c r="CL135" s="250">
        <f t="shared" si="412"/>
        <v>1431.023000000001</v>
      </c>
      <c r="CM135" s="250">
        <f t="shared" si="412"/>
        <v>898.26400000000035</v>
      </c>
      <c r="CN135" s="250">
        <f>CN134+CN132+CN133</f>
        <v>839.54600000000005</v>
      </c>
      <c r="CO135" s="250">
        <f>CO134+CO132+CO133</f>
        <v>911.46100000000001</v>
      </c>
      <c r="CP135" s="250">
        <f>CP134+CP132+CP133</f>
        <v>1019.0152087056495</v>
      </c>
      <c r="CQ135" s="250">
        <f>CQ134+CQ132+CQ133</f>
        <v>1316.2306029506817</v>
      </c>
      <c r="CR135" s="22"/>
      <c r="CS135" s="14"/>
    </row>
    <row r="136" spans="1:97" ht="14.25" customHeight="1" outlineLevel="1">
      <c r="A136" s="8"/>
      <c r="B136" s="307"/>
      <c r="C136" s="308"/>
      <c r="D136" s="242"/>
      <c r="E136" s="242"/>
      <c r="F136" s="242"/>
      <c r="G136" s="242"/>
      <c r="H136" s="242"/>
      <c r="I136" s="242"/>
      <c r="J136" s="242"/>
      <c r="K136" s="242"/>
      <c r="L136" s="242"/>
      <c r="M136" s="242"/>
      <c r="N136" s="242"/>
      <c r="O136" s="242"/>
      <c r="P136" s="242"/>
      <c r="Q136" s="242"/>
      <c r="R136" s="242"/>
      <c r="S136" s="242"/>
      <c r="T136" s="242"/>
      <c r="U136" s="242"/>
      <c r="V136" s="242"/>
      <c r="W136" s="242"/>
      <c r="X136" s="242"/>
      <c r="Y136" s="242"/>
      <c r="Z136" s="242"/>
      <c r="AA136" s="242"/>
      <c r="AB136" s="242"/>
      <c r="AC136" s="242"/>
      <c r="AD136" s="242"/>
      <c r="AE136" s="242"/>
      <c r="AF136" s="242"/>
      <c r="AG136" s="242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71"/>
      <c r="BM136" s="242"/>
      <c r="BN136" s="242"/>
      <c r="BO136" s="242"/>
      <c r="BP136" s="242"/>
      <c r="BQ136" s="242"/>
      <c r="BR136" s="242"/>
      <c r="BS136" s="242"/>
      <c r="BT136" s="242"/>
      <c r="BU136" s="242"/>
      <c r="BV136" s="242"/>
      <c r="BW136" s="242"/>
      <c r="BX136" s="242"/>
      <c r="BY136" s="242"/>
      <c r="BZ136" s="242"/>
      <c r="CA136" s="242"/>
      <c r="CB136" s="1002"/>
      <c r="CC136" s="8"/>
      <c r="CD136" s="242"/>
      <c r="CE136" s="242"/>
      <c r="CF136" s="242"/>
      <c r="CG136" s="242"/>
      <c r="CH136" s="242"/>
      <c r="CI136" s="242"/>
      <c r="CJ136" s="242"/>
      <c r="CK136" s="242"/>
      <c r="CL136" s="242"/>
      <c r="CM136" s="242"/>
      <c r="CN136" s="242"/>
      <c r="CO136" s="242"/>
      <c r="CP136" s="242"/>
      <c r="CQ136" s="242"/>
      <c r="CR136" s="8"/>
      <c r="CS136" s="8"/>
    </row>
    <row r="137" spans="1:97" ht="14.25" customHeight="1" outlineLevel="1">
      <c r="A137" s="8"/>
      <c r="B137" s="74" t="s">
        <v>130</v>
      </c>
      <c r="C137" s="75"/>
      <c r="D137" s="190">
        <f>BS!D11</f>
        <v>497.14699999999999</v>
      </c>
      <c r="E137" s="188">
        <f>BS!E11</f>
        <v>567.02599999999995</v>
      </c>
      <c r="F137" s="188">
        <f>BS!F11</f>
        <v>623.90700000000004</v>
      </c>
      <c r="G137" s="191">
        <f>BS!G11</f>
        <v>783.36599999999999</v>
      </c>
      <c r="H137" s="190">
        <f>BS!H11</f>
        <v>829.23800000000006</v>
      </c>
      <c r="I137" s="188">
        <f>BS!I11</f>
        <v>903.58399999999995</v>
      </c>
      <c r="J137" s="188">
        <f>BS!J11</f>
        <v>540.048</v>
      </c>
      <c r="K137" s="191">
        <f>BS!K11</f>
        <v>635.87900000000002</v>
      </c>
      <c r="L137" s="190">
        <f>BS!L11</f>
        <v>627.96400000000006</v>
      </c>
      <c r="M137" s="188">
        <f>BS!M11</f>
        <v>368.30200000000002</v>
      </c>
      <c r="N137" s="188">
        <f>BS!N11</f>
        <v>400.39800000000002</v>
      </c>
      <c r="O137" s="191">
        <f>BS!O11</f>
        <v>866.995</v>
      </c>
      <c r="P137" s="190">
        <f>BS!P11</f>
        <v>769.476</v>
      </c>
      <c r="Q137" s="188">
        <f>BS!Q11</f>
        <v>701.40599999999995</v>
      </c>
      <c r="R137" s="188">
        <f>BS!R11</f>
        <v>1007.782</v>
      </c>
      <c r="S137" s="191">
        <f>BS!S11</f>
        <v>1065.9870000000001</v>
      </c>
      <c r="T137" s="190">
        <f>BS!T11</f>
        <v>836.38099999999997</v>
      </c>
      <c r="U137" s="188">
        <f>BS!U11</f>
        <v>1028.1199999999999</v>
      </c>
      <c r="V137" s="188">
        <f>BS!V11</f>
        <v>1037.5640000000001</v>
      </c>
      <c r="W137" s="191">
        <f>BS!W11</f>
        <v>1031.4570000000001</v>
      </c>
      <c r="X137" s="190">
        <f>BS!X11</f>
        <v>912.44500000000005</v>
      </c>
      <c r="Y137" s="188">
        <f>BS!Y11</f>
        <v>774.505</v>
      </c>
      <c r="Z137" s="188">
        <f>BS!Z11</f>
        <v>1101.05</v>
      </c>
      <c r="AA137" s="191">
        <f>BS!AA11</f>
        <v>1222.3589999999999</v>
      </c>
      <c r="AB137" s="188">
        <f>BS!AB11</f>
        <v>961.23699999999997</v>
      </c>
      <c r="AC137" s="188">
        <f>BS!AC11</f>
        <v>602.952</v>
      </c>
      <c r="AD137" s="188">
        <f>BS!AD11</f>
        <v>661.32500000000005</v>
      </c>
      <c r="AE137" s="191">
        <f>BS!AE11</f>
        <v>788.822</v>
      </c>
      <c r="AF137" s="188">
        <f>BS!AF11</f>
        <v>526.18899999999996</v>
      </c>
      <c r="AG137" s="188">
        <f>BS!AG11</f>
        <v>595.11900000000003</v>
      </c>
      <c r="AH137" s="188">
        <f>BS!AH11</f>
        <v>623.13699999999994</v>
      </c>
      <c r="AI137" s="603">
        <f>BS!AI11</f>
        <v>623.55799999999999</v>
      </c>
      <c r="AJ137" s="188">
        <f>BS!AJ11</f>
        <v>509.41399999999999</v>
      </c>
      <c r="AK137" s="188">
        <f>BS!AK11</f>
        <v>570.49400000000003</v>
      </c>
      <c r="AL137" s="188">
        <f>BS!AL11</f>
        <v>631.87900000000002</v>
      </c>
      <c r="AM137" s="603">
        <f>BS!AM11</f>
        <v>973.67700000000002</v>
      </c>
      <c r="AN137" s="188">
        <f>BS!AN11</f>
        <v>625.03200000000004</v>
      </c>
      <c r="AO137" s="188">
        <f>BS!AO11</f>
        <v>714.69899999999996</v>
      </c>
      <c r="AP137" s="188">
        <f>BS!AP11</f>
        <v>1431.0229999999999</v>
      </c>
      <c r="AQ137" s="603">
        <f>BS!AQ11</f>
        <v>892.572</v>
      </c>
      <c r="AR137" s="188">
        <f>BS!AR11</f>
        <v>666.33799999999997</v>
      </c>
      <c r="AS137" s="188">
        <f>BS!AS11</f>
        <v>760.61099999999999</v>
      </c>
      <c r="AT137" s="188">
        <f>BS!AT11</f>
        <v>898.26400000000001</v>
      </c>
      <c r="AU137" s="603">
        <f>BS!AU11</f>
        <v>503.81599999999997</v>
      </c>
      <c r="AV137" s="188">
        <f>BS!AV11</f>
        <v>582.36199999999997</v>
      </c>
      <c r="AW137" s="188">
        <f>BS!AW11</f>
        <v>690.49</v>
      </c>
      <c r="AX137" s="188">
        <f>BS!AX11</f>
        <v>839.54600000000005</v>
      </c>
      <c r="AY137" s="189">
        <f>BS!AY11</f>
        <v>966.69500000000005</v>
      </c>
      <c r="AZ137" s="188">
        <f>BS!AZ11</f>
        <v>1059.355</v>
      </c>
      <c r="BA137" s="188">
        <f>BS!BA11</f>
        <v>1070.193</v>
      </c>
      <c r="BB137" s="188">
        <f>BS!BB11</f>
        <v>911.46100000000001</v>
      </c>
      <c r="BC137" s="189">
        <f>BS!BC11</f>
        <v>817.45500000000038</v>
      </c>
      <c r="BD137" s="188">
        <f>BS!BD11</f>
        <v>847.02046645396035</v>
      </c>
      <c r="BE137" s="256">
        <f>BS!BE11</f>
        <v>945.21373833697737</v>
      </c>
      <c r="BF137" s="188">
        <f>BS!BF11</f>
        <v>1019.0152087056504</v>
      </c>
      <c r="BG137" s="189">
        <f>BS!BG11</f>
        <v>1075.6490979707016</v>
      </c>
      <c r="BH137" s="188">
        <f>BS!BH11</f>
        <v>1157.8985991720631</v>
      </c>
      <c r="BI137" s="256">
        <f>BS!BI11</f>
        <v>1234.0327206232625</v>
      </c>
      <c r="BJ137" s="188">
        <f>BS!BJ11</f>
        <v>1316.2306029506829</v>
      </c>
      <c r="BK137" s="189">
        <f>BS!BK11</f>
        <v>1392.5374561978597</v>
      </c>
      <c r="BL137" s="192"/>
      <c r="BM137" s="188">
        <f>BS!BM11</f>
        <v>783.36599999999999</v>
      </c>
      <c r="BN137" s="188">
        <f>BS!BN11</f>
        <v>635.87900000000002</v>
      </c>
      <c r="BO137" s="188">
        <f>BS!BO11</f>
        <v>866.995</v>
      </c>
      <c r="BP137" s="188">
        <f>BS!BP11</f>
        <v>1065.9870000000001</v>
      </c>
      <c r="BQ137" s="188">
        <f>BS!BQ11</f>
        <v>1031.4570000000001</v>
      </c>
      <c r="BR137" s="188">
        <f>BS!BR11</f>
        <v>1222.3589999999999</v>
      </c>
      <c r="BS137" s="188">
        <f>BS!BS11</f>
        <v>788.822</v>
      </c>
      <c r="BT137" s="188">
        <f>BS!BT11</f>
        <v>623.55799999999999</v>
      </c>
      <c r="BU137" s="188">
        <f>BS!BU11</f>
        <v>973.67700000000002</v>
      </c>
      <c r="BV137" s="188">
        <f>BS!BV11</f>
        <v>892.572</v>
      </c>
      <c r="BW137" s="188">
        <f>BS!BW11</f>
        <v>503.81599999999997</v>
      </c>
      <c r="BX137" s="188">
        <f>BS!BX11</f>
        <v>966.69500000000005</v>
      </c>
      <c r="BY137" s="188">
        <f>BS!BY11</f>
        <v>817.45500000000038</v>
      </c>
      <c r="BZ137" s="188">
        <f>BS!BZ11</f>
        <v>1075.6490979707016</v>
      </c>
      <c r="CA137" s="188">
        <f>BS!CA11</f>
        <v>1392.5374561978597</v>
      </c>
      <c r="CB137" s="1013">
        <f>BS!CB11</f>
        <v>1793.0228866894126</v>
      </c>
      <c r="CC137" s="20"/>
      <c r="CD137" s="188">
        <f>BS!CD11</f>
        <v>540.048</v>
      </c>
      <c r="CE137" s="188">
        <f>BS!CE11</f>
        <v>400.39800000000002</v>
      </c>
      <c r="CF137" s="188">
        <f>BS!CF11</f>
        <v>1007.782</v>
      </c>
      <c r="CG137" s="188">
        <f>BS!CG11</f>
        <v>1037.5640000000001</v>
      </c>
      <c r="CH137" s="188">
        <f>BS!CH11</f>
        <v>1101.05</v>
      </c>
      <c r="CI137" s="188">
        <f>BS!CI11</f>
        <v>661.32500000000005</v>
      </c>
      <c r="CJ137" s="188">
        <f>BS!CJ11</f>
        <v>623.13699999999994</v>
      </c>
      <c r="CK137" s="188">
        <f>BS!CK11</f>
        <v>631.87900000000002</v>
      </c>
      <c r="CL137" s="188">
        <f>BS!CL11</f>
        <v>1431.0229999999999</v>
      </c>
      <c r="CM137" s="188">
        <f>BS!CM11</f>
        <v>898.26400000000001</v>
      </c>
      <c r="CN137" s="188">
        <f>BS!CN11</f>
        <v>839.54600000000005</v>
      </c>
      <c r="CO137" s="188">
        <f>BS!CO11</f>
        <v>911.46100000000001</v>
      </c>
      <c r="CP137" s="188">
        <f>BS!CP11</f>
        <v>1019.0152087056504</v>
      </c>
      <c r="CQ137" s="188">
        <f>BS!CQ11</f>
        <v>1316.2306029506829</v>
      </c>
      <c r="CR137" s="22"/>
      <c r="CS137" s="14"/>
    </row>
    <row r="138" spans="1:97" ht="14.25" customHeight="1" outlineLevel="1">
      <c r="A138" s="8"/>
      <c r="B138" s="154" t="s">
        <v>113</v>
      </c>
      <c r="C138" s="155"/>
      <c r="D138" s="156">
        <f>IF(ROUND(D137,4)=ROUND(D135,4),0,(D137-D135))</f>
        <v>0</v>
      </c>
      <c r="E138" s="156">
        <f>IF(ROUND(E137,4)=ROUND(E135,4),0,(E137-E135))</f>
        <v>0</v>
      </c>
      <c r="F138" s="193">
        <f>IF(ROUND(F137,4)=ROUND(F135,4),0,(F137-F135))</f>
        <v>0</v>
      </c>
      <c r="G138" s="156">
        <f>IF(ROUND(G137,4)=ROUND(G135,4),0,(G137-G135))</f>
        <v>0</v>
      </c>
      <c r="H138" s="156">
        <f t="shared" ref="H138:Z138" si="413">IF(ROUND(H137,4)=ROUND(H135,4),0,(H137-H135))</f>
        <v>0</v>
      </c>
      <c r="I138" s="156">
        <f t="shared" si="413"/>
        <v>0</v>
      </c>
      <c r="J138" s="193">
        <f t="shared" si="413"/>
        <v>0</v>
      </c>
      <c r="K138" s="156">
        <f t="shared" si="413"/>
        <v>0</v>
      </c>
      <c r="L138" s="156">
        <f t="shared" si="413"/>
        <v>0</v>
      </c>
      <c r="M138" s="156">
        <f t="shared" si="413"/>
        <v>0</v>
      </c>
      <c r="N138" s="193">
        <f t="shared" si="413"/>
        <v>0</v>
      </c>
      <c r="O138" s="156">
        <f t="shared" si="413"/>
        <v>0</v>
      </c>
      <c r="P138" s="156">
        <f t="shared" si="413"/>
        <v>0</v>
      </c>
      <c r="Q138" s="156">
        <f t="shared" si="413"/>
        <v>0</v>
      </c>
      <c r="R138" s="193">
        <f t="shared" si="413"/>
        <v>0</v>
      </c>
      <c r="S138" s="156">
        <f t="shared" si="413"/>
        <v>0</v>
      </c>
      <c r="T138" s="156">
        <f t="shared" si="413"/>
        <v>0</v>
      </c>
      <c r="U138" s="156">
        <f t="shared" si="413"/>
        <v>0</v>
      </c>
      <c r="V138" s="193">
        <f t="shared" si="413"/>
        <v>0</v>
      </c>
      <c r="W138" s="156">
        <f t="shared" si="413"/>
        <v>0</v>
      </c>
      <c r="X138" s="156">
        <f t="shared" si="413"/>
        <v>0</v>
      </c>
      <c r="Y138" s="156">
        <f t="shared" si="413"/>
        <v>0</v>
      </c>
      <c r="Z138" s="193">
        <f t="shared" si="413"/>
        <v>0</v>
      </c>
      <c r="AA138" s="156">
        <f t="shared" ref="AA138:AQ138" si="414">IF(ROUND(AA137,4)=ROUND(AA135,4),0,(AA137-AA135))</f>
        <v>0</v>
      </c>
      <c r="AB138" s="158">
        <f t="shared" si="414"/>
        <v>0</v>
      </c>
      <c r="AC138" s="156">
        <f t="shared" si="414"/>
        <v>0</v>
      </c>
      <c r="AD138" s="156">
        <f t="shared" si="414"/>
        <v>0</v>
      </c>
      <c r="AE138" s="156">
        <f t="shared" si="414"/>
        <v>0</v>
      </c>
      <c r="AF138" s="158">
        <f t="shared" si="414"/>
        <v>0</v>
      </c>
      <c r="AG138" s="156">
        <f t="shared" si="414"/>
        <v>0</v>
      </c>
      <c r="AH138" s="156">
        <f t="shared" si="414"/>
        <v>0</v>
      </c>
      <c r="AI138" s="604">
        <f t="shared" si="414"/>
        <v>0</v>
      </c>
      <c r="AJ138" s="158">
        <f t="shared" si="414"/>
        <v>0</v>
      </c>
      <c r="AK138" s="156">
        <f t="shared" si="414"/>
        <v>0</v>
      </c>
      <c r="AL138" s="156">
        <f t="shared" si="414"/>
        <v>0</v>
      </c>
      <c r="AM138" s="604">
        <f t="shared" si="414"/>
        <v>0</v>
      </c>
      <c r="AN138" s="158">
        <f t="shared" si="414"/>
        <v>0</v>
      </c>
      <c r="AO138" s="156">
        <f t="shared" si="414"/>
        <v>0</v>
      </c>
      <c r="AP138" s="156">
        <f t="shared" si="414"/>
        <v>0</v>
      </c>
      <c r="AQ138" s="814">
        <f t="shared" si="414"/>
        <v>0</v>
      </c>
      <c r="AR138" s="158">
        <f t="shared" ref="AR138:AY138" si="415">IF(ROUND(AR137,4)=ROUND(AR135,4),0,(AR137-AR135))</f>
        <v>0</v>
      </c>
      <c r="AS138" s="156">
        <f t="shared" si="415"/>
        <v>0</v>
      </c>
      <c r="AT138" s="156">
        <f t="shared" si="415"/>
        <v>0</v>
      </c>
      <c r="AU138" s="156">
        <f t="shared" si="415"/>
        <v>0</v>
      </c>
      <c r="AV138" s="158">
        <f t="shared" si="415"/>
        <v>0</v>
      </c>
      <c r="AW138" s="156">
        <f t="shared" si="415"/>
        <v>0</v>
      </c>
      <c r="AX138" s="156">
        <f>IF(ROUND(AX137,4)=ROUND(AX135,4),0,(AX137-AX135))</f>
        <v>0</v>
      </c>
      <c r="AY138" s="157">
        <f t="shared" si="415"/>
        <v>0</v>
      </c>
      <c r="AZ138" s="156">
        <f t="shared" ref="AZ138:BG138" si="416">IF(ROUND(AZ137,4)=ROUND(AZ135,4),0,(AZ137-AZ135))</f>
        <v>0</v>
      </c>
      <c r="BA138" s="156">
        <f t="shared" si="416"/>
        <v>0</v>
      </c>
      <c r="BB138" s="156">
        <f>IF(ROUND(BB137,4)=ROUND(BB135,4),0,(BB137-BB135))</f>
        <v>0</v>
      </c>
      <c r="BC138" s="157">
        <f t="shared" si="416"/>
        <v>0</v>
      </c>
      <c r="BD138" s="156">
        <f t="shared" si="416"/>
        <v>0</v>
      </c>
      <c r="BE138" s="156">
        <f t="shared" si="416"/>
        <v>0</v>
      </c>
      <c r="BF138" s="156">
        <f t="shared" si="416"/>
        <v>0</v>
      </c>
      <c r="BG138" s="157">
        <f t="shared" si="416"/>
        <v>0</v>
      </c>
      <c r="BH138" s="156">
        <f>IF(ROUND(BH137,4)=ROUND(BH135,4),0,(BH137-BH135))</f>
        <v>0</v>
      </c>
      <c r="BI138" s="156">
        <f>IF(ROUND(BI137,4)=ROUND(BI135,4),0,(BI137-BI135))</f>
        <v>0</v>
      </c>
      <c r="BJ138" s="156">
        <f>IF(ROUND(BJ137,4)=ROUND(BJ135,4),0,(BJ137-BJ135))</f>
        <v>0</v>
      </c>
      <c r="BK138" s="157">
        <f>IF(ROUND(BK137,4)=ROUND(BK135,4),0,(BK137-BK135))</f>
        <v>0</v>
      </c>
      <c r="BL138" s="192"/>
      <c r="BM138" s="156">
        <f t="shared" ref="BM138:BZ138" si="417">IF(ROUND(BM137,4)=ROUND(BM135,4),0,(BM137-BM135))</f>
        <v>0</v>
      </c>
      <c r="BN138" s="156">
        <f t="shared" si="417"/>
        <v>0</v>
      </c>
      <c r="BO138" s="156">
        <f t="shared" si="417"/>
        <v>0</v>
      </c>
      <c r="BP138" s="156">
        <f t="shared" si="417"/>
        <v>0</v>
      </c>
      <c r="BQ138" s="156">
        <f t="shared" si="417"/>
        <v>0</v>
      </c>
      <c r="BR138" s="156">
        <f t="shared" si="417"/>
        <v>0</v>
      </c>
      <c r="BS138" s="156">
        <f t="shared" si="417"/>
        <v>0</v>
      </c>
      <c r="BT138" s="156">
        <f t="shared" si="417"/>
        <v>0</v>
      </c>
      <c r="BU138" s="156">
        <f t="shared" si="417"/>
        <v>0</v>
      </c>
      <c r="BV138" s="156">
        <f t="shared" si="417"/>
        <v>0</v>
      </c>
      <c r="BW138" s="156">
        <f t="shared" si="417"/>
        <v>0</v>
      </c>
      <c r="BX138" s="156">
        <f t="shared" si="417"/>
        <v>0</v>
      </c>
      <c r="BY138" s="156">
        <f t="shared" si="417"/>
        <v>0</v>
      </c>
      <c r="BZ138" s="156">
        <f t="shared" si="417"/>
        <v>0</v>
      </c>
      <c r="CA138" s="156">
        <f>IF(ROUND(CA137,4)=ROUND(CA135,4),0,(CA137-CA135))</f>
        <v>0</v>
      </c>
      <c r="CB138" s="970">
        <f>IF(ROUND(CB137,4)=ROUND(CB135,4),0,(CB137-CB135))</f>
        <v>0</v>
      </c>
      <c r="CC138" s="20"/>
      <c r="CD138" s="156">
        <f t="shared" ref="CD138:CM138" si="418">IF(ROUND(CD137,4)=ROUND(CD135,4),0,(CD137-CD135))</f>
        <v>0</v>
      </c>
      <c r="CE138" s="156">
        <f t="shared" si="418"/>
        <v>0</v>
      </c>
      <c r="CF138" s="156">
        <f t="shared" si="418"/>
        <v>0</v>
      </c>
      <c r="CG138" s="156">
        <f t="shared" si="418"/>
        <v>0</v>
      </c>
      <c r="CH138" s="156">
        <f t="shared" si="418"/>
        <v>0</v>
      </c>
      <c r="CI138" s="156">
        <f t="shared" si="418"/>
        <v>0</v>
      </c>
      <c r="CJ138" s="156">
        <f t="shared" si="418"/>
        <v>0</v>
      </c>
      <c r="CK138" s="156">
        <f t="shared" si="418"/>
        <v>0</v>
      </c>
      <c r="CL138" s="156">
        <f t="shared" si="418"/>
        <v>0</v>
      </c>
      <c r="CM138" s="156">
        <f t="shared" si="418"/>
        <v>0</v>
      </c>
      <c r="CN138" s="156">
        <f>IF(ROUND(CN137,4)=ROUND(CN135,4),0,(CN137-CN135))</f>
        <v>0</v>
      </c>
      <c r="CO138" s="156">
        <f>IF(ROUND(CO137,4)=ROUND(CO135,4),0,(CO137-CO135))</f>
        <v>0</v>
      </c>
      <c r="CP138" s="156">
        <f>IF(ROUND(CP137,4)=ROUND(CP135,4),0,(CP137-CP135))</f>
        <v>0</v>
      </c>
      <c r="CQ138" s="156">
        <f>IF(ROUND(CQ137,4)=ROUND(CQ135,4),0,(CQ137-CQ135))</f>
        <v>0</v>
      </c>
      <c r="CR138" s="22"/>
      <c r="CS138" s="14"/>
    </row>
    <row r="139" spans="1:97" ht="14.25" customHeight="1">
      <c r="A139" s="8"/>
      <c r="B139" s="258"/>
      <c r="C139" s="258"/>
      <c r="D139" s="259"/>
      <c r="E139" s="259"/>
      <c r="F139" s="259"/>
      <c r="G139" s="259"/>
      <c r="H139" s="259"/>
      <c r="I139" s="259"/>
      <c r="J139" s="259"/>
      <c r="K139" s="259"/>
      <c r="L139" s="259"/>
      <c r="M139" s="259"/>
      <c r="N139" s="259"/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E139" s="259"/>
      <c r="AF139" s="259"/>
      <c r="AG139" s="259"/>
      <c r="AH139" s="259"/>
      <c r="AI139" s="259"/>
      <c r="AJ139" s="259"/>
      <c r="AK139" s="259"/>
      <c r="AL139" s="259"/>
      <c r="AM139" s="259"/>
      <c r="AN139" s="259"/>
      <c r="AO139" s="259"/>
      <c r="AP139" s="259"/>
      <c r="AQ139" s="259"/>
      <c r="AR139" s="259"/>
      <c r="AS139" s="259"/>
      <c r="AT139" s="259"/>
      <c r="AU139" s="259"/>
      <c r="AV139" s="259"/>
      <c r="AW139" s="259"/>
      <c r="AX139" s="259"/>
      <c r="AY139" s="259"/>
      <c r="AZ139" s="259"/>
      <c r="BA139" s="259"/>
      <c r="BB139" s="259"/>
      <c r="BC139" s="259"/>
      <c r="BD139" s="259"/>
      <c r="BE139" s="259"/>
      <c r="BF139" s="259"/>
      <c r="BG139" s="259"/>
      <c r="BH139" s="259"/>
      <c r="BI139" s="259"/>
      <c r="BJ139" s="259"/>
      <c r="BK139" s="259"/>
      <c r="BL139" s="71"/>
      <c r="BM139" s="259"/>
      <c r="BN139" s="259"/>
      <c r="BO139" s="259"/>
      <c r="BP139" s="259"/>
      <c r="BQ139" s="259"/>
      <c r="BR139" s="259"/>
      <c r="BS139" s="259"/>
      <c r="BT139" s="259"/>
      <c r="BU139" s="259"/>
      <c r="BV139" s="259"/>
      <c r="BW139" s="259"/>
      <c r="BX139" s="259"/>
      <c r="BY139" s="259"/>
      <c r="BZ139" s="259"/>
      <c r="CA139" s="259"/>
      <c r="CB139" s="259"/>
      <c r="CC139" s="8"/>
      <c r="CD139" s="259"/>
      <c r="CE139" s="259"/>
      <c r="CF139" s="259"/>
      <c r="CG139" s="259"/>
      <c r="CH139" s="259"/>
      <c r="CI139" s="259"/>
      <c r="CJ139" s="259"/>
      <c r="CK139" s="259"/>
      <c r="CL139" s="259"/>
      <c r="CM139" s="259"/>
      <c r="CN139" s="259"/>
      <c r="CO139" s="259"/>
      <c r="CP139" s="259"/>
      <c r="CQ139" s="259"/>
      <c r="CR139" s="8"/>
      <c r="CS139" s="8"/>
    </row>
    <row r="140" spans="1:97" ht="14.25" customHeight="1">
      <c r="A140" s="8"/>
      <c r="B140" s="14"/>
      <c r="C140" s="71"/>
      <c r="D140" s="260"/>
      <c r="E140" s="260"/>
      <c r="F140" s="260"/>
      <c r="G140" s="260"/>
      <c r="H140" s="260"/>
      <c r="I140" s="260"/>
      <c r="J140" s="260"/>
      <c r="K140" s="260"/>
      <c r="L140" s="260"/>
      <c r="M140" s="260"/>
      <c r="N140" s="260"/>
      <c r="O140" s="260"/>
      <c r="P140" s="260"/>
      <c r="Q140" s="260"/>
      <c r="R140" s="260"/>
      <c r="S140" s="260"/>
      <c r="T140" s="260"/>
      <c r="U140" s="260"/>
      <c r="V140" s="260"/>
      <c r="W140" s="260"/>
      <c r="X140" s="260"/>
      <c r="Y140" s="260"/>
      <c r="Z140" s="260"/>
      <c r="AA140" s="260"/>
      <c r="AB140" s="260"/>
      <c r="AC140" s="260"/>
      <c r="AD140" s="260"/>
      <c r="AE140" s="260"/>
      <c r="AF140" s="260"/>
      <c r="AG140" s="260"/>
      <c r="AH140" s="260"/>
      <c r="AI140" s="260"/>
      <c r="AJ140" s="260"/>
      <c r="AK140" s="260"/>
      <c r="AL140" s="260"/>
      <c r="AM140" s="259"/>
      <c r="AN140" s="260"/>
      <c r="AO140" s="260"/>
      <c r="AP140" s="260"/>
      <c r="AQ140" s="259"/>
      <c r="AR140" s="260"/>
      <c r="AS140" s="260"/>
      <c r="AT140" s="260"/>
      <c r="AU140" s="260"/>
      <c r="AV140" s="260"/>
      <c r="AW140" s="260"/>
      <c r="AX140" s="260"/>
      <c r="AY140" s="260"/>
      <c r="AZ140" s="260"/>
      <c r="BA140" s="260"/>
      <c r="BB140" s="260"/>
      <c r="BC140" s="260"/>
      <c r="BD140" s="260"/>
      <c r="BE140" s="260"/>
      <c r="BF140" s="260"/>
      <c r="BG140" s="260"/>
      <c r="BH140" s="260"/>
      <c r="BI140" s="260"/>
      <c r="BJ140" s="260"/>
      <c r="BK140" s="260"/>
      <c r="BL140" s="8"/>
      <c r="BM140" s="260"/>
      <c r="BN140" s="260"/>
      <c r="BO140" s="260"/>
      <c r="BP140" s="260"/>
      <c r="BQ140" s="260"/>
      <c r="BR140" s="260"/>
      <c r="BS140" s="260"/>
      <c r="BT140" s="260"/>
      <c r="BU140" s="260"/>
      <c r="BV140" s="260"/>
      <c r="BW140" s="260"/>
      <c r="BX140" s="260"/>
      <c r="BY140" s="852"/>
      <c r="BZ140" s="852"/>
      <c r="CA140" s="852"/>
      <c r="CB140" s="260"/>
      <c r="CC140" s="8"/>
      <c r="CD140" s="260"/>
      <c r="CE140" s="260"/>
      <c r="CF140" s="260"/>
      <c r="CG140" s="260"/>
      <c r="CH140" s="260"/>
      <c r="CI140" s="260"/>
      <c r="CJ140" s="260"/>
      <c r="CK140" s="260"/>
      <c r="CL140" s="260"/>
      <c r="CM140" s="260"/>
      <c r="CN140" s="260"/>
      <c r="CO140" s="852"/>
      <c r="CP140" s="852"/>
      <c r="CQ140" s="260"/>
      <c r="CR140" s="8"/>
      <c r="CS140" s="8"/>
    </row>
    <row r="141" spans="1:97" ht="14.25" customHeight="1">
      <c r="A141" s="8"/>
      <c r="B141" s="14"/>
      <c r="C141" s="71"/>
      <c r="D141" s="260"/>
      <c r="E141" s="260"/>
      <c r="F141" s="260"/>
      <c r="G141" s="260"/>
      <c r="H141" s="260"/>
      <c r="I141" s="260"/>
      <c r="J141" s="260"/>
      <c r="K141" s="260"/>
      <c r="L141" s="260"/>
      <c r="M141" s="260"/>
      <c r="N141" s="260"/>
      <c r="O141" s="260"/>
      <c r="P141" s="260"/>
      <c r="Q141" s="260"/>
      <c r="R141" s="260"/>
      <c r="S141" s="260"/>
      <c r="T141" s="260"/>
      <c r="U141" s="260"/>
      <c r="V141" s="260"/>
      <c r="W141" s="260"/>
      <c r="X141" s="260"/>
      <c r="Y141" s="260"/>
      <c r="Z141" s="260"/>
      <c r="AA141" s="260"/>
      <c r="AB141" s="260"/>
      <c r="AC141" s="260"/>
      <c r="AD141" s="260"/>
      <c r="AE141" s="260"/>
      <c r="AF141" s="260"/>
      <c r="AG141" s="260"/>
      <c r="AH141" s="260"/>
      <c r="AI141" s="260"/>
      <c r="AJ141" s="260"/>
      <c r="AK141" s="260"/>
      <c r="AL141" s="260"/>
      <c r="AM141" s="259"/>
      <c r="AN141" s="260"/>
      <c r="AO141" s="260"/>
      <c r="AP141" s="260"/>
      <c r="AQ141" s="259"/>
      <c r="AR141" s="260"/>
      <c r="AS141" s="260"/>
      <c r="AT141" s="260"/>
      <c r="AU141" s="260"/>
      <c r="AV141" s="260"/>
      <c r="AW141" s="260"/>
      <c r="AX141" s="260"/>
      <c r="AY141" s="260"/>
      <c r="AZ141" s="260"/>
      <c r="BA141" s="260"/>
      <c r="BB141" s="260"/>
      <c r="BC141" s="260"/>
      <c r="BD141" s="260"/>
      <c r="BE141" s="260"/>
      <c r="BF141" s="260"/>
      <c r="BG141" s="260"/>
      <c r="BH141" s="260"/>
      <c r="BI141" s="260"/>
      <c r="BJ141" s="260"/>
      <c r="BK141" s="260"/>
      <c r="BL141" s="8"/>
      <c r="BM141" s="260"/>
      <c r="BN141" s="260"/>
      <c r="BO141" s="260"/>
      <c r="BP141" s="260"/>
      <c r="BQ141" s="260"/>
      <c r="BR141" s="260"/>
      <c r="BS141" s="260"/>
      <c r="BT141" s="260"/>
      <c r="BU141" s="260"/>
      <c r="BV141" s="260"/>
      <c r="BW141" s="260"/>
      <c r="BX141" s="260"/>
      <c r="BY141" s="260"/>
      <c r="BZ141" s="260"/>
      <c r="CA141" s="260"/>
      <c r="CB141" s="260"/>
      <c r="CC141" s="8"/>
      <c r="CD141" s="260"/>
      <c r="CE141" s="260"/>
      <c r="CF141" s="260"/>
      <c r="CG141" s="260"/>
      <c r="CH141" s="260"/>
      <c r="CI141" s="260"/>
      <c r="CJ141" s="260"/>
      <c r="CK141" s="260"/>
      <c r="CL141" s="260"/>
      <c r="CM141" s="260"/>
      <c r="CN141" s="260"/>
      <c r="CO141" s="852"/>
      <c r="CP141" s="852"/>
      <c r="CQ141" s="260"/>
      <c r="CR141" s="8"/>
      <c r="CS141" s="8"/>
    </row>
    <row r="142" spans="1:97" ht="14.25" customHeight="1">
      <c r="A142" s="1"/>
      <c r="B142" s="1"/>
      <c r="C142" s="5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259"/>
      <c r="AN142" s="1"/>
      <c r="AO142" s="1"/>
      <c r="AP142" s="1"/>
      <c r="AQ142" s="259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305"/>
      <c r="BN142" s="305"/>
      <c r="BO142" s="305"/>
      <c r="BP142" s="305"/>
      <c r="BQ142" s="305"/>
      <c r="BR142" s="305"/>
      <c r="BS142" s="305"/>
      <c r="BT142" s="305"/>
      <c r="BU142" s="305"/>
      <c r="BV142" s="305"/>
      <c r="BW142" s="305"/>
      <c r="BX142" s="305"/>
      <c r="BY142" s="305"/>
      <c r="BZ142" s="305"/>
      <c r="CA142" s="305"/>
      <c r="CB142" s="305"/>
      <c r="CC142" s="5"/>
      <c r="CD142" s="305"/>
      <c r="CE142" s="305"/>
      <c r="CF142" s="305"/>
      <c r="CG142" s="305"/>
      <c r="CH142" s="305"/>
      <c r="CI142" s="305"/>
      <c r="CJ142" s="305"/>
      <c r="CK142" s="305"/>
      <c r="CL142" s="305"/>
      <c r="CM142" s="305"/>
      <c r="CN142" s="305"/>
      <c r="CO142" s="306"/>
      <c r="CP142" s="306"/>
      <c r="CQ142" s="305"/>
      <c r="CR142" s="5"/>
      <c r="CS142" s="5"/>
    </row>
    <row r="143" spans="1:97" ht="14.25" customHeight="1">
      <c r="A143" s="1"/>
      <c r="B143" s="1"/>
      <c r="C143" s="5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259"/>
      <c r="AN143" s="1"/>
      <c r="AO143" s="1"/>
      <c r="AP143" s="1"/>
      <c r="AQ143" s="259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215"/>
      <c r="CP143" s="215"/>
      <c r="CQ143" s="1"/>
      <c r="CR143" s="1"/>
      <c r="CS143" s="1"/>
    </row>
    <row r="144" spans="1:97" ht="14.25" customHeight="1">
      <c r="A144" s="1"/>
      <c r="B144" s="1"/>
      <c r="C144" s="5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259"/>
      <c r="AN144" s="1"/>
      <c r="AO144" s="1"/>
      <c r="AP144" s="1"/>
      <c r="AQ144" s="259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215"/>
      <c r="CP144" s="215"/>
      <c r="CQ144" s="1"/>
      <c r="CR144" s="1"/>
      <c r="CS144" s="1"/>
    </row>
    <row r="145" spans="1:97" ht="14.25" customHeight="1">
      <c r="A145" s="1"/>
      <c r="B145" s="1"/>
      <c r="C145" s="5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259"/>
      <c r="AN145" s="1"/>
      <c r="AO145" s="1"/>
      <c r="AP145" s="1"/>
      <c r="AQ145" s="259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</row>
    <row r="146" spans="1:97" ht="14.25" customHeight="1">
      <c r="A146" s="1"/>
      <c r="B146" s="1"/>
      <c r="C146" s="5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259"/>
      <c r="AN146" s="1"/>
      <c r="AO146" s="1"/>
      <c r="AP146" s="1"/>
      <c r="AQ146" s="259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</row>
    <row r="147" spans="1:97" ht="14.25" customHeight="1">
      <c r="A147" s="1"/>
      <c r="B147" s="1"/>
      <c r="C147" s="5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259"/>
      <c r="AN147" s="1"/>
      <c r="AO147" s="1"/>
      <c r="AP147" s="1"/>
      <c r="AQ147" s="259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</row>
    <row r="148" spans="1:97" ht="14.25" customHeight="1">
      <c r="A148" s="1"/>
      <c r="B148" s="1"/>
      <c r="C148" s="5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259"/>
      <c r="AN148" s="1"/>
      <c r="AO148" s="1"/>
      <c r="AP148" s="1"/>
      <c r="AQ148" s="259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</row>
    <row r="149" spans="1:97" ht="14.25" customHeight="1">
      <c r="A149" s="1"/>
      <c r="B149" s="1"/>
      <c r="C149" s="5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</row>
    <row r="150" spans="1:97" ht="14.25" customHeight="1">
      <c r="C150"/>
    </row>
    <row r="151" spans="1:97" ht="14.25" customHeight="1">
      <c r="A151" s="1"/>
      <c r="B151" s="214" t="s">
        <v>70</v>
      </c>
      <c r="C151" s="214"/>
      <c r="D151" s="310" t="e">
        <f>IS!D112</f>
        <v>#NAME?</v>
      </c>
      <c r="E151" s="310" t="e">
        <f>IS!E112</f>
        <v>#NAME?</v>
      </c>
      <c r="F151" s="310" t="e">
        <f>IS!F112</f>
        <v>#NAME?</v>
      </c>
      <c r="G151" s="310" t="e">
        <f>IS!G112</f>
        <v>#NAME?</v>
      </c>
      <c r="H151" s="310" t="e">
        <f>IS!H112</f>
        <v>#NAME?</v>
      </c>
      <c r="I151" s="310" t="e">
        <f>IS!I112</f>
        <v>#NAME?</v>
      </c>
      <c r="J151" s="310" t="e">
        <f>IS!J112</f>
        <v>#NAME?</v>
      </c>
      <c r="K151" s="310" t="e">
        <f>IS!K112</f>
        <v>#NAME?</v>
      </c>
      <c r="L151" s="310" t="e">
        <f>IS!L112</f>
        <v>#NAME?</v>
      </c>
      <c r="M151" s="310" t="e">
        <f>IS!M112</f>
        <v>#NAME?</v>
      </c>
      <c r="N151" s="310" t="e">
        <f>IS!N112</f>
        <v>#NAME?</v>
      </c>
      <c r="O151" s="310" t="e">
        <f>IS!O112</f>
        <v>#NAME?</v>
      </c>
      <c r="P151" s="310" t="e">
        <f>IS!P112</f>
        <v>#NAME?</v>
      </c>
      <c r="Q151" s="310" t="e">
        <f>IS!Q112</f>
        <v>#NAME?</v>
      </c>
      <c r="R151" s="310" t="e">
        <f>IS!R112</f>
        <v>#NAME?</v>
      </c>
      <c r="S151" s="310" t="e">
        <f>IS!S112</f>
        <v>#NAME?</v>
      </c>
      <c r="T151" s="310" t="e">
        <f>IS!T112</f>
        <v>#NAME?</v>
      </c>
      <c r="U151" s="310" t="e">
        <f>IS!U112</f>
        <v>#NAME?</v>
      </c>
      <c r="V151" s="310" t="e">
        <f>IS!V112</f>
        <v>#NAME?</v>
      </c>
      <c r="W151" s="310" t="e">
        <f>IS!W112</f>
        <v>#NAME?</v>
      </c>
      <c r="X151" s="310" t="e">
        <f>IS!X112</f>
        <v>#NAME?</v>
      </c>
      <c r="Y151" s="310" t="e">
        <f>IS!Y112</f>
        <v>#NAME?</v>
      </c>
      <c r="Z151" s="310" t="e">
        <f>IS!Z112</f>
        <v>#NAME?</v>
      </c>
      <c r="AA151" s="310" t="e">
        <f>IS!AA112</f>
        <v>#NAME?</v>
      </c>
      <c r="AB151" s="310" t="e">
        <f>IS!AB112</f>
        <v>#NAME?</v>
      </c>
      <c r="AC151" s="310" t="e">
        <f>IS!AC112</f>
        <v>#NAME?</v>
      </c>
      <c r="AD151" s="310" t="e">
        <f>IS!AD112</f>
        <v>#NAME?</v>
      </c>
      <c r="AE151" s="310" t="e">
        <f>IS!AE112</f>
        <v>#NAME?</v>
      </c>
      <c r="AF151" s="310" t="e">
        <f>IS!AF112</f>
        <v>#NAME?</v>
      </c>
      <c r="AG151" s="310" t="e">
        <f>IS!AG112</f>
        <v>#NAME?</v>
      </c>
      <c r="AH151" s="310" t="e">
        <f>IS!AH112</f>
        <v>#NAME?</v>
      </c>
      <c r="AI151" s="310" t="e">
        <f>IS!AI112</f>
        <v>#NAME?</v>
      </c>
      <c r="AJ151" s="310" t="e">
        <f>IS!AJ112</f>
        <v>#NAME?</v>
      </c>
      <c r="AK151" s="310" t="e">
        <f>IS!AK112</f>
        <v>#NAME?</v>
      </c>
      <c r="AL151" s="310" t="str">
        <f>IS!AL112</f>
        <v>A</v>
      </c>
      <c r="AM151" s="310" t="str">
        <f>IS!AM112</f>
        <v>A</v>
      </c>
      <c r="AN151" s="310" t="e">
        <f>IS!AN112</f>
        <v>#NAME?</v>
      </c>
      <c r="AO151" s="310" t="e">
        <f>IS!AO112</f>
        <v>#NAME?</v>
      </c>
      <c r="AP151" s="310" t="e">
        <f>IS!AP112</f>
        <v>#NAME?</v>
      </c>
      <c r="AQ151" s="310" t="e">
        <f>IS!AQ112</f>
        <v>#NAME?</v>
      </c>
      <c r="AR151" s="310" t="e">
        <f>IS!AR112</f>
        <v>#NAME?</v>
      </c>
      <c r="AS151" s="310" t="e">
        <f>IS!AS112</f>
        <v>#NAME?</v>
      </c>
      <c r="AT151" s="310" t="e">
        <f>IS!AT112</f>
        <v>#NAME?</v>
      </c>
      <c r="AU151" s="310" t="e">
        <f>IS!AU112</f>
        <v>#NAME?</v>
      </c>
      <c r="AV151" s="310" t="e">
        <f>IS!AV112</f>
        <v>#NAME?</v>
      </c>
      <c r="AW151" s="310" t="e">
        <f>IS!AW112</f>
        <v>#NAME?</v>
      </c>
      <c r="AX151" s="310" t="e">
        <f>IS!AX112</f>
        <v>#NAME?</v>
      </c>
      <c r="AY151" s="310" t="e">
        <f>IS!AY112</f>
        <v>#NAME?</v>
      </c>
      <c r="AZ151" s="310" t="e">
        <f>IS!AZ112</f>
        <v>#NAME?</v>
      </c>
      <c r="BA151" s="310" t="e">
        <f>IS!BA112</f>
        <v>#NAME?</v>
      </c>
      <c r="BB151" s="310" t="e">
        <f>IS!BB112</f>
        <v>#NAME?</v>
      </c>
      <c r="BC151" s="310" t="e">
        <f>IS!BC112</f>
        <v>#NAME?</v>
      </c>
      <c r="BD151" s="310" t="e">
        <f>IS!BD112</f>
        <v>#NAME?</v>
      </c>
      <c r="BE151" s="310" t="e">
        <f>IS!BE112</f>
        <v>#NAME?</v>
      </c>
      <c r="BF151" s="310" t="e">
        <f>IS!BF112</f>
        <v>#NAME?</v>
      </c>
      <c r="BG151" s="310" t="e">
        <f>IS!BG112</f>
        <v>#NAME?</v>
      </c>
      <c r="BH151" s="310" t="e">
        <f>IS!BH112</f>
        <v>#NAME?</v>
      </c>
      <c r="BI151" s="310" t="e">
        <f>IS!BI112</f>
        <v>#NAME?</v>
      </c>
      <c r="BJ151" s="310" t="e">
        <f>IS!BJ112</f>
        <v>#NAME?</v>
      </c>
      <c r="BK151" s="310" t="e">
        <f>IS!BK112</f>
        <v>#NAME?</v>
      </c>
      <c r="BL151" s="1"/>
      <c r="BM151" s="1" t="str">
        <f>IS!BM112</f>
        <v>A</v>
      </c>
      <c r="BN151" s="1" t="str">
        <f>IS!BN112</f>
        <v>A</v>
      </c>
      <c r="BO151" s="1" t="str">
        <f>IS!BO112</f>
        <v>A</v>
      </c>
      <c r="BP151" s="1" t="str">
        <f>IS!BP112</f>
        <v>A</v>
      </c>
      <c r="BQ151" s="1" t="str">
        <f>IS!BQ112</f>
        <v>A</v>
      </c>
      <c r="BR151" s="1" t="e">
        <f>IS!BR112</f>
        <v>#NAME?</v>
      </c>
      <c r="BS151" s="1" t="e">
        <f>IS!BS112</f>
        <v>#NAME?</v>
      </c>
      <c r="BT151" s="1" t="e">
        <f>IS!BT112</f>
        <v>#NAME?</v>
      </c>
      <c r="BU151" s="1" t="e">
        <f>IS!BU112</f>
        <v>#NAME?</v>
      </c>
      <c r="BV151" s="1" t="e">
        <f>IS!BV112</f>
        <v>#NAME?</v>
      </c>
      <c r="BW151" s="1" t="e">
        <f>IS!BW112</f>
        <v>#NAME?</v>
      </c>
      <c r="BX151" s="1" t="e">
        <f>IS!BX112</f>
        <v>#NAME?</v>
      </c>
      <c r="BY151" s="1" t="e">
        <f>IS!BY112</f>
        <v>#NAME?</v>
      </c>
      <c r="BZ151" s="1" t="e">
        <f>IS!BZ112</f>
        <v>#NAME?</v>
      </c>
      <c r="CA151" s="1" t="e">
        <f>IS!CA112</f>
        <v>#NAME?</v>
      </c>
      <c r="CB151" s="1" t="e">
        <f>IS!CB112</f>
        <v>#NAME?</v>
      </c>
      <c r="CC151" s="1"/>
      <c r="CD151" s="1" t="e">
        <f>IS!CD112</f>
        <v>#NAME?</v>
      </c>
      <c r="CE151" s="1" t="e">
        <f>IS!CE112</f>
        <v>#NAME?</v>
      </c>
      <c r="CF151" s="1" t="e">
        <f>IS!CF112</f>
        <v>#NAME?</v>
      </c>
      <c r="CG151" s="1" t="e">
        <f>IS!CG112</f>
        <v>#NAME?</v>
      </c>
      <c r="CH151" s="1" t="e">
        <f>IS!CH112</f>
        <v>#NAME?</v>
      </c>
      <c r="CI151" s="1" t="e">
        <f>IS!CI112</f>
        <v>#NAME?</v>
      </c>
      <c r="CJ151" s="1" t="e">
        <f>IS!CJ112</f>
        <v>#NAME?</v>
      </c>
      <c r="CK151" s="1" t="str">
        <f>IS!CK112</f>
        <v>A</v>
      </c>
      <c r="CL151" s="1" t="e">
        <f>IS!CL112</f>
        <v>#NAME?</v>
      </c>
      <c r="CM151" s="1" t="e">
        <f>IS!CM112</f>
        <v>#NAME?</v>
      </c>
      <c r="CN151" s="1" t="e">
        <f>IS!CN112</f>
        <v>#NAME?</v>
      </c>
      <c r="CO151" s="1" t="e">
        <f>IS!CO112</f>
        <v>#NAME?</v>
      </c>
      <c r="CP151" s="1" t="str">
        <f>IS!CP112</f>
        <v>E</v>
      </c>
      <c r="CQ151" s="1" t="str">
        <f>IS!CQ112</f>
        <v>E</v>
      </c>
      <c r="CR151" s="1"/>
      <c r="CS151" s="1"/>
    </row>
    <row r="152" spans="1:97" ht="14.25" customHeight="1">
      <c r="A152" s="1"/>
      <c r="B152" s="214"/>
      <c r="C152" s="214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</row>
    <row r="153" spans="1:97" ht="14.25" customHeight="1">
      <c r="A153" s="1"/>
      <c r="B153" s="214"/>
      <c r="C153" s="214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</row>
    <row r="154" spans="1:97" ht="14.25" customHeight="1">
      <c r="A154" s="1"/>
      <c r="B154" s="214"/>
      <c r="C154" s="214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</row>
    <row r="155" spans="1:97" ht="14.25" customHeight="1">
      <c r="A155" s="1"/>
      <c r="B155" s="214"/>
      <c r="C155" s="214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</row>
    <row r="156" spans="1:97" ht="14.25" customHeight="1">
      <c r="A156" s="1"/>
      <c r="B156" s="1"/>
      <c r="C156" s="5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</row>
    <row r="157" spans="1:97" ht="14.25" customHeight="1">
      <c r="A157" s="1"/>
      <c r="B157" s="1"/>
      <c r="C157" s="5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</row>
    <row r="158" spans="1:97" ht="14.25" customHeight="1">
      <c r="A158" s="1"/>
      <c r="B158" s="1"/>
      <c r="C158" s="5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</row>
    <row r="159" spans="1:97" ht="14.25" customHeight="1">
      <c r="A159" s="1"/>
      <c r="B159" s="1"/>
      <c r="C159" s="5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</row>
    <row r="160" spans="1:97" ht="14.25" customHeight="1">
      <c r="A160" s="1"/>
      <c r="B160" s="1"/>
      <c r="C160" s="5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</row>
    <row r="161" spans="1:97" ht="14.25" customHeight="1">
      <c r="A161" s="1"/>
      <c r="B161" s="1"/>
      <c r="C161" s="5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</row>
    <row r="162" spans="1:97" ht="14.25" customHeight="1">
      <c r="A162" s="1"/>
      <c r="B162" s="1"/>
      <c r="C162" s="5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</row>
  </sheetData>
  <phoneticPr fontId="23" type="noConversion"/>
  <pageMargins left="0" right="0" top="0" bottom="0" header="0" footer="0"/>
  <pageSetup paperSize="5" scale="28" orientation="landscape" r:id="rId1"/>
  <headerFooter alignWithMargins="0"/>
  <rowBreaks count="1" manualBreakCount="1">
    <brk id="53" max="16383" man="1"/>
  </rowBreaks>
  <colBreaks count="1" manualBreakCount="1">
    <brk id="73" max="1048575" man="1"/>
  </colBreaks>
  <ignoredErrors>
    <ignoredError sqref="H93 AD322:AL368 BT271:BV321 I50:L50 H149:AL149 BN164:BS321 H131:K131 H133:K143 CZ149:DH149 CC100:CC101 DD100:DH104 BL149 BL151:BL321 CC149 L131:AA143 AQ120:AQ122 CZ108:DH108 CZ100:DC101 BL103:BL104 CC103:CC104 CZ103:DC104 BL108 CC108 AI139:AI143 CZ125:DH143 BL100:BL101 AQ112:AQ114 AQ128:AQ129 CZ111:DH123 CC111:CC123 BL111:BL123 CC125:CC143 BL125:BL143 BM66 AC128:AC129 AD81:AD92 CZ93:DH93 CC93 BL93 L93:AA93 BY164:CA321 AH142:AH143 CD66:CL66 H151:AL321 AC120:AC122 AC112:AC114 AC102 AD120:AD122 AE81:AE92 AD94 AD102 AD112:AD114 AE93:AF93 AG142:AG143 AE94 AE120:AE122 AE128:AE129 AE102 AB93 AE112:AE114 AD128:AD130 AD131:AE143 L94:AA94 BL94:BL95 CC94:CC95 CZ94:DH95 AC93:AD93 AI94 AJ82:AJ92 AI93 AI79:AI92 AJ139:AJ143 AN131:AN132 AK81:AK92 AL79:AL92 AL136:AL143 AK139:AK143 AN322:AN368 AN149:AQ149 AN128:AN130 AN93 AN94 AN151:AQ321 AN112:AN114 AN81:AN92 AN139:AQ143 AN120:AN122 AQ131:AQ132 AQ94 AN134:AN138 AQ134:AQ138 CZ151:DH209 CC151:CC209" formula="1"/>
    <ignoredError sqref="BQ11 BN44:BQ48 BN18:BQ19 BT52:BT65 BN30:BQ36 BR49:BR64 BN68:BR92 BS67:BU92 BN29:BQ29 BN21:BQ22 BN26:BQ26 BN43:BQ43 CJ11:CL48 BN49:BQ64 BN37:BQ41 BT29:BV29 BR29:BS29 BR21:BV22 BR26:BV26 BR43:BV43 BR44:BR48 BR30:BS41 BT37:BV41 BR18:BV19 BT30:BV36 BS44:BV48 BT15:BV17 BT27:BV28 BR27:BS28 BT42:BV42 BT23:BV25 BR23:BS25 BR15:BS17 BR42:BS42 BR20:BS20 BV49:BV50 BN13:BV13 BS52:BS65 BS49:BS50 BT49:BT50 BU49:BU50 BU52:BU65 BV52:BV92" formulaRange="1"/>
    <ignoredError sqref="BT164:BV270 BY149:CA149 BN103:BV104 BY151:CA163 BN108:BV108 BN100:BV101 BN93:BV95 BN111:BV123 BY139:CA143 BN66:BR66 BS66:BU66 BN151:BV163 BN149:BV149 BN125:BT143 BU125:BV132 BU134:BV143" formula="1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51"/>
    <pageSetUpPr fitToPage="1"/>
  </sheetPr>
  <dimension ref="A1:CD99"/>
  <sheetViews>
    <sheetView showGridLines="0" zoomScale="85" zoomScaleNormal="85" workbookViewId="0">
      <pane xSplit="3" ySplit="9" topLeftCell="BB10" activePane="bottomRight" state="frozen"/>
      <selection activeCell="AW75" sqref="AW75"/>
      <selection pane="topRight" activeCell="AW75" sqref="AW75"/>
      <selection pane="bottomLeft" activeCell="AW75" sqref="AW75"/>
      <selection pane="bottomRight" activeCell="B6" sqref="B6"/>
    </sheetView>
  </sheetViews>
  <sheetFormatPr defaultRowHeight="14.25" customHeight="1" outlineLevelCol="1"/>
  <cols>
    <col min="1" max="1" width="1.7109375" customWidth="1"/>
    <col min="2" max="2" width="50.28515625" customWidth="1"/>
    <col min="3" max="3" width="1.85546875" customWidth="1"/>
    <col min="4" max="31" width="11.42578125" hidden="1" customWidth="1" outlineLevel="1"/>
    <col min="32" max="32" width="11.42578125" hidden="1" customWidth="1" outlineLevel="1" collapsed="1"/>
    <col min="33" max="39" width="11.42578125" hidden="1" customWidth="1" outlineLevel="1"/>
    <col min="40" max="40" width="11.42578125" hidden="1" customWidth="1" outlineLevel="1" collapsed="1"/>
    <col min="41" max="43" width="11.42578125" hidden="1" customWidth="1" outlineLevel="1"/>
    <col min="44" max="44" width="11.42578125" hidden="1" customWidth="1" outlineLevel="1" collapsed="1"/>
    <col min="45" max="47" width="11.42578125" hidden="1" customWidth="1" outlineLevel="1"/>
    <col min="48" max="48" width="11.42578125" hidden="1" customWidth="1" outlineLevel="1" collapsed="1"/>
    <col min="49" max="51" width="11.42578125" hidden="1" customWidth="1" outlineLevel="1"/>
    <col min="52" max="52" width="11.42578125" customWidth="1" collapsed="1"/>
    <col min="53" max="59" width="11.42578125" customWidth="1"/>
    <col min="60" max="63" width="11.42578125" customWidth="1" outlineLevel="1"/>
    <col min="64" max="64" width="2.7109375" customWidth="1"/>
    <col min="65" max="75" width="11.42578125" hidden="1" customWidth="1" outlineLevel="1"/>
    <col min="76" max="76" width="11.42578125" customWidth="1" collapsed="1"/>
    <col min="77" max="79" width="11.42578125" customWidth="1"/>
    <col min="80" max="80" width="11.42578125" customWidth="1" outlineLevel="1"/>
  </cols>
  <sheetData>
    <row r="1" spans="1:82" ht="67.5" customHeight="1">
      <c r="A1" s="5"/>
      <c r="B1" s="345"/>
      <c r="C1" s="1"/>
    </row>
    <row r="2" spans="1:82" ht="18" customHeight="1">
      <c r="A2" s="5"/>
      <c r="B2" s="4" t="s">
        <v>246</v>
      </c>
      <c r="C2" s="4"/>
      <c r="W2" s="744"/>
      <c r="X2" s="744"/>
      <c r="Y2" s="744"/>
      <c r="Z2" s="744"/>
    </row>
    <row r="3" spans="1:82" ht="14.25" customHeight="1">
      <c r="W3" s="744"/>
      <c r="X3" s="744"/>
      <c r="Y3" s="744"/>
      <c r="Z3" s="744"/>
    </row>
    <row r="4" spans="1:82" ht="14.25" customHeight="1">
      <c r="W4" s="744"/>
      <c r="X4" s="744"/>
      <c r="Y4" s="744"/>
      <c r="Z4" s="744"/>
      <c r="AS4" s="493"/>
      <c r="AT4" s="493"/>
      <c r="AW4" s="493"/>
    </row>
    <row r="5" spans="1:82" ht="14.25" customHeight="1">
      <c r="A5" s="313"/>
      <c r="B5" s="314"/>
      <c r="C5" s="31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745"/>
      <c r="Y5" s="745"/>
      <c r="Z5" s="745"/>
      <c r="AA5" s="1"/>
      <c r="AB5" s="1"/>
      <c r="AC5" s="382"/>
      <c r="AD5" s="382"/>
      <c r="AE5" s="382"/>
      <c r="AF5" s="382"/>
      <c r="AG5" s="382"/>
      <c r="AH5" s="382"/>
      <c r="AI5" s="382"/>
      <c r="AJ5" s="382"/>
      <c r="AK5" s="382"/>
      <c r="AL5" s="382"/>
      <c r="AM5" s="382"/>
      <c r="AN5" s="382"/>
      <c r="AO5" s="382"/>
      <c r="AP5" s="382"/>
      <c r="AQ5" s="382"/>
      <c r="AR5" s="382"/>
      <c r="AS5" s="382"/>
      <c r="AT5" s="382"/>
      <c r="AU5" s="382"/>
      <c r="AV5" s="733"/>
      <c r="AW5" s="733"/>
      <c r="AX5" s="733"/>
      <c r="AY5" s="733"/>
      <c r="AZ5" s="733"/>
      <c r="BA5" s="733"/>
      <c r="BB5" s="733"/>
      <c r="BC5" s="733"/>
      <c r="BD5" s="733"/>
      <c r="BE5" s="733"/>
      <c r="BF5" s="733"/>
      <c r="BG5" s="733"/>
      <c r="BH5" s="733"/>
      <c r="BI5" s="733"/>
      <c r="BJ5" s="733"/>
      <c r="BK5" s="733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2" ht="14.25" customHeight="1">
      <c r="A6" s="313"/>
      <c r="B6" s="315"/>
      <c r="C6" s="315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594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733"/>
      <c r="AS6" s="733"/>
      <c r="AT6" s="733"/>
      <c r="AU6" s="733"/>
      <c r="AV6" s="733"/>
      <c r="AW6" s="733"/>
      <c r="AX6" s="733"/>
      <c r="AY6" s="733"/>
      <c r="AZ6" s="733"/>
      <c r="BA6" s="733"/>
      <c r="BB6" s="733"/>
      <c r="BC6" s="733"/>
      <c r="BD6" s="733"/>
      <c r="BE6" s="733"/>
      <c r="BF6" s="733"/>
      <c r="BG6" s="733"/>
      <c r="BH6" s="733"/>
      <c r="BI6" s="733"/>
      <c r="BJ6" s="733"/>
      <c r="BK6" s="733"/>
      <c r="BL6" s="1"/>
      <c r="BM6" s="1"/>
      <c r="BN6" s="1"/>
      <c r="BO6" s="1"/>
      <c r="BP6" s="1"/>
      <c r="BQ6" s="1"/>
      <c r="BR6" s="6"/>
      <c r="BS6" s="6"/>
      <c r="BT6" s="6"/>
      <c r="BU6" s="1"/>
      <c r="BV6" s="1"/>
      <c r="BW6" s="1"/>
      <c r="BX6" s="1"/>
      <c r="BY6" s="1"/>
      <c r="BZ6" s="1"/>
      <c r="CA6" s="1"/>
      <c r="CB6" s="1"/>
    </row>
    <row r="7" spans="1:82" ht="14.25" customHeight="1">
      <c r="A7" s="1"/>
      <c r="B7" s="9" t="s">
        <v>247</v>
      </c>
      <c r="C7" s="10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305" t="s">
        <v>291</v>
      </c>
      <c r="AS7" s="1"/>
      <c r="AT7" s="1"/>
      <c r="AU7" s="1"/>
      <c r="AV7" s="821"/>
      <c r="AW7" s="821"/>
      <c r="AX7" s="821"/>
      <c r="AY7" s="821"/>
      <c r="AZ7" s="821"/>
      <c r="BA7" s="821"/>
      <c r="BB7" s="821"/>
      <c r="BC7" s="821"/>
      <c r="BD7" s="821"/>
      <c r="BE7" s="821"/>
      <c r="BF7" s="821"/>
      <c r="BG7" s="821"/>
      <c r="BH7" s="821"/>
      <c r="BI7" s="821"/>
      <c r="BJ7" s="821"/>
      <c r="BK7" s="821"/>
      <c r="BL7" s="1"/>
      <c r="BM7" s="1"/>
      <c r="BN7" s="1"/>
      <c r="BO7" s="1"/>
      <c r="BP7" s="1"/>
      <c r="BQ7" s="1"/>
      <c r="BR7" s="6"/>
      <c r="BS7" s="6"/>
      <c r="BT7" s="6"/>
      <c r="BU7" s="1"/>
      <c r="BV7" s="1"/>
      <c r="BW7" s="1"/>
      <c r="BX7" s="1"/>
      <c r="BY7" s="1"/>
      <c r="BZ7" s="1"/>
      <c r="CA7" s="1"/>
      <c r="CB7" s="1"/>
      <c r="CC7" s="911"/>
      <c r="CD7" s="911"/>
    </row>
    <row r="8" spans="1:82" ht="14.25" customHeight="1">
      <c r="A8" s="1"/>
      <c r="B8" s="588" t="s">
        <v>252</v>
      </c>
      <c r="C8" s="589"/>
      <c r="D8" s="503">
        <f>IS!D8</f>
        <v>38533</v>
      </c>
      <c r="E8" s="504">
        <f>IS!E8</f>
        <v>38625</v>
      </c>
      <c r="F8" s="504">
        <f>IS!F8</f>
        <v>38717</v>
      </c>
      <c r="G8" s="505">
        <f>IS!G8</f>
        <v>38807</v>
      </c>
      <c r="H8" s="503">
        <f>IS!H8</f>
        <v>38898</v>
      </c>
      <c r="I8" s="504">
        <f>IS!I8</f>
        <v>38990</v>
      </c>
      <c r="J8" s="504">
        <f>IS!J8</f>
        <v>39082</v>
      </c>
      <c r="K8" s="505">
        <f>IS!K8</f>
        <v>39172</v>
      </c>
      <c r="L8" s="503">
        <f>IS!L8</f>
        <v>39263</v>
      </c>
      <c r="M8" s="504">
        <f>IS!M8</f>
        <v>39355</v>
      </c>
      <c r="N8" s="504">
        <f>IS!N8</f>
        <v>39447</v>
      </c>
      <c r="O8" s="505">
        <f>IS!O8</f>
        <v>39538</v>
      </c>
      <c r="P8" s="503">
        <f>IS!P8</f>
        <v>39629</v>
      </c>
      <c r="Q8" s="504">
        <f>IS!Q8</f>
        <v>39721</v>
      </c>
      <c r="R8" s="504">
        <f>IS!R8</f>
        <v>39813</v>
      </c>
      <c r="S8" s="505">
        <f>IS!S8</f>
        <v>39903</v>
      </c>
      <c r="T8" s="503">
        <f>IS!T8</f>
        <v>39994</v>
      </c>
      <c r="U8" s="504">
        <f>IS!U8</f>
        <v>40086</v>
      </c>
      <c r="V8" s="504">
        <f>IS!V8</f>
        <v>40178</v>
      </c>
      <c r="W8" s="505">
        <f>IS!W8</f>
        <v>40268</v>
      </c>
      <c r="X8" s="503">
        <f>IS!X8</f>
        <v>40359</v>
      </c>
      <c r="Y8" s="504">
        <f>IS!Y8</f>
        <v>40451</v>
      </c>
      <c r="Z8" s="504">
        <f>IS!Z8</f>
        <v>40543</v>
      </c>
      <c r="AA8" s="505">
        <f>IS!AA8</f>
        <v>40633</v>
      </c>
      <c r="AB8" s="503">
        <f>IS!AB8</f>
        <v>40724</v>
      </c>
      <c r="AC8" s="504">
        <f>IS!AC8</f>
        <v>40816</v>
      </c>
      <c r="AD8" s="504">
        <f>IS!AD8</f>
        <v>40908</v>
      </c>
      <c r="AE8" s="505">
        <f>IS!AE8</f>
        <v>40999</v>
      </c>
      <c r="AF8" s="503">
        <f>IS!AF8</f>
        <v>41090</v>
      </c>
      <c r="AG8" s="504">
        <f>IS!AG8</f>
        <v>41182</v>
      </c>
      <c r="AH8" s="504">
        <f>IS!AH8</f>
        <v>41274</v>
      </c>
      <c r="AI8" s="505">
        <f>IS!AI8</f>
        <v>41364</v>
      </c>
      <c r="AJ8" s="503">
        <f>IS!AJ8</f>
        <v>41455</v>
      </c>
      <c r="AK8" s="504">
        <f>IS!AK8</f>
        <v>41547</v>
      </c>
      <c r="AL8" s="504">
        <f>IS!AL8</f>
        <v>41639</v>
      </c>
      <c r="AM8" s="505">
        <f>IS!AM8</f>
        <v>41729</v>
      </c>
      <c r="AN8" s="503">
        <f>IS!AN8</f>
        <v>41820</v>
      </c>
      <c r="AO8" s="504">
        <f>IS!AO8</f>
        <v>41912</v>
      </c>
      <c r="AP8" s="504">
        <f>IS!AP8</f>
        <v>42004</v>
      </c>
      <c r="AQ8" s="505">
        <f>IS!AQ8</f>
        <v>42094</v>
      </c>
      <c r="AR8" s="503">
        <f>IS!AR8</f>
        <v>42185</v>
      </c>
      <c r="AS8" s="504">
        <f>IS!AS8</f>
        <v>42277</v>
      </c>
      <c r="AT8" s="504">
        <f>IS!AT8</f>
        <v>42369</v>
      </c>
      <c r="AU8" s="505">
        <f>IS!AU8</f>
        <v>42460</v>
      </c>
      <c r="AV8" s="503">
        <f>IS!AV8</f>
        <v>42551</v>
      </c>
      <c r="AW8" s="504">
        <f>IS!AW8</f>
        <v>42643</v>
      </c>
      <c r="AX8" s="504">
        <f>IS!AX8</f>
        <v>42735</v>
      </c>
      <c r="AY8" s="505">
        <f>IS!AY8</f>
        <v>42825</v>
      </c>
      <c r="AZ8" s="503">
        <f>IS!AZ8</f>
        <v>42916</v>
      </c>
      <c r="BA8" s="504">
        <f>IS!BA8</f>
        <v>43008</v>
      </c>
      <c r="BB8" s="504">
        <f>IS!BB8</f>
        <v>43100</v>
      </c>
      <c r="BC8" s="505">
        <f>IS!BC8</f>
        <v>43190</v>
      </c>
      <c r="BD8" s="857">
        <f>IS!BD8</f>
        <v>43281</v>
      </c>
      <c r="BE8" s="759">
        <f>IS!BE8</f>
        <v>43373</v>
      </c>
      <c r="BF8" s="759">
        <f>IS!BF8</f>
        <v>43465</v>
      </c>
      <c r="BG8" s="758">
        <f>IS!BG8</f>
        <v>43555</v>
      </c>
      <c r="BH8" s="759">
        <f>IS!BH8</f>
        <v>43646</v>
      </c>
      <c r="BI8" s="759">
        <f>IS!BI8</f>
        <v>43738</v>
      </c>
      <c r="BJ8" s="759">
        <f>IS!BJ8</f>
        <v>43830</v>
      </c>
      <c r="BK8" s="758">
        <f>IS!BK8</f>
        <v>43921</v>
      </c>
      <c r="BL8" s="22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20"/>
      <c r="BY8" s="820"/>
      <c r="BZ8" s="820"/>
      <c r="CA8" s="820"/>
      <c r="CB8" s="8"/>
      <c r="CC8" s="902"/>
      <c r="CD8" s="911"/>
    </row>
    <row r="9" spans="1:82" ht="14.25" customHeight="1">
      <c r="A9" s="1"/>
      <c r="B9" s="283"/>
      <c r="C9" s="316"/>
      <c r="D9" s="508" t="str">
        <f>IS!D9</f>
        <v>F1Q06A</v>
      </c>
      <c r="E9" s="509" t="str">
        <f>IS!E9</f>
        <v>F2Q06A</v>
      </c>
      <c r="F9" s="509" t="str">
        <f>IS!F9</f>
        <v>F3Q06A</v>
      </c>
      <c r="G9" s="509" t="str">
        <f>IS!G9</f>
        <v>F4Q06A</v>
      </c>
      <c r="H9" s="508" t="str">
        <f>IS!H9</f>
        <v>F1Q07A</v>
      </c>
      <c r="I9" s="509" t="str">
        <f>IS!I9</f>
        <v>F2Q07A</v>
      </c>
      <c r="J9" s="509" t="str">
        <f>IS!J9</f>
        <v>F3Q07A</v>
      </c>
      <c r="K9" s="509" t="str">
        <f>IS!K9</f>
        <v>F4Q07A</v>
      </c>
      <c r="L9" s="508" t="str">
        <f>IS!L9</f>
        <v>F1Q08A</v>
      </c>
      <c r="M9" s="509" t="str">
        <f>IS!M9</f>
        <v>F2Q08A</v>
      </c>
      <c r="N9" s="509" t="str">
        <f>IS!N9</f>
        <v>F3Q08A</v>
      </c>
      <c r="O9" s="509" t="str">
        <f>IS!O9</f>
        <v>F4Q08A</v>
      </c>
      <c r="P9" s="508" t="str">
        <f>IS!P9</f>
        <v>F1Q09A</v>
      </c>
      <c r="Q9" s="509" t="str">
        <f>IS!Q9</f>
        <v>F2Q09A</v>
      </c>
      <c r="R9" s="509" t="str">
        <f>IS!R9</f>
        <v>F3Q09A</v>
      </c>
      <c r="S9" s="509" t="str">
        <f>IS!S9</f>
        <v>F4Q09A</v>
      </c>
      <c r="T9" s="508" t="str">
        <f>IS!T9</f>
        <v>F1Q10A</v>
      </c>
      <c r="U9" s="509" t="str">
        <f>IS!U9</f>
        <v>F2Q10A</v>
      </c>
      <c r="V9" s="509" t="str">
        <f>IS!V9</f>
        <v>F3Q10A</v>
      </c>
      <c r="W9" s="509" t="str">
        <f>IS!W9</f>
        <v>F4Q10A</v>
      </c>
      <c r="X9" s="508" t="str">
        <f>IS!X9</f>
        <v>F1Q11A</v>
      </c>
      <c r="Y9" s="509" t="str">
        <f>IS!Y9</f>
        <v>F2Q11A</v>
      </c>
      <c r="Z9" s="509" t="str">
        <f>IS!Z9</f>
        <v>F3Q11A</v>
      </c>
      <c r="AA9" s="509" t="str">
        <f>IS!AA9</f>
        <v>F4Q11A</v>
      </c>
      <c r="AB9" s="508" t="str">
        <f>IS!AB9</f>
        <v>F1Q12A</v>
      </c>
      <c r="AC9" s="509" t="str">
        <f>IS!AC9</f>
        <v>F2Q12A</v>
      </c>
      <c r="AD9" s="509" t="str">
        <f>IS!AD9</f>
        <v>F3Q12A</v>
      </c>
      <c r="AE9" s="509" t="str">
        <f>IS!AE9</f>
        <v>F4Q12A</v>
      </c>
      <c r="AF9" s="508" t="str">
        <f>IS!AF9</f>
        <v>F1Q13A</v>
      </c>
      <c r="AG9" s="509" t="str">
        <f>IS!AG9</f>
        <v>F2Q13A</v>
      </c>
      <c r="AH9" s="509" t="str">
        <f>IS!AH9</f>
        <v>F3Q13A</v>
      </c>
      <c r="AI9" s="509" t="str">
        <f>IS!AI9</f>
        <v>F4Q13A</v>
      </c>
      <c r="AJ9" s="508" t="str">
        <f>IS!AJ9</f>
        <v>F1Q14A</v>
      </c>
      <c r="AK9" s="752" t="str">
        <f>IS!AK9</f>
        <v>F2Q14A</v>
      </c>
      <c r="AL9" s="509" t="str">
        <f>IS!AL9</f>
        <v>F3Q14A</v>
      </c>
      <c r="AM9" s="509" t="str">
        <f>IS!AM9</f>
        <v>F4Q14A</v>
      </c>
      <c r="AN9" s="508" t="str">
        <f>IS!AN9</f>
        <v>F1Q15A</v>
      </c>
      <c r="AO9" s="752" t="str">
        <f>IS!AO9</f>
        <v>F2Q15A</v>
      </c>
      <c r="AP9" s="752" t="str">
        <f>IS!AP9</f>
        <v>F3Q15A</v>
      </c>
      <c r="AQ9" s="810" t="str">
        <f>IS!AQ9</f>
        <v>F4Q15A</v>
      </c>
      <c r="AR9" s="508" t="str">
        <f>IS!AR9</f>
        <v>F1Q16A</v>
      </c>
      <c r="AS9" s="752" t="str">
        <f>IS!AS9</f>
        <v>F2Q16A</v>
      </c>
      <c r="AT9" s="752" t="str">
        <f>IS!AT9</f>
        <v>F3Q16A</v>
      </c>
      <c r="AU9" s="810" t="str">
        <f>IS!AU9</f>
        <v>F4Q16A</v>
      </c>
      <c r="AV9" s="508" t="str">
        <f>IS!AV9</f>
        <v>F1Q17A</v>
      </c>
      <c r="AW9" s="752" t="str">
        <f>IS!AW9</f>
        <v>F2Q17A</v>
      </c>
      <c r="AX9" s="752" t="str">
        <f>IS!AX9</f>
        <v>F3Q17A</v>
      </c>
      <c r="AY9" s="876" t="str">
        <f>IS!AY9</f>
        <v>F4Q17A</v>
      </c>
      <c r="AZ9" s="508" t="str">
        <f>IS!AZ9</f>
        <v>F1Q18A</v>
      </c>
      <c r="BA9" s="752" t="str">
        <f>IS!BA9</f>
        <v>F2Q18A</v>
      </c>
      <c r="BB9" s="752" t="str">
        <f>IS!BB9</f>
        <v>F3Q18A</v>
      </c>
      <c r="BC9" s="810" t="str">
        <f>IS!BC9</f>
        <v>F4Q18A</v>
      </c>
      <c r="BD9" s="1029" t="str">
        <f>IS!BD9</f>
        <v>F1Q19E</v>
      </c>
      <c r="BE9" s="851" t="str">
        <f>IS!BE9</f>
        <v>F2Q19E</v>
      </c>
      <c r="BF9" s="760" t="str">
        <f>IS!BF9</f>
        <v>F3Q19E</v>
      </c>
      <c r="BG9" s="761" t="str">
        <f>IS!BG9</f>
        <v>F4Q19E</v>
      </c>
      <c r="BH9" s="760" t="str">
        <f>IS!BH9</f>
        <v>F1Q20E</v>
      </c>
      <c r="BI9" s="851" t="str">
        <f>IS!BI9</f>
        <v>F2Q20E</v>
      </c>
      <c r="BJ9" s="760" t="str">
        <f>IS!BJ9</f>
        <v>F3Q20E</v>
      </c>
      <c r="BK9" s="761" t="str">
        <f>IS!BK9</f>
        <v>F4Q20E</v>
      </c>
      <c r="BL9" s="20"/>
      <c r="BM9" s="508" t="str">
        <f>IS!BM9</f>
        <v>FY2006A</v>
      </c>
      <c r="BN9" s="509" t="str">
        <f>IS!BN9</f>
        <v>FY2007A</v>
      </c>
      <c r="BO9" s="509" t="str">
        <f>IS!BO9</f>
        <v>FY2008A</v>
      </c>
      <c r="BP9" s="509" t="str">
        <f>IS!BP9</f>
        <v>FY2009A</v>
      </c>
      <c r="BQ9" s="509" t="str">
        <f>IS!BQ9</f>
        <v>FY2010A</v>
      </c>
      <c r="BR9" s="508" t="str">
        <f>IS!BR9</f>
        <v>FY2011A</v>
      </c>
      <c r="BS9" s="509" t="str">
        <f>IS!BS9</f>
        <v>FY2012A</v>
      </c>
      <c r="BT9" s="509" t="str">
        <f>IS!BT9</f>
        <v>FY2013A</v>
      </c>
      <c r="BU9" s="509" t="str">
        <f>IS!BU9</f>
        <v>FY2014</v>
      </c>
      <c r="BV9" s="509" t="str">
        <f>IS!BV9</f>
        <v>FY2015</v>
      </c>
      <c r="BW9" s="509" t="str">
        <f>IS!BW9</f>
        <v>FY2016</v>
      </c>
      <c r="BX9" s="509" t="str">
        <f>IS!BX9</f>
        <v>FY2017</v>
      </c>
      <c r="BY9" s="760" t="str">
        <f>IS!BY9</f>
        <v>FY2018A</v>
      </c>
      <c r="BZ9" s="760" t="str">
        <f>IS!BZ9</f>
        <v>FY2019E</v>
      </c>
      <c r="CA9" s="760" t="str">
        <f>IS!CA9</f>
        <v>FY2020E</v>
      </c>
      <c r="CB9" s="760" t="str">
        <f>IS!CB9</f>
        <v>FY2021E</v>
      </c>
      <c r="CC9" s="751"/>
    </row>
    <row r="10" spans="1:82" ht="14.25" customHeight="1">
      <c r="A10" s="1"/>
      <c r="B10" s="293" t="s">
        <v>289</v>
      </c>
      <c r="C10" s="312"/>
      <c r="D10" s="343">
        <f t="shared" ref="D10:AB10" si="0">D14*D$34</f>
        <v>206.74329</v>
      </c>
      <c r="E10" s="333">
        <f t="shared" si="0"/>
        <v>191.48591999999999</v>
      </c>
      <c r="F10" s="333">
        <f t="shared" si="0"/>
        <v>215.81039999999999</v>
      </c>
      <c r="G10" s="334">
        <f t="shared" si="0"/>
        <v>226.72175999999999</v>
      </c>
      <c r="H10" s="343">
        <f t="shared" si="0"/>
        <v>235.86738</v>
      </c>
      <c r="I10" s="333">
        <f t="shared" si="0"/>
        <v>210.23099999999999</v>
      </c>
      <c r="J10" s="333">
        <f t="shared" si="0"/>
        <v>198.31900000000002</v>
      </c>
      <c r="K10" s="334">
        <f t="shared" si="0"/>
        <v>195.12768</v>
      </c>
      <c r="L10" s="343">
        <f t="shared" si="0"/>
        <v>200.66039999999998</v>
      </c>
      <c r="M10" s="333">
        <f t="shared" si="0"/>
        <v>200.20230000000001</v>
      </c>
      <c r="N10" s="337">
        <f t="shared" si="0"/>
        <v>194.67045999999999</v>
      </c>
      <c r="O10" s="340">
        <f t="shared" si="0"/>
        <v>199.8192</v>
      </c>
      <c r="P10" s="341">
        <f t="shared" si="0"/>
        <v>205.06331999999998</v>
      </c>
      <c r="Q10" s="337">
        <f t="shared" si="0"/>
        <v>207.92090999999999</v>
      </c>
      <c r="R10" s="337">
        <f t="shared" si="0"/>
        <v>201.69028</v>
      </c>
      <c r="S10" s="340">
        <f t="shared" si="0"/>
        <v>185.65657999999999</v>
      </c>
      <c r="T10" s="341">
        <f t="shared" si="0"/>
        <v>184.35515000000001</v>
      </c>
      <c r="U10" s="337">
        <f t="shared" si="0"/>
        <v>190.87700000000001</v>
      </c>
      <c r="V10" s="337">
        <f t="shared" si="0"/>
        <v>236.14054000000004</v>
      </c>
      <c r="W10" s="340">
        <f t="shared" si="0"/>
        <v>248.63939999999997</v>
      </c>
      <c r="X10" s="333">
        <f t="shared" si="0"/>
        <v>285.47375999999997</v>
      </c>
      <c r="Y10" s="333">
        <f t="shared" si="0"/>
        <v>297.43968000000001</v>
      </c>
      <c r="Z10" s="333">
        <f t="shared" si="0"/>
        <v>255.23550000000003</v>
      </c>
      <c r="AA10" s="334">
        <f t="shared" si="0"/>
        <v>276.29043999999999</v>
      </c>
      <c r="AB10" s="333">
        <f t="shared" si="0"/>
        <v>276.95835</v>
      </c>
      <c r="AC10" s="333">
        <f t="shared" ref="AC10:AI10" si="1">AC14*AC34</f>
        <v>244.29195999999999</v>
      </c>
      <c r="AD10" s="333">
        <f t="shared" si="1"/>
        <v>219.76912999999999</v>
      </c>
      <c r="AE10" s="334">
        <f t="shared" si="1"/>
        <v>231.41482199999996</v>
      </c>
      <c r="AF10" s="333">
        <f t="shared" si="1"/>
        <v>262.25279999999998</v>
      </c>
      <c r="AG10" s="333">
        <f t="shared" si="1"/>
        <v>266.52717000000001</v>
      </c>
      <c r="AH10" s="333">
        <f t="shared" si="1"/>
        <v>239.59048999999999</v>
      </c>
      <c r="AI10" s="739">
        <f t="shared" si="1"/>
        <v>234.15392</v>
      </c>
      <c r="AJ10" s="343">
        <f t="shared" ref="AJ10:AO10" si="2">AJ14*AJ34</f>
        <v>254.74020000000002</v>
      </c>
      <c r="AK10" s="333">
        <f t="shared" si="2"/>
        <v>257.54291000000001</v>
      </c>
      <c r="AL10" s="333">
        <f t="shared" si="2"/>
        <v>258.19904000000002</v>
      </c>
      <c r="AM10" s="772">
        <f t="shared" si="2"/>
        <v>302.73327</v>
      </c>
      <c r="AN10" s="343">
        <f t="shared" si="2"/>
        <v>306.31650000000002</v>
      </c>
      <c r="AO10" s="333">
        <f t="shared" si="2"/>
        <v>247.74741999999995</v>
      </c>
      <c r="AP10" s="333">
        <f t="shared" ref="AP10:AU10" si="3">AP14*AP34</f>
        <v>243.35508999999999</v>
      </c>
      <c r="AQ10" s="334">
        <f t="shared" si="3"/>
        <v>221.09100000000001</v>
      </c>
      <c r="AR10" s="343">
        <f t="shared" si="3"/>
        <v>208.62304</v>
      </c>
      <c r="AS10" s="333">
        <f t="shared" si="3"/>
        <v>216.30452</v>
      </c>
      <c r="AT10" s="333">
        <f t="shared" si="3"/>
        <v>243.48105000000001</v>
      </c>
      <c r="AU10" s="334">
        <f t="shared" si="3"/>
        <v>245.55838</v>
      </c>
      <c r="AV10" s="343">
        <f t="shared" ref="AV10:BA10" si="4">AV14*AV34</f>
        <v>252.99163999999999</v>
      </c>
      <c r="AW10" s="333">
        <f t="shared" si="4"/>
        <v>237.47568999999996</v>
      </c>
      <c r="AX10" s="333">
        <f t="shared" si="4"/>
        <v>257.70272</v>
      </c>
      <c r="AY10" s="772">
        <f t="shared" si="4"/>
        <v>249.87531999999999</v>
      </c>
      <c r="AZ10" s="343">
        <f t="shared" si="4"/>
        <v>252.33285999999998</v>
      </c>
      <c r="BA10" s="333">
        <f t="shared" si="4"/>
        <v>229.21611000000001</v>
      </c>
      <c r="BB10" s="333">
        <f>BB14*BB34</f>
        <v>220.91754999999998</v>
      </c>
      <c r="BC10" s="334">
        <f>BC14*BC34</f>
        <v>228.77307999999999</v>
      </c>
      <c r="BD10" s="344">
        <f t="shared" ref="BD10:BK10" si="5">BC10*(1+BD11)</f>
        <v>227.62921459999998</v>
      </c>
      <c r="BE10" s="333">
        <f t="shared" si="5"/>
        <v>221.93848423499998</v>
      </c>
      <c r="BF10" s="739">
        <f t="shared" si="5"/>
        <v>226.37725391969997</v>
      </c>
      <c r="BG10" s="334">
        <f t="shared" si="5"/>
        <v>230.90479899809398</v>
      </c>
      <c r="BH10" s="333">
        <f t="shared" si="5"/>
        <v>235.52289497805586</v>
      </c>
      <c r="BI10" s="333">
        <f t="shared" si="5"/>
        <v>230.81243707849472</v>
      </c>
      <c r="BJ10" s="739">
        <f t="shared" si="5"/>
        <v>233.12056144927968</v>
      </c>
      <c r="BK10" s="334">
        <f t="shared" si="5"/>
        <v>235.45176706377248</v>
      </c>
      <c r="BL10" s="20"/>
      <c r="BM10" s="342"/>
      <c r="BN10" s="337"/>
      <c r="BO10" s="337"/>
      <c r="BP10" s="337">
        <f>SUM(P10:S10)</f>
        <v>800.3310899999999</v>
      </c>
      <c r="BQ10" s="318">
        <f>SUM(T10:W10)</f>
        <v>860.01209000000017</v>
      </c>
      <c r="BR10" s="318">
        <f>SUM(X10:AA10)</f>
        <v>1114.43938</v>
      </c>
      <c r="BS10" s="318">
        <f>SUM(AB10:AE10)</f>
        <v>972.43426199999999</v>
      </c>
      <c r="BT10" s="318">
        <f>SUM(AF10:AI10)</f>
        <v>1002.5243800000001</v>
      </c>
      <c r="BU10" s="318">
        <f>SUM(AJ10:AM10)</f>
        <v>1073.21542</v>
      </c>
      <c r="BV10" s="586">
        <f>SUM(AN10:AQ10)</f>
        <v>1018.51001</v>
      </c>
      <c r="BW10" s="586">
        <f>SUM(AR10:AU10)</f>
        <v>913.9669899999999</v>
      </c>
      <c r="BX10" s="318">
        <f>SUM(AV10:AY10)</f>
        <v>998.04536999999993</v>
      </c>
      <c r="BY10" s="318">
        <f>SUM(AZ10:BC10)</f>
        <v>931.23959999999988</v>
      </c>
      <c r="BZ10" s="318">
        <f>SUM(BD10:BG10)</f>
        <v>906.84975175279385</v>
      </c>
      <c r="CA10" s="318">
        <f>SUM(BH10:BK10)</f>
        <v>934.90766056960274</v>
      </c>
      <c r="CB10" s="318">
        <f>CA10*(1+CB13)</f>
        <v>981.65304359808295</v>
      </c>
      <c r="CC10" s="935"/>
    </row>
    <row r="11" spans="1:82" ht="14.25" customHeight="1">
      <c r="A11" s="1"/>
      <c r="B11" s="275" t="s">
        <v>181</v>
      </c>
      <c r="C11" s="319"/>
      <c r="D11" s="102"/>
      <c r="E11" s="102">
        <f t="shared" ref="E11:S11" si="6">(E10-D10)/D10</f>
        <v>-7.3798622436549249E-2</v>
      </c>
      <c r="F11" s="102">
        <f t="shared" si="6"/>
        <v>0.12703012315474682</v>
      </c>
      <c r="G11" s="103">
        <f t="shared" si="6"/>
        <v>5.055993594377288E-2</v>
      </c>
      <c r="H11" s="102">
        <f t="shared" si="6"/>
        <v>4.0338518896465905E-2</v>
      </c>
      <c r="I11" s="102">
        <f t="shared" si="6"/>
        <v>-0.10868980695846964</v>
      </c>
      <c r="J11" s="102">
        <f t="shared" si="6"/>
        <v>-5.6661481893726322E-2</v>
      </c>
      <c r="K11" s="103">
        <f t="shared" si="6"/>
        <v>-1.6091852016196222E-2</v>
      </c>
      <c r="L11" s="102">
        <f t="shared" si="6"/>
        <v>2.8354357516063244E-2</v>
      </c>
      <c r="M11" s="102">
        <f t="shared" si="6"/>
        <v>-2.282961660596577E-3</v>
      </c>
      <c r="N11" s="276">
        <f t="shared" si="6"/>
        <v>-2.7631250989624077E-2</v>
      </c>
      <c r="O11" s="320">
        <f t="shared" si="6"/>
        <v>2.6448491466039604E-2</v>
      </c>
      <c r="P11" s="276">
        <f t="shared" si="6"/>
        <v>2.62443248696821E-2</v>
      </c>
      <c r="Q11" s="276">
        <f t="shared" si="6"/>
        <v>1.393515914986657E-2</v>
      </c>
      <c r="R11" s="276">
        <f t="shared" si="6"/>
        <v>-2.9966346338134008E-2</v>
      </c>
      <c r="S11" s="320">
        <f t="shared" si="6"/>
        <v>-7.9496642079132471E-2</v>
      </c>
      <c r="T11" s="276">
        <f t="shared" ref="T11:AA11" si="7">(T10-S10)/S10</f>
        <v>-7.0098781309015932E-3</v>
      </c>
      <c r="U11" s="276">
        <f t="shared" si="7"/>
        <v>3.5376554438538876E-2</v>
      </c>
      <c r="V11" s="276">
        <f t="shared" si="7"/>
        <v>0.23713459452946156</v>
      </c>
      <c r="W11" s="320">
        <f t="shared" si="7"/>
        <v>5.2929751071120273E-2</v>
      </c>
      <c r="X11" s="276">
        <f t="shared" si="7"/>
        <v>0.14814369725795673</v>
      </c>
      <c r="Y11" s="276">
        <f t="shared" si="7"/>
        <v>4.1916006570971852E-2</v>
      </c>
      <c r="Z11" s="276">
        <f t="shared" si="7"/>
        <v>-0.14189155932389377</v>
      </c>
      <c r="AA11" s="320">
        <f t="shared" si="7"/>
        <v>8.2492208176370277E-2</v>
      </c>
      <c r="AB11" s="102">
        <f t="shared" ref="AB11:AV11" si="8">(AB10-AA10)/AA10</f>
        <v>2.4174198716394469E-3</v>
      </c>
      <c r="AC11" s="276">
        <f t="shared" si="8"/>
        <v>-0.1179469403973558</v>
      </c>
      <c r="AD11" s="276">
        <f t="shared" si="8"/>
        <v>-0.10038328727642122</v>
      </c>
      <c r="AE11" s="320">
        <f t="shared" si="8"/>
        <v>5.2990572424798557E-2</v>
      </c>
      <c r="AF11" s="276">
        <f t="shared" si="8"/>
        <v>0.13325843925416336</v>
      </c>
      <c r="AG11" s="276">
        <f t="shared" si="8"/>
        <v>1.6298662969470808E-2</v>
      </c>
      <c r="AH11" s="276">
        <f t="shared" si="8"/>
        <v>-0.10106541858377899</v>
      </c>
      <c r="AI11" s="276">
        <f t="shared" si="8"/>
        <v>-2.269109262224886E-2</v>
      </c>
      <c r="AJ11" s="598">
        <f t="shared" si="8"/>
        <v>8.7917725229626806E-2</v>
      </c>
      <c r="AK11" s="276">
        <f t="shared" si="8"/>
        <v>1.100222893756066E-2</v>
      </c>
      <c r="AL11" s="276">
        <f t="shared" si="8"/>
        <v>2.5476531270071413E-3</v>
      </c>
      <c r="AM11" s="320">
        <f t="shared" si="8"/>
        <v>0.17248023075531177</v>
      </c>
      <c r="AN11" s="598">
        <f t="shared" si="8"/>
        <v>1.1836261009567976E-2</v>
      </c>
      <c r="AO11" s="276">
        <f t="shared" si="8"/>
        <v>-0.19120445682815018</v>
      </c>
      <c r="AP11" s="276">
        <f t="shared" si="8"/>
        <v>-1.7729064544849588E-2</v>
      </c>
      <c r="AQ11" s="320">
        <f t="shared" si="8"/>
        <v>-9.1488080236990246E-2</v>
      </c>
      <c r="AR11" s="598">
        <f t="shared" si="8"/>
        <v>-5.6392887996345419E-2</v>
      </c>
      <c r="AS11" s="276">
        <f t="shared" si="8"/>
        <v>3.681990253808972E-2</v>
      </c>
      <c r="AT11" s="276">
        <f t="shared" si="8"/>
        <v>0.12564013918895461</v>
      </c>
      <c r="AU11" s="320">
        <f t="shared" si="8"/>
        <v>8.5317933366887855E-3</v>
      </c>
      <c r="AV11" s="598">
        <f t="shared" si="8"/>
        <v>3.027084638691618E-2</v>
      </c>
      <c r="AW11" s="276">
        <f t="shared" ref="AW11:BC11" si="9">(AW10-AV10)/AV10</f>
        <v>-6.1329892165606865E-2</v>
      </c>
      <c r="AX11" s="276">
        <f t="shared" si="9"/>
        <v>8.5175160455371435E-2</v>
      </c>
      <c r="AY11" s="320">
        <f t="shared" si="9"/>
        <v>-3.0373757793476185E-2</v>
      </c>
      <c r="AZ11" s="598">
        <f t="shared" si="9"/>
        <v>9.8350649435886457E-3</v>
      </c>
      <c r="BA11" s="276">
        <f t="shared" si="9"/>
        <v>-9.1612126934240631E-2</v>
      </c>
      <c r="BB11" s="276">
        <f t="shared" si="9"/>
        <v>-3.6204087051298607E-2</v>
      </c>
      <c r="BC11" s="320">
        <f t="shared" si="9"/>
        <v>3.5558650727386829E-2</v>
      </c>
      <c r="BD11" s="106">
        <v>-5.0000000000000001E-3</v>
      </c>
      <c r="BE11" s="1027">
        <v>-2.5000000000000001E-2</v>
      </c>
      <c r="BF11" s="1027">
        <v>0.02</v>
      </c>
      <c r="BG11" s="1030">
        <v>0.02</v>
      </c>
      <c r="BH11" s="1027">
        <v>0.02</v>
      </c>
      <c r="BI11" s="1027">
        <v>-0.02</v>
      </c>
      <c r="BJ11" s="1027">
        <v>0.01</v>
      </c>
      <c r="BK11">
        <v>0.01</v>
      </c>
      <c r="BL11" s="20"/>
      <c r="BM11" s="22"/>
      <c r="BN11" s="14"/>
      <c r="BO11" s="14"/>
      <c r="BP11" s="14"/>
      <c r="BQ11" s="276"/>
      <c r="BR11" s="276"/>
      <c r="BS11" s="276"/>
      <c r="BT11" s="276"/>
      <c r="BU11" s="276"/>
      <c r="BV11" s="276"/>
      <c r="BW11" s="276"/>
      <c r="BX11" s="276"/>
      <c r="BY11" s="276"/>
      <c r="BZ11" s="276"/>
      <c r="CA11" s="276"/>
      <c r="CB11" s="276"/>
      <c r="CC11" s="751"/>
    </row>
    <row r="12" spans="1:82" ht="14.25" customHeight="1">
      <c r="A12" s="1"/>
      <c r="B12" s="275" t="s">
        <v>373</v>
      </c>
      <c r="C12" s="319"/>
      <c r="D12" s="102"/>
      <c r="E12" s="102"/>
      <c r="F12" s="102"/>
      <c r="G12" s="103"/>
      <c r="H12" s="102"/>
      <c r="I12" s="102"/>
      <c r="J12" s="102"/>
      <c r="K12" s="103"/>
      <c r="L12" s="102"/>
      <c r="M12" s="102"/>
      <c r="N12" s="276"/>
      <c r="O12" s="320"/>
      <c r="P12" s="276"/>
      <c r="Q12" s="276"/>
      <c r="R12" s="276"/>
      <c r="S12" s="320"/>
      <c r="T12" s="276"/>
      <c r="U12" s="276"/>
      <c r="V12" s="276"/>
      <c r="W12" s="320"/>
      <c r="X12" s="276"/>
      <c r="Y12" s="276"/>
      <c r="Z12" s="276"/>
      <c r="AA12" s="320"/>
      <c r="AB12" s="102"/>
      <c r="AC12" s="276"/>
      <c r="AD12" s="276"/>
      <c r="AE12" s="320"/>
      <c r="AF12" s="276">
        <f t="shared" ref="AF12:AV12" si="10">+AVERAGE(AB11,X11,T11,P11,L11)</f>
        <v>3.9629984276887985E-2</v>
      </c>
      <c r="AG12" s="276">
        <f t="shared" si="10"/>
        <v>-5.8004363797150172E-3</v>
      </c>
      <c r="AH12" s="276">
        <f t="shared" si="10"/>
        <v>-1.2547569879722307E-2</v>
      </c>
      <c r="AI12" s="276">
        <f t="shared" si="10"/>
        <v>2.7072876211839247E-2</v>
      </c>
      <c r="AJ12" s="598">
        <f t="shared" si="10"/>
        <v>6.0610800624508007E-2</v>
      </c>
      <c r="AK12" s="276">
        <f t="shared" si="10"/>
        <v>-2.0841114537015377E-3</v>
      </c>
      <c r="AL12" s="276">
        <f t="shared" si="10"/>
        <v>-2.7234403398553285E-2</v>
      </c>
      <c r="AM12" s="320">
        <f t="shared" si="10"/>
        <v>1.7244959394181556E-2</v>
      </c>
      <c r="AN12" s="598">
        <f t="shared" si="10"/>
        <v>7.294548069649695E-2</v>
      </c>
      <c r="AO12" s="276">
        <f t="shared" si="10"/>
        <v>-2.6706974961627204E-3</v>
      </c>
      <c r="AP12" s="276">
        <f t="shared" si="10"/>
        <v>-2.0731603505525064E-2</v>
      </c>
      <c r="AQ12" s="320">
        <f t="shared" si="10"/>
        <v>6.7640333961070415E-2</v>
      </c>
      <c r="AR12" s="598">
        <f t="shared" si="10"/>
        <v>7.6714708524590863E-2</v>
      </c>
      <c r="AS12" s="276">
        <f t="shared" si="10"/>
        <v>-4.7986899749500531E-2</v>
      </c>
      <c r="AT12" s="276">
        <f t="shared" si="10"/>
        <v>-7.1704335320387294E-2</v>
      </c>
      <c r="AU12" s="320">
        <f t="shared" si="10"/>
        <v>3.8756767699448302E-2</v>
      </c>
      <c r="AV12" s="598">
        <f t="shared" si="10"/>
        <v>3.5807391473730438E-2</v>
      </c>
      <c r="AW12" s="276">
        <f t="shared" ref="AW12:BG12" si="11">+AVERAGE(AS11,AO11,AK11,AG11,AC11)</f>
        <v>-4.9006120556076962E-2</v>
      </c>
      <c r="AX12" s="276">
        <f t="shared" si="11"/>
        <v>-1.8197995617817608E-2</v>
      </c>
      <c r="AY12" s="320">
        <f t="shared" si="11"/>
        <v>2.3964684731512E-2</v>
      </c>
      <c r="AZ12" s="598">
        <f t="shared" si="11"/>
        <v>4.1378076776785781E-2</v>
      </c>
      <c r="BA12" s="276">
        <f t="shared" si="11"/>
        <v>-3.7682710909727177E-2</v>
      </c>
      <c r="BB12" s="276">
        <f t="shared" si="11"/>
        <v>1.891369392854092E-2</v>
      </c>
      <c r="BC12" s="320">
        <f t="shared" si="11"/>
        <v>7.2918186878570546E-3</v>
      </c>
      <c r="BD12" s="598">
        <f t="shared" si="11"/>
        <v>1.6693401914670839E-2</v>
      </c>
      <c r="BE12" s="276">
        <f t="shared" si="11"/>
        <v>-5.9264868890469467E-2</v>
      </c>
      <c r="BF12" s="276">
        <f t="shared" si="11"/>
        <v>3.1885960235036995E-2</v>
      </c>
      <c r="BG12" s="320">
        <f t="shared" si="11"/>
        <v>1.8941767357784189E-2</v>
      </c>
      <c r="BH12" s="276">
        <f>+AVERAGE(BD11,AZ11,AV11,AR11,AN11)</f>
        <v>-1.8901431312545228E-3</v>
      </c>
      <c r="BI12" s="276">
        <f>+AVERAGE(BE11,BA11,AW11,AS11,AO11)</f>
        <v>-6.6465314677981585E-2</v>
      </c>
      <c r="BJ12" s="276">
        <f>+AVERAGE(BF11,BB11,AX11,AT11,AP11)</f>
        <v>3.5376429609635565E-2</v>
      </c>
      <c r="BK12" s="320">
        <f>+AVERAGE(BG11,BC11,AY11,AU11,AQ11)</f>
        <v>-1.1554278793278163E-2</v>
      </c>
      <c r="BL12" s="20"/>
      <c r="BM12" s="22"/>
      <c r="BN12" s="14"/>
      <c r="BO12" s="14"/>
      <c r="BP12" s="14"/>
      <c r="BQ12" s="276"/>
      <c r="BR12" s="276"/>
      <c r="BS12" s="276"/>
      <c r="BT12" s="276"/>
      <c r="BU12" s="276"/>
      <c r="BV12" s="276"/>
      <c r="BW12" s="276"/>
      <c r="BX12" s="276"/>
      <c r="BY12" s="276"/>
      <c r="BZ12" s="276"/>
      <c r="CA12" s="276"/>
      <c r="CB12" s="276"/>
      <c r="CC12" s="751"/>
    </row>
    <row r="13" spans="1:82" ht="14.25" customHeight="1">
      <c r="A13" s="1"/>
      <c r="B13" s="36" t="s">
        <v>182</v>
      </c>
      <c r="C13" s="321"/>
      <c r="D13" s="102"/>
      <c r="E13" s="102"/>
      <c r="F13" s="102"/>
      <c r="G13" s="103"/>
      <c r="H13" s="102">
        <f t="shared" ref="H13:S13" si="12">H10/D10-1</f>
        <v>0.1408707871486421</v>
      </c>
      <c r="I13" s="102">
        <f t="shared" si="12"/>
        <v>9.7892732792050685E-2</v>
      </c>
      <c r="J13" s="102">
        <f t="shared" si="12"/>
        <v>-8.1049847458695146E-2</v>
      </c>
      <c r="K13" s="103">
        <f t="shared" si="12"/>
        <v>-0.13935177637999985</v>
      </c>
      <c r="L13" s="102">
        <f t="shared" si="12"/>
        <v>-0.14926599854545386</v>
      </c>
      <c r="M13" s="102">
        <f t="shared" si="12"/>
        <v>-4.7703240720921247E-2</v>
      </c>
      <c r="N13" s="276">
        <f t="shared" si="12"/>
        <v>-1.8397329554909136E-2</v>
      </c>
      <c r="O13" s="320">
        <f t="shared" si="12"/>
        <v>2.4043334087711088E-2</v>
      </c>
      <c r="P13" s="276">
        <f t="shared" si="12"/>
        <v>2.1942147030505232E-2</v>
      </c>
      <c r="Q13" s="276">
        <f t="shared" si="12"/>
        <v>3.8554052575819453E-2</v>
      </c>
      <c r="R13" s="276">
        <f t="shared" si="12"/>
        <v>3.6060016501733294E-2</v>
      </c>
      <c r="S13" s="320">
        <f t="shared" si="12"/>
        <v>-7.0877172964359803E-2</v>
      </c>
      <c r="T13" s="276">
        <f t="shared" ref="T13:Z13" si="13">T10/P10-1</f>
        <v>-0.10098427158986778</v>
      </c>
      <c r="U13" s="276">
        <f t="shared" si="13"/>
        <v>-8.1973044461954192E-2</v>
      </c>
      <c r="V13" s="276">
        <f t="shared" si="13"/>
        <v>0.1708077355041604</v>
      </c>
      <c r="W13" s="320">
        <f t="shared" si="13"/>
        <v>0.33924367237616893</v>
      </c>
      <c r="X13" s="276">
        <f t="shared" si="13"/>
        <v>0.54849897060103814</v>
      </c>
      <c r="Y13" s="276">
        <f t="shared" si="13"/>
        <v>0.55827931076033255</v>
      </c>
      <c r="Z13" s="276">
        <f t="shared" si="13"/>
        <v>8.0862693038645572E-2</v>
      </c>
      <c r="AA13" s="320">
        <f t="shared" ref="AA13:AV13" si="14">AA10/W10-1</f>
        <v>0.11120940607160423</v>
      </c>
      <c r="AB13" s="102">
        <f t="shared" si="14"/>
        <v>-2.9829046284323923E-2</v>
      </c>
      <c r="AC13" s="276">
        <f t="shared" si="14"/>
        <v>-0.17868402763209001</v>
      </c>
      <c r="AD13" s="276">
        <f t="shared" si="14"/>
        <v>-0.13895547445398482</v>
      </c>
      <c r="AE13" s="320">
        <f t="shared" si="14"/>
        <v>-0.16242189921591221</v>
      </c>
      <c r="AF13" s="276">
        <f t="shared" si="14"/>
        <v>-5.3096611819069661E-2</v>
      </c>
      <c r="AG13" s="276">
        <f t="shared" si="14"/>
        <v>9.101900037970978E-2</v>
      </c>
      <c r="AH13" s="276">
        <f t="shared" si="14"/>
        <v>9.0191738939859212E-2</v>
      </c>
      <c r="AI13" s="276">
        <f t="shared" si="14"/>
        <v>1.1836311850413894E-2</v>
      </c>
      <c r="AJ13" s="598">
        <f t="shared" si="14"/>
        <v>-2.8646405300534306E-2</v>
      </c>
      <c r="AK13" s="276">
        <f t="shared" si="14"/>
        <v>-3.3708608394408701E-2</v>
      </c>
      <c r="AL13" s="276">
        <f t="shared" si="14"/>
        <v>7.7668149516285201E-2</v>
      </c>
      <c r="AM13" s="320">
        <f t="shared" si="14"/>
        <v>0.2928814943606326</v>
      </c>
      <c r="AN13" s="598">
        <f t="shared" si="14"/>
        <v>0.20246627740733492</v>
      </c>
      <c r="AO13" s="276">
        <f t="shared" si="14"/>
        <v>-3.8034399782156947E-2</v>
      </c>
      <c r="AP13" s="276">
        <f t="shared" si="14"/>
        <v>-5.7490337686770809E-2</v>
      </c>
      <c r="AQ13" s="320">
        <f t="shared" si="14"/>
        <v>-0.26968383752469627</v>
      </c>
      <c r="AR13" s="598">
        <f t="shared" si="14"/>
        <v>-0.31892979973328239</v>
      </c>
      <c r="AS13" s="276">
        <f t="shared" si="14"/>
        <v>-0.12691514607901855</v>
      </c>
      <c r="AT13" s="276">
        <f t="shared" si="14"/>
        <v>5.1759755672264873E-4</v>
      </c>
      <c r="AU13" s="320">
        <f t="shared" si="14"/>
        <v>0.11066655811407977</v>
      </c>
      <c r="AV13" s="598">
        <f t="shared" si="14"/>
        <v>0.21267353787961274</v>
      </c>
      <c r="AW13" s="276">
        <f t="shared" ref="AW13:BG13" si="15">AW10/AS10-1</f>
        <v>9.7876687921269356E-2</v>
      </c>
      <c r="AX13" s="276">
        <f t="shared" si="15"/>
        <v>5.8409761252466996E-2</v>
      </c>
      <c r="AY13" s="320">
        <f t="shared" si="15"/>
        <v>1.7580096431651038E-2</v>
      </c>
      <c r="AZ13" s="598">
        <f t="shared" si="15"/>
        <v>-2.6039595616678124E-3</v>
      </c>
      <c r="BA13" s="276">
        <f t="shared" si="15"/>
        <v>-3.4780739030592756E-2</v>
      </c>
      <c r="BB13" s="276">
        <f t="shared" si="15"/>
        <v>-0.14274265324013657</v>
      </c>
      <c r="BC13" s="320">
        <f t="shared" si="15"/>
        <v>-8.4451077441341504E-2</v>
      </c>
      <c r="BD13" s="598">
        <f t="shared" si="15"/>
        <v>-9.7901024067971187E-2</v>
      </c>
      <c r="BE13" s="276">
        <f t="shared" si="15"/>
        <v>-3.1750062266565959E-2</v>
      </c>
      <c r="BF13" s="276">
        <f t="shared" si="15"/>
        <v>2.4713762757644142E-2</v>
      </c>
      <c r="BG13" s="320">
        <f t="shared" si="15"/>
        <v>9.3180499999998556E-3</v>
      </c>
      <c r="BH13" s="276">
        <f>BH10/BD10-1</f>
        <v>3.4677800000000092E-2</v>
      </c>
      <c r="BI13" s="276">
        <f>BI10/BE10-1</f>
        <v>3.9983839999999882E-2</v>
      </c>
      <c r="BJ13" s="276">
        <f>BJ10/BF10-1</f>
        <v>2.9787919999999968E-2</v>
      </c>
      <c r="BK13" s="320">
        <f>BK10/BG10-1</f>
        <v>1.9691960000000064E-2</v>
      </c>
      <c r="BL13" s="20"/>
      <c r="BM13" s="408"/>
      <c r="BN13" s="338"/>
      <c r="BO13" s="338"/>
      <c r="BP13" s="338"/>
      <c r="BQ13" s="276">
        <f t="shared" ref="BQ13:CA13" si="16">BQ10/BP10-1</f>
        <v>7.4570388112749963E-2</v>
      </c>
      <c r="BR13" s="276">
        <f t="shared" si="16"/>
        <v>0.29584152706504363</v>
      </c>
      <c r="BS13" s="276">
        <f t="shared" si="16"/>
        <v>-0.12742291823894458</v>
      </c>
      <c r="BT13" s="276">
        <f t="shared" si="16"/>
        <v>3.094308702997961E-2</v>
      </c>
      <c r="BU13" s="276">
        <f t="shared" si="16"/>
        <v>7.0513038296385222E-2</v>
      </c>
      <c r="BV13" s="276">
        <f t="shared" si="16"/>
        <v>-5.0973373081053985E-2</v>
      </c>
      <c r="BW13" s="276">
        <f t="shared" si="16"/>
        <v>-0.10264309527993742</v>
      </c>
      <c r="BX13" s="276">
        <f t="shared" si="16"/>
        <v>9.1992797245336044E-2</v>
      </c>
      <c r="BY13" s="276">
        <f t="shared" si="16"/>
        <v>-6.6936606298769852E-2</v>
      </c>
      <c r="BZ13" s="276">
        <f t="shared" si="16"/>
        <v>-2.6190733563312807E-2</v>
      </c>
      <c r="CA13" s="276">
        <f t="shared" si="16"/>
        <v>3.0939975186162316E-2</v>
      </c>
      <c r="CB13" s="929">
        <v>0.05</v>
      </c>
      <c r="CC13" s="751"/>
    </row>
    <row r="14" spans="1:82" ht="14.25" customHeight="1">
      <c r="A14" s="1"/>
      <c r="B14" s="275" t="s">
        <v>183</v>
      </c>
      <c r="C14" s="319"/>
      <c r="D14" s="104">
        <v>0.51</v>
      </c>
      <c r="E14" s="104">
        <v>0.48</v>
      </c>
      <c r="F14" s="104">
        <v>0.48</v>
      </c>
      <c r="G14" s="105">
        <v>0.48</v>
      </c>
      <c r="H14" s="104">
        <v>0.49</v>
      </c>
      <c r="I14" s="104">
        <v>0.45</v>
      </c>
      <c r="J14" s="104">
        <v>0.44</v>
      </c>
      <c r="K14" s="105">
        <v>0.44</v>
      </c>
      <c r="L14" s="104">
        <v>0.45</v>
      </c>
      <c r="M14" s="104">
        <v>0.45</v>
      </c>
      <c r="N14" s="104">
        <v>0.41</v>
      </c>
      <c r="O14" s="105">
        <v>0.42</v>
      </c>
      <c r="P14" s="104">
        <v>0.42</v>
      </c>
      <c r="Q14" s="104">
        <v>0.43</v>
      </c>
      <c r="R14" s="323">
        <v>0.44</v>
      </c>
      <c r="S14" s="324">
        <v>0.47</v>
      </c>
      <c r="T14" s="323">
        <v>0.49</v>
      </c>
      <c r="U14" s="323">
        <v>0.46</v>
      </c>
      <c r="V14" s="323">
        <v>0.46</v>
      </c>
      <c r="W14" s="324">
        <v>0.47</v>
      </c>
      <c r="X14" s="323">
        <v>0.48</v>
      </c>
      <c r="Y14" s="323">
        <v>0.48</v>
      </c>
      <c r="Z14" s="323">
        <v>0.45</v>
      </c>
      <c r="AA14" s="324">
        <v>0.47</v>
      </c>
      <c r="AB14" s="104">
        <v>0.45</v>
      </c>
      <c r="AC14" s="323">
        <v>0.44</v>
      </c>
      <c r="AD14" s="323">
        <v>0.43</v>
      </c>
      <c r="AE14" s="324">
        <v>0.41399999999999998</v>
      </c>
      <c r="AF14" s="104">
        <v>0.45</v>
      </c>
      <c r="AG14" s="323">
        <v>0.49</v>
      </c>
      <c r="AH14" s="323">
        <v>0.47</v>
      </c>
      <c r="AI14" s="323">
        <v>0.44</v>
      </c>
      <c r="AJ14" s="106">
        <v>0.44</v>
      </c>
      <c r="AK14" s="323">
        <v>0.43</v>
      </c>
      <c r="AL14" s="323">
        <v>0.44</v>
      </c>
      <c r="AM14" s="324">
        <v>0.49</v>
      </c>
      <c r="AN14" s="106">
        <v>0.5</v>
      </c>
      <c r="AO14" s="104">
        <v>0.41</v>
      </c>
      <c r="AP14" s="104">
        <v>0.41</v>
      </c>
      <c r="AQ14" s="105">
        <v>0.39</v>
      </c>
      <c r="AR14" s="106">
        <v>0.38</v>
      </c>
      <c r="AS14" s="104">
        <v>0.41</v>
      </c>
      <c r="AT14" s="104">
        <v>0.43</v>
      </c>
      <c r="AU14" s="105">
        <v>0.43</v>
      </c>
      <c r="AV14" s="106">
        <v>0.44</v>
      </c>
      <c r="AW14" s="104">
        <v>0.41</v>
      </c>
      <c r="AX14" s="104">
        <v>0.44</v>
      </c>
      <c r="AY14" s="105">
        <v>0.41</v>
      </c>
      <c r="AZ14" s="106">
        <v>0.41</v>
      </c>
      <c r="BA14" s="104">
        <v>0.37</v>
      </c>
      <c r="BB14" s="104">
        <v>0.35</v>
      </c>
      <c r="BC14" s="105">
        <v>0.34</v>
      </c>
      <c r="BD14" s="169">
        <f t="shared" ref="BD14:BK14" si="17">BD10/BD$34</f>
        <v>0.33698575555334198</v>
      </c>
      <c r="BE14" s="102">
        <f t="shared" si="17"/>
        <v>0.32670790104343866</v>
      </c>
      <c r="BF14" s="102">
        <f t="shared" si="17"/>
        <v>0.33391161569537298</v>
      </c>
      <c r="BG14" s="103">
        <f t="shared" si="17"/>
        <v>0.33239210095880206</v>
      </c>
      <c r="BH14" s="102">
        <f t="shared" si="17"/>
        <v>0.32807791531434827</v>
      </c>
      <c r="BI14" s="102">
        <f t="shared" si="17"/>
        <v>0.31875167295640722</v>
      </c>
      <c r="BJ14" s="102">
        <f t="shared" si="17"/>
        <v>0.32461788208180858</v>
      </c>
      <c r="BK14" s="103">
        <f t="shared" si="17"/>
        <v>0.32225849439520809</v>
      </c>
      <c r="BL14" s="20"/>
      <c r="BM14" s="408"/>
      <c r="BN14" s="338"/>
      <c r="BO14" s="338"/>
      <c r="BP14" s="338">
        <f t="shared" ref="BP14:CB14" si="18">BP10/BP$34</f>
        <v>0.43849337381874925</v>
      </c>
      <c r="BQ14" s="276">
        <f t="shared" si="18"/>
        <v>0.46904104815020453</v>
      </c>
      <c r="BR14" s="276">
        <f t="shared" si="18"/>
        <v>0.47033772887743752</v>
      </c>
      <c r="BS14" s="276">
        <f t="shared" si="18"/>
        <v>0.43397984501520931</v>
      </c>
      <c r="BT14" s="276">
        <f t="shared" si="18"/>
        <v>0.46227996930812315</v>
      </c>
      <c r="BU14" s="276">
        <f t="shared" si="18"/>
        <v>0.45045181783573857</v>
      </c>
      <c r="BV14" s="276">
        <f t="shared" si="18"/>
        <v>0.42842348856539059</v>
      </c>
      <c r="BW14" s="276">
        <f t="shared" si="18"/>
        <v>0.41283474134336939</v>
      </c>
      <c r="BX14" s="276">
        <f t="shared" si="18"/>
        <v>0.42482127670442199</v>
      </c>
      <c r="BY14" s="276">
        <f t="shared" si="18"/>
        <v>0.36677358523263442</v>
      </c>
      <c r="BZ14" s="276">
        <f t="shared" si="18"/>
        <v>0.33249173140595367</v>
      </c>
      <c r="CA14" s="276">
        <f t="shared" si="18"/>
        <v>0.32341137668160908</v>
      </c>
      <c r="CB14" s="930">
        <f t="shared" si="18"/>
        <v>0.32177835274141076</v>
      </c>
      <c r="CC14" s="751"/>
    </row>
    <row r="15" spans="1:82" ht="14.25" customHeight="1">
      <c r="A15" s="1"/>
      <c r="B15" s="275"/>
      <c r="C15" s="319"/>
      <c r="D15" s="106"/>
      <c r="E15" s="104"/>
      <c r="F15" s="104"/>
      <c r="G15" s="105"/>
      <c r="H15" s="106"/>
      <c r="I15" s="104"/>
      <c r="J15" s="104"/>
      <c r="K15" s="105"/>
      <c r="L15" s="106"/>
      <c r="M15" s="104"/>
      <c r="N15" s="323"/>
      <c r="O15" s="324"/>
      <c r="P15" s="322"/>
      <c r="Q15" s="323"/>
      <c r="R15" s="323"/>
      <c r="S15" s="324"/>
      <c r="T15" s="322"/>
      <c r="U15" s="323"/>
      <c r="V15" s="323"/>
      <c r="W15" s="324"/>
      <c r="X15" s="323"/>
      <c r="Y15" s="323"/>
      <c r="Z15" s="323"/>
      <c r="AA15" s="324"/>
      <c r="AB15" s="104"/>
      <c r="AC15" s="323"/>
      <c r="AD15" s="323"/>
      <c r="AE15" s="324"/>
      <c r="AF15" s="104"/>
      <c r="AG15" s="323"/>
      <c r="AH15" s="323"/>
      <c r="AI15" s="323"/>
      <c r="AJ15" s="106"/>
      <c r="AK15" s="323"/>
      <c r="AL15" s="14"/>
      <c r="AM15" s="324"/>
      <c r="AN15" s="106"/>
      <c r="AO15" s="14"/>
      <c r="AP15" s="14"/>
      <c r="AQ15" s="269"/>
      <c r="AR15" s="106"/>
      <c r="AS15" s="14"/>
      <c r="AT15" s="14"/>
      <c r="AU15" s="269"/>
      <c r="AV15" s="106"/>
      <c r="AW15" s="14"/>
      <c r="AX15" s="14"/>
      <c r="AY15" s="269"/>
      <c r="AZ15" s="106"/>
      <c r="BA15" s="14"/>
      <c r="BB15" s="14"/>
      <c r="BC15" s="269"/>
      <c r="BD15" s="22"/>
      <c r="BE15" s="14"/>
      <c r="BF15" s="14"/>
      <c r="BG15" s="269"/>
      <c r="BH15" s="14"/>
      <c r="BI15" s="14"/>
      <c r="BJ15" s="14"/>
      <c r="BK15" s="269"/>
      <c r="BL15" s="20"/>
      <c r="BM15" s="22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931"/>
      <c r="CC15" s="751"/>
    </row>
    <row r="16" spans="1:82" ht="14.25" customHeight="1">
      <c r="A16" s="325"/>
      <c r="B16" s="293" t="s">
        <v>290</v>
      </c>
      <c r="C16" s="312"/>
      <c r="D16" s="344">
        <f t="shared" ref="D16:AB16" si="19">D20*D$34</f>
        <v>89.18338</v>
      </c>
      <c r="E16" s="333">
        <f t="shared" si="19"/>
        <v>95.742959999999997</v>
      </c>
      <c r="F16" s="333">
        <f t="shared" si="19"/>
        <v>121.39335000000001</v>
      </c>
      <c r="G16" s="334">
        <f t="shared" si="19"/>
        <v>127.53099</v>
      </c>
      <c r="H16" s="344">
        <f t="shared" si="19"/>
        <v>125.15412000000001</v>
      </c>
      <c r="I16" s="333">
        <f t="shared" si="19"/>
        <v>135.48220000000001</v>
      </c>
      <c r="J16" s="333">
        <f t="shared" si="19"/>
        <v>139.72475</v>
      </c>
      <c r="K16" s="334">
        <f t="shared" si="19"/>
        <v>133.04159999999999</v>
      </c>
      <c r="L16" s="344">
        <f t="shared" si="19"/>
        <v>142.69183999999998</v>
      </c>
      <c r="M16" s="333">
        <f t="shared" si="19"/>
        <v>133.4682</v>
      </c>
      <c r="N16" s="337">
        <f t="shared" si="19"/>
        <v>156.68598</v>
      </c>
      <c r="O16" s="340">
        <f t="shared" si="19"/>
        <v>157.0008</v>
      </c>
      <c r="P16" s="342">
        <f t="shared" si="19"/>
        <v>161.12118000000001</v>
      </c>
      <c r="Q16" s="337">
        <f t="shared" si="19"/>
        <v>154.73184000000001</v>
      </c>
      <c r="R16" s="337">
        <f t="shared" si="19"/>
        <v>151.26770999999999</v>
      </c>
      <c r="S16" s="340">
        <f t="shared" si="19"/>
        <v>126.40448000000001</v>
      </c>
      <c r="T16" s="342">
        <f t="shared" si="19"/>
        <v>116.63285</v>
      </c>
      <c r="U16" s="337">
        <f t="shared" si="19"/>
        <v>128.6345</v>
      </c>
      <c r="V16" s="337">
        <f t="shared" si="19"/>
        <v>164.27168000000003</v>
      </c>
      <c r="W16" s="340">
        <f t="shared" si="19"/>
        <v>158.70599999999999</v>
      </c>
      <c r="X16" s="333">
        <f t="shared" si="19"/>
        <v>184.36847</v>
      </c>
      <c r="Y16" s="333">
        <f t="shared" si="19"/>
        <v>192.09646000000001</v>
      </c>
      <c r="Z16" s="333">
        <f t="shared" si="19"/>
        <v>192.84460000000004</v>
      </c>
      <c r="AA16" s="334">
        <f t="shared" si="19"/>
        <v>188.11264</v>
      </c>
      <c r="AB16" s="333">
        <f t="shared" si="19"/>
        <v>209.25742</v>
      </c>
      <c r="AC16" s="333">
        <f t="shared" ref="AC16:AI16" si="20">AC20*AC34</f>
        <v>183.21896999999998</v>
      </c>
      <c r="AD16" s="333">
        <f t="shared" si="20"/>
        <v>173.77094000000002</v>
      </c>
      <c r="AE16" s="334">
        <f t="shared" si="20"/>
        <v>205.70206399999998</v>
      </c>
      <c r="AF16" s="333">
        <f t="shared" si="20"/>
        <v>198.14656000000002</v>
      </c>
      <c r="AG16" s="333">
        <f t="shared" si="20"/>
        <v>174.05856</v>
      </c>
      <c r="AH16" s="333">
        <f t="shared" si="20"/>
        <v>183.51612</v>
      </c>
      <c r="AI16" s="333">
        <f t="shared" si="20"/>
        <v>196.90216000000001</v>
      </c>
      <c r="AJ16" s="344">
        <f t="shared" ref="AJ16:AO16" si="21">AJ20*AJ34</f>
        <v>214.21335000000002</v>
      </c>
      <c r="AK16" s="333">
        <f t="shared" si="21"/>
        <v>227.59605999999999</v>
      </c>
      <c r="AL16" s="333">
        <f t="shared" si="21"/>
        <v>217.12192000000002</v>
      </c>
      <c r="AM16" s="334">
        <f t="shared" si="21"/>
        <v>210.05982</v>
      </c>
      <c r="AN16" s="344">
        <f t="shared" si="21"/>
        <v>189.91623000000001</v>
      </c>
      <c r="AO16" s="333">
        <f t="shared" si="21"/>
        <v>247.74741999999995</v>
      </c>
      <c r="AP16" s="333">
        <f t="shared" ref="AP16:AU16" si="22">AP20*AP34</f>
        <v>255.22606999999999</v>
      </c>
      <c r="AQ16" s="334">
        <f t="shared" si="22"/>
        <v>238.09799999999998</v>
      </c>
      <c r="AR16" s="344">
        <f t="shared" si="22"/>
        <v>241.56352000000001</v>
      </c>
      <c r="AS16" s="333">
        <f t="shared" si="22"/>
        <v>216.30452</v>
      </c>
      <c r="AT16" s="333">
        <f t="shared" si="22"/>
        <v>232.15635</v>
      </c>
      <c r="AU16" s="334">
        <f t="shared" si="22"/>
        <v>228.42640000000003</v>
      </c>
      <c r="AV16" s="344">
        <f t="shared" ref="AV16:BA16" si="23">AV20*AV34</f>
        <v>224.24259000000001</v>
      </c>
      <c r="AW16" s="333">
        <f t="shared" si="23"/>
        <v>237.47568999999996</v>
      </c>
      <c r="AX16" s="333">
        <f t="shared" si="23"/>
        <v>240.13207999999997</v>
      </c>
      <c r="AY16" s="334">
        <f t="shared" si="23"/>
        <v>262.06436000000002</v>
      </c>
      <c r="AZ16" s="344">
        <f t="shared" si="23"/>
        <v>258.48732000000001</v>
      </c>
      <c r="BA16" s="333">
        <f t="shared" si="23"/>
        <v>278.77635000000004</v>
      </c>
      <c r="BB16" s="333">
        <f>BB20*BB34</f>
        <v>296.66070999999999</v>
      </c>
      <c r="BC16" s="334">
        <f>BC20*BC34</f>
        <v>322.97375999999997</v>
      </c>
      <c r="BD16" s="80">
        <f t="shared" ref="BD16:BK16" si="24">BC16*(1+BD17)</f>
        <v>321.35889119999996</v>
      </c>
      <c r="BE16" s="81">
        <f t="shared" si="24"/>
        <v>327.78606902399997</v>
      </c>
      <c r="BF16" s="81">
        <f t="shared" si="24"/>
        <v>322.86927798863996</v>
      </c>
      <c r="BG16" s="82">
        <f t="shared" si="24"/>
        <v>329.3266635484128</v>
      </c>
      <c r="BH16" s="81">
        <f t="shared" si="24"/>
        <v>342.49973009034932</v>
      </c>
      <c r="BI16" s="81">
        <f t="shared" si="24"/>
        <v>349.34972469215631</v>
      </c>
      <c r="BJ16" s="81">
        <f t="shared" si="24"/>
        <v>342.36273019831316</v>
      </c>
      <c r="BK16" s="82">
        <f t="shared" si="24"/>
        <v>350.92179845327098</v>
      </c>
      <c r="BL16" s="20"/>
      <c r="BM16" s="342"/>
      <c r="BN16" s="337"/>
      <c r="BO16" s="337"/>
      <c r="BP16" s="337">
        <f>SUM(P16:S16)</f>
        <v>593.52521000000002</v>
      </c>
      <c r="BQ16" s="337">
        <f>SUM(T16:W16)</f>
        <v>568.24503000000004</v>
      </c>
      <c r="BR16" s="337">
        <f>SUM(X16:AA16)</f>
        <v>757.42217000000005</v>
      </c>
      <c r="BS16" s="318">
        <f>SUM(AB16:AE16)</f>
        <v>771.94939399999998</v>
      </c>
      <c r="BT16" s="318">
        <f>SUM(AF16:AI16)</f>
        <v>752.62340000000006</v>
      </c>
      <c r="BU16" s="318">
        <f>SUM(AJ16:AM16)</f>
        <v>868.99115000000006</v>
      </c>
      <c r="BV16" s="318">
        <f>SUM(AN16:AQ16)</f>
        <v>930.98771999999985</v>
      </c>
      <c r="BW16" s="318">
        <f>SUM(AR16:AU16)</f>
        <v>918.4507900000001</v>
      </c>
      <c r="BX16" s="318">
        <f>SUM(AV16:AY16)</f>
        <v>963.91471999999999</v>
      </c>
      <c r="BY16" s="318">
        <f>SUM(AZ16:BC16)</f>
        <v>1156.89814</v>
      </c>
      <c r="BZ16" s="318">
        <f>SUM(BD16:BG16)</f>
        <v>1301.3409017610527</v>
      </c>
      <c r="CA16" s="318">
        <f>SUM(BH16:BK16)</f>
        <v>1385.1339834340897</v>
      </c>
      <c r="CB16" s="932">
        <f>CA16*(1+CB19)</f>
        <v>1454.3906826057942</v>
      </c>
      <c r="CC16" s="935"/>
    </row>
    <row r="17" spans="1:81" ht="14.25" customHeight="1">
      <c r="A17" s="1"/>
      <c r="B17" s="275" t="s">
        <v>181</v>
      </c>
      <c r="C17" s="319"/>
      <c r="D17" s="102"/>
      <c r="E17" s="102">
        <f t="shared" ref="E17:S17" si="25">(E16-D16)/D16</f>
        <v>7.3551596721272469E-2</v>
      </c>
      <c r="F17" s="102">
        <f t="shared" si="25"/>
        <v>0.26790888854909034</v>
      </c>
      <c r="G17" s="103">
        <f t="shared" si="25"/>
        <v>5.0559935943772782E-2</v>
      </c>
      <c r="H17" s="102">
        <f t="shared" si="25"/>
        <v>-1.8637587616939198E-2</v>
      </c>
      <c r="I17" s="102">
        <f t="shared" si="25"/>
        <v>8.2522892574371495E-2</v>
      </c>
      <c r="J17" s="102">
        <f t="shared" si="25"/>
        <v>3.1314445735306881E-2</v>
      </c>
      <c r="K17" s="103">
        <f t="shared" si="25"/>
        <v>-4.783082453180279E-2</v>
      </c>
      <c r="L17" s="102">
        <f t="shared" si="25"/>
        <v>7.2535507690827505E-2</v>
      </c>
      <c r="M17" s="102">
        <f t="shared" si="25"/>
        <v>-6.4640276556809345E-2</v>
      </c>
      <c r="N17" s="276">
        <f t="shared" si="25"/>
        <v>0.17395739209789302</v>
      </c>
      <c r="O17" s="320">
        <f t="shared" si="25"/>
        <v>2.0092416692291002E-3</v>
      </c>
      <c r="P17" s="276">
        <f t="shared" si="25"/>
        <v>2.6244324869682267E-2</v>
      </c>
      <c r="Q17" s="276">
        <f t="shared" si="25"/>
        <v>-3.9655494082156073E-2</v>
      </c>
      <c r="R17" s="276">
        <f t="shared" si="25"/>
        <v>-2.2387958418900799E-2</v>
      </c>
      <c r="S17" s="320">
        <f t="shared" si="25"/>
        <v>-0.16436574600091447</v>
      </c>
      <c r="T17" s="276">
        <f t="shared" ref="T17:AA17" si="26">(T16-S16)/S16</f>
        <v>-7.7304459462196287E-2</v>
      </c>
      <c r="U17" s="276">
        <f t="shared" si="26"/>
        <v>0.10290111233670443</v>
      </c>
      <c r="V17" s="276">
        <f t="shared" si="26"/>
        <v>0.2770421620949281</v>
      </c>
      <c r="W17" s="320">
        <f t="shared" si="26"/>
        <v>-3.3880946490594373E-2</v>
      </c>
      <c r="X17" s="276">
        <f t="shared" si="26"/>
        <v>0.16169817146169657</v>
      </c>
      <c r="Y17" s="276">
        <f t="shared" si="26"/>
        <v>4.1916006570971734E-2</v>
      </c>
      <c r="Z17" s="276">
        <f t="shared" si="26"/>
        <v>3.8946058662405066E-3</v>
      </c>
      <c r="AA17" s="320">
        <f t="shared" si="26"/>
        <v>-2.4537684747200816E-2</v>
      </c>
      <c r="AB17" s="102">
        <f t="shared" ref="AB17:AV17" si="27">AB16/AA16-1</f>
        <v>0.112404886774222</v>
      </c>
      <c r="AC17" s="276">
        <f t="shared" si="27"/>
        <v>-0.12443262465913996</v>
      </c>
      <c r="AD17" s="276">
        <f t="shared" si="27"/>
        <v>-5.1566876508474913E-2</v>
      </c>
      <c r="AE17" s="320">
        <f t="shared" si="27"/>
        <v>0.18375410756251842</v>
      </c>
      <c r="AF17" s="102">
        <f t="shared" si="27"/>
        <v>-3.673032663396103E-2</v>
      </c>
      <c r="AG17" s="276">
        <f t="shared" si="27"/>
        <v>-0.12156658182710822</v>
      </c>
      <c r="AH17" s="276">
        <f t="shared" si="27"/>
        <v>5.4335506395088995E-2</v>
      </c>
      <c r="AI17" s="276">
        <f t="shared" si="27"/>
        <v>7.2942039097164901E-2</v>
      </c>
      <c r="AJ17" s="169">
        <f t="shared" si="27"/>
        <v>8.791772522962682E-2</v>
      </c>
      <c r="AK17" s="276">
        <f t="shared" si="27"/>
        <v>6.2473744050032254E-2</v>
      </c>
      <c r="AL17" s="276">
        <f t="shared" si="27"/>
        <v>-4.6020743944337084E-2</v>
      </c>
      <c r="AM17" s="320">
        <f t="shared" si="27"/>
        <v>-3.2525965135164703E-2</v>
      </c>
      <c r="AN17" s="169">
        <f t="shared" si="27"/>
        <v>-9.5894540897921265E-2</v>
      </c>
      <c r="AO17" s="276">
        <f t="shared" si="27"/>
        <v>0.30450894059975786</v>
      </c>
      <c r="AP17" s="276">
        <f t="shared" si="27"/>
        <v>3.0186590843206629E-2</v>
      </c>
      <c r="AQ17" s="320">
        <f t="shared" si="27"/>
        <v>-6.710940618252681E-2</v>
      </c>
      <c r="AR17" s="169">
        <f t="shared" si="27"/>
        <v>1.4555015161824336E-2</v>
      </c>
      <c r="AS17" s="276">
        <f t="shared" si="27"/>
        <v>-0.10456462962619528</v>
      </c>
      <c r="AT17" s="276">
        <f t="shared" si="27"/>
        <v>7.328478387784032E-2</v>
      </c>
      <c r="AU17" s="320">
        <f t="shared" si="27"/>
        <v>-1.6066543086157181E-2</v>
      </c>
      <c r="AV17" s="169">
        <f t="shared" si="27"/>
        <v>-1.8315790118830444E-2</v>
      </c>
      <c r="AW17" s="276">
        <f t="shared" ref="AW17:BC17" si="28">AW16/AV16-1</f>
        <v>5.9012429351622986E-2</v>
      </c>
      <c r="AX17" s="276">
        <f t="shared" si="28"/>
        <v>1.1185944969777761E-2</v>
      </c>
      <c r="AY17" s="320">
        <f t="shared" si="28"/>
        <v>9.133423572560595E-2</v>
      </c>
      <c r="AZ17" s="169">
        <f t="shared" si="28"/>
        <v>-1.3649471450448369E-2</v>
      </c>
      <c r="BA17" s="276">
        <f t="shared" si="28"/>
        <v>7.8491393697764478E-2</v>
      </c>
      <c r="BB17" s="276">
        <f t="shared" si="28"/>
        <v>6.4153074677963051E-2</v>
      </c>
      <c r="BC17" s="320">
        <f t="shared" si="28"/>
        <v>8.8697455082609178E-2</v>
      </c>
      <c r="BD17" s="106">
        <v>-5.0000000000000001E-3</v>
      </c>
      <c r="BE17" s="1027">
        <v>0.02</v>
      </c>
      <c r="BF17" s="1027">
        <v>-1.4999999999999999E-2</v>
      </c>
      <c r="BG17" s="1030">
        <v>0.02</v>
      </c>
      <c r="BH17" s="1027">
        <v>0.04</v>
      </c>
      <c r="BI17" s="1027">
        <v>0.02</v>
      </c>
      <c r="BJ17" s="1027">
        <v>-0.02</v>
      </c>
      <c r="BK17">
        <v>2.5000000000000001E-2</v>
      </c>
      <c r="BL17" s="20"/>
      <c r="BM17" s="22"/>
      <c r="BN17" s="14"/>
      <c r="BO17" s="14"/>
      <c r="BP17" s="14"/>
      <c r="BQ17" s="276"/>
      <c r="BR17" s="276"/>
      <c r="BS17" s="276"/>
      <c r="BT17" s="276"/>
      <c r="BU17" s="276"/>
      <c r="BV17" s="276"/>
      <c r="BW17" s="276"/>
      <c r="BX17" s="276"/>
      <c r="BY17" s="276"/>
      <c r="BZ17" s="276"/>
      <c r="CA17" s="276"/>
      <c r="CB17" s="930"/>
      <c r="CC17" s="751"/>
    </row>
    <row r="18" spans="1:81" ht="14.25" customHeight="1">
      <c r="A18" s="1"/>
      <c r="B18" s="275" t="s">
        <v>373</v>
      </c>
      <c r="C18" s="319"/>
      <c r="D18" s="102"/>
      <c r="E18" s="102"/>
      <c r="F18" s="102"/>
      <c r="G18" s="103"/>
      <c r="H18" s="102"/>
      <c r="I18" s="102"/>
      <c r="J18" s="102"/>
      <c r="K18" s="103"/>
      <c r="L18" s="102"/>
      <c r="M18" s="102"/>
      <c r="N18" s="276"/>
      <c r="O18" s="320"/>
      <c r="P18" s="276"/>
      <c r="Q18" s="276"/>
      <c r="R18" s="276"/>
      <c r="S18" s="320"/>
      <c r="T18" s="276"/>
      <c r="U18" s="276"/>
      <c r="V18" s="276"/>
      <c r="W18" s="320"/>
      <c r="X18" s="276"/>
      <c r="Y18" s="276"/>
      <c r="Z18" s="276"/>
      <c r="AA18" s="320"/>
      <c r="AB18" s="102"/>
      <c r="AC18" s="276"/>
      <c r="AD18" s="276"/>
      <c r="AE18" s="320"/>
      <c r="AF18" s="276">
        <f t="shared" ref="AF18:AL18" si="29">+AVERAGE(AB17,X17,T17,P17,L17)</f>
        <v>5.9115686266846414E-2</v>
      </c>
      <c r="AG18" s="276">
        <f t="shared" si="29"/>
        <v>-1.6782255278085842E-2</v>
      </c>
      <c r="AH18" s="276">
        <f t="shared" si="29"/>
        <v>7.618786502633719E-2</v>
      </c>
      <c r="AI18" s="276">
        <f t="shared" si="29"/>
        <v>-7.4042056013924242E-3</v>
      </c>
      <c r="AJ18" s="598">
        <f t="shared" si="29"/>
        <v>3.7262519401888704E-2</v>
      </c>
      <c r="AK18" s="276">
        <f t="shared" si="29"/>
        <v>-2.816751633214562E-2</v>
      </c>
      <c r="AL18" s="276">
        <f t="shared" si="29"/>
        <v>5.226348788577638E-2</v>
      </c>
      <c r="AM18" s="320">
        <v>0.03</v>
      </c>
      <c r="AN18" s="598">
        <f t="shared" ref="AN18:AZ18" si="30">+AVERAGE(AJ17,AF17,AB17,X17,T17)</f>
        <v>4.9597199473877619E-2</v>
      </c>
      <c r="AO18" s="276">
        <f t="shared" si="30"/>
        <v>-7.7416687057079549E-3</v>
      </c>
      <c r="AP18" s="276">
        <f t="shared" si="30"/>
        <v>4.7536930780689123E-2</v>
      </c>
      <c r="AQ18" s="320">
        <f t="shared" si="30"/>
        <v>3.3150310057344687E-2</v>
      </c>
      <c r="AR18" s="598">
        <f t="shared" si="30"/>
        <v>4.5879183186732619E-2</v>
      </c>
      <c r="AS18" s="276">
        <f t="shared" si="30"/>
        <v>3.2579896946902734E-2</v>
      </c>
      <c r="AT18" s="276">
        <f t="shared" si="30"/>
        <v>-1.8341834696551731E-3</v>
      </c>
      <c r="AU18" s="320">
        <f t="shared" si="30"/>
        <v>2.6504618118958202E-2</v>
      </c>
      <c r="AV18" s="598">
        <f t="shared" si="30"/>
        <v>1.6450551926758171E-2</v>
      </c>
      <c r="AW18" s="276">
        <f>+AVERAGE(AS17,AO17,AK17,AG17,AC17)</f>
        <v>3.2837697074693307E-3</v>
      </c>
      <c r="AX18" s="276">
        <f>+AVERAGE(AT17,AP17,AL17,AH17,AD17)</f>
        <v>1.204385213266479E-2</v>
      </c>
      <c r="AY18" s="320">
        <f t="shared" si="30"/>
        <v>2.8198846451166926E-2</v>
      </c>
      <c r="AZ18" s="598">
        <f t="shared" si="30"/>
        <v>-9.6935834518523164E-3</v>
      </c>
      <c r="BA18" s="276">
        <f t="shared" ref="BA18:BK18" si="31">+AVERAGE(AW17,AS17,AO17,AK17,AG17)</f>
        <v>3.997278050962192E-2</v>
      </c>
      <c r="BB18" s="276">
        <f t="shared" si="31"/>
        <v>2.4594416428315325E-2</v>
      </c>
      <c r="BC18" s="320">
        <f t="shared" si="31"/>
        <v>9.7148720837844319E-3</v>
      </c>
      <c r="BD18" s="598">
        <f t="shared" si="31"/>
        <v>-5.0774124151497842E-3</v>
      </c>
      <c r="BE18" s="276">
        <f t="shared" si="31"/>
        <v>7.9984375614596454E-2</v>
      </c>
      <c r="BF18" s="276">
        <f t="shared" si="31"/>
        <v>2.6557930084890137E-2</v>
      </c>
      <c r="BG18" s="320">
        <f t="shared" si="31"/>
        <v>1.2865955280873287E-2</v>
      </c>
      <c r="BH18" s="276">
        <f t="shared" si="31"/>
        <v>-2.366095746107515E-2</v>
      </c>
      <c r="BI18" s="276">
        <f t="shared" si="31"/>
        <v>7.1489626804590006E-2</v>
      </c>
      <c r="BJ18" s="276">
        <f t="shared" si="31"/>
        <v>3.2762078873757552E-2</v>
      </c>
      <c r="BK18" s="320">
        <f t="shared" si="31"/>
        <v>2.337114830790623E-2</v>
      </c>
      <c r="BL18" s="20"/>
      <c r="BM18" s="22"/>
      <c r="BN18" s="14"/>
      <c r="BO18" s="14"/>
      <c r="BP18" s="14"/>
      <c r="BQ18" s="276"/>
      <c r="BR18" s="276"/>
      <c r="BS18" s="276"/>
      <c r="BT18" s="276"/>
      <c r="BU18" s="276"/>
      <c r="BV18" s="276"/>
      <c r="BW18" s="276"/>
      <c r="BX18" s="276"/>
      <c r="BY18" s="276"/>
      <c r="BZ18" s="276"/>
      <c r="CA18" s="276"/>
      <c r="CB18" s="930"/>
      <c r="CC18" s="751"/>
    </row>
    <row r="19" spans="1:81" ht="14.25" customHeight="1">
      <c r="A19" s="1"/>
      <c r="B19" s="36" t="s">
        <v>182</v>
      </c>
      <c r="C19" s="321"/>
      <c r="D19" s="102"/>
      <c r="E19" s="102"/>
      <c r="F19" s="102"/>
      <c r="G19" s="103"/>
      <c r="H19" s="102">
        <f t="shared" ref="H19:S19" si="32">H16/D16-1</f>
        <v>0.40333456749452656</v>
      </c>
      <c r="I19" s="102">
        <f t="shared" si="32"/>
        <v>0.41506174448753219</v>
      </c>
      <c r="J19" s="102">
        <f t="shared" si="32"/>
        <v>0.15100827186991705</v>
      </c>
      <c r="K19" s="103">
        <f t="shared" si="32"/>
        <v>4.3209968024242373E-2</v>
      </c>
      <c r="L19" s="102">
        <f t="shared" si="32"/>
        <v>0.14012898656472506</v>
      </c>
      <c r="M19" s="102">
        <f t="shared" si="32"/>
        <v>-1.4865421435435899E-2</v>
      </c>
      <c r="N19" s="276">
        <f t="shared" si="32"/>
        <v>0.121390304867248</v>
      </c>
      <c r="O19" s="320">
        <f t="shared" si="32"/>
        <v>0.18008803261536244</v>
      </c>
      <c r="P19" s="276">
        <f t="shared" si="32"/>
        <v>0.12915482763415231</v>
      </c>
      <c r="Q19" s="276">
        <f t="shared" si="32"/>
        <v>0.15931615171254276</v>
      </c>
      <c r="R19" s="276">
        <f t="shared" si="32"/>
        <v>-3.4580439168839572E-2</v>
      </c>
      <c r="S19" s="320">
        <f t="shared" si="32"/>
        <v>-0.19488002608903898</v>
      </c>
      <c r="T19" s="276">
        <f t="shared" ref="T19:AA19" si="33">T16/P16-1</f>
        <v>-0.27611720569573783</v>
      </c>
      <c r="U19" s="276">
        <f t="shared" si="33"/>
        <v>-0.16866173116018013</v>
      </c>
      <c r="V19" s="276">
        <f t="shared" si="33"/>
        <v>8.5966595250235756E-2</v>
      </c>
      <c r="W19" s="320">
        <f t="shared" si="33"/>
        <v>0.25554094285265827</v>
      </c>
      <c r="X19" s="276">
        <f t="shared" si="33"/>
        <v>0.58075936582189325</v>
      </c>
      <c r="Y19" s="276">
        <f t="shared" si="33"/>
        <v>0.49335100614531879</v>
      </c>
      <c r="Z19" s="276">
        <f t="shared" si="33"/>
        <v>0.17393698049475126</v>
      </c>
      <c r="AA19" s="320">
        <f t="shared" si="33"/>
        <v>0.18529003314304449</v>
      </c>
      <c r="AB19" s="102">
        <f t="shared" ref="AB19:AV19" si="34">AB16/X16-1</f>
        <v>0.13499569638995212</v>
      </c>
      <c r="AC19" s="276">
        <f t="shared" si="34"/>
        <v>-4.6213709508233669E-2</v>
      </c>
      <c r="AD19" s="276">
        <f t="shared" si="34"/>
        <v>-9.8906891870449098E-2</v>
      </c>
      <c r="AE19" s="320">
        <f t="shared" si="34"/>
        <v>9.3504742690336817E-2</v>
      </c>
      <c r="AF19" s="102">
        <f t="shared" si="34"/>
        <v>-5.3096611819069439E-2</v>
      </c>
      <c r="AG19" s="276">
        <f t="shared" si="34"/>
        <v>-4.9997060893858247E-2</v>
      </c>
      <c r="AH19" s="276">
        <f t="shared" si="34"/>
        <v>5.6080608184544412E-2</v>
      </c>
      <c r="AI19" s="276">
        <f t="shared" si="34"/>
        <v>-4.2779852709693644E-2</v>
      </c>
      <c r="AJ19" s="169">
        <f t="shared" si="34"/>
        <v>8.1085384475006794E-2</v>
      </c>
      <c r="AK19" s="276">
        <f t="shared" si="34"/>
        <v>0.30758326393140334</v>
      </c>
      <c r="AL19" s="276">
        <f t="shared" si="34"/>
        <v>0.18312178788435607</v>
      </c>
      <c r="AM19" s="320">
        <f t="shared" si="34"/>
        <v>6.6823340079154026E-2</v>
      </c>
      <c r="AN19" s="169">
        <f t="shared" si="34"/>
        <v>-0.11342486357642978</v>
      </c>
      <c r="AO19" s="276">
        <f t="shared" si="34"/>
        <v>8.8540021299138294E-2</v>
      </c>
      <c r="AP19" s="276">
        <f t="shared" si="34"/>
        <v>0.17549655972091616</v>
      </c>
      <c r="AQ19" s="320">
        <f t="shared" si="34"/>
        <v>0.13347712094583342</v>
      </c>
      <c r="AR19" s="169">
        <f t="shared" si="34"/>
        <v>0.27194774243359809</v>
      </c>
      <c r="AS19" s="276">
        <f t="shared" si="34"/>
        <v>-0.12691514607901855</v>
      </c>
      <c r="AT19" s="276">
        <f t="shared" si="34"/>
        <v>-9.0389355601486865E-2</v>
      </c>
      <c r="AU19" s="320">
        <f t="shared" si="34"/>
        <v>-4.0620248805113723E-2</v>
      </c>
      <c r="AV19" s="169">
        <f t="shared" si="34"/>
        <v>-7.1703417800833558E-2</v>
      </c>
      <c r="AW19" s="276">
        <f t="shared" ref="AW19:BG19" si="35">AW16/AS16-1</f>
        <v>9.7876687921269356E-2</v>
      </c>
      <c r="AX19" s="276">
        <f t="shared" si="35"/>
        <v>3.4354993951274615E-2</v>
      </c>
      <c r="AY19" s="320">
        <f t="shared" si="35"/>
        <v>0.14725951115983094</v>
      </c>
      <c r="AZ19" s="169">
        <f t="shared" si="35"/>
        <v>0.15271287225143082</v>
      </c>
      <c r="BA19" s="276">
        <f t="shared" si="35"/>
        <v>0.17391531739522503</v>
      </c>
      <c r="BB19" s="276">
        <f t="shared" si="35"/>
        <v>0.23540640634104371</v>
      </c>
      <c r="BC19" s="320">
        <f t="shared" si="35"/>
        <v>0.23242153187102566</v>
      </c>
      <c r="BD19" s="598">
        <f t="shared" si="35"/>
        <v>0.24322884078027474</v>
      </c>
      <c r="BE19" s="276">
        <f t="shared" si="35"/>
        <v>0.17580300130911364</v>
      </c>
      <c r="BF19" s="276">
        <f t="shared" si="35"/>
        <v>8.8345261455889945E-2</v>
      </c>
      <c r="BG19" s="320">
        <f t="shared" si="35"/>
        <v>1.9670030000000116E-2</v>
      </c>
      <c r="BH19" s="276">
        <f>BH16/BD16-1</f>
        <v>6.5785760000000248E-2</v>
      </c>
      <c r="BI19" s="276">
        <f>BI16/BE16-1</f>
        <v>6.5785760000000248E-2</v>
      </c>
      <c r="BJ19" s="276">
        <f>BJ16/BF16-1</f>
        <v>6.0375680000000154E-2</v>
      </c>
      <c r="BK19" s="320">
        <f>BK16/BG16-1</f>
        <v>6.557360000000001E-2</v>
      </c>
      <c r="BL19" s="20"/>
      <c r="BM19" s="408"/>
      <c r="BN19" s="338"/>
      <c r="BO19" s="338"/>
      <c r="BP19" s="338"/>
      <c r="BQ19" s="276">
        <f t="shared" ref="BQ19:CA19" si="36">BQ16/BP16-1</f>
        <v>-4.2593270806475014E-2</v>
      </c>
      <c r="BR19" s="276">
        <f t="shared" si="36"/>
        <v>0.33291472870427041</v>
      </c>
      <c r="BS19" s="276">
        <f t="shared" si="36"/>
        <v>1.9179824113149335E-2</v>
      </c>
      <c r="BT19" s="276">
        <f t="shared" si="36"/>
        <v>-2.5035312094564444E-2</v>
      </c>
      <c r="BU19" s="276">
        <f t="shared" si="36"/>
        <v>0.15461617324149102</v>
      </c>
      <c r="BV19" s="276">
        <f t="shared" si="36"/>
        <v>7.1343154645475693E-2</v>
      </c>
      <c r="BW19" s="276">
        <f t="shared" si="36"/>
        <v>-1.3466267847227598E-2</v>
      </c>
      <c r="BX19" s="276">
        <f t="shared" si="36"/>
        <v>4.9500670580292949E-2</v>
      </c>
      <c r="BY19" s="276">
        <f t="shared" si="36"/>
        <v>0.20020798105458959</v>
      </c>
      <c r="BZ19" s="276">
        <f t="shared" si="36"/>
        <v>0.12485348257285001</v>
      </c>
      <c r="CA19" s="276">
        <f t="shared" si="36"/>
        <v>6.4389800981159651E-2</v>
      </c>
      <c r="CB19" s="929">
        <v>0.05</v>
      </c>
      <c r="CC19" s="751"/>
    </row>
    <row r="20" spans="1:81" ht="14.25" customHeight="1">
      <c r="A20" s="1"/>
      <c r="B20" s="275" t="s">
        <v>183</v>
      </c>
      <c r="C20" s="319"/>
      <c r="D20" s="104">
        <v>0.22</v>
      </c>
      <c r="E20" s="104">
        <v>0.24</v>
      </c>
      <c r="F20" s="104">
        <v>0.27</v>
      </c>
      <c r="G20" s="105">
        <v>0.27</v>
      </c>
      <c r="H20" s="104">
        <v>0.26</v>
      </c>
      <c r="I20" s="104">
        <v>0.28999999999999998</v>
      </c>
      <c r="J20" s="104">
        <v>0.31</v>
      </c>
      <c r="K20" s="105">
        <v>0.3</v>
      </c>
      <c r="L20" s="104">
        <v>0.32</v>
      </c>
      <c r="M20" s="104">
        <v>0.3</v>
      </c>
      <c r="N20" s="104">
        <v>0.33</v>
      </c>
      <c r="O20" s="105">
        <v>0.33</v>
      </c>
      <c r="P20" s="104">
        <v>0.33</v>
      </c>
      <c r="Q20" s="104">
        <v>0.32</v>
      </c>
      <c r="R20" s="323">
        <v>0.33</v>
      </c>
      <c r="S20" s="324">
        <v>0.32</v>
      </c>
      <c r="T20" s="323">
        <v>0.31</v>
      </c>
      <c r="U20" s="323">
        <v>0.31</v>
      </c>
      <c r="V20" s="323">
        <v>0.32</v>
      </c>
      <c r="W20" s="324">
        <v>0.3</v>
      </c>
      <c r="X20" s="323">
        <v>0.31</v>
      </c>
      <c r="Y20" s="323">
        <v>0.31</v>
      </c>
      <c r="Z20" s="323">
        <v>0.34</v>
      </c>
      <c r="AA20" s="324">
        <v>0.32</v>
      </c>
      <c r="AB20" s="104">
        <v>0.34</v>
      </c>
      <c r="AC20" s="323">
        <v>0.33</v>
      </c>
      <c r="AD20" s="323">
        <v>0.34</v>
      </c>
      <c r="AE20" s="324">
        <v>0.36799999999999999</v>
      </c>
      <c r="AF20" s="104">
        <v>0.34</v>
      </c>
      <c r="AG20" s="323">
        <v>0.32</v>
      </c>
      <c r="AH20" s="323">
        <v>0.36</v>
      </c>
      <c r="AI20" s="323">
        <v>0.37</v>
      </c>
      <c r="AJ20" s="106">
        <v>0.37</v>
      </c>
      <c r="AK20" s="323">
        <v>0.38</v>
      </c>
      <c r="AL20" s="323">
        <v>0.37</v>
      </c>
      <c r="AM20" s="324">
        <v>0.34</v>
      </c>
      <c r="AN20" s="106">
        <v>0.31</v>
      </c>
      <c r="AO20" s="323">
        <v>0.41</v>
      </c>
      <c r="AP20" s="323">
        <v>0.43</v>
      </c>
      <c r="AQ20" s="324">
        <v>0.42</v>
      </c>
      <c r="AR20" s="106">
        <v>0.44</v>
      </c>
      <c r="AS20" s="323">
        <v>0.41</v>
      </c>
      <c r="AT20" s="323">
        <v>0.41</v>
      </c>
      <c r="AU20" s="324">
        <v>0.4</v>
      </c>
      <c r="AV20" s="106">
        <v>0.39</v>
      </c>
      <c r="AW20" s="323">
        <v>0.41</v>
      </c>
      <c r="AX20" s="323">
        <v>0.41</v>
      </c>
      <c r="AY20" s="324">
        <v>0.43</v>
      </c>
      <c r="AZ20" s="106">
        <v>0.42</v>
      </c>
      <c r="BA20" s="323">
        <v>0.45</v>
      </c>
      <c r="BB20" s="323">
        <v>0.47</v>
      </c>
      <c r="BC20" s="324">
        <v>0.48</v>
      </c>
      <c r="BD20" s="169">
        <f t="shared" ref="BD20:BK20" si="37">BD16/BD$34</f>
        <v>0.47574459607530634</v>
      </c>
      <c r="BE20" s="102">
        <f t="shared" si="37"/>
        <v>0.4825224384641556</v>
      </c>
      <c r="BF20" s="102">
        <f t="shared" si="37"/>
        <v>0.47623955324516548</v>
      </c>
      <c r="BG20" s="103">
        <f t="shared" si="37"/>
        <v>0.47407235394667158</v>
      </c>
      <c r="BH20" s="102">
        <f t="shared" si="37"/>
        <v>0.47709415874086541</v>
      </c>
      <c r="BI20" s="102">
        <f t="shared" si="37"/>
        <v>0.4824515117208143</v>
      </c>
      <c r="BJ20" s="102">
        <f t="shared" si="37"/>
        <v>0.47673643066831017</v>
      </c>
      <c r="BK20" s="103">
        <f t="shared" si="37"/>
        <v>0.48030019833905024</v>
      </c>
      <c r="BL20" s="20"/>
      <c r="BM20" s="408"/>
      <c r="BN20" s="338"/>
      <c r="BO20" s="338"/>
      <c r="BP20" s="338">
        <f t="shared" ref="BP20:CB20" si="38">BP16/BP$34</f>
        <v>0.32518650722338138</v>
      </c>
      <c r="BQ20" s="276">
        <f t="shared" si="38"/>
        <v>0.30991453210540842</v>
      </c>
      <c r="BR20" s="276">
        <f t="shared" si="38"/>
        <v>0.31966227112256246</v>
      </c>
      <c r="BS20" s="276">
        <f t="shared" si="38"/>
        <v>0.34450706999842912</v>
      </c>
      <c r="BT20" s="276">
        <f t="shared" si="38"/>
        <v>0.34704664464376944</v>
      </c>
      <c r="BU20" s="276">
        <f t="shared" si="38"/>
        <v>0.36473445676047872</v>
      </c>
      <c r="BV20" s="276">
        <f t="shared" si="38"/>
        <v>0.39160833266031331</v>
      </c>
      <c r="BW20" s="276">
        <f t="shared" si="38"/>
        <v>0.41486005345364096</v>
      </c>
      <c r="BX20" s="276">
        <f t="shared" si="38"/>
        <v>0.41029345387833971</v>
      </c>
      <c r="BY20" s="276">
        <f t="shared" si="38"/>
        <v>0.45565038101554778</v>
      </c>
      <c r="BZ20" s="276">
        <f t="shared" si="38"/>
        <v>0.47712985391417623</v>
      </c>
      <c r="CA20" s="276">
        <f t="shared" si="38"/>
        <v>0.47915757605191783</v>
      </c>
      <c r="CB20" s="930">
        <f t="shared" si="38"/>
        <v>0.47673813181081282</v>
      </c>
      <c r="CC20" s="751"/>
    </row>
    <row r="21" spans="1:81" ht="14.25" customHeight="1">
      <c r="A21" s="1"/>
      <c r="B21" s="275"/>
      <c r="C21" s="319"/>
      <c r="D21" s="106"/>
      <c r="E21" s="104"/>
      <c r="F21" s="104"/>
      <c r="G21" s="105"/>
      <c r="H21" s="106"/>
      <c r="I21" s="104"/>
      <c r="J21" s="104"/>
      <c r="K21" s="105"/>
      <c r="L21" s="106"/>
      <c r="M21" s="104"/>
      <c r="N21" s="323"/>
      <c r="O21" s="324"/>
      <c r="P21" s="322"/>
      <c r="Q21" s="323"/>
      <c r="R21" s="323"/>
      <c r="S21" s="324"/>
      <c r="T21" s="322"/>
      <c r="U21" s="323"/>
      <c r="V21" s="323"/>
      <c r="W21" s="324"/>
      <c r="X21" s="323"/>
      <c r="Y21" s="323"/>
      <c r="Z21" s="323"/>
      <c r="AA21" s="324"/>
      <c r="AB21" s="104"/>
      <c r="AC21" s="323"/>
      <c r="AD21" s="323"/>
      <c r="AE21" s="324"/>
      <c r="AF21" s="104"/>
      <c r="AG21" s="323"/>
      <c r="AH21" s="323"/>
      <c r="AI21" s="323"/>
      <c r="AJ21" s="106"/>
      <c r="AK21" s="323"/>
      <c r="AL21" s="14"/>
      <c r="AM21" s="324"/>
      <c r="AN21" s="106"/>
      <c r="AO21" s="14"/>
      <c r="AP21" s="14"/>
      <c r="AQ21" s="269"/>
      <c r="AR21" s="106"/>
      <c r="AS21" s="14"/>
      <c r="AT21" s="14"/>
      <c r="AU21" s="269"/>
      <c r="AV21" s="106"/>
      <c r="AW21" s="14"/>
      <c r="AX21" s="14"/>
      <c r="AY21" s="269"/>
      <c r="AZ21" s="106"/>
      <c r="BA21" s="14"/>
      <c r="BB21" s="14"/>
      <c r="BC21" s="269"/>
      <c r="BD21" s="22"/>
      <c r="BE21" s="14"/>
      <c r="BF21" s="14"/>
      <c r="BG21" s="269"/>
      <c r="BH21" s="14"/>
      <c r="BI21" s="14"/>
      <c r="BJ21" s="14"/>
      <c r="BK21" s="269"/>
      <c r="BL21" s="20"/>
      <c r="BM21" s="22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931"/>
      <c r="CC21" s="751"/>
    </row>
    <row r="22" spans="1:81" ht="14.25" customHeight="1">
      <c r="A22" s="1"/>
      <c r="B22" s="293" t="s">
        <v>427</v>
      </c>
      <c r="C22" s="312"/>
      <c r="D22" s="344">
        <f t="shared" ref="D22:AB22" si="39">D26*D$34</f>
        <v>56.753060000000005</v>
      </c>
      <c r="E22" s="333">
        <f t="shared" si="39"/>
        <v>59.839349999999996</v>
      </c>
      <c r="F22" s="333">
        <f t="shared" si="39"/>
        <v>62.944700000000012</v>
      </c>
      <c r="G22" s="334">
        <f t="shared" si="39"/>
        <v>70.850549999999998</v>
      </c>
      <c r="H22" s="344">
        <f t="shared" si="39"/>
        <v>72.204300000000003</v>
      </c>
      <c r="I22" s="333">
        <f t="shared" si="39"/>
        <v>74.748800000000003</v>
      </c>
      <c r="J22" s="333">
        <f t="shared" si="39"/>
        <v>72.116</v>
      </c>
      <c r="K22" s="334">
        <f t="shared" si="39"/>
        <v>70.955519999999993</v>
      </c>
      <c r="L22" s="344">
        <f t="shared" si="39"/>
        <v>66.886799999999994</v>
      </c>
      <c r="M22" s="333">
        <f t="shared" si="39"/>
        <v>75.631980000000013</v>
      </c>
      <c r="N22" s="337">
        <f t="shared" si="39"/>
        <v>80.717020000000005</v>
      </c>
      <c r="O22" s="340">
        <f t="shared" si="39"/>
        <v>80.879199999999997</v>
      </c>
      <c r="P22" s="342">
        <f t="shared" si="39"/>
        <v>78.11936</v>
      </c>
      <c r="Q22" s="337">
        <f t="shared" si="39"/>
        <v>82.20129</v>
      </c>
      <c r="R22" s="337">
        <f t="shared" si="39"/>
        <v>73.341920000000002</v>
      </c>
      <c r="S22" s="340">
        <f t="shared" si="39"/>
        <v>55.301960000000008</v>
      </c>
      <c r="T22" s="342">
        <f t="shared" si="39"/>
        <v>52.672900000000006</v>
      </c>
      <c r="U22" s="337">
        <f t="shared" si="39"/>
        <v>66.391999999999996</v>
      </c>
      <c r="V22" s="337">
        <f t="shared" si="39"/>
        <v>77.002350000000007</v>
      </c>
      <c r="W22" s="340">
        <f t="shared" si="39"/>
        <v>79.352999999999994</v>
      </c>
      <c r="X22" s="333">
        <f t="shared" si="39"/>
        <v>89.210549999999998</v>
      </c>
      <c r="Y22" s="333">
        <f t="shared" si="39"/>
        <v>92.9499</v>
      </c>
      <c r="Z22" s="333">
        <f t="shared" si="39"/>
        <v>85.078500000000005</v>
      </c>
      <c r="AA22" s="334">
        <f t="shared" si="39"/>
        <v>82.29928000000001</v>
      </c>
      <c r="AB22" s="333">
        <f t="shared" si="39"/>
        <v>86.164820000000006</v>
      </c>
      <c r="AC22" s="333">
        <f t="shared" ref="AC22:AI22" si="40">AC26*AC34</f>
        <v>88.833439999999996</v>
      </c>
      <c r="AD22" s="333">
        <f t="shared" si="40"/>
        <v>76.663650000000004</v>
      </c>
      <c r="AE22" s="334">
        <f t="shared" si="40"/>
        <v>83.845949999999988</v>
      </c>
      <c r="AF22" s="333">
        <f t="shared" si="40"/>
        <v>93.245440000000002</v>
      </c>
      <c r="AG22" s="333">
        <f t="shared" si="40"/>
        <v>81.589950000000002</v>
      </c>
      <c r="AH22" s="333">
        <f t="shared" si="40"/>
        <v>76.465049999999991</v>
      </c>
      <c r="AI22" s="333">
        <f t="shared" si="40"/>
        <v>90.468560000000011</v>
      </c>
      <c r="AJ22" s="344">
        <f t="shared" ref="AJ22:AO22" si="41">AJ26*AJ34</f>
        <v>92.632800000000003</v>
      </c>
      <c r="AK22" s="333">
        <f t="shared" si="41"/>
        <v>95.829920000000001</v>
      </c>
      <c r="AL22" s="333">
        <f t="shared" si="41"/>
        <v>93.890560000000008</v>
      </c>
      <c r="AM22" s="334">
        <f t="shared" si="41"/>
        <v>92.673449999999988</v>
      </c>
      <c r="AN22" s="344">
        <f t="shared" si="41"/>
        <v>98.021280000000004</v>
      </c>
      <c r="AO22" s="333">
        <f t="shared" si="41"/>
        <v>90.639299999999992</v>
      </c>
      <c r="AP22" s="333">
        <f t="shared" ref="AP22:AU22" si="42">AP26*AP34</f>
        <v>83.096860000000007</v>
      </c>
      <c r="AQ22" s="334">
        <f t="shared" si="42"/>
        <v>96.373000000000005</v>
      </c>
      <c r="AR22" s="344">
        <f t="shared" si="42"/>
        <v>87.841280000000012</v>
      </c>
      <c r="AS22" s="333">
        <f t="shared" si="42"/>
        <v>84.411519999999996</v>
      </c>
      <c r="AT22" s="333">
        <f t="shared" si="42"/>
        <v>79.272900000000007</v>
      </c>
      <c r="AU22" s="334">
        <f t="shared" si="42"/>
        <v>85.659900000000007</v>
      </c>
      <c r="AV22" s="344">
        <f t="shared" ref="AV22:BA22" si="43">AV26*AV34</f>
        <v>86.247149999999991</v>
      </c>
      <c r="AW22" s="333">
        <f t="shared" si="43"/>
        <v>92.673439999999999</v>
      </c>
      <c r="AX22" s="333">
        <f t="shared" si="43"/>
        <v>76.139440000000008</v>
      </c>
      <c r="AY22" s="334">
        <f t="shared" si="43"/>
        <v>85.323280000000011</v>
      </c>
      <c r="AZ22" s="344">
        <f t="shared" si="43"/>
        <v>92.316900000000004</v>
      </c>
      <c r="BA22" s="333">
        <f t="shared" si="43"/>
        <v>99.120480000000015</v>
      </c>
      <c r="BB22" s="333">
        <f>BB26*BB34</f>
        <v>100.99088</v>
      </c>
      <c r="BC22" s="334">
        <f>BC26*BC34</f>
        <v>107.65791999999999</v>
      </c>
      <c r="BD22" s="80">
        <f t="shared" ref="BD22:BK22" si="44">BC22*(1+BD23)</f>
        <v>113.04081599999999</v>
      </c>
      <c r="BE22" s="81">
        <f t="shared" si="44"/>
        <v>115.86683639999998</v>
      </c>
      <c r="BF22" s="81">
        <f t="shared" si="44"/>
        <v>114.70816803599998</v>
      </c>
      <c r="BG22" s="82">
        <f t="shared" si="44"/>
        <v>120.44357643779998</v>
      </c>
      <c r="BH22" s="81">
        <f t="shared" si="44"/>
        <v>125.86353737750096</v>
      </c>
      <c r="BI22" s="81">
        <f t="shared" si="44"/>
        <v>129.63944349882598</v>
      </c>
      <c r="BJ22" s="81">
        <f t="shared" si="44"/>
        <v>128.34304906383773</v>
      </c>
      <c r="BK22" s="82">
        <f t="shared" si="44"/>
        <v>129.62647955447611</v>
      </c>
      <c r="BL22" s="20"/>
      <c r="BM22" s="342"/>
      <c r="BN22" s="337"/>
      <c r="BO22" s="337"/>
      <c r="BP22" s="337">
        <f>SUM(P22:S22)</f>
        <v>288.96453000000002</v>
      </c>
      <c r="BQ22" s="337">
        <f>SUM(T22:W22)</f>
        <v>275.42025000000001</v>
      </c>
      <c r="BR22" s="337">
        <f>SUM(X22:AA22)</f>
        <v>349.53823</v>
      </c>
      <c r="BS22" s="318">
        <f>SUM(AB22:AE22)</f>
        <v>335.50786000000005</v>
      </c>
      <c r="BT22" s="318">
        <f>SUM(AF22:AI22)</f>
        <v>341.76900000000001</v>
      </c>
      <c r="BU22" s="318">
        <f>SUM(AJ22:AM22)</f>
        <v>375.02672999999999</v>
      </c>
      <c r="BV22" s="318">
        <f>SUM(AN22:AQ22)</f>
        <v>368.13043999999996</v>
      </c>
      <c r="BW22" s="318">
        <f>SUM(AR22:AU22)</f>
        <v>337.18560000000002</v>
      </c>
      <c r="BX22" s="318">
        <f>SUM(AV22:AY22)</f>
        <v>340.38331000000005</v>
      </c>
      <c r="BY22" s="318">
        <f>SUM(AZ22:BC22)</f>
        <v>400.08618000000001</v>
      </c>
      <c r="BZ22" s="318">
        <f>SUM(BD22:BG22)</f>
        <v>464.05939687379987</v>
      </c>
      <c r="CA22" s="318">
        <f>SUM(BH22:BK22)</f>
        <v>513.4725094946408</v>
      </c>
      <c r="CB22" s="932">
        <f>CA22*(1+CB25)</f>
        <v>554.55031025421215</v>
      </c>
      <c r="CC22" s="935"/>
    </row>
    <row r="23" spans="1:81" ht="14.25" customHeight="1">
      <c r="A23" s="1"/>
      <c r="B23" s="275" t="s">
        <v>181</v>
      </c>
      <c r="C23" s="319"/>
      <c r="D23" s="102"/>
      <c r="E23" s="102">
        <f t="shared" ref="E23:S23" si="45">(E22-D22)/D22</f>
        <v>5.4381032494106765E-2</v>
      </c>
      <c r="F23" s="102">
        <f t="shared" si="45"/>
        <v>5.1894781611097313E-2</v>
      </c>
      <c r="G23" s="103">
        <f t="shared" si="45"/>
        <v>0.12559993136832784</v>
      </c>
      <c r="H23" s="102">
        <f t="shared" si="45"/>
        <v>1.910712055164011E-2</v>
      </c>
      <c r="I23" s="102">
        <f t="shared" si="45"/>
        <v>3.5240283473421931E-2</v>
      </c>
      <c r="J23" s="102">
        <f t="shared" si="45"/>
        <v>-3.5221970118583884E-2</v>
      </c>
      <c r="K23" s="103">
        <f t="shared" si="45"/>
        <v>-1.6091852016196222E-2</v>
      </c>
      <c r="L23" s="102">
        <f t="shared" si="45"/>
        <v>-5.7341838943608607E-2</v>
      </c>
      <c r="M23" s="102">
        <f t="shared" si="45"/>
        <v>0.13074597678465735</v>
      </c>
      <c r="N23" s="276">
        <f t="shared" si="45"/>
        <v>6.7233992816266228E-2</v>
      </c>
      <c r="O23" s="320">
        <f t="shared" si="45"/>
        <v>2.00924166922902E-3</v>
      </c>
      <c r="P23" s="276">
        <f t="shared" si="45"/>
        <v>-3.4122988357946138E-2</v>
      </c>
      <c r="Q23" s="276">
        <f t="shared" si="45"/>
        <v>5.2252476210762608E-2</v>
      </c>
      <c r="R23" s="276">
        <f t="shared" si="45"/>
        <v>-0.1077765324607436</v>
      </c>
      <c r="S23" s="320">
        <f t="shared" si="45"/>
        <v>-0.24597065361801262</v>
      </c>
      <c r="T23" s="276">
        <f t="shared" ref="T23:AA23" si="46">(T22-S22)/S22</f>
        <v>-4.7540087186783292E-2</v>
      </c>
      <c r="U23" s="276">
        <f t="shared" si="46"/>
        <v>0.2604584140990906</v>
      </c>
      <c r="V23" s="276">
        <f t="shared" si="46"/>
        <v>0.15981368237137022</v>
      </c>
      <c r="W23" s="320">
        <f t="shared" si="46"/>
        <v>3.0526990410032775E-2</v>
      </c>
      <c r="X23" s="276">
        <f t="shared" si="46"/>
        <v>0.12422403689841599</v>
      </c>
      <c r="Y23" s="276">
        <f t="shared" si="46"/>
        <v>4.1916006570971727E-2</v>
      </c>
      <c r="Z23" s="276">
        <f t="shared" si="46"/>
        <v>-8.4684329945486705E-2</v>
      </c>
      <c r="AA23" s="320">
        <f t="shared" si="46"/>
        <v>-3.2666537374307199E-2</v>
      </c>
      <c r="AB23" s="102">
        <f t="shared" ref="AB23:AV23" si="47">AB22/AA22-1</f>
        <v>4.6969305199267675E-2</v>
      </c>
      <c r="AC23" s="276">
        <f t="shared" si="47"/>
        <v>3.0971108626467236E-2</v>
      </c>
      <c r="AD23" s="276">
        <f t="shared" si="47"/>
        <v>-0.13699559535238071</v>
      </c>
      <c r="AE23" s="320">
        <f t="shared" si="47"/>
        <v>9.3685860247979091E-2</v>
      </c>
      <c r="AF23" s="102">
        <f t="shared" si="47"/>
        <v>0.11210428172141906</v>
      </c>
      <c r="AG23" s="276">
        <f t="shared" si="47"/>
        <v>-0.12499796236684602</v>
      </c>
      <c r="AH23" s="276">
        <f t="shared" si="47"/>
        <v>-6.28128832043654E-2</v>
      </c>
      <c r="AI23" s="276">
        <f t="shared" si="47"/>
        <v>0.18313608635579293</v>
      </c>
      <c r="AJ23" s="169">
        <f t="shared" si="47"/>
        <v>2.3922564922001621E-2</v>
      </c>
      <c r="AK23" s="276">
        <f t="shared" si="47"/>
        <v>3.451390868029458E-2</v>
      </c>
      <c r="AL23" s="276">
        <f t="shared" si="47"/>
        <v>-2.0237520807697584E-2</v>
      </c>
      <c r="AM23" s="320">
        <f t="shared" si="47"/>
        <v>-1.2963071047824348E-2</v>
      </c>
      <c r="AN23" s="169">
        <f t="shared" si="47"/>
        <v>5.7706171508668413E-2</v>
      </c>
      <c r="AO23" s="276">
        <f t="shared" si="47"/>
        <v>-7.5309973507793559E-2</v>
      </c>
      <c r="AP23" s="276">
        <f t="shared" si="47"/>
        <v>-8.3213793575192985E-2</v>
      </c>
      <c r="AQ23" s="320">
        <f t="shared" si="47"/>
        <v>0.15976704775607642</v>
      </c>
      <c r="AR23" s="169">
        <f t="shared" si="47"/>
        <v>-8.8528114720928031E-2</v>
      </c>
      <c r="AS23" s="276">
        <f t="shared" si="47"/>
        <v>-3.9044968379331579E-2</v>
      </c>
      <c r="AT23" s="276">
        <f t="shared" si="47"/>
        <v>-6.0875814106889581E-2</v>
      </c>
      <c r="AU23" s="320">
        <f t="shared" si="47"/>
        <v>8.0569778575023676E-2</v>
      </c>
      <c r="AV23" s="169">
        <f t="shared" si="47"/>
        <v>6.8555998781225647E-3</v>
      </c>
      <c r="AW23" s="276">
        <f t="shared" ref="AW23:BC23" si="48">AW22/AV22-1</f>
        <v>7.4510172220183524E-2</v>
      </c>
      <c r="AX23" s="276">
        <f t="shared" si="48"/>
        <v>-0.17841141971205554</v>
      </c>
      <c r="AY23" s="320">
        <f t="shared" si="48"/>
        <v>0.12061869643380629</v>
      </c>
      <c r="AZ23" s="169">
        <f t="shared" si="48"/>
        <v>8.1966141010987759E-2</v>
      </c>
      <c r="BA23" s="276">
        <f t="shared" si="48"/>
        <v>7.3698098614663365E-2</v>
      </c>
      <c r="BB23" s="276">
        <f t="shared" si="48"/>
        <v>1.8869965117198628E-2</v>
      </c>
      <c r="BC23" s="320">
        <f t="shared" si="48"/>
        <v>6.6016258101721625E-2</v>
      </c>
      <c r="BD23" s="106">
        <v>0.05</v>
      </c>
      <c r="BE23" s="1027">
        <v>2.5000000000000001E-2</v>
      </c>
      <c r="BF23" s="1027">
        <v>-0.01</v>
      </c>
      <c r="BG23" s="105">
        <v>0.05</v>
      </c>
      <c r="BH23" s="1027">
        <v>4.4999999999999998E-2</v>
      </c>
      <c r="BI23" s="1027">
        <v>0.03</v>
      </c>
      <c r="BJ23" s="1027">
        <v>-0.01</v>
      </c>
      <c r="BK23">
        <v>0.01</v>
      </c>
      <c r="BL23" s="20"/>
      <c r="BM23" s="22"/>
      <c r="BN23" s="14"/>
      <c r="BO23" s="14"/>
      <c r="BP23" s="14"/>
      <c r="BQ23" s="276"/>
      <c r="BR23" s="276"/>
      <c r="BS23" s="276"/>
      <c r="BT23" s="276"/>
      <c r="BU23" s="276"/>
      <c r="BV23" s="276"/>
      <c r="BW23" s="276"/>
      <c r="BX23" s="276"/>
      <c r="BY23" s="276"/>
      <c r="BZ23" s="276"/>
      <c r="CA23" s="276"/>
      <c r="CB23" s="930"/>
      <c r="CC23" s="751"/>
    </row>
    <row r="24" spans="1:81" ht="14.25" customHeight="1">
      <c r="A24" s="1"/>
      <c r="B24" s="275" t="s">
        <v>373</v>
      </c>
      <c r="C24" s="319"/>
      <c r="D24" s="102"/>
      <c r="E24" s="102"/>
      <c r="F24" s="102"/>
      <c r="G24" s="103"/>
      <c r="H24" s="102"/>
      <c r="I24" s="102"/>
      <c r="J24" s="102"/>
      <c r="K24" s="103"/>
      <c r="L24" s="102"/>
      <c r="M24" s="102"/>
      <c r="N24" s="276"/>
      <c r="O24" s="320"/>
      <c r="P24" s="276"/>
      <c r="Q24" s="276"/>
      <c r="R24" s="276"/>
      <c r="S24" s="320"/>
      <c r="T24" s="276"/>
      <c r="U24" s="276"/>
      <c r="V24" s="276"/>
      <c r="W24" s="320"/>
      <c r="X24" s="276"/>
      <c r="Y24" s="276"/>
      <c r="Z24" s="276"/>
      <c r="AA24" s="320"/>
      <c r="AB24" s="102"/>
      <c r="AC24" s="276"/>
      <c r="AD24" s="276"/>
      <c r="AE24" s="320"/>
      <c r="AF24" s="276">
        <f t="shared" ref="AF24:AV24" si="49">+AVERAGE(AB23,X23,T23,P23,L23)</f>
        <v>6.4376855218691255E-3</v>
      </c>
      <c r="AG24" s="276">
        <f t="shared" si="49"/>
        <v>0.10326879645838991</v>
      </c>
      <c r="AH24" s="276">
        <f t="shared" si="49"/>
        <v>-2.0481756514194906E-2</v>
      </c>
      <c r="AI24" s="276">
        <f t="shared" si="49"/>
        <v>-3.0483019733015787E-2</v>
      </c>
      <c r="AJ24" s="598">
        <f t="shared" si="49"/>
        <v>4.0326909654874663E-2</v>
      </c>
      <c r="AK24" s="276">
        <f t="shared" si="49"/>
        <v>5.2120008628089229E-2</v>
      </c>
      <c r="AL24" s="276">
        <f t="shared" si="49"/>
        <v>-4.6491131718321234E-2</v>
      </c>
      <c r="AM24" s="320">
        <f t="shared" si="49"/>
        <v>5.7423492042969924E-3</v>
      </c>
      <c r="AN24" s="598">
        <f t="shared" si="49"/>
        <v>5.1936020310864216E-2</v>
      </c>
      <c r="AO24" s="276">
        <f t="shared" si="49"/>
        <v>4.8572295121995623E-2</v>
      </c>
      <c r="AP24" s="276">
        <f t="shared" si="49"/>
        <v>-2.8983329387712031E-2</v>
      </c>
      <c r="AQ24" s="320">
        <f t="shared" si="49"/>
        <v>5.2343865718334645E-2</v>
      </c>
      <c r="AR24" s="598">
        <f t="shared" si="49"/>
        <v>7.2985272049954558E-2</v>
      </c>
      <c r="AS24" s="276">
        <f t="shared" si="49"/>
        <v>-1.8581382399381209E-2</v>
      </c>
      <c r="AT24" s="276">
        <f t="shared" si="49"/>
        <v>-7.7588824577024679E-2</v>
      </c>
      <c r="AU24" s="320">
        <f t="shared" si="49"/>
        <v>7.8191877187543377E-2</v>
      </c>
      <c r="AV24" s="598">
        <f t="shared" si="49"/>
        <v>3.0434841726085748E-2</v>
      </c>
      <c r="AW24" s="276">
        <f t="shared" ref="AW24:BG24" si="50">+AVERAGE(AS23,AO23,AK23,AG23,AC23)</f>
        <v>-3.4773577389441868E-2</v>
      </c>
      <c r="AX24" s="276">
        <f t="shared" si="50"/>
        <v>-7.2827121409305251E-2</v>
      </c>
      <c r="AY24" s="320">
        <f t="shared" si="50"/>
        <v>0.10083914037740956</v>
      </c>
      <c r="AZ24" s="598">
        <f t="shared" si="50"/>
        <v>2.2412100661856726E-2</v>
      </c>
      <c r="BA24" s="276">
        <f t="shared" si="50"/>
        <v>-2.6065764670698609E-2</v>
      </c>
      <c r="BB24" s="276">
        <f t="shared" si="50"/>
        <v>-8.1110286281240215E-2</v>
      </c>
      <c r="BC24" s="320">
        <f t="shared" si="50"/>
        <v>0.10622570761457499</v>
      </c>
      <c r="BD24" s="598">
        <f t="shared" si="50"/>
        <v>1.6384472519770467E-2</v>
      </c>
      <c r="BE24" s="276">
        <f t="shared" si="50"/>
        <v>1.3673447525603266E-2</v>
      </c>
      <c r="BF24" s="276">
        <f t="shared" si="50"/>
        <v>-6.4773716616927407E-2</v>
      </c>
      <c r="BG24" s="320">
        <f t="shared" si="50"/>
        <v>8.2801741963760736E-2</v>
      </c>
      <c r="BH24" s="276">
        <f>+AVERAGE(BD23,AZ23,AV23,AR23,AN23)</f>
        <v>2.1599959535370139E-2</v>
      </c>
      <c r="BI24" s="276">
        <f>+AVERAGE(BE23,BA23,AW23,AS23,AO23)</f>
        <v>1.177066578954435E-2</v>
      </c>
      <c r="BJ24" s="276">
        <f>+AVERAGE(BF23,BB23,AX23,AT23,AP23)</f>
        <v>-6.2726212455387897E-2</v>
      </c>
      <c r="BK24" s="320">
        <f>+AVERAGE(BG23,BC23,AY23,AU23,AQ23)</f>
        <v>9.5394356173325603E-2</v>
      </c>
      <c r="BL24" s="20"/>
      <c r="BM24" s="22"/>
      <c r="BN24" s="14"/>
      <c r="BO24" s="14"/>
      <c r="BP24" s="14"/>
      <c r="BQ24" s="276"/>
      <c r="BR24" s="276"/>
      <c r="BS24" s="276"/>
      <c r="BT24" s="276"/>
      <c r="BU24" s="276"/>
      <c r="BV24" s="276"/>
      <c r="BW24" s="276"/>
      <c r="BX24" s="276"/>
      <c r="BY24" s="276"/>
      <c r="BZ24" s="276"/>
      <c r="CA24" s="276"/>
      <c r="CB24" s="930"/>
      <c r="CC24" s="751"/>
    </row>
    <row r="25" spans="1:81" ht="14.25" customHeight="1">
      <c r="A25" s="1"/>
      <c r="B25" s="36" t="s">
        <v>182</v>
      </c>
      <c r="C25" s="321"/>
      <c r="D25" s="102"/>
      <c r="E25" s="102"/>
      <c r="F25" s="102"/>
      <c r="G25" s="103"/>
      <c r="H25" s="102">
        <f t="shared" ref="H25:S25" si="51">H22/D22-1</f>
        <v>0.27225386613514746</v>
      </c>
      <c r="I25" s="102">
        <f t="shared" si="51"/>
        <v>0.24915795375451122</v>
      </c>
      <c r="J25" s="102">
        <f t="shared" si="51"/>
        <v>0.14570408628526277</v>
      </c>
      <c r="K25" s="103">
        <f t="shared" si="51"/>
        <v>1.4815693032728117E-3</v>
      </c>
      <c r="L25" s="102">
        <f t="shared" si="51"/>
        <v>-7.3645198416160906E-2</v>
      </c>
      <c r="M25" s="102">
        <f t="shared" si="51"/>
        <v>1.1815306734021203E-2</v>
      </c>
      <c r="N25" s="276">
        <f t="shared" si="51"/>
        <v>0.11926645959287829</v>
      </c>
      <c r="O25" s="320">
        <f t="shared" si="51"/>
        <v>0.13985775877620243</v>
      </c>
      <c r="P25" s="276">
        <f t="shared" si="51"/>
        <v>0.1679338823205776</v>
      </c>
      <c r="Q25" s="276">
        <f t="shared" si="51"/>
        <v>8.6858892230508689E-2</v>
      </c>
      <c r="R25" s="276">
        <f t="shared" si="51"/>
        <v>-9.136982510008429E-2</v>
      </c>
      <c r="S25" s="320">
        <f t="shared" si="51"/>
        <v>-0.31624002215649993</v>
      </c>
      <c r="T25" s="276">
        <f t="shared" ref="T25:AA25" si="52">T22/P22-1</f>
        <v>-0.32573820369240092</v>
      </c>
      <c r="U25" s="276">
        <f t="shared" si="52"/>
        <v>-0.19232411072867595</v>
      </c>
      <c r="V25" s="276">
        <f t="shared" si="52"/>
        <v>4.9909110642317511E-2</v>
      </c>
      <c r="W25" s="320">
        <f t="shared" si="52"/>
        <v>0.43490393468875221</v>
      </c>
      <c r="X25" s="276">
        <f t="shared" si="52"/>
        <v>0.69367074909488546</v>
      </c>
      <c r="Y25" s="276">
        <f t="shared" si="52"/>
        <v>0.40001656826123644</v>
      </c>
      <c r="Z25" s="276">
        <f t="shared" si="52"/>
        <v>0.10488186399505994</v>
      </c>
      <c r="AA25" s="320">
        <f t="shared" si="52"/>
        <v>3.7128779000163981E-2</v>
      </c>
      <c r="AB25" s="102">
        <f t="shared" ref="AB25:AV25" si="53">AB22/X22-1</f>
        <v>-3.4140917189726894E-2</v>
      </c>
      <c r="AC25" s="276">
        <f t="shared" si="53"/>
        <v>-4.4286868517341094E-2</v>
      </c>
      <c r="AD25" s="276">
        <f t="shared" si="53"/>
        <v>-9.8906891870449098E-2</v>
      </c>
      <c r="AE25" s="320">
        <f t="shared" si="53"/>
        <v>1.8793238531369605E-2</v>
      </c>
      <c r="AF25" s="102">
        <f t="shared" si="53"/>
        <v>8.2175300778206228E-2</v>
      </c>
      <c r="AG25" s="276">
        <f t="shared" si="53"/>
        <v>-8.1540127231366832E-2</v>
      </c>
      <c r="AH25" s="276">
        <f t="shared" si="53"/>
        <v>-2.5905367145969693E-3</v>
      </c>
      <c r="AI25" s="276">
        <f t="shared" si="53"/>
        <v>7.8985448909577816E-2</v>
      </c>
      <c r="AJ25" s="169">
        <f t="shared" si="53"/>
        <v>-6.5701872391829008E-3</v>
      </c>
      <c r="AK25" s="276">
        <f t="shared" si="53"/>
        <v>0.17453093181206758</v>
      </c>
      <c r="AL25" s="276">
        <f t="shared" si="53"/>
        <v>0.22788855823673715</v>
      </c>
      <c r="AM25" s="320">
        <f t="shared" si="53"/>
        <v>2.4371892290536934E-2</v>
      </c>
      <c r="AN25" s="169">
        <f t="shared" si="53"/>
        <v>5.8170324118454797E-2</v>
      </c>
      <c r="AO25" s="276">
        <f t="shared" si="53"/>
        <v>-5.4164920517516979E-2</v>
      </c>
      <c r="AP25" s="276">
        <f t="shared" si="53"/>
        <v>-0.11496043904733344</v>
      </c>
      <c r="AQ25" s="320">
        <f t="shared" si="53"/>
        <v>3.9920279216971277E-2</v>
      </c>
      <c r="AR25" s="169">
        <f t="shared" si="53"/>
        <v>-0.10385499964905576</v>
      </c>
      <c r="AS25" s="276">
        <f t="shared" si="53"/>
        <v>-6.8709489150953207E-2</v>
      </c>
      <c r="AT25" s="276">
        <f t="shared" si="53"/>
        <v>-4.6018104655218051E-2</v>
      </c>
      <c r="AU25" s="320">
        <f t="shared" si="53"/>
        <v>-0.11116287756944365</v>
      </c>
      <c r="AV25" s="169">
        <f t="shared" si="53"/>
        <v>-1.8147845750881797E-2</v>
      </c>
      <c r="AW25" s="276">
        <f t="shared" ref="AW25:BG25" si="54">AW22/AS22-1</f>
        <v>9.7876687921269578E-2</v>
      </c>
      <c r="AX25" s="276">
        <f t="shared" si="54"/>
        <v>-3.9527505616673508E-2</v>
      </c>
      <c r="AY25" s="320">
        <f t="shared" si="54"/>
        <v>-3.9297267449529549E-3</v>
      </c>
      <c r="AZ25" s="169">
        <f t="shared" si="54"/>
        <v>7.0376238519185952E-2</v>
      </c>
      <c r="BA25" s="276">
        <f t="shared" si="54"/>
        <v>6.9567289182316028E-2</v>
      </c>
      <c r="BB25" s="276">
        <f t="shared" si="54"/>
        <v>0.32639378487679971</v>
      </c>
      <c r="BC25" s="320">
        <f t="shared" si="54"/>
        <v>0.26176490167747857</v>
      </c>
      <c r="BD25" s="598">
        <f t="shared" si="54"/>
        <v>0.22448669745192906</v>
      </c>
      <c r="BE25" s="276">
        <f t="shared" si="54"/>
        <v>0.16894950871908576</v>
      </c>
      <c r="BF25" s="276">
        <f t="shared" si="54"/>
        <v>0.13582699780415797</v>
      </c>
      <c r="BG25" s="320">
        <f t="shared" si="54"/>
        <v>0.11876187499999991</v>
      </c>
      <c r="BH25" s="276">
        <f>BH22/BD22-1</f>
        <v>0.11343443749999982</v>
      </c>
      <c r="BI25" s="276">
        <f>BI22/BE22-1</f>
        <v>0.11886582499999987</v>
      </c>
      <c r="BJ25" s="276">
        <f>BJ22/BF22-1</f>
        <v>0.11886582499999987</v>
      </c>
      <c r="BK25" s="320">
        <f>BK22/BG22-1</f>
        <v>7.6242364999999923E-2</v>
      </c>
      <c r="BL25" s="20"/>
      <c r="BM25" s="408"/>
      <c r="BN25" s="338"/>
      <c r="BO25" s="338"/>
      <c r="BP25" s="338"/>
      <c r="BQ25" s="276">
        <f t="shared" ref="BQ25:CA25" si="55">BQ22/BP22-1</f>
        <v>-4.68717735010592E-2</v>
      </c>
      <c r="BR25" s="276">
        <f t="shared" si="55"/>
        <v>0.26910868028040791</v>
      </c>
      <c r="BS25" s="276">
        <f t="shared" si="55"/>
        <v>-4.0139729493966825E-2</v>
      </c>
      <c r="BT25" s="276">
        <f t="shared" si="55"/>
        <v>1.8661679043823209E-2</v>
      </c>
      <c r="BU25" s="276">
        <f t="shared" si="55"/>
        <v>9.7310551863978301E-2</v>
      </c>
      <c r="BV25" s="276">
        <f t="shared" si="55"/>
        <v>-1.8388795913294009E-2</v>
      </c>
      <c r="BW25" s="276">
        <f t="shared" si="55"/>
        <v>-8.4059443712397042E-2</v>
      </c>
      <c r="BX25" s="276">
        <f t="shared" si="55"/>
        <v>9.4835307320360052E-3</v>
      </c>
      <c r="BY25" s="276">
        <f t="shared" si="55"/>
        <v>0.17539893480676216</v>
      </c>
      <c r="BZ25" s="276">
        <f t="shared" si="55"/>
        <v>0.15989859203284618</v>
      </c>
      <c r="CA25" s="276">
        <f t="shared" si="55"/>
        <v>0.10648014662286598</v>
      </c>
      <c r="CB25" s="929">
        <v>0.08</v>
      </c>
      <c r="CC25" s="751"/>
    </row>
    <row r="26" spans="1:81" ht="14.25" customHeight="1">
      <c r="A26" s="1"/>
      <c r="B26" s="275" t="s">
        <v>183</v>
      </c>
      <c r="C26" s="319"/>
      <c r="D26" s="104">
        <v>0.14000000000000001</v>
      </c>
      <c r="E26" s="104">
        <v>0.15</v>
      </c>
      <c r="F26" s="104">
        <v>0.14000000000000001</v>
      </c>
      <c r="G26" s="105">
        <v>0.15</v>
      </c>
      <c r="H26" s="104">
        <v>0.15</v>
      </c>
      <c r="I26" s="104">
        <v>0.16</v>
      </c>
      <c r="J26" s="104">
        <v>0.16</v>
      </c>
      <c r="K26" s="105">
        <v>0.16</v>
      </c>
      <c r="L26" s="104">
        <v>0.15</v>
      </c>
      <c r="M26" s="104">
        <v>0.17</v>
      </c>
      <c r="N26" s="104">
        <v>0.17</v>
      </c>
      <c r="O26" s="105">
        <v>0.17</v>
      </c>
      <c r="P26" s="104">
        <v>0.16</v>
      </c>
      <c r="Q26" s="104">
        <v>0.17</v>
      </c>
      <c r="R26" s="323">
        <v>0.16</v>
      </c>
      <c r="S26" s="324">
        <v>0.14000000000000001</v>
      </c>
      <c r="T26" s="323">
        <v>0.14000000000000001</v>
      </c>
      <c r="U26" s="323">
        <v>0.16</v>
      </c>
      <c r="V26" s="323">
        <v>0.15</v>
      </c>
      <c r="W26" s="324">
        <v>0.15</v>
      </c>
      <c r="X26" s="323">
        <v>0.15</v>
      </c>
      <c r="Y26" s="323">
        <v>0.15</v>
      </c>
      <c r="Z26" s="323">
        <v>0.15</v>
      </c>
      <c r="AA26" s="324">
        <v>0.14000000000000001</v>
      </c>
      <c r="AB26" s="104">
        <v>0.14000000000000001</v>
      </c>
      <c r="AC26" s="323">
        <v>0.16</v>
      </c>
      <c r="AD26" s="323">
        <v>0.15</v>
      </c>
      <c r="AE26" s="324">
        <v>0.15</v>
      </c>
      <c r="AF26" s="104">
        <v>0.16</v>
      </c>
      <c r="AG26" s="323">
        <v>0.15</v>
      </c>
      <c r="AH26" s="323">
        <v>0.15</v>
      </c>
      <c r="AI26" s="323">
        <v>0.17</v>
      </c>
      <c r="AJ26" s="106">
        <v>0.16</v>
      </c>
      <c r="AK26" s="323">
        <v>0.16</v>
      </c>
      <c r="AL26" s="323">
        <v>0.16</v>
      </c>
      <c r="AM26" s="324">
        <v>0.15</v>
      </c>
      <c r="AN26" s="106">
        <v>0.16</v>
      </c>
      <c r="AO26" s="323">
        <v>0.15</v>
      </c>
      <c r="AP26" s="323">
        <v>0.14000000000000001</v>
      </c>
      <c r="AQ26" s="324">
        <v>0.17</v>
      </c>
      <c r="AR26" s="106">
        <v>0.16</v>
      </c>
      <c r="AS26" s="323">
        <v>0.16</v>
      </c>
      <c r="AT26" s="323">
        <v>0.14000000000000001</v>
      </c>
      <c r="AU26" s="324">
        <v>0.15</v>
      </c>
      <c r="AV26" s="106">
        <v>0.15</v>
      </c>
      <c r="AW26" s="323">
        <v>0.16</v>
      </c>
      <c r="AX26" s="323">
        <v>0.13</v>
      </c>
      <c r="AY26" s="324">
        <v>0.14000000000000001</v>
      </c>
      <c r="AZ26" s="106">
        <v>0.15</v>
      </c>
      <c r="BA26" s="323">
        <v>0.16</v>
      </c>
      <c r="BB26" s="323">
        <v>0.16</v>
      </c>
      <c r="BC26" s="324">
        <v>0.16</v>
      </c>
      <c r="BD26" s="169">
        <f t="shared" ref="BD26:BK26" si="56">BD22/BD$34</f>
        <v>0.16734734535312284</v>
      </c>
      <c r="BE26" s="102">
        <f t="shared" si="56"/>
        <v>0.17056352822841248</v>
      </c>
      <c r="BF26" s="102">
        <f t="shared" si="56"/>
        <v>0.16919716561251172</v>
      </c>
      <c r="BG26" s="103">
        <f t="shared" si="56"/>
        <v>0.17338095004029289</v>
      </c>
      <c r="BH26" s="102">
        <f t="shared" si="56"/>
        <v>0.17532498044721903</v>
      </c>
      <c r="BI26" s="102">
        <f t="shared" si="56"/>
        <v>0.17903190148430068</v>
      </c>
      <c r="BJ26" s="102">
        <f t="shared" si="56"/>
        <v>0.1787163196073942</v>
      </c>
      <c r="BK26" s="103">
        <f t="shared" si="56"/>
        <v>0.17741737365539648</v>
      </c>
      <c r="BL26" s="20"/>
      <c r="BM26" s="408"/>
      <c r="BN26" s="338"/>
      <c r="BO26" s="338"/>
      <c r="BP26" s="338">
        <f t="shared" ref="BP26:CB26" si="57">BP22/BP$34</f>
        <v>0.1583207665638095</v>
      </c>
      <c r="BQ26" s="276">
        <f t="shared" si="57"/>
        <v>0.15021114731281435</v>
      </c>
      <c r="BR26" s="276">
        <f t="shared" si="57"/>
        <v>0.14751903082789428</v>
      </c>
      <c r="BS26" s="276">
        <f t="shared" si="57"/>
        <v>0.14973109728232156</v>
      </c>
      <c r="BT26" s="276">
        <f t="shared" si="57"/>
        <v>0.15759513282905691</v>
      </c>
      <c r="BU26" s="276">
        <f t="shared" si="57"/>
        <v>0.15740686270189139</v>
      </c>
      <c r="BV26" s="276">
        <f t="shared" si="57"/>
        <v>0.15484946225703977</v>
      </c>
      <c r="BW26" s="276">
        <f t="shared" si="57"/>
        <v>0.15230520520298971</v>
      </c>
      <c r="BX26" s="276">
        <f t="shared" si="57"/>
        <v>0.14488526941723812</v>
      </c>
      <c r="BY26" s="276">
        <f t="shared" si="57"/>
        <v>0.15757603375181761</v>
      </c>
      <c r="BZ26" s="276">
        <f t="shared" si="57"/>
        <v>0.17014495735764751</v>
      </c>
      <c r="CA26" s="276">
        <f t="shared" si="57"/>
        <v>0.17762486947924541</v>
      </c>
      <c r="CB26" s="930">
        <f t="shared" si="57"/>
        <v>0.18177734639500398</v>
      </c>
      <c r="CC26" s="751"/>
    </row>
    <row r="27" spans="1:81" ht="14.25" customHeight="1">
      <c r="A27" s="1"/>
      <c r="B27" s="275"/>
      <c r="C27" s="319"/>
      <c r="D27" s="106"/>
      <c r="E27" s="104"/>
      <c r="F27" s="104"/>
      <c r="G27" s="105"/>
      <c r="H27" s="106"/>
      <c r="I27" s="104"/>
      <c r="J27" s="104"/>
      <c r="K27" s="105"/>
      <c r="L27" s="106"/>
      <c r="M27" s="104"/>
      <c r="N27" s="323"/>
      <c r="O27" s="324"/>
      <c r="P27" s="322"/>
      <c r="Q27" s="323"/>
      <c r="R27" s="323"/>
      <c r="S27" s="324"/>
      <c r="T27" s="322"/>
      <c r="U27" s="323"/>
      <c r="V27" s="323"/>
      <c r="W27" s="324"/>
      <c r="X27" s="323"/>
      <c r="Y27" s="323"/>
      <c r="Z27" s="323"/>
      <c r="AA27" s="324"/>
      <c r="AB27" s="104"/>
      <c r="AC27" s="323"/>
      <c r="AD27" s="323"/>
      <c r="AE27" s="324"/>
      <c r="AF27" s="104"/>
      <c r="AG27" s="323"/>
      <c r="AH27" s="323"/>
      <c r="AI27" s="323"/>
      <c r="AJ27" s="106"/>
      <c r="AK27" s="323"/>
      <c r="AL27" s="14"/>
      <c r="AM27" s="324"/>
      <c r="AN27" s="106"/>
      <c r="AO27" s="14"/>
      <c r="AP27" s="14"/>
      <c r="AQ27" s="269"/>
      <c r="AR27" s="106"/>
      <c r="AS27" s="14"/>
      <c r="AT27" s="14"/>
      <c r="AU27" s="269"/>
      <c r="AV27" s="106"/>
      <c r="AW27" s="14"/>
      <c r="AX27" s="14"/>
      <c r="AY27" s="269"/>
      <c r="AZ27" s="106"/>
      <c r="BA27" s="14"/>
      <c r="BB27" s="14"/>
      <c r="BC27" s="269"/>
      <c r="BD27" s="22"/>
      <c r="BE27" s="14"/>
      <c r="BF27" s="14"/>
      <c r="BG27" s="269"/>
      <c r="BH27" s="14"/>
      <c r="BI27" s="14"/>
      <c r="BJ27" s="14"/>
      <c r="BK27" s="269"/>
      <c r="BL27" s="20"/>
      <c r="BM27" s="22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931"/>
      <c r="CC27" s="751"/>
    </row>
    <row r="28" spans="1:81" ht="14.25" customHeight="1">
      <c r="A28" s="1"/>
      <c r="B28" s="293" t="s">
        <v>286</v>
      </c>
      <c r="C28" s="312"/>
      <c r="D28" s="344">
        <f t="shared" ref="D28:AB28" si="58">D32*D$34</f>
        <v>52.699270000000006</v>
      </c>
      <c r="E28" s="333">
        <f t="shared" si="58"/>
        <v>51.860769999999995</v>
      </c>
      <c r="F28" s="333">
        <f t="shared" si="58"/>
        <v>49.45655</v>
      </c>
      <c r="G28" s="334">
        <f t="shared" si="58"/>
        <v>47.233699999999999</v>
      </c>
      <c r="H28" s="344">
        <f t="shared" si="58"/>
        <v>48.136200000000002</v>
      </c>
      <c r="I28" s="333">
        <f t="shared" si="58"/>
        <v>46.718000000000004</v>
      </c>
      <c r="J28" s="333">
        <f t="shared" si="58"/>
        <v>40.565249999999999</v>
      </c>
      <c r="K28" s="334">
        <f t="shared" si="58"/>
        <v>44.347200000000001</v>
      </c>
      <c r="L28" s="344">
        <f t="shared" si="58"/>
        <v>35.672959999999996</v>
      </c>
      <c r="M28" s="333">
        <f t="shared" si="58"/>
        <v>35.591520000000003</v>
      </c>
      <c r="N28" s="337">
        <f t="shared" si="58"/>
        <v>42.73254</v>
      </c>
      <c r="O28" s="340">
        <f t="shared" si="58"/>
        <v>38.0608</v>
      </c>
      <c r="P28" s="342">
        <f t="shared" si="58"/>
        <v>43.942139999999995</v>
      </c>
      <c r="Q28" s="337">
        <f t="shared" si="58"/>
        <v>38.682960000000001</v>
      </c>
      <c r="R28" s="337">
        <f t="shared" si="58"/>
        <v>32.087090000000003</v>
      </c>
      <c r="S28" s="340">
        <f t="shared" si="58"/>
        <v>27.650980000000004</v>
      </c>
      <c r="T28" s="342">
        <f t="shared" si="58"/>
        <v>22.574100000000001</v>
      </c>
      <c r="U28" s="337">
        <f t="shared" si="58"/>
        <v>29.046500000000002</v>
      </c>
      <c r="V28" s="337">
        <f t="shared" si="58"/>
        <v>35.934430000000006</v>
      </c>
      <c r="W28" s="340">
        <f t="shared" si="58"/>
        <v>42.321599999999997</v>
      </c>
      <c r="X28" s="333">
        <f t="shared" si="58"/>
        <v>35.684219999999996</v>
      </c>
      <c r="Y28" s="333">
        <f t="shared" si="58"/>
        <v>37.179960000000001</v>
      </c>
      <c r="Z28" s="333">
        <f t="shared" si="58"/>
        <v>34.031400000000005</v>
      </c>
      <c r="AA28" s="334">
        <f t="shared" si="58"/>
        <v>41.149640000000005</v>
      </c>
      <c r="AB28" s="333">
        <f t="shared" si="58"/>
        <v>43.082410000000003</v>
      </c>
      <c r="AC28" s="333">
        <f t="shared" ref="AC28:AI28" si="59">AC32*AC34</f>
        <v>38.864629999999998</v>
      </c>
      <c r="AD28" s="333">
        <f t="shared" si="59"/>
        <v>40.887280000000004</v>
      </c>
      <c r="AE28" s="334">
        <f t="shared" si="59"/>
        <v>38.010164000000003</v>
      </c>
      <c r="AF28" s="333">
        <f t="shared" si="59"/>
        <v>29.139200000000002</v>
      </c>
      <c r="AG28" s="333">
        <f t="shared" si="59"/>
        <v>21.75732</v>
      </c>
      <c r="AH28" s="333">
        <f t="shared" si="59"/>
        <v>10.19534</v>
      </c>
      <c r="AI28" s="333">
        <f t="shared" si="59"/>
        <v>10.643359999999999</v>
      </c>
      <c r="AJ28" s="344">
        <f t="shared" ref="AJ28:AO28" si="60">AJ32*AJ34</f>
        <v>17.368649999999999</v>
      </c>
      <c r="AK28" s="333">
        <f t="shared" si="60"/>
        <v>17.968109999999999</v>
      </c>
      <c r="AL28" s="333">
        <f t="shared" si="60"/>
        <v>17.604479999999999</v>
      </c>
      <c r="AM28" s="334">
        <f t="shared" si="60"/>
        <v>12.35646</v>
      </c>
      <c r="AN28" s="344">
        <f t="shared" si="60"/>
        <v>18.378990000000002</v>
      </c>
      <c r="AO28" s="333">
        <f t="shared" si="60"/>
        <v>18.127859999999998</v>
      </c>
      <c r="AP28" s="333">
        <f t="shared" ref="AP28:AU28" si="61">AP32*AP34</f>
        <v>11.870979999999999</v>
      </c>
      <c r="AQ28" s="334">
        <f t="shared" si="61"/>
        <v>11.337999999999999</v>
      </c>
      <c r="AR28" s="344">
        <f t="shared" si="61"/>
        <v>10.980160000000001</v>
      </c>
      <c r="AS28" s="333">
        <f t="shared" si="61"/>
        <v>10.551439999999999</v>
      </c>
      <c r="AT28" s="333">
        <f t="shared" si="61"/>
        <v>11.3247</v>
      </c>
      <c r="AU28" s="334">
        <f t="shared" si="61"/>
        <v>11.421320000000001</v>
      </c>
      <c r="AV28" s="344">
        <f t="shared" ref="AV28:BA28" si="62">AV32*AV34</f>
        <v>11.49962</v>
      </c>
      <c r="AW28" s="333">
        <f t="shared" si="62"/>
        <v>11.58418</v>
      </c>
      <c r="AX28" s="333">
        <f t="shared" si="62"/>
        <v>11.713760000000001</v>
      </c>
      <c r="AY28" s="334">
        <f t="shared" si="62"/>
        <v>12.18904</v>
      </c>
      <c r="AZ28" s="344">
        <f t="shared" si="62"/>
        <v>12.308920000000001</v>
      </c>
      <c r="BA28" s="333">
        <f t="shared" si="62"/>
        <v>12.390060000000002</v>
      </c>
      <c r="BB28" s="333">
        <f>BB32*BB34</f>
        <v>12.623860000000001</v>
      </c>
      <c r="BC28" s="334">
        <f>BC32*BC34</f>
        <v>13.457239999999999</v>
      </c>
      <c r="BD28" s="80">
        <f t="shared" ref="BD28:BK28" si="63">BC28*(1+BD29)</f>
        <v>13.457239999999999</v>
      </c>
      <c r="BE28" s="81">
        <f t="shared" si="63"/>
        <v>13.726384799999998</v>
      </c>
      <c r="BF28" s="81">
        <f t="shared" si="63"/>
        <v>14.000912495999998</v>
      </c>
      <c r="BG28" s="82">
        <f t="shared" si="63"/>
        <v>14.000912495999998</v>
      </c>
      <c r="BH28" s="81">
        <f t="shared" si="63"/>
        <v>14.000912495999998</v>
      </c>
      <c r="BI28" s="81">
        <f t="shared" si="63"/>
        <v>14.312043884799996</v>
      </c>
      <c r="BJ28" s="81">
        <f t="shared" si="63"/>
        <v>14.312043884799996</v>
      </c>
      <c r="BK28" s="82">
        <f t="shared" si="63"/>
        <v>14.630089304462217</v>
      </c>
      <c r="BL28" s="20"/>
      <c r="BM28" s="342"/>
      <c r="BN28" s="337"/>
      <c r="BO28" s="337"/>
      <c r="BP28" s="337">
        <f>SUM(P28:S28)</f>
        <v>142.36317000000003</v>
      </c>
      <c r="BQ28" s="337">
        <f>SUM(T28:W28)</f>
        <v>129.87663000000001</v>
      </c>
      <c r="BR28" s="337">
        <f>SUM(X28:AA28)</f>
        <v>148.04522000000003</v>
      </c>
      <c r="BS28" s="318">
        <f>SUM(AB28:AE28)</f>
        <v>160.84448400000002</v>
      </c>
      <c r="BT28" s="318">
        <f>SUM(AF28:AI28)</f>
        <v>71.735219999999998</v>
      </c>
      <c r="BU28" s="318">
        <f>SUM(AJ28:AM28)</f>
        <v>65.297699999999992</v>
      </c>
      <c r="BV28" s="318">
        <f>SUM(AN28:AQ28)</f>
        <v>59.715830000000004</v>
      </c>
      <c r="BW28" s="318">
        <f>SUM(AR28:AU28)</f>
        <v>44.277620000000006</v>
      </c>
      <c r="BX28" s="318">
        <f>SUM(AV28:AY28)</f>
        <v>46.986600000000003</v>
      </c>
      <c r="BY28" s="318">
        <f>SUM(AZ28:BC28)</f>
        <v>50.780079999999998</v>
      </c>
      <c r="BZ28" s="318">
        <f>SUM(BD28:BG28)</f>
        <v>55.185449791999993</v>
      </c>
      <c r="CA28" s="318">
        <f>SUM(BH28:BK28)</f>
        <v>57.255089570062211</v>
      </c>
      <c r="CB28" s="932">
        <f>CA28*(1+CB31)</f>
        <v>60.117844048565324</v>
      </c>
      <c r="CC28" s="935"/>
    </row>
    <row r="29" spans="1:81" ht="14.25" customHeight="1">
      <c r="A29" s="1"/>
      <c r="B29" s="275" t="s">
        <v>181</v>
      </c>
      <c r="C29" s="319"/>
      <c r="D29" s="102"/>
      <c r="E29" s="102">
        <f t="shared" ref="E29:S29" si="64">(E28-D28)/D28</f>
        <v>-1.5911036338833732E-2</v>
      </c>
      <c r="F29" s="102">
        <f t="shared" si="64"/>
        <v>-4.6359126561367973E-2</v>
      </c>
      <c r="G29" s="103">
        <f t="shared" si="64"/>
        <v>-4.4945512778388326E-2</v>
      </c>
      <c r="H29" s="102">
        <f t="shared" si="64"/>
        <v>1.910712055164011E-2</v>
      </c>
      <c r="I29" s="102">
        <f t="shared" si="64"/>
        <v>-2.9462234243666903E-2</v>
      </c>
      <c r="J29" s="102">
        <f t="shared" si="64"/>
        <v>-0.13169977310672554</v>
      </c>
      <c r="K29" s="103">
        <f t="shared" si="64"/>
        <v>9.3231275537559902E-2</v>
      </c>
      <c r="L29" s="102">
        <f t="shared" si="64"/>
        <v>-0.19559836923187945</v>
      </c>
      <c r="M29" s="102">
        <f t="shared" si="64"/>
        <v>-2.282961660596528E-3</v>
      </c>
      <c r="N29" s="276">
        <f t="shared" si="64"/>
        <v>0.20063824191829954</v>
      </c>
      <c r="O29" s="320">
        <f t="shared" si="64"/>
        <v>-0.10932511851624079</v>
      </c>
      <c r="P29" s="276">
        <f t="shared" si="64"/>
        <v>0.15452486547839231</v>
      </c>
      <c r="Q29" s="276">
        <f t="shared" si="64"/>
        <v>-0.11968420290864291</v>
      </c>
      <c r="R29" s="276">
        <f t="shared" si="64"/>
        <v>-0.17051099502209752</v>
      </c>
      <c r="S29" s="320">
        <f t="shared" si="64"/>
        <v>-0.13825217556344307</v>
      </c>
      <c r="T29" s="276">
        <f t="shared" ref="T29:AA29" si="65">(T28-S28)/S28</f>
        <v>-0.18360578901724287</v>
      </c>
      <c r="U29" s="276">
        <f t="shared" si="65"/>
        <v>0.28671796439282188</v>
      </c>
      <c r="V29" s="276">
        <f t="shared" si="65"/>
        <v>0.23713459452946151</v>
      </c>
      <c r="W29" s="320">
        <f t="shared" si="65"/>
        <v>0.17774513189718022</v>
      </c>
      <c r="X29" s="276">
        <f t="shared" si="65"/>
        <v>-0.15683197232618806</v>
      </c>
      <c r="Y29" s="276">
        <f t="shared" si="65"/>
        <v>4.1916006570971852E-2</v>
      </c>
      <c r="Z29" s="276">
        <f t="shared" si="65"/>
        <v>-8.4684329945486664E-2</v>
      </c>
      <c r="AA29" s="320">
        <f t="shared" si="65"/>
        <v>0.20916682828211591</v>
      </c>
      <c r="AB29" s="102">
        <f t="shared" ref="AB29:AV29" si="66">AB28/AA28-1</f>
        <v>4.6969305199267675E-2</v>
      </c>
      <c r="AC29" s="276">
        <f t="shared" si="66"/>
        <v>-9.7900279951841251E-2</v>
      </c>
      <c r="AD29" s="276">
        <f t="shared" si="66"/>
        <v>5.2043464713288357E-2</v>
      </c>
      <c r="AE29" s="320">
        <f t="shared" si="66"/>
        <v>-7.0367018789217584E-2</v>
      </c>
      <c r="AF29" s="102">
        <f t="shared" si="66"/>
        <v>-0.23338399697512491</v>
      </c>
      <c r="AG29" s="276">
        <f t="shared" si="66"/>
        <v>-0.25333159455304199</v>
      </c>
      <c r="AH29" s="276">
        <f t="shared" si="66"/>
        <v>-0.53140644160218264</v>
      </c>
      <c r="AI29" s="276">
        <f t="shared" si="66"/>
        <v>4.3943605608052216E-2</v>
      </c>
      <c r="AJ29" s="169">
        <f t="shared" si="66"/>
        <v>0.63187658784444012</v>
      </c>
      <c r="AK29" s="276">
        <f t="shared" si="66"/>
        <v>3.4513908680294803E-2</v>
      </c>
      <c r="AL29" s="276">
        <f t="shared" si="66"/>
        <v>-2.0237520807697695E-2</v>
      </c>
      <c r="AM29" s="320">
        <f t="shared" si="66"/>
        <v>-0.29810707274511938</v>
      </c>
      <c r="AN29" s="169">
        <f t="shared" si="66"/>
        <v>0.48739930368406492</v>
      </c>
      <c r="AO29" s="276">
        <f t="shared" si="66"/>
        <v>-1.3663971741646463E-2</v>
      </c>
      <c r="AP29" s="276">
        <f t="shared" si="66"/>
        <v>-0.34515270969656642</v>
      </c>
      <c r="AQ29" s="320">
        <f t="shared" si="66"/>
        <v>-4.4897725377348818E-2</v>
      </c>
      <c r="AR29" s="169">
        <f t="shared" si="66"/>
        <v>-3.156112189098581E-2</v>
      </c>
      <c r="AS29" s="276">
        <f t="shared" si="66"/>
        <v>-3.9044968379331579E-2</v>
      </c>
      <c r="AT29" s="276">
        <f t="shared" si="66"/>
        <v>7.328478387784032E-2</v>
      </c>
      <c r="AU29" s="320">
        <f t="shared" si="66"/>
        <v>8.5317933366888532E-3</v>
      </c>
      <c r="AV29" s="169">
        <f t="shared" si="66"/>
        <v>6.8555998781225647E-3</v>
      </c>
      <c r="AW29" s="276">
        <f t="shared" ref="AW29:BC29" si="67">AW28/AV28-1</f>
        <v>7.3532864564220812E-3</v>
      </c>
      <c r="AX29" s="276">
        <f t="shared" si="67"/>
        <v>1.1185944969777761E-2</v>
      </c>
      <c r="AY29" s="320">
        <f t="shared" si="67"/>
        <v>4.0574503831391384E-2</v>
      </c>
      <c r="AZ29" s="169">
        <f t="shared" si="67"/>
        <v>9.8350649435887672E-3</v>
      </c>
      <c r="BA29" s="276">
        <f t="shared" si="67"/>
        <v>6.5919674512469051E-3</v>
      </c>
      <c r="BB29" s="276">
        <f t="shared" si="67"/>
        <v>1.8869965117198628E-2</v>
      </c>
      <c r="BC29" s="320">
        <f t="shared" si="67"/>
        <v>6.6016258101721625E-2</v>
      </c>
      <c r="BD29" s="106">
        <v>0</v>
      </c>
      <c r="BE29" s="104">
        <v>0.02</v>
      </c>
      <c r="BF29" s="104">
        <v>0.02</v>
      </c>
      <c r="BG29" s="105">
        <v>0</v>
      </c>
      <c r="BH29" s="104">
        <v>0</v>
      </c>
      <c r="BI29" s="104">
        <v>2.222222222222206E-2</v>
      </c>
      <c r="BJ29" s="104">
        <v>0</v>
      </c>
      <c r="BK29" s="105">
        <v>2.222222222222206E-2</v>
      </c>
      <c r="BL29" s="20"/>
      <c r="BM29" s="22"/>
      <c r="BN29" s="14"/>
      <c r="BO29" s="14"/>
      <c r="BP29" s="14"/>
      <c r="BQ29" s="276"/>
      <c r="BR29" s="276"/>
      <c r="BS29" s="276"/>
      <c r="BT29" s="276"/>
      <c r="BU29" s="276"/>
      <c r="BV29" s="276"/>
      <c r="BW29" s="276"/>
      <c r="BX29" s="276"/>
      <c r="BY29" s="276"/>
      <c r="BZ29" s="276"/>
      <c r="CA29" s="276"/>
      <c r="CB29" s="930"/>
      <c r="CC29" s="751"/>
    </row>
    <row r="30" spans="1:81" ht="14.25" customHeight="1">
      <c r="A30" s="1"/>
      <c r="B30" s="275" t="s">
        <v>373</v>
      </c>
      <c r="C30" s="319"/>
      <c r="D30" s="102"/>
      <c r="E30" s="102"/>
      <c r="F30" s="102"/>
      <c r="G30" s="103"/>
      <c r="H30" s="102"/>
      <c r="I30" s="102"/>
      <c r="J30" s="102"/>
      <c r="K30" s="103"/>
      <c r="L30" s="102"/>
      <c r="M30" s="102"/>
      <c r="N30" s="276"/>
      <c r="O30" s="320"/>
      <c r="P30" s="276"/>
      <c r="Q30" s="276"/>
      <c r="R30" s="276"/>
      <c r="S30" s="320"/>
      <c r="T30" s="276"/>
      <c r="U30" s="276"/>
      <c r="V30" s="276"/>
      <c r="W30" s="320"/>
      <c r="X30" s="276"/>
      <c r="Y30" s="276"/>
      <c r="Z30" s="276"/>
      <c r="AA30" s="320"/>
      <c r="AB30" s="102"/>
      <c r="AC30" s="276"/>
      <c r="AD30" s="276"/>
      <c r="AE30" s="320"/>
      <c r="AF30" s="276">
        <f t="shared" ref="AF30:AV30" si="68">+AVERAGE(AB29,X29,T29,P29,L29)</f>
        <v>-6.6908391979530094E-2</v>
      </c>
      <c r="AG30" s="276">
        <f t="shared" si="68"/>
        <v>2.1753305288542611E-2</v>
      </c>
      <c r="AH30" s="276">
        <f t="shared" si="68"/>
        <v>4.6924195238693046E-2</v>
      </c>
      <c r="AI30" s="276">
        <f t="shared" si="68"/>
        <v>1.3793529462078938E-2</v>
      </c>
      <c r="AJ30" s="598">
        <f t="shared" si="68"/>
        <v>-7.4465517528179176E-2</v>
      </c>
      <c r="AK30" s="276">
        <f t="shared" si="68"/>
        <v>-2.8456421289946486E-2</v>
      </c>
      <c r="AL30" s="276">
        <f t="shared" si="68"/>
        <v>-9.9484741465403398E-2</v>
      </c>
      <c r="AM30" s="320">
        <f t="shared" si="68"/>
        <v>4.4447274286937538E-2</v>
      </c>
      <c r="AN30" s="598">
        <f t="shared" si="68"/>
        <v>2.1004826945030391E-2</v>
      </c>
      <c r="AO30" s="276">
        <f t="shared" si="68"/>
        <v>2.383201027841053E-3</v>
      </c>
      <c r="AP30" s="276">
        <f t="shared" si="68"/>
        <v>-6.9430046622523431E-2</v>
      </c>
      <c r="AQ30" s="320">
        <f t="shared" si="68"/>
        <v>1.2476294850602277E-2</v>
      </c>
      <c r="AR30" s="598">
        <f t="shared" si="68"/>
        <v>0.15520584548529195</v>
      </c>
      <c r="AS30" s="276">
        <f t="shared" si="68"/>
        <v>-5.7693186199052615E-2</v>
      </c>
      <c r="AT30" s="276">
        <f t="shared" si="68"/>
        <v>-0.18588750746772903</v>
      </c>
      <c r="AU30" s="320">
        <f t="shared" si="68"/>
        <v>-3.2052276604303528E-2</v>
      </c>
      <c r="AV30" s="598">
        <f t="shared" si="68"/>
        <v>0.18026001557233237</v>
      </c>
      <c r="AW30" s="276">
        <f t="shared" ref="AW30:BG30" si="69">+AVERAGE(AS29,AO29,AK29,AG29,AC29)</f>
        <v>-7.3885381189113294E-2</v>
      </c>
      <c r="AX30" s="276">
        <f t="shared" si="69"/>
        <v>-0.15429368470306362</v>
      </c>
      <c r="AY30" s="320">
        <f t="shared" si="69"/>
        <v>-7.2179283593388946E-2</v>
      </c>
      <c r="AZ30" s="598">
        <f t="shared" si="69"/>
        <v>0.17223727450810336</v>
      </c>
      <c r="BA30" s="276">
        <f t="shared" si="69"/>
        <v>-5.2834667907460629E-2</v>
      </c>
      <c r="BB30" s="276">
        <f t="shared" si="69"/>
        <v>-0.16246518865176574</v>
      </c>
      <c r="BC30" s="320">
        <f t="shared" si="69"/>
        <v>-4.9990979069267152E-2</v>
      </c>
      <c r="BD30" s="598">
        <f t="shared" si="69"/>
        <v>0.22088108689184613</v>
      </c>
      <c r="BE30" s="276">
        <f t="shared" si="69"/>
        <v>-8.4995550660285082E-4</v>
      </c>
      <c r="BF30" s="276">
        <f t="shared" si="69"/>
        <v>-5.2409907307889483E-2</v>
      </c>
      <c r="BG30" s="320">
        <f t="shared" si="69"/>
        <v>-4.5576448570533265E-2</v>
      </c>
      <c r="BH30" s="276">
        <f>+AVERAGE(BD29,AZ29,AV29,AR29,AN29)</f>
        <v>9.4505769322958094E-2</v>
      </c>
      <c r="BI30" s="276">
        <f>+AVERAGE(BE29,BA29,AW29,AS29,AO29)</f>
        <v>-3.7527372426618107E-3</v>
      </c>
      <c r="BJ30" s="276">
        <f>+AVERAGE(BF29,BB29,AX29,AT29,AP29)</f>
        <v>-4.4362403146349941E-2</v>
      </c>
      <c r="BK30" s="320">
        <f>+AVERAGE(BG29,BC29,AY29,AU29,AQ29)</f>
        <v>1.4044965978490609E-2</v>
      </c>
      <c r="BL30" s="20"/>
      <c r="BM30" s="22"/>
      <c r="BN30" s="14"/>
      <c r="BO30" s="14"/>
      <c r="BP30" s="14"/>
      <c r="BQ30" s="276"/>
      <c r="BR30" s="276"/>
      <c r="BS30" s="276"/>
      <c r="BT30" s="276"/>
      <c r="BU30" s="276"/>
      <c r="BV30" s="276"/>
      <c r="BW30" s="276"/>
      <c r="BX30" s="276"/>
      <c r="BY30" s="276"/>
      <c r="BZ30" s="276"/>
      <c r="CA30" s="276"/>
      <c r="CB30" s="930"/>
      <c r="CC30" s="751"/>
    </row>
    <row r="31" spans="1:81" ht="14.25" customHeight="1">
      <c r="A31" s="1"/>
      <c r="B31" s="36" t="s">
        <v>182</v>
      </c>
      <c r="C31" s="321"/>
      <c r="D31" s="102"/>
      <c r="E31" s="102"/>
      <c r="F31" s="102"/>
      <c r="G31" s="103"/>
      <c r="H31" s="102">
        <f t="shared" ref="H31:S31" si="70">H28/D28-1</f>
        <v>-8.6586967902971046E-2</v>
      </c>
      <c r="I31" s="102">
        <f t="shared" si="70"/>
        <v>-9.9164937196265956E-2</v>
      </c>
      <c r="J31" s="102">
        <f t="shared" si="70"/>
        <v>-0.17978002913668667</v>
      </c>
      <c r="K31" s="103">
        <f t="shared" si="70"/>
        <v>-6.1111028778181642E-2</v>
      </c>
      <c r="L31" s="102">
        <f t="shared" si="70"/>
        <v>-0.25891615873292873</v>
      </c>
      <c r="M31" s="102">
        <f t="shared" si="70"/>
        <v>-0.238162592576737</v>
      </c>
      <c r="N31" s="276">
        <f t="shared" si="70"/>
        <v>5.3427256087414721E-2</v>
      </c>
      <c r="O31" s="320">
        <f t="shared" si="70"/>
        <v>-0.14175415809791825</v>
      </c>
      <c r="P31" s="276">
        <f t="shared" si="70"/>
        <v>0.23180526650998412</v>
      </c>
      <c r="Q31" s="276">
        <f t="shared" si="70"/>
        <v>8.6858892230508689E-2</v>
      </c>
      <c r="R31" s="276">
        <f t="shared" si="70"/>
        <v>-0.24911811935354178</v>
      </c>
      <c r="S31" s="320">
        <f t="shared" si="70"/>
        <v>-0.27350502354128126</v>
      </c>
      <c r="T31" s="276">
        <f t="shared" ref="T31:AA31" si="71">T28/P28-1</f>
        <v>-0.48627672662278154</v>
      </c>
      <c r="U31" s="276">
        <f t="shared" si="71"/>
        <v>-0.24911382169306584</v>
      </c>
      <c r="V31" s="276">
        <f t="shared" si="71"/>
        <v>0.11990305135180535</v>
      </c>
      <c r="W31" s="320">
        <f t="shared" si="71"/>
        <v>0.5305641970013355</v>
      </c>
      <c r="X31" s="276">
        <f t="shared" si="71"/>
        <v>0.58075936582189303</v>
      </c>
      <c r="Y31" s="276">
        <f t="shared" si="71"/>
        <v>0.28001514812455897</v>
      </c>
      <c r="Z31" s="276">
        <f t="shared" si="71"/>
        <v>-5.2958402289948636E-2</v>
      </c>
      <c r="AA31" s="320">
        <f t="shared" si="71"/>
        <v>-2.7691769687346213E-2</v>
      </c>
      <c r="AB31" s="102">
        <f t="shared" ref="AB31:AV31" si="72">AB28/X28-1</f>
        <v>0.20732385351284144</v>
      </c>
      <c r="AC31" s="276">
        <f t="shared" si="72"/>
        <v>4.5311237559158224E-2</v>
      </c>
      <c r="AD31" s="276">
        <f t="shared" si="72"/>
        <v>0.20145747750606779</v>
      </c>
      <c r="AE31" s="320">
        <f t="shared" si="72"/>
        <v>-7.6294130398224635E-2</v>
      </c>
      <c r="AF31" s="102">
        <f t="shared" si="72"/>
        <v>-0.32364043701362111</v>
      </c>
      <c r="AG31" s="276">
        <f t="shared" si="72"/>
        <v>-0.44017683945530939</v>
      </c>
      <c r="AH31" s="276">
        <f t="shared" si="72"/>
        <v>-0.75064763417864921</v>
      </c>
      <c r="AI31" s="276">
        <f t="shared" si="72"/>
        <v>-0.71998647519647641</v>
      </c>
      <c r="AJ31" s="169">
        <f t="shared" si="72"/>
        <v>-0.40394211234350985</v>
      </c>
      <c r="AK31" s="276">
        <f t="shared" si="72"/>
        <v>-0.17415793856964001</v>
      </c>
      <c r="AL31" s="276">
        <f t="shared" si="72"/>
        <v>0.72671828502041125</v>
      </c>
      <c r="AM31" s="320">
        <f t="shared" si="72"/>
        <v>0.16095481126260891</v>
      </c>
      <c r="AN31" s="169">
        <f t="shared" si="72"/>
        <v>5.8170324118455019E-2</v>
      </c>
      <c r="AO31" s="276">
        <f t="shared" si="72"/>
        <v>8.8907514479819039E-3</v>
      </c>
      <c r="AP31" s="276">
        <f t="shared" si="72"/>
        <v>-0.32568414403606349</v>
      </c>
      <c r="AQ31" s="320">
        <f t="shared" si="72"/>
        <v>-8.242328304384916E-2</v>
      </c>
      <c r="AR31" s="169">
        <f t="shared" si="72"/>
        <v>-0.40256999976603713</v>
      </c>
      <c r="AS31" s="276">
        <f t="shared" si="72"/>
        <v>-0.41794343071934581</v>
      </c>
      <c r="AT31" s="276">
        <f t="shared" si="72"/>
        <v>-4.601810465521794E-2</v>
      </c>
      <c r="AU31" s="320">
        <f t="shared" si="72"/>
        <v>7.3487387546307126E-3</v>
      </c>
      <c r="AV31" s="169">
        <f t="shared" si="72"/>
        <v>4.730896453239275E-2</v>
      </c>
      <c r="AW31" s="276">
        <f t="shared" ref="AW31:BG31" si="73">AW28/AS28-1</f>
        <v>9.7876687921269578E-2</v>
      </c>
      <c r="AX31" s="276">
        <f t="shared" si="73"/>
        <v>3.4354993951274615E-2</v>
      </c>
      <c r="AY31" s="320">
        <f t="shared" si="73"/>
        <v>6.7218149916121739E-2</v>
      </c>
      <c r="AZ31" s="169">
        <f t="shared" si="73"/>
        <v>7.0376238519185952E-2</v>
      </c>
      <c r="BA31" s="276">
        <f t="shared" si="73"/>
        <v>6.9567289182316028E-2</v>
      </c>
      <c r="BB31" s="276">
        <f t="shared" si="73"/>
        <v>7.7694950212399805E-2</v>
      </c>
      <c r="BC31" s="320">
        <f t="shared" si="73"/>
        <v>0.10404428896779394</v>
      </c>
      <c r="BD31" s="598">
        <f t="shared" si="73"/>
        <v>9.329169415350802E-2</v>
      </c>
      <c r="BE31" s="276">
        <f t="shared" si="73"/>
        <v>0.10785458666059689</v>
      </c>
      <c r="BF31" s="276">
        <f t="shared" si="73"/>
        <v>0.10908331492903112</v>
      </c>
      <c r="BG31" s="320">
        <f t="shared" si="73"/>
        <v>4.0399999999999991E-2</v>
      </c>
      <c r="BH31" s="276">
        <f>BH28/BD28-1</f>
        <v>4.0399999999999991E-2</v>
      </c>
      <c r="BI31" s="276">
        <f>BI28/BE28-1</f>
        <v>4.2666666666666409E-2</v>
      </c>
      <c r="BJ31" s="276">
        <f>BJ28/BF28-1</f>
        <v>2.2222222222222143E-2</v>
      </c>
      <c r="BK31" s="320">
        <f>BK28/BG28-1</f>
        <v>4.4938271604938018E-2</v>
      </c>
      <c r="BL31" s="20"/>
      <c r="BM31" s="408"/>
      <c r="BN31" s="338"/>
      <c r="BO31" s="338"/>
      <c r="BP31" s="338"/>
      <c r="BQ31" s="276">
        <f t="shared" ref="BQ31:CA31" si="74">BQ28/BP28-1</f>
        <v>-8.7709061269147237E-2</v>
      </c>
      <c r="BR31" s="276">
        <f t="shared" si="74"/>
        <v>0.13989114130848646</v>
      </c>
      <c r="BS31" s="276">
        <f t="shared" si="74"/>
        <v>8.6455097976145368E-2</v>
      </c>
      <c r="BT31" s="276">
        <f t="shared" si="74"/>
        <v>-0.55400882755792868</v>
      </c>
      <c r="BU31" s="276">
        <f t="shared" si="74"/>
        <v>-8.9740018919576836E-2</v>
      </c>
      <c r="BV31" s="276">
        <f t="shared" si="74"/>
        <v>-8.5483409063412452E-2</v>
      </c>
      <c r="BW31" s="276">
        <f t="shared" si="74"/>
        <v>-0.25852793137096142</v>
      </c>
      <c r="BX31" s="276">
        <f t="shared" si="74"/>
        <v>6.1181698564647169E-2</v>
      </c>
      <c r="BY31" s="276">
        <f t="shared" si="74"/>
        <v>8.0735358591598416E-2</v>
      </c>
      <c r="BZ31" s="276">
        <f t="shared" si="74"/>
        <v>8.6753896252231177E-2</v>
      </c>
      <c r="CA31" s="276">
        <f t="shared" si="74"/>
        <v>3.750335977803787E-2</v>
      </c>
      <c r="CB31" s="929">
        <v>0.05</v>
      </c>
      <c r="CC31" s="751"/>
    </row>
    <row r="32" spans="1:81" ht="14.25" customHeight="1">
      <c r="A32" s="1"/>
      <c r="B32" s="275" t="s">
        <v>183</v>
      </c>
      <c r="C32" s="319"/>
      <c r="D32" s="104">
        <v>0.13</v>
      </c>
      <c r="E32" s="104">
        <v>0.13</v>
      </c>
      <c r="F32" s="104">
        <v>0.11</v>
      </c>
      <c r="G32" s="105">
        <v>0.1</v>
      </c>
      <c r="H32" s="104">
        <v>0.1</v>
      </c>
      <c r="I32" s="104">
        <v>0.1</v>
      </c>
      <c r="J32" s="104">
        <v>0.09</v>
      </c>
      <c r="K32" s="105">
        <v>0.1</v>
      </c>
      <c r="L32" s="104">
        <v>0.08</v>
      </c>
      <c r="M32" s="104">
        <v>0.08</v>
      </c>
      <c r="N32" s="104">
        <v>0.09</v>
      </c>
      <c r="O32" s="105">
        <v>0.08</v>
      </c>
      <c r="P32" s="104">
        <v>0.09</v>
      </c>
      <c r="Q32" s="104">
        <v>0.08</v>
      </c>
      <c r="R32" s="323">
        <v>7.0000000000000007E-2</v>
      </c>
      <c r="S32" s="324">
        <v>7.0000000000000007E-2</v>
      </c>
      <c r="T32" s="323">
        <v>0.06</v>
      </c>
      <c r="U32" s="323">
        <v>7.0000000000000007E-2</v>
      </c>
      <c r="V32" s="323">
        <v>7.0000000000000007E-2</v>
      </c>
      <c r="W32" s="324">
        <v>0.08</v>
      </c>
      <c r="X32" s="323">
        <v>0.06</v>
      </c>
      <c r="Y32" s="323">
        <v>0.06</v>
      </c>
      <c r="Z32" s="323">
        <v>0.06</v>
      </c>
      <c r="AA32" s="324">
        <v>7.0000000000000007E-2</v>
      </c>
      <c r="AB32" s="104">
        <v>7.0000000000000007E-2</v>
      </c>
      <c r="AC32" s="323">
        <v>7.0000000000000007E-2</v>
      </c>
      <c r="AD32" s="323">
        <v>0.08</v>
      </c>
      <c r="AE32" s="324">
        <v>6.8000000000000005E-2</v>
      </c>
      <c r="AF32" s="104">
        <v>0.05</v>
      </c>
      <c r="AG32" s="323">
        <v>0.04</v>
      </c>
      <c r="AH32" s="323">
        <v>0.02</v>
      </c>
      <c r="AI32" s="323">
        <v>0.02</v>
      </c>
      <c r="AJ32" s="106">
        <v>0.03</v>
      </c>
      <c r="AK32" s="323">
        <v>0.03</v>
      </c>
      <c r="AL32" s="323">
        <v>0.03</v>
      </c>
      <c r="AM32" s="324">
        <v>0.02</v>
      </c>
      <c r="AN32" s="106">
        <v>0.03</v>
      </c>
      <c r="AO32" s="323">
        <v>0.03</v>
      </c>
      <c r="AP32" s="323">
        <v>0.02</v>
      </c>
      <c r="AQ32" s="324">
        <v>0.02</v>
      </c>
      <c r="AR32" s="106">
        <v>0.02</v>
      </c>
      <c r="AS32" s="323">
        <v>0.02</v>
      </c>
      <c r="AT32" s="323">
        <v>0.02</v>
      </c>
      <c r="AU32" s="324">
        <v>0.02</v>
      </c>
      <c r="AV32" s="106">
        <v>0.02</v>
      </c>
      <c r="AW32" s="323">
        <v>0.02</v>
      </c>
      <c r="AX32" s="323">
        <v>0.02</v>
      </c>
      <c r="AY32" s="324">
        <v>0.02</v>
      </c>
      <c r="AZ32" s="106">
        <v>0.02</v>
      </c>
      <c r="BA32" s="323">
        <v>0.02</v>
      </c>
      <c r="BB32" s="323">
        <v>0.02</v>
      </c>
      <c r="BC32" s="324">
        <v>0.02</v>
      </c>
      <c r="BD32" s="169">
        <f t="shared" ref="BD32:BK32" si="75">BD28/BD$34</f>
        <v>1.992230301822891E-2</v>
      </c>
      <c r="BE32" s="102">
        <f t="shared" si="75"/>
        <v>2.0206132263993114E-2</v>
      </c>
      <c r="BF32" s="102">
        <f t="shared" si="75"/>
        <v>2.0651665446950011E-2</v>
      </c>
      <c r="BG32" s="103">
        <f t="shared" si="75"/>
        <v>2.0154595054233584E-2</v>
      </c>
      <c r="BH32" s="102">
        <f t="shared" si="75"/>
        <v>1.9502945497567287E-2</v>
      </c>
      <c r="BI32" s="102">
        <f t="shared" si="75"/>
        <v>1.9764913838477755E-2</v>
      </c>
      <c r="BJ32" s="102">
        <f t="shared" si="75"/>
        <v>1.9929367642486991E-2</v>
      </c>
      <c r="BK32" s="103">
        <f t="shared" si="75"/>
        <v>2.0023933610345154E-2</v>
      </c>
      <c r="BL32" s="20"/>
      <c r="BM32" s="408"/>
      <c r="BN32" s="338"/>
      <c r="BO32" s="338"/>
      <c r="BP32" s="338">
        <f t="shared" ref="BP32:CB32" si="76">BP28/BP$34</f>
        <v>7.7999352394060015E-2</v>
      </c>
      <c r="BQ32" s="276">
        <f t="shared" si="76"/>
        <v>7.083327243157278E-2</v>
      </c>
      <c r="BR32" s="276">
        <f t="shared" si="76"/>
        <v>6.2480969172105709E-2</v>
      </c>
      <c r="BS32" s="276">
        <f t="shared" si="76"/>
        <v>7.1781987704040109E-2</v>
      </c>
      <c r="BT32" s="276">
        <f t="shared" si="76"/>
        <v>3.3078253219050349E-2</v>
      </c>
      <c r="BU32" s="276">
        <f t="shared" si="76"/>
        <v>2.7406862701891389E-2</v>
      </c>
      <c r="BV32" s="276">
        <f t="shared" si="76"/>
        <v>2.5118716517256234E-2</v>
      </c>
      <c r="BW32" s="276">
        <f t="shared" si="76"/>
        <v>2.0000000000000004E-2</v>
      </c>
      <c r="BX32" s="276">
        <f t="shared" si="76"/>
        <v>1.9999999999999997E-2</v>
      </c>
      <c r="BY32" s="276">
        <f t="shared" si="76"/>
        <v>1.9999999999999997E-2</v>
      </c>
      <c r="BZ32" s="276">
        <f t="shared" si="76"/>
        <v>2.02334573222227E-2</v>
      </c>
      <c r="CA32" s="276">
        <f t="shared" si="76"/>
        <v>1.9806177787227673E-2</v>
      </c>
      <c r="CB32" s="930">
        <f t="shared" si="76"/>
        <v>1.9706169052772397E-2</v>
      </c>
      <c r="CC32" s="751"/>
    </row>
    <row r="33" spans="1:81" ht="14.25" customHeight="1">
      <c r="A33" s="1"/>
      <c r="B33" s="275"/>
      <c r="C33" s="319"/>
      <c r="D33" s="106"/>
      <c r="E33" s="104"/>
      <c r="F33" s="104"/>
      <c r="G33" s="105"/>
      <c r="H33" s="106"/>
      <c r="I33" s="104"/>
      <c r="J33" s="104"/>
      <c r="K33" s="105"/>
      <c r="L33" s="106"/>
      <c r="M33" s="104"/>
      <c r="N33" s="323"/>
      <c r="O33" s="324"/>
      <c r="P33" s="322"/>
      <c r="Q33" s="323"/>
      <c r="R33" s="323"/>
      <c r="S33" s="324"/>
      <c r="T33" s="322"/>
      <c r="U33" s="323"/>
      <c r="V33" s="323"/>
      <c r="W33" s="324"/>
      <c r="X33" s="323"/>
      <c r="Y33" s="323"/>
      <c r="Z33" s="323"/>
      <c r="AA33" s="324"/>
      <c r="AB33" s="104"/>
      <c r="AC33" s="323"/>
      <c r="AD33" s="323"/>
      <c r="AE33" s="324"/>
      <c r="AF33" s="104"/>
      <c r="AG33" s="323"/>
      <c r="AH33" s="323"/>
      <c r="AI33" s="323"/>
      <c r="AJ33" s="106"/>
      <c r="AK33" s="323"/>
      <c r="AL33" s="14"/>
      <c r="AM33" s="324"/>
      <c r="AN33" s="106"/>
      <c r="AO33" s="14"/>
      <c r="AP33" s="14"/>
      <c r="AQ33" s="269"/>
      <c r="AR33" s="106"/>
      <c r="AS33" s="14"/>
      <c r="AT33" s="14"/>
      <c r="AU33" s="269"/>
      <c r="AV33" s="106"/>
      <c r="AW33" s="14"/>
      <c r="AX33" s="14"/>
      <c r="AY33" s="269"/>
      <c r="AZ33" s="106"/>
      <c r="BA33" s="14"/>
      <c r="BB33" s="14"/>
      <c r="BC33" s="269"/>
      <c r="BD33" s="22"/>
      <c r="BE33" s="14"/>
      <c r="BF33" s="14"/>
      <c r="BG33" s="269"/>
      <c r="BH33" s="14"/>
      <c r="BI33" s="14"/>
      <c r="BJ33" s="14"/>
      <c r="BK33" s="269"/>
      <c r="BL33" s="20"/>
      <c r="BM33" s="22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931"/>
      <c r="CC33" s="751"/>
    </row>
    <row r="34" spans="1:81" ht="14.25" customHeight="1">
      <c r="A34" s="1"/>
      <c r="B34" s="293" t="s">
        <v>184</v>
      </c>
      <c r="C34" s="312"/>
      <c r="D34" s="149">
        <f>IS!D10</f>
        <v>405.37900000000002</v>
      </c>
      <c r="E34" s="135">
        <f>IS!E10</f>
        <v>398.92899999999997</v>
      </c>
      <c r="F34" s="135">
        <f>IS!F10</f>
        <v>449.60500000000002</v>
      </c>
      <c r="G34" s="136">
        <f>IS!G10</f>
        <v>472.33699999999999</v>
      </c>
      <c r="H34" s="149">
        <f>IS!H10</f>
        <v>481.36200000000002</v>
      </c>
      <c r="I34" s="135">
        <f>IS!I10</f>
        <v>467.18</v>
      </c>
      <c r="J34" s="135">
        <f>IS!J10</f>
        <v>450.72500000000002</v>
      </c>
      <c r="K34" s="136">
        <f>IS!K10</f>
        <v>443.47199999999998</v>
      </c>
      <c r="L34" s="149">
        <f>IS!L10</f>
        <v>445.91199999999998</v>
      </c>
      <c r="M34" s="135">
        <f>IS!M10</f>
        <v>444.89400000000001</v>
      </c>
      <c r="N34" s="327">
        <f>IS!N10</f>
        <v>474.80599999999998</v>
      </c>
      <c r="O34" s="328">
        <f>IS!O10</f>
        <v>475.76</v>
      </c>
      <c r="P34" s="326">
        <f>IS!P10</f>
        <v>488.24599999999998</v>
      </c>
      <c r="Q34" s="327">
        <f>IS!Q10</f>
        <v>483.53699999999998</v>
      </c>
      <c r="R34" s="327">
        <f>IS!R10</f>
        <v>458.387</v>
      </c>
      <c r="S34" s="328">
        <f>IS!S10</f>
        <v>395.01400000000001</v>
      </c>
      <c r="T34" s="326">
        <f>IS!T10</f>
        <v>376.23500000000001</v>
      </c>
      <c r="U34" s="327">
        <f>IS!U10</f>
        <v>414.95</v>
      </c>
      <c r="V34" s="327">
        <f>IS!V10</f>
        <v>513.34900000000005</v>
      </c>
      <c r="W34" s="328">
        <f>IS!W10</f>
        <v>529.02</v>
      </c>
      <c r="X34" s="326">
        <f>IS!X10</f>
        <v>594.73699999999997</v>
      </c>
      <c r="Y34" s="327">
        <f>IS!Y10</f>
        <v>619.66600000000005</v>
      </c>
      <c r="Z34" s="327">
        <f>IS!Z10</f>
        <v>567.19000000000005</v>
      </c>
      <c r="AA34" s="328">
        <f>IS!AA10</f>
        <v>587.85199999999998</v>
      </c>
      <c r="AB34" s="326">
        <f>IS!AB10</f>
        <v>615.46299999999997</v>
      </c>
      <c r="AC34" s="327">
        <f>IS!AC10</f>
        <v>555.20899999999995</v>
      </c>
      <c r="AD34" s="327">
        <f>IS!AD10</f>
        <v>511.09100000000001</v>
      </c>
      <c r="AE34" s="328">
        <f>IS!AE10</f>
        <v>558.97299999999996</v>
      </c>
      <c r="AF34" s="326">
        <f>IS!AF10</f>
        <v>582.78399999999999</v>
      </c>
      <c r="AG34" s="327">
        <f>IS!AG10</f>
        <v>543.93299999999999</v>
      </c>
      <c r="AH34" s="327">
        <f>IS!AH10</f>
        <v>509.767</v>
      </c>
      <c r="AI34" s="327">
        <f>IS!AI10</f>
        <v>532.16800000000001</v>
      </c>
      <c r="AJ34" s="326">
        <f>IS!AJ10</f>
        <v>578.95500000000004</v>
      </c>
      <c r="AK34" s="327">
        <f>IS!AK10</f>
        <v>598.93700000000001</v>
      </c>
      <c r="AL34" s="327">
        <f>IS!AL10</f>
        <v>586.81600000000003</v>
      </c>
      <c r="AM34" s="328">
        <f>IS!AM10</f>
        <v>617.82299999999998</v>
      </c>
      <c r="AN34" s="326">
        <f>IS!AN10</f>
        <v>612.63300000000004</v>
      </c>
      <c r="AO34" s="327">
        <f>IS!AO10</f>
        <v>604.26199999999994</v>
      </c>
      <c r="AP34" s="327">
        <f>IS!AP10</f>
        <v>593.54899999999998</v>
      </c>
      <c r="AQ34" s="328">
        <f>IS!AQ10</f>
        <v>566.9</v>
      </c>
      <c r="AR34" s="326">
        <f>IS!AR10</f>
        <v>549.00800000000004</v>
      </c>
      <c r="AS34" s="327">
        <f>IS!AS10</f>
        <v>527.572</v>
      </c>
      <c r="AT34" s="327">
        <f>IS!AT10</f>
        <v>566.23500000000001</v>
      </c>
      <c r="AU34" s="328">
        <f>IS!AU10</f>
        <v>571.06600000000003</v>
      </c>
      <c r="AV34" s="326">
        <f>IS!AV10</f>
        <v>574.98099999999999</v>
      </c>
      <c r="AW34" s="327">
        <f>IS!AW10</f>
        <v>579.20899999999995</v>
      </c>
      <c r="AX34" s="327">
        <f>IS!AX10</f>
        <v>585.68799999999999</v>
      </c>
      <c r="AY34" s="328">
        <f>IS!AY10</f>
        <v>609.452</v>
      </c>
      <c r="AZ34" s="326">
        <f>IS!AZ10</f>
        <v>615.44600000000003</v>
      </c>
      <c r="BA34" s="327">
        <f>IS!BA10</f>
        <v>619.50300000000004</v>
      </c>
      <c r="BB34" s="327">
        <f>IS!BB10</f>
        <v>631.19299999999998</v>
      </c>
      <c r="BC34" s="328">
        <f>IS!BC10</f>
        <v>672.86199999999997</v>
      </c>
      <c r="BD34" s="326">
        <f t="shared" ref="BD34:BK34" si="77">BD10+BD16+BD22+BD28</f>
        <v>675.48616179999988</v>
      </c>
      <c r="BE34" s="327">
        <f t="shared" si="77"/>
        <v>679.31777445900002</v>
      </c>
      <c r="BF34" s="327">
        <f t="shared" si="77"/>
        <v>677.95561244033979</v>
      </c>
      <c r="BG34" s="328">
        <f t="shared" si="77"/>
        <v>694.67595148030671</v>
      </c>
      <c r="BH34" s="327">
        <f t="shared" si="77"/>
        <v>717.88707494190612</v>
      </c>
      <c r="BI34" s="327">
        <f t="shared" si="77"/>
        <v>724.11364915427703</v>
      </c>
      <c r="BJ34" s="327">
        <f t="shared" si="77"/>
        <v>718.13838459623059</v>
      </c>
      <c r="BK34" s="328">
        <f t="shared" si="77"/>
        <v>730.63013437598181</v>
      </c>
      <c r="BL34" s="329"/>
      <c r="BM34" s="410"/>
      <c r="BN34" s="339"/>
      <c r="BO34" s="339"/>
      <c r="BP34" s="327">
        <f>IS!BP10</f>
        <v>1825.1839999999997</v>
      </c>
      <c r="BQ34" s="327">
        <f>IS!BQ10</f>
        <v>1833.5540000000001</v>
      </c>
      <c r="BR34" s="327">
        <f>IS!BR10</f>
        <v>2369.4450000000002</v>
      </c>
      <c r="BS34" s="327">
        <f>IS!BS10</f>
        <v>2240.7359999999999</v>
      </c>
      <c r="BT34" s="327">
        <f t="shared" ref="BT34:CB34" si="78">BT10+BT16+BT22+BT28</f>
        <v>2168.6520000000005</v>
      </c>
      <c r="BU34" s="327">
        <f t="shared" si="78"/>
        <v>2382.5309999999999</v>
      </c>
      <c r="BV34" s="327">
        <f t="shared" si="78"/>
        <v>2377.3440000000001</v>
      </c>
      <c r="BW34" s="327">
        <f t="shared" si="78"/>
        <v>2213.8809999999999</v>
      </c>
      <c r="BX34" s="327">
        <f t="shared" si="78"/>
        <v>2349.3300000000004</v>
      </c>
      <c r="BY34" s="327">
        <f t="shared" si="78"/>
        <v>2539.0040000000004</v>
      </c>
      <c r="BZ34" s="327">
        <f t="shared" si="78"/>
        <v>2727.4355001796462</v>
      </c>
      <c r="CA34" s="327">
        <f t="shared" si="78"/>
        <v>2890.7692430683956</v>
      </c>
      <c r="CB34" s="933">
        <f t="shared" si="78"/>
        <v>3050.7118805066548</v>
      </c>
      <c r="CC34" s="935"/>
    </row>
    <row r="35" spans="1:81" ht="14.25" customHeight="1">
      <c r="A35" s="1"/>
      <c r="B35" s="275" t="s">
        <v>181</v>
      </c>
      <c r="C35" s="319"/>
      <c r="D35" s="276"/>
      <c r="E35" s="276">
        <f t="shared" ref="E35:AV35" si="79">E34/D34-1</f>
        <v>-1.5911036338833617E-2</v>
      </c>
      <c r="F35" s="276">
        <f t="shared" si="79"/>
        <v>0.12703012315474704</v>
      </c>
      <c r="G35" s="320">
        <f t="shared" si="79"/>
        <v>5.0559935943772727E-2</v>
      </c>
      <c r="H35" s="276">
        <f t="shared" si="79"/>
        <v>1.9107120551640211E-2</v>
      </c>
      <c r="I35" s="276">
        <f t="shared" si="79"/>
        <v>-2.9462234243667007E-2</v>
      </c>
      <c r="J35" s="276">
        <f t="shared" si="79"/>
        <v>-3.5221970118583856E-2</v>
      </c>
      <c r="K35" s="320">
        <f t="shared" si="79"/>
        <v>-1.6091852016196229E-2</v>
      </c>
      <c r="L35" s="276">
        <f t="shared" si="79"/>
        <v>5.5020384601507377E-3</v>
      </c>
      <c r="M35" s="276">
        <f t="shared" si="79"/>
        <v>-2.2829616605966052E-3</v>
      </c>
      <c r="N35" s="276">
        <f t="shared" si="79"/>
        <v>6.7233992816266186E-2</v>
      </c>
      <c r="O35" s="320">
        <f t="shared" si="79"/>
        <v>2.0092416692292225E-3</v>
      </c>
      <c r="P35" s="276">
        <f t="shared" si="79"/>
        <v>2.6244324869682201E-2</v>
      </c>
      <c r="Q35" s="276">
        <f t="shared" si="79"/>
        <v>-9.6447282722234018E-3</v>
      </c>
      <c r="R35" s="276">
        <f t="shared" si="79"/>
        <v>-5.2012565739540051E-2</v>
      </c>
      <c r="S35" s="320">
        <f t="shared" si="79"/>
        <v>-0.13825217556344305</v>
      </c>
      <c r="T35" s="276">
        <f t="shared" si="79"/>
        <v>-4.7540087186783264E-2</v>
      </c>
      <c r="U35" s="276">
        <f t="shared" si="79"/>
        <v>0.10290111233670429</v>
      </c>
      <c r="V35" s="276">
        <f t="shared" si="79"/>
        <v>0.23713459452946162</v>
      </c>
      <c r="W35" s="320">
        <f t="shared" si="79"/>
        <v>3.0526990410032706E-2</v>
      </c>
      <c r="X35" s="276">
        <f t="shared" si="79"/>
        <v>0.12422403689841599</v>
      </c>
      <c r="Y35" s="276">
        <f t="shared" si="79"/>
        <v>4.1916006570971831E-2</v>
      </c>
      <c r="Z35" s="276">
        <f t="shared" si="79"/>
        <v>-8.4684329945486803E-2</v>
      </c>
      <c r="AA35" s="320">
        <f t="shared" si="79"/>
        <v>3.6428709956099148E-2</v>
      </c>
      <c r="AB35" s="276">
        <f t="shared" si="79"/>
        <v>4.6969305199267897E-2</v>
      </c>
      <c r="AC35" s="276">
        <f t="shared" si="79"/>
        <v>-9.790027995184114E-2</v>
      </c>
      <c r="AD35" s="276">
        <f t="shared" si="79"/>
        <v>-7.9461968375872716E-2</v>
      </c>
      <c r="AE35" s="320">
        <f t="shared" si="79"/>
        <v>9.3685860247979313E-2</v>
      </c>
      <c r="AF35" s="276">
        <f t="shared" si="79"/>
        <v>4.2597764113830205E-2</v>
      </c>
      <c r="AG35" s="276">
        <f t="shared" si="79"/>
        <v>-6.666449319130241E-2</v>
      </c>
      <c r="AH35" s="276">
        <f t="shared" si="79"/>
        <v>-6.2812883204365288E-2</v>
      </c>
      <c r="AI35" s="276">
        <f t="shared" si="79"/>
        <v>4.3943605608052216E-2</v>
      </c>
      <c r="AJ35" s="598">
        <f t="shared" si="79"/>
        <v>8.791772522962682E-2</v>
      </c>
      <c r="AK35" s="276">
        <f t="shared" si="79"/>
        <v>3.451390868029458E-2</v>
      </c>
      <c r="AL35" s="276">
        <f t="shared" si="79"/>
        <v>-2.0237520807697584E-2</v>
      </c>
      <c r="AM35" s="320">
        <f t="shared" si="79"/>
        <v>5.2839390882320814E-2</v>
      </c>
      <c r="AN35" s="598">
        <f t="shared" si="79"/>
        <v>-8.4004642106233485E-3</v>
      </c>
      <c r="AO35" s="276">
        <f t="shared" si="79"/>
        <v>-1.3663971741646463E-2</v>
      </c>
      <c r="AP35" s="276">
        <f t="shared" si="79"/>
        <v>-1.7729064544849682E-2</v>
      </c>
      <c r="AQ35" s="320">
        <f t="shared" si="79"/>
        <v>-4.4897725377348818E-2</v>
      </c>
      <c r="AR35" s="598">
        <f t="shared" si="79"/>
        <v>-3.1561121890985921E-2</v>
      </c>
      <c r="AS35" s="276">
        <f t="shared" si="79"/>
        <v>-3.9044968379331468E-2</v>
      </c>
      <c r="AT35" s="276">
        <f t="shared" si="79"/>
        <v>7.328478387784032E-2</v>
      </c>
      <c r="AU35" s="320">
        <f t="shared" si="79"/>
        <v>8.5317933366888532E-3</v>
      </c>
      <c r="AV35" s="598">
        <f t="shared" si="79"/>
        <v>6.8555998781225647E-3</v>
      </c>
      <c r="AW35" s="276">
        <f t="shared" ref="AW35:BG35" si="80">AW34/AV34-1</f>
        <v>7.3532864564218592E-3</v>
      </c>
      <c r="AX35" s="276">
        <f t="shared" si="80"/>
        <v>1.1185944969777761E-2</v>
      </c>
      <c r="AY35" s="320">
        <f t="shared" si="80"/>
        <v>4.0574503831391384E-2</v>
      </c>
      <c r="AZ35" s="598">
        <f t="shared" si="80"/>
        <v>9.8350649435887672E-3</v>
      </c>
      <c r="BA35" s="276">
        <f t="shared" si="80"/>
        <v>6.591967451246683E-3</v>
      </c>
      <c r="BB35" s="276">
        <f t="shared" si="80"/>
        <v>1.8869965117198628E-2</v>
      </c>
      <c r="BC35" s="320">
        <f t="shared" si="80"/>
        <v>6.6016258101721625E-2</v>
      </c>
      <c r="BD35" s="598">
        <f t="shared" si="80"/>
        <v>3.8999999999997925E-3</v>
      </c>
      <c r="BE35" s="276">
        <f t="shared" si="80"/>
        <v>5.6723777268654629E-3</v>
      </c>
      <c r="BF35" s="276">
        <f t="shared" si="80"/>
        <v>-2.0051911930981658E-3</v>
      </c>
      <c r="BG35" s="320">
        <f t="shared" si="80"/>
        <v>2.4662881659436531E-2</v>
      </c>
      <c r="BH35" s="276">
        <f>BH34/BG34-1</f>
        <v>3.3412878928856138E-2</v>
      </c>
      <c r="BI35" s="276">
        <f>BI34/BH34-1</f>
        <v>8.673473070781812E-3</v>
      </c>
      <c r="BJ35" s="276">
        <f>BJ34/BI34-1</f>
        <v>-8.2518325196951903E-3</v>
      </c>
      <c r="BK35" s="320">
        <f>BK34/BJ34-1</f>
        <v>1.7394627620099579E-2</v>
      </c>
      <c r="BL35" s="20"/>
      <c r="BM35" s="22"/>
      <c r="BN35" s="14"/>
      <c r="BO35" s="14"/>
      <c r="BP35" s="14"/>
      <c r="BQ35" s="14"/>
      <c r="BR35" s="276"/>
      <c r="BS35" s="276"/>
      <c r="BT35" s="276">
        <f t="shared" ref="BT35:CB35" si="81">BT34/BS34-1</f>
        <v>-3.216978706996243E-2</v>
      </c>
      <c r="BU35" s="276">
        <f t="shared" si="81"/>
        <v>9.8623015587562923E-2</v>
      </c>
      <c r="BV35" s="276">
        <f t="shared" si="81"/>
        <v>-2.1770965414510401E-3</v>
      </c>
      <c r="BW35" s="276">
        <f t="shared" si="81"/>
        <v>-6.8758665132181207E-2</v>
      </c>
      <c r="BX35" s="276">
        <f t="shared" si="81"/>
        <v>6.1181698564647613E-2</v>
      </c>
      <c r="BY35" s="276">
        <f t="shared" si="81"/>
        <v>8.0735358591598416E-2</v>
      </c>
      <c r="BZ35" s="276">
        <f t="shared" si="81"/>
        <v>7.4214731516628385E-2</v>
      </c>
      <c r="CA35" s="276">
        <f t="shared" si="81"/>
        <v>5.9885464891100471E-2</v>
      </c>
      <c r="CB35" s="930">
        <f t="shared" si="81"/>
        <v>5.5328746084377434E-2</v>
      </c>
      <c r="CC35" s="751"/>
    </row>
    <row r="36" spans="1:81" ht="14.25" customHeight="1">
      <c r="A36" s="1"/>
      <c r="B36" s="275" t="s">
        <v>373</v>
      </c>
      <c r="C36" s="319"/>
      <c r="D36" s="169"/>
      <c r="E36" s="102"/>
      <c r="F36" s="102"/>
      <c r="G36" s="103"/>
      <c r="H36" s="276"/>
      <c r="I36" s="276"/>
      <c r="J36" s="276"/>
      <c r="K36" s="320"/>
      <c r="L36" s="276"/>
      <c r="M36" s="276"/>
      <c r="N36" s="276"/>
      <c r="O36" s="320"/>
      <c r="P36" s="276"/>
      <c r="Q36" s="276"/>
      <c r="R36" s="276"/>
      <c r="S36" s="320"/>
      <c r="T36" s="276"/>
      <c r="U36" s="276"/>
      <c r="V36" s="276"/>
      <c r="W36" s="320"/>
      <c r="X36" s="276"/>
      <c r="Y36" s="276"/>
      <c r="Z36" s="276"/>
      <c r="AA36" s="320"/>
      <c r="AB36" s="276"/>
      <c r="AC36" s="276"/>
      <c r="AD36" s="276"/>
      <c r="AE36" s="320"/>
      <c r="AF36" s="276">
        <f t="shared" ref="AF36:AV36" si="82">+AVERAGE(AB35,X35,T35,P35,L35)</f>
        <v>3.1079923648146712E-2</v>
      </c>
      <c r="AG36" s="276">
        <f t="shared" si="82"/>
        <v>6.997829804602995E-3</v>
      </c>
      <c r="AH36" s="276">
        <f t="shared" si="82"/>
        <v>1.7641944656965648E-2</v>
      </c>
      <c r="AI36" s="276">
        <f t="shared" si="82"/>
        <v>4.8797253439794687E-3</v>
      </c>
      <c r="AJ36" s="598">
        <f t="shared" si="82"/>
        <v>3.8499068778882609E-2</v>
      </c>
      <c r="AK36" s="276">
        <f t="shared" si="82"/>
        <v>-5.8784765015381657E-3</v>
      </c>
      <c r="AL36" s="276">
        <f t="shared" si="82"/>
        <v>-8.3674305471606487E-3</v>
      </c>
      <c r="AM36" s="320">
        <f t="shared" si="82"/>
        <v>1.3266598131744068E-2</v>
      </c>
      <c r="AN36" s="598">
        <f t="shared" si="82"/>
        <v>5.0833748850871531E-2</v>
      </c>
      <c r="AO36" s="276">
        <f t="shared" si="82"/>
        <v>2.9532508889654309E-3</v>
      </c>
      <c r="AP36" s="276">
        <f t="shared" si="82"/>
        <v>-2.0124215607921548E-3</v>
      </c>
      <c r="AQ36" s="320">
        <f t="shared" si="82"/>
        <v>5.1484911420896839E-2</v>
      </c>
      <c r="AR36" s="598">
        <f t="shared" si="82"/>
        <v>5.8661673446103513E-2</v>
      </c>
      <c r="AS36" s="276">
        <f t="shared" si="82"/>
        <v>-2.0359765926704722E-2</v>
      </c>
      <c r="AT36" s="276">
        <f t="shared" si="82"/>
        <v>-5.2985153375654417E-2</v>
      </c>
      <c r="AU36" s="320">
        <f t="shared" si="82"/>
        <v>3.6399968263420533E-2</v>
      </c>
      <c r="AV36" s="598">
        <f t="shared" si="82"/>
        <v>2.7504641688223131E-2</v>
      </c>
      <c r="AW36" s="276">
        <f t="shared" ref="AW36:BG36" si="83">+AVERAGE(AS35,AO35,AK35,AG35,AC35)</f>
        <v>-3.655196091676538E-2</v>
      </c>
      <c r="AX36" s="276">
        <f t="shared" si="83"/>
        <v>-2.1391330610988989E-2</v>
      </c>
      <c r="AY36" s="320">
        <f t="shared" si="83"/>
        <v>3.0820584939538476E-2</v>
      </c>
      <c r="AZ36" s="598">
        <f t="shared" si="83"/>
        <v>1.9481900623994065E-2</v>
      </c>
      <c r="BA36" s="276">
        <f t="shared" si="83"/>
        <v>-1.5501247635112781E-2</v>
      </c>
      <c r="BB36" s="276">
        <f t="shared" si="83"/>
        <v>-3.2617479418588944E-3</v>
      </c>
      <c r="BC36" s="320">
        <f t="shared" si="83"/>
        <v>2.0198313656220889E-2</v>
      </c>
      <c r="BD36" s="598">
        <f t="shared" si="83"/>
        <v>1.2929360789945776E-2</v>
      </c>
      <c r="BE36" s="276">
        <f t="shared" si="83"/>
        <v>-8.4995550660296184E-4</v>
      </c>
      <c r="BF36" s="276">
        <f t="shared" si="83"/>
        <v>1.3074821722453889E-2</v>
      </c>
      <c r="BG36" s="320">
        <f t="shared" si="83"/>
        <v>2.4612844154954773E-2</v>
      </c>
      <c r="BH36" s="276">
        <f>+AVERAGE(BD35,AZ35,AV35,AR35,AN35)</f>
        <v>-3.8741842559796291E-3</v>
      </c>
      <c r="BI36" s="276">
        <f>+AVERAGE(BE35,BA35,AW35,AS35,AO35)</f>
        <v>-6.6182616972887852E-3</v>
      </c>
      <c r="BJ36" s="276">
        <f>+AVERAGE(BF35,BB35,AX35,AT35,AP35)</f>
        <v>1.6721287645373773E-2</v>
      </c>
      <c r="BK36" s="320">
        <f>+AVERAGE(BG35,BC35,AY35,AU35,AQ35)</f>
        <v>1.8977542310377914E-2</v>
      </c>
      <c r="BL36" s="20"/>
      <c r="BM36" s="22"/>
      <c r="BN36" s="14"/>
      <c r="BO36" s="14"/>
      <c r="BP36" s="14"/>
      <c r="BQ36" s="14"/>
      <c r="BR36" s="276"/>
      <c r="BS36" s="276"/>
      <c r="BT36" s="276"/>
      <c r="BU36" s="276"/>
      <c r="BV36" s="276"/>
      <c r="BW36" s="276"/>
      <c r="BX36" s="276"/>
      <c r="BY36" s="276"/>
      <c r="BZ36" s="276"/>
      <c r="CA36" s="276"/>
      <c r="CB36" s="930"/>
      <c r="CC36" s="751"/>
    </row>
    <row r="37" spans="1:81" ht="14.25" customHeight="1">
      <c r="A37" s="1"/>
      <c r="B37" s="357" t="s">
        <v>182</v>
      </c>
      <c r="C37" s="590"/>
      <c r="D37" s="591"/>
      <c r="E37" s="277"/>
      <c r="F37" s="277"/>
      <c r="G37" s="278"/>
      <c r="H37" s="294">
        <f t="shared" ref="H37:AV37" si="84">H34/D34-1</f>
        <v>0.18743694172613767</v>
      </c>
      <c r="I37" s="294">
        <f t="shared" si="84"/>
        <v>0.17108558164485421</v>
      </c>
      <c r="J37" s="294">
        <f t="shared" si="84"/>
        <v>2.4910754996052553E-3</v>
      </c>
      <c r="K37" s="295">
        <f t="shared" si="84"/>
        <v>-6.1111028778181753E-2</v>
      </c>
      <c r="L37" s="294">
        <f t="shared" si="84"/>
        <v>-7.3645198416160906E-2</v>
      </c>
      <c r="M37" s="294">
        <f t="shared" si="84"/>
        <v>-4.7703240720921247E-2</v>
      </c>
      <c r="N37" s="294">
        <f t="shared" si="84"/>
        <v>5.3427256087414721E-2</v>
      </c>
      <c r="O37" s="295">
        <f t="shared" si="84"/>
        <v>7.2807302377602134E-2</v>
      </c>
      <c r="P37" s="294">
        <f t="shared" si="84"/>
        <v>9.4938014675541416E-2</v>
      </c>
      <c r="Q37" s="294">
        <f t="shared" si="84"/>
        <v>8.6858892230508689E-2</v>
      </c>
      <c r="R37" s="294">
        <f t="shared" si="84"/>
        <v>-3.4580439168839461E-2</v>
      </c>
      <c r="S37" s="295">
        <f t="shared" si="84"/>
        <v>-0.16972002690432142</v>
      </c>
      <c r="T37" s="294">
        <f t="shared" si="84"/>
        <v>-0.22941508993417248</v>
      </c>
      <c r="U37" s="294">
        <f t="shared" si="84"/>
        <v>-0.14184436764921815</v>
      </c>
      <c r="V37" s="294">
        <f t="shared" si="84"/>
        <v>0.11990305135180535</v>
      </c>
      <c r="W37" s="295">
        <f t="shared" si="84"/>
        <v>0.33924367237616893</v>
      </c>
      <c r="X37" s="294">
        <f t="shared" si="84"/>
        <v>0.58075936582189303</v>
      </c>
      <c r="Y37" s="294">
        <f t="shared" si="84"/>
        <v>0.49335100614531879</v>
      </c>
      <c r="Z37" s="294">
        <f t="shared" si="84"/>
        <v>0.10488186399505994</v>
      </c>
      <c r="AA37" s="295">
        <f t="shared" si="84"/>
        <v>0.11120940607160401</v>
      </c>
      <c r="AB37" s="294">
        <f t="shared" si="84"/>
        <v>3.4849017296721074E-2</v>
      </c>
      <c r="AC37" s="294">
        <f t="shared" si="84"/>
        <v>-0.10401893923500738</v>
      </c>
      <c r="AD37" s="294">
        <f t="shared" si="84"/>
        <v>-9.8906891870449098E-2</v>
      </c>
      <c r="AE37" s="295">
        <f t="shared" si="84"/>
        <v>-4.9126310704054821E-2</v>
      </c>
      <c r="AF37" s="294">
        <f t="shared" si="84"/>
        <v>-5.309661181906955E-2</v>
      </c>
      <c r="AG37" s="294">
        <f t="shared" si="84"/>
        <v>-2.0309469046791317E-2</v>
      </c>
      <c r="AH37" s="294">
        <f t="shared" si="84"/>
        <v>-2.5905367145968583E-3</v>
      </c>
      <c r="AI37" s="294">
        <f t="shared" si="84"/>
        <v>-4.7954015668019712E-2</v>
      </c>
      <c r="AJ37" s="296">
        <f t="shared" si="84"/>
        <v>-6.5701872391829008E-3</v>
      </c>
      <c r="AK37" s="294">
        <f t="shared" si="84"/>
        <v>0.10112274857381331</v>
      </c>
      <c r="AL37" s="294">
        <f t="shared" si="84"/>
        <v>0.15114552334694098</v>
      </c>
      <c r="AM37" s="295">
        <f t="shared" si="84"/>
        <v>0.16095481126260869</v>
      </c>
      <c r="AN37" s="296">
        <f t="shared" si="84"/>
        <v>5.8170324118454797E-2</v>
      </c>
      <c r="AO37" s="294">
        <f t="shared" si="84"/>
        <v>8.8907514479819039E-3</v>
      </c>
      <c r="AP37" s="294">
        <f t="shared" si="84"/>
        <v>1.1473783945904481E-2</v>
      </c>
      <c r="AQ37" s="295">
        <f t="shared" si="84"/>
        <v>-8.242328304384916E-2</v>
      </c>
      <c r="AR37" s="296">
        <f t="shared" si="84"/>
        <v>-0.10385499964905576</v>
      </c>
      <c r="AS37" s="294">
        <f t="shared" si="84"/>
        <v>-0.12691514607901866</v>
      </c>
      <c r="AT37" s="294">
        <f t="shared" si="84"/>
        <v>-4.601810465521794E-2</v>
      </c>
      <c r="AU37" s="295">
        <f t="shared" si="84"/>
        <v>7.3487387546304905E-3</v>
      </c>
      <c r="AV37" s="296">
        <f t="shared" si="84"/>
        <v>4.7308964532392972E-2</v>
      </c>
      <c r="AW37" s="294">
        <f t="shared" ref="AW37:BG37" si="85">AW34/AS34-1</f>
        <v>9.7876687921269356E-2</v>
      </c>
      <c r="AX37" s="294">
        <f t="shared" si="85"/>
        <v>3.4354993951274615E-2</v>
      </c>
      <c r="AY37" s="295">
        <f t="shared" si="85"/>
        <v>6.7218149916121739E-2</v>
      </c>
      <c r="AZ37" s="296">
        <f t="shared" si="85"/>
        <v>7.0376238519185952E-2</v>
      </c>
      <c r="BA37" s="294">
        <f t="shared" si="85"/>
        <v>6.9567289182316028E-2</v>
      </c>
      <c r="BB37" s="294">
        <f t="shared" si="85"/>
        <v>7.7694950212399805E-2</v>
      </c>
      <c r="BC37" s="294">
        <f t="shared" si="85"/>
        <v>0.10404428896779394</v>
      </c>
      <c r="BD37" s="296">
        <f t="shared" si="85"/>
        <v>9.7555531760706637E-2</v>
      </c>
      <c r="BE37" s="294">
        <f t="shared" si="85"/>
        <v>9.6552840678737484E-2</v>
      </c>
      <c r="BF37" s="294">
        <f t="shared" si="85"/>
        <v>7.4086075796689466E-2</v>
      </c>
      <c r="BG37" s="295">
        <f t="shared" si="85"/>
        <v>3.2419651399999916E-2</v>
      </c>
      <c r="BH37" s="294">
        <f>BH34/BD34-1</f>
        <v>6.2770957481820933E-2</v>
      </c>
      <c r="BI37" s="294">
        <f>BI34/BE34-1</f>
        <v>6.5942444581185589E-2</v>
      </c>
      <c r="BJ37" s="294">
        <f>BJ34/BF34-1</f>
        <v>5.9270505942491836E-2</v>
      </c>
      <c r="BK37" s="295">
        <f>BK34/BG34-1</f>
        <v>5.1756769208807674E-2</v>
      </c>
      <c r="BL37" s="20"/>
      <c r="BM37" s="592"/>
      <c r="BN37" s="593"/>
      <c r="BO37" s="593"/>
      <c r="BP37" s="294"/>
      <c r="BQ37" s="294">
        <f t="shared" ref="BQ37:CB37" si="86">BQ34/BP34-1</f>
        <v>4.585839016778781E-3</v>
      </c>
      <c r="BR37" s="294">
        <f t="shared" si="86"/>
        <v>0.29226900325815341</v>
      </c>
      <c r="BS37" s="294">
        <f t="shared" si="86"/>
        <v>-5.4320315516924955E-2</v>
      </c>
      <c r="BT37" s="294">
        <f t="shared" si="86"/>
        <v>-3.216978706996243E-2</v>
      </c>
      <c r="BU37" s="294">
        <f t="shared" si="86"/>
        <v>9.8623015587562923E-2</v>
      </c>
      <c r="BV37" s="294">
        <f t="shared" si="86"/>
        <v>-2.1770965414510401E-3</v>
      </c>
      <c r="BW37" s="294">
        <f t="shared" si="86"/>
        <v>-6.8758665132181207E-2</v>
      </c>
      <c r="BX37" s="294">
        <f t="shared" si="86"/>
        <v>6.1181698564647613E-2</v>
      </c>
      <c r="BY37" s="294">
        <f t="shared" si="86"/>
        <v>8.0735358591598416E-2</v>
      </c>
      <c r="BZ37" s="294">
        <f t="shared" si="86"/>
        <v>7.4214731516628385E-2</v>
      </c>
      <c r="CA37" s="294">
        <f t="shared" si="86"/>
        <v>5.9885464891100471E-2</v>
      </c>
      <c r="CB37" s="934">
        <f t="shared" si="86"/>
        <v>5.5328746084377434E-2</v>
      </c>
      <c r="CC37" s="751"/>
    </row>
    <row r="38" spans="1:81" ht="14.25" customHeight="1">
      <c r="A38" s="1"/>
      <c r="B38" s="14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14"/>
      <c r="BC38" s="8"/>
      <c r="BD38" s="8"/>
      <c r="BE38" s="8"/>
      <c r="BF38" s="14"/>
      <c r="BG38" s="8"/>
      <c r="BH38" s="8"/>
      <c r="BI38" s="8"/>
      <c r="BJ38" s="14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14"/>
      <c r="BW38" s="14"/>
      <c r="BX38" s="14"/>
      <c r="BY38" s="14"/>
      <c r="BZ38" s="14"/>
      <c r="CA38" s="14"/>
      <c r="CB38" s="14"/>
    </row>
    <row r="39" spans="1:81" ht="14.25" customHeight="1">
      <c r="A39" s="1"/>
      <c r="B39" s="330"/>
      <c r="C39" s="330"/>
      <c r="D39" s="331"/>
      <c r="E39" s="331"/>
      <c r="F39" s="331"/>
      <c r="G39" s="331"/>
      <c r="H39" s="331"/>
      <c r="I39" s="331"/>
      <c r="J39" s="331"/>
      <c r="K39" s="331"/>
      <c r="L39" s="331"/>
      <c r="M39" s="331"/>
      <c r="N39" s="331"/>
      <c r="O39" s="331"/>
      <c r="P39" s="331"/>
      <c r="Q39" s="331"/>
      <c r="R39" s="331"/>
      <c r="S39" s="331"/>
      <c r="T39" s="331"/>
      <c r="U39" s="331"/>
      <c r="V39" s="331"/>
      <c r="W39" s="331"/>
      <c r="X39" s="331"/>
      <c r="Y39" s="331"/>
      <c r="Z39" s="331"/>
      <c r="AA39" s="331"/>
      <c r="AB39" s="331"/>
      <c r="AC39" s="377"/>
      <c r="AD39" s="377"/>
      <c r="AE39" s="331"/>
      <c r="AF39" s="331"/>
      <c r="AG39" s="377"/>
      <c r="AH39" s="331"/>
      <c r="AI39" s="331"/>
      <c r="AJ39" s="331"/>
      <c r="AK39" s="331"/>
      <c r="AL39" s="331"/>
      <c r="AM39" s="331"/>
      <c r="AN39" s="331"/>
      <c r="AO39" s="795"/>
      <c r="AP39" s="331"/>
      <c r="AQ39" s="331"/>
      <c r="AR39" s="331"/>
      <c r="AS39" s="331"/>
      <c r="AT39" s="331"/>
      <c r="AU39" s="331"/>
      <c r="AV39" s="331"/>
      <c r="AW39" s="331"/>
      <c r="AX39" s="331"/>
      <c r="AY39" s="331"/>
      <c r="AZ39" s="331"/>
      <c r="BA39" s="331"/>
      <c r="BB39" s="331"/>
      <c r="BC39" s="331"/>
      <c r="BD39" s="331"/>
      <c r="BE39" s="331"/>
      <c r="BF39" s="331"/>
      <c r="BG39" s="331"/>
      <c r="BH39" s="331"/>
      <c r="BI39" s="331"/>
      <c r="BJ39" s="331"/>
      <c r="BK39" s="331"/>
      <c r="BL39" s="1"/>
      <c r="BM39" s="1"/>
      <c r="BN39" s="1"/>
      <c r="BO39" s="1"/>
      <c r="BP39" s="1"/>
      <c r="BQ39" s="331"/>
      <c r="BR39" s="331"/>
      <c r="BS39" s="331"/>
      <c r="BT39" s="331"/>
      <c r="BU39" s="331"/>
      <c r="BV39" s="331"/>
      <c r="BW39" s="331"/>
      <c r="BX39" s="331"/>
      <c r="BY39" s="331"/>
      <c r="BZ39" s="331"/>
      <c r="CA39" s="331"/>
      <c r="CB39" s="331"/>
    </row>
    <row r="40" spans="1:81" ht="14.25" customHeight="1">
      <c r="A40" s="1"/>
      <c r="B40" s="462" t="s">
        <v>282</v>
      </c>
      <c r="C40" s="426"/>
      <c r="D40" s="427"/>
      <c r="E40" s="427"/>
      <c r="F40" s="427"/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7"/>
      <c r="R40" s="427"/>
      <c r="S40" s="427"/>
      <c r="T40" s="427"/>
      <c r="U40" s="427"/>
      <c r="V40" s="427"/>
      <c r="W40" s="427"/>
      <c r="X40" s="427"/>
      <c r="Y40" s="427"/>
      <c r="Z40" s="427"/>
      <c r="AA40" s="427"/>
      <c r="AB40" s="427"/>
      <c r="AC40" s="427"/>
      <c r="AD40" s="427"/>
      <c r="AE40" s="427"/>
      <c r="AF40" s="427"/>
      <c r="AG40" s="427"/>
      <c r="AH40" s="427"/>
      <c r="AI40" s="427"/>
      <c r="AJ40" s="427"/>
      <c r="AK40" s="427"/>
      <c r="AL40" s="427"/>
      <c r="AM40" s="427"/>
      <c r="AN40" s="427"/>
      <c r="AO40" s="427"/>
      <c r="AP40" s="427"/>
      <c r="AQ40" s="427"/>
      <c r="AR40" s="427"/>
      <c r="AS40" s="427"/>
      <c r="AT40" s="427"/>
      <c r="AU40" s="427"/>
      <c r="AV40" s="427"/>
      <c r="AW40" s="427"/>
      <c r="AX40" s="427"/>
      <c r="AY40" s="427"/>
      <c r="AZ40" s="427"/>
      <c r="BA40" s="427"/>
      <c r="BB40" s="427"/>
      <c r="BC40" s="427"/>
      <c r="BD40" s="427"/>
      <c r="BE40" s="427"/>
      <c r="BF40" s="427"/>
      <c r="BG40" s="427"/>
      <c r="BH40" s="427"/>
      <c r="BI40" s="427"/>
      <c r="BJ40" s="427"/>
      <c r="BK40" s="427"/>
      <c r="BL40" s="419"/>
      <c r="BM40" s="428"/>
      <c r="BN40" s="429"/>
      <c r="BO40" s="429"/>
      <c r="BP40" s="429"/>
      <c r="BQ40" s="430"/>
      <c r="BR40" s="430"/>
      <c r="BS40" s="430"/>
      <c r="BT40" s="430"/>
      <c r="BU40" s="430"/>
      <c r="BV40" s="430"/>
      <c r="BW40" s="430"/>
      <c r="BX40" s="430"/>
      <c r="BY40" s="430"/>
      <c r="BZ40" s="430"/>
      <c r="CA40" s="430"/>
      <c r="CB40" s="431"/>
      <c r="CC40" s="751"/>
    </row>
    <row r="41" spans="1:81" s="114" customFormat="1" ht="14.25" customHeight="1">
      <c r="B41" s="464" t="s">
        <v>284</v>
      </c>
      <c r="C41" s="469"/>
      <c r="D41" s="470"/>
      <c r="E41" s="471"/>
      <c r="F41" s="471"/>
      <c r="G41" s="472"/>
      <c r="H41" s="470"/>
      <c r="I41" s="471"/>
      <c r="J41" s="471"/>
      <c r="K41" s="472"/>
      <c r="L41" s="470"/>
      <c r="M41" s="471"/>
      <c r="N41" s="471"/>
      <c r="O41" s="471"/>
      <c r="P41" s="470"/>
      <c r="Q41" s="471"/>
      <c r="R41" s="471"/>
      <c r="S41" s="472"/>
      <c r="T41" s="476">
        <f>T50*T34</f>
        <v>270.88920000000002</v>
      </c>
      <c r="U41" s="448">
        <f>70%*SUM(T34:U34)-T41</f>
        <v>282.94029999999992</v>
      </c>
      <c r="V41" s="448">
        <f>0.7*SUM(T34:V34)-SUM(T41:U41)</f>
        <v>359.34430000000009</v>
      </c>
      <c r="W41" s="475">
        <f>BQ41-SUM(T41:V41)</f>
        <v>351.97846000000004</v>
      </c>
      <c r="X41" s="476">
        <f>X50*X34</f>
        <v>398.47379000000001</v>
      </c>
      <c r="Y41" s="448">
        <f>65%*SUM(X34:Y34)-X41</f>
        <v>390.88816000000008</v>
      </c>
      <c r="Z41" s="448">
        <f>0.65*SUM(X34:Z34)-SUM(X41:Y41)</f>
        <v>368.67349999999999</v>
      </c>
      <c r="AA41" s="475">
        <f>BR41-SUM(X41:Z41)</f>
        <v>334.71489999999994</v>
      </c>
      <c r="AB41" s="476">
        <f>AB50*AB34</f>
        <v>375.43242999999995</v>
      </c>
      <c r="AC41" s="448">
        <f>61%*SUM(AB34:AC34)-AB41</f>
        <v>338.67749000000003</v>
      </c>
      <c r="AD41" s="448">
        <f>0.61*SUM(AB34:AD34)-SUM(AB41:AC41)</f>
        <v>311.76550999999984</v>
      </c>
      <c r="AE41" s="448">
        <f>BS41-SUM(AB41:AD41)</f>
        <v>340.97352999999998</v>
      </c>
      <c r="AF41" s="476">
        <f>AF50*AF34</f>
        <v>332.18687999999997</v>
      </c>
      <c r="AG41" s="448">
        <f>57%*SUM(AF34:AG34)-AF41</f>
        <v>310.04181000000005</v>
      </c>
      <c r="AH41" s="448">
        <f>0.61*SUM(AF34:AH34)-SUM(AF41:AG41)</f>
        <v>356.02655000000004</v>
      </c>
      <c r="AI41" s="448">
        <f>BW41-SUM(AF41:AH41)</f>
        <v>-998.25524000000007</v>
      </c>
      <c r="AJ41" s="476">
        <f>AJ50*AJ34</f>
        <v>347.37299999999999</v>
      </c>
      <c r="AK41" s="448">
        <f>59%*SUM(AJ34:AK34)-AJ41</f>
        <v>347.58328</v>
      </c>
      <c r="AL41" s="778">
        <f>0.58*SUM(AJ34:AL34)-SUM(AJ41:AK41)</f>
        <v>328.57435999999996</v>
      </c>
      <c r="AM41" s="448">
        <f>BU41-SUM(AJ41:AL41)</f>
        <v>310.68672000000015</v>
      </c>
      <c r="AN41" s="779">
        <f>AN50*AN34</f>
        <v>324.69549000000006</v>
      </c>
      <c r="AO41" s="448">
        <f>AO50*AO34</f>
        <v>326.30147999999997</v>
      </c>
      <c r="AP41" s="474"/>
      <c r="AQ41" s="477"/>
      <c r="AR41" s="473"/>
      <c r="AS41" s="474"/>
      <c r="AT41" s="474"/>
      <c r="AU41" s="477"/>
      <c r="AV41" s="473"/>
      <c r="AW41" s="474"/>
      <c r="AX41" s="474"/>
      <c r="AY41" s="477"/>
      <c r="AZ41" s="473"/>
      <c r="BA41" s="474"/>
      <c r="BB41" s="474"/>
      <c r="BC41" s="477"/>
      <c r="BD41" s="473"/>
      <c r="BE41" s="474"/>
      <c r="BF41" s="474"/>
      <c r="BG41" s="477"/>
      <c r="BH41" s="473"/>
      <c r="BI41" s="474"/>
      <c r="BJ41" s="474"/>
      <c r="BK41" s="477"/>
      <c r="BL41" s="478"/>
      <c r="BM41" s="479"/>
      <c r="BN41" s="469"/>
      <c r="BO41" s="469"/>
      <c r="BP41" s="469"/>
      <c r="BQ41" s="448">
        <f t="shared" ref="BQ41:BT42" si="87">BQ50*BQ$34</f>
        <v>1265.1522600000001</v>
      </c>
      <c r="BR41" s="448">
        <f t="shared" si="87"/>
        <v>1492.75035</v>
      </c>
      <c r="BS41" s="448">
        <f t="shared" si="87"/>
        <v>1366.8489599999998</v>
      </c>
      <c r="BT41" s="448">
        <f t="shared" si="87"/>
        <v>1257.8181600000003</v>
      </c>
      <c r="BU41" s="448">
        <f>BU50*BU$34</f>
        <v>1334.2173600000001</v>
      </c>
      <c r="BV41" s="471"/>
      <c r="BW41" s="471"/>
      <c r="BX41" s="471"/>
      <c r="BY41" s="471"/>
      <c r="BZ41" s="471"/>
      <c r="CA41" s="471"/>
      <c r="CB41" s="472"/>
      <c r="CC41" s="463"/>
    </row>
    <row r="42" spans="1:81" ht="14.25" customHeight="1">
      <c r="A42" s="1"/>
      <c r="B42" s="467" t="s">
        <v>285</v>
      </c>
      <c r="C42" s="330"/>
      <c r="D42" s="389"/>
      <c r="E42" s="331"/>
      <c r="F42" s="331"/>
      <c r="G42" s="390"/>
      <c r="H42" s="389"/>
      <c r="I42" s="331"/>
      <c r="J42" s="331"/>
      <c r="K42" s="390"/>
      <c r="L42" s="389"/>
      <c r="M42" s="331"/>
      <c r="N42" s="331"/>
      <c r="O42" s="489"/>
      <c r="P42" s="447">
        <f>P$51*P34</f>
        <v>273.41775999999999</v>
      </c>
      <c r="Q42" s="447">
        <f>Q$51*Q34</f>
        <v>270.78072000000003</v>
      </c>
      <c r="R42" s="447">
        <f>R$51*R34</f>
        <v>252.11285000000001</v>
      </c>
      <c r="S42" s="485">
        <f>BP42-SUM(P42:R42)</f>
        <v>207.53986999999995</v>
      </c>
      <c r="T42" s="447">
        <f>T$51*T34</f>
        <v>195.6422</v>
      </c>
      <c r="U42" s="447">
        <f>U$51*U34</f>
        <v>190.87700000000001</v>
      </c>
      <c r="V42" s="447">
        <f>V$51*V34</f>
        <v>251.54101000000003</v>
      </c>
      <c r="W42" s="485">
        <f>BQ42-SUM(T42:V42)</f>
        <v>260.38124999999991</v>
      </c>
      <c r="X42" s="447">
        <f>X$51*X34</f>
        <v>309.26324</v>
      </c>
      <c r="Y42" s="447">
        <f>Y$51*Y34</f>
        <v>328.42298000000005</v>
      </c>
      <c r="Z42" s="447">
        <f>Z$51*Z34</f>
        <v>300.61070000000007</v>
      </c>
      <c r="AA42" s="485">
        <f>BR42-SUM(X42:Z42)</f>
        <v>270.12002999999993</v>
      </c>
      <c r="AB42" s="447">
        <f>AB$51*AB34</f>
        <v>301.57686999999999</v>
      </c>
      <c r="AC42" s="447">
        <f>AC$51*AC34</f>
        <v>260.94822999999997</v>
      </c>
      <c r="AD42" s="447">
        <f>AD$51*AD34</f>
        <v>255.5455</v>
      </c>
      <c r="AE42" s="447">
        <f>BS42-SUM(AB42:AD42)</f>
        <v>257.48267999999985</v>
      </c>
      <c r="AF42" s="453">
        <f>AF$51*AF34</f>
        <v>268.08064000000002</v>
      </c>
      <c r="AG42" s="447">
        <f>AG$51*AG34</f>
        <v>239.33052000000001</v>
      </c>
      <c r="AH42" s="447">
        <f>AH$51*AH34</f>
        <v>239.59048999999999</v>
      </c>
      <c r="AI42" s="447">
        <f>BW42-SUM(AF42:AH42)</f>
        <v>-747.00164999999993</v>
      </c>
      <c r="AJ42" s="453">
        <f>AJ$51*AJ34</f>
        <v>283.68795</v>
      </c>
      <c r="AK42" s="447">
        <f>AK$51*AK34</f>
        <v>263.53228000000001</v>
      </c>
      <c r="AL42" s="447">
        <f>AL$51*AL34</f>
        <v>264.06720000000001</v>
      </c>
      <c r="AM42" s="447">
        <f>BU42-SUM(AJ42:AL42)</f>
        <v>284.67682999999988</v>
      </c>
      <c r="AN42" s="780">
        <f>AN$51*AN34</f>
        <v>281.81118000000004</v>
      </c>
      <c r="AO42" s="449">
        <f>AO51*AO34</f>
        <v>259.83265999999998</v>
      </c>
      <c r="AP42" s="449"/>
      <c r="AQ42" s="451"/>
      <c r="AR42" s="450"/>
      <c r="AS42" s="449"/>
      <c r="AT42" s="449"/>
      <c r="AU42" s="451"/>
      <c r="AV42" s="450"/>
      <c r="AW42" s="449"/>
      <c r="AX42" s="449"/>
      <c r="AY42" s="451"/>
      <c r="AZ42" s="450"/>
      <c r="BA42" s="449"/>
      <c r="BB42" s="449"/>
      <c r="BC42" s="451"/>
      <c r="BD42" s="450"/>
      <c r="BE42" s="449"/>
      <c r="BF42" s="449"/>
      <c r="BG42" s="451"/>
      <c r="BH42" s="450"/>
      <c r="BI42" s="449"/>
      <c r="BJ42" s="449"/>
      <c r="BK42" s="451"/>
      <c r="BL42" s="419"/>
      <c r="BM42" s="369"/>
      <c r="BN42" s="215"/>
      <c r="BO42" s="215"/>
      <c r="BP42" s="447">
        <f>BP51*BP$34</f>
        <v>1003.8511999999999</v>
      </c>
      <c r="BQ42" s="447">
        <f t="shared" si="87"/>
        <v>898.44146000000001</v>
      </c>
      <c r="BR42" s="447">
        <f t="shared" si="87"/>
        <v>1208.41695</v>
      </c>
      <c r="BS42" s="447">
        <f t="shared" si="87"/>
        <v>1075.5532799999999</v>
      </c>
      <c r="BT42" s="447">
        <f>BT51*BT$34</f>
        <v>997.57992000000024</v>
      </c>
      <c r="BU42" s="447">
        <f>BU51*BU$34</f>
        <v>1095.96426</v>
      </c>
      <c r="BV42" s="331"/>
      <c r="BW42" s="331"/>
      <c r="BX42" s="331"/>
      <c r="BY42" s="331"/>
      <c r="BZ42" s="331"/>
      <c r="CA42" s="331"/>
      <c r="CB42" s="390"/>
      <c r="CC42" s="751"/>
    </row>
    <row r="43" spans="1:81" ht="14.25" customHeight="1">
      <c r="A43" s="1"/>
      <c r="B43" s="467" t="s">
        <v>286</v>
      </c>
      <c r="C43" s="330"/>
      <c r="D43" s="389"/>
      <c r="E43" s="331"/>
      <c r="F43" s="331"/>
      <c r="G43" s="390"/>
      <c r="H43" s="389"/>
      <c r="I43" s="331"/>
      <c r="J43" s="331"/>
      <c r="K43" s="390"/>
      <c r="L43" s="389"/>
      <c r="M43" s="331"/>
      <c r="N43" s="331"/>
      <c r="O43" s="331"/>
      <c r="P43" s="389"/>
      <c r="Q43" s="331"/>
      <c r="R43" s="331"/>
      <c r="S43" s="390"/>
      <c r="T43" s="447">
        <f t="shared" ref="T43:AK43" si="88">T41-T42</f>
        <v>75.247000000000014</v>
      </c>
      <c r="U43" s="447">
        <f t="shared" si="88"/>
        <v>92.063299999999913</v>
      </c>
      <c r="V43" s="447">
        <f t="shared" si="88"/>
        <v>107.80329000000006</v>
      </c>
      <c r="W43" s="457">
        <f t="shared" si="88"/>
        <v>91.597210000000132</v>
      </c>
      <c r="X43" s="447">
        <f t="shared" si="88"/>
        <v>89.210550000000012</v>
      </c>
      <c r="Y43" s="447">
        <f t="shared" si="88"/>
        <v>62.465180000000032</v>
      </c>
      <c r="Z43" s="447">
        <f t="shared" si="88"/>
        <v>68.062799999999925</v>
      </c>
      <c r="AA43" s="457">
        <f t="shared" si="88"/>
        <v>64.594870000000014</v>
      </c>
      <c r="AB43" s="447">
        <f t="shared" si="88"/>
        <v>73.855559999999969</v>
      </c>
      <c r="AC43" s="447">
        <f t="shared" si="88"/>
        <v>77.729260000000068</v>
      </c>
      <c r="AD43" s="447">
        <f t="shared" si="88"/>
        <v>56.220009999999832</v>
      </c>
      <c r="AE43" s="447">
        <f t="shared" si="88"/>
        <v>83.490850000000137</v>
      </c>
      <c r="AF43" s="453">
        <f t="shared" si="88"/>
        <v>64.106239999999957</v>
      </c>
      <c r="AG43" s="447">
        <f t="shared" si="88"/>
        <v>70.711290000000048</v>
      </c>
      <c r="AH43" s="447">
        <f t="shared" si="88"/>
        <v>116.43606000000005</v>
      </c>
      <c r="AI43" s="447">
        <f t="shared" si="88"/>
        <v>-251.25359000000014</v>
      </c>
      <c r="AJ43" s="453">
        <f t="shared" si="88"/>
        <v>63.68504999999999</v>
      </c>
      <c r="AK43" s="447">
        <f t="shared" si="88"/>
        <v>84.050999999999988</v>
      </c>
      <c r="AL43" s="447">
        <f>AL41-AL42</f>
        <v>64.507159999999942</v>
      </c>
      <c r="AM43" s="447">
        <f>AM41-AM42</f>
        <v>26.009890000000269</v>
      </c>
      <c r="AN43" s="780">
        <f>AN41-AN42</f>
        <v>42.884310000000028</v>
      </c>
      <c r="AO43" s="447">
        <f>AO41-AO42</f>
        <v>66.468819999999994</v>
      </c>
      <c r="AP43" s="449"/>
      <c r="AQ43" s="451"/>
      <c r="AR43" s="450"/>
      <c r="AS43" s="449"/>
      <c r="AT43" s="449"/>
      <c r="AU43" s="451"/>
      <c r="AV43" s="450"/>
      <c r="AW43" s="449"/>
      <c r="AX43" s="449"/>
      <c r="AY43" s="451"/>
      <c r="AZ43" s="450"/>
      <c r="BA43" s="449"/>
      <c r="BB43" s="449"/>
      <c r="BC43" s="451"/>
      <c r="BD43" s="450"/>
      <c r="BE43" s="449"/>
      <c r="BF43" s="449"/>
      <c r="BG43" s="451"/>
      <c r="BH43" s="450"/>
      <c r="BI43" s="449"/>
      <c r="BJ43" s="449"/>
      <c r="BK43" s="451"/>
      <c r="BL43" s="419"/>
      <c r="BM43" s="369"/>
      <c r="BN43" s="215"/>
      <c r="BO43" s="215"/>
      <c r="BP43" s="215"/>
      <c r="BQ43" s="447">
        <f>SUM(T43:W43)</f>
        <v>366.71080000000012</v>
      </c>
      <c r="BR43" s="447">
        <f>SUM(X43:AA43)</f>
        <v>284.33339999999998</v>
      </c>
      <c r="BS43" s="447">
        <f t="shared" ref="BS43:BU44" si="89">SUM(AB43:AE43)</f>
        <v>291.29568</v>
      </c>
      <c r="BT43" s="447">
        <f t="shared" si="89"/>
        <v>281.54635999999999</v>
      </c>
      <c r="BU43" s="447">
        <f t="shared" si="89"/>
        <v>274.52838999999994</v>
      </c>
      <c r="BV43" s="331"/>
      <c r="BW43" s="331"/>
      <c r="BX43" s="331"/>
      <c r="BY43" s="331"/>
      <c r="BZ43" s="331"/>
      <c r="CA43" s="331"/>
      <c r="CB43" s="390"/>
      <c r="CC43" s="751"/>
    </row>
    <row r="44" spans="1:81" s="114" customFormat="1" ht="14.25" customHeight="1">
      <c r="B44" s="464" t="s">
        <v>287</v>
      </c>
      <c r="C44" s="469"/>
      <c r="D44" s="470"/>
      <c r="E44" s="471"/>
      <c r="F44" s="471"/>
      <c r="G44" s="472"/>
      <c r="H44" s="470"/>
      <c r="I44" s="471"/>
      <c r="J44" s="471"/>
      <c r="K44" s="472"/>
      <c r="L44" s="470"/>
      <c r="M44" s="471"/>
      <c r="N44" s="471"/>
      <c r="O44" s="471"/>
      <c r="P44" s="470"/>
      <c r="Q44" s="471"/>
      <c r="R44" s="471"/>
      <c r="S44" s="472"/>
      <c r="T44" s="476">
        <f t="shared" ref="T44:AF44" si="90">T34-T41</f>
        <v>105.3458</v>
      </c>
      <c r="U44" s="448">
        <f t="shared" si="90"/>
        <v>132.00970000000007</v>
      </c>
      <c r="V44" s="448">
        <f t="shared" si="90"/>
        <v>154.00469999999996</v>
      </c>
      <c r="W44" s="448">
        <f t="shared" si="90"/>
        <v>177.04153999999994</v>
      </c>
      <c r="X44" s="476">
        <f t="shared" si="90"/>
        <v>196.26320999999996</v>
      </c>
      <c r="Y44" s="448">
        <f t="shared" si="90"/>
        <v>228.77783999999997</v>
      </c>
      <c r="Z44" s="448">
        <f t="shared" si="90"/>
        <v>198.51650000000006</v>
      </c>
      <c r="AA44" s="448">
        <f t="shared" si="90"/>
        <v>253.13710000000003</v>
      </c>
      <c r="AB44" s="476">
        <f t="shared" si="90"/>
        <v>240.03057000000001</v>
      </c>
      <c r="AC44" s="448">
        <f t="shared" si="90"/>
        <v>216.53150999999991</v>
      </c>
      <c r="AD44" s="448">
        <f t="shared" si="90"/>
        <v>199.32549000000017</v>
      </c>
      <c r="AE44" s="448">
        <f t="shared" si="90"/>
        <v>217.99946999999997</v>
      </c>
      <c r="AF44" s="476">
        <f t="shared" si="90"/>
        <v>250.59712000000002</v>
      </c>
      <c r="AG44" s="448">
        <f t="shared" ref="AG44:AL44" si="91">AG34-AG41</f>
        <v>233.89118999999994</v>
      </c>
      <c r="AH44" s="448">
        <f t="shared" si="91"/>
        <v>153.74044999999995</v>
      </c>
      <c r="AI44" s="448">
        <f t="shared" si="91"/>
        <v>1530.4232400000001</v>
      </c>
      <c r="AJ44" s="476">
        <f t="shared" si="91"/>
        <v>231.58200000000005</v>
      </c>
      <c r="AK44" s="448">
        <f t="shared" si="91"/>
        <v>251.35372000000001</v>
      </c>
      <c r="AL44" s="448">
        <f t="shared" si="91"/>
        <v>258.24164000000007</v>
      </c>
      <c r="AM44" s="448">
        <f>AM34-AM41</f>
        <v>307.13627999999983</v>
      </c>
      <c r="AN44" s="779">
        <f>AN34-AN41</f>
        <v>287.93750999999997</v>
      </c>
      <c r="AO44" s="474"/>
      <c r="AP44" s="474"/>
      <c r="AQ44" s="477"/>
      <c r="AR44" s="473"/>
      <c r="AS44" s="474"/>
      <c r="AT44" s="474"/>
      <c r="AU44" s="477"/>
      <c r="AV44" s="473"/>
      <c r="AW44" s="474"/>
      <c r="AX44" s="474"/>
      <c r="AY44" s="477"/>
      <c r="AZ44" s="473"/>
      <c r="BA44" s="474"/>
      <c r="BB44" s="474"/>
      <c r="BC44" s="477"/>
      <c r="BD44" s="473"/>
      <c r="BE44" s="474"/>
      <c r="BF44" s="474"/>
      <c r="BG44" s="477"/>
      <c r="BH44" s="473"/>
      <c r="BI44" s="474"/>
      <c r="BJ44" s="474"/>
      <c r="BK44" s="477"/>
      <c r="BL44" s="478"/>
      <c r="BM44" s="479"/>
      <c r="BN44" s="469"/>
      <c r="BO44" s="469"/>
      <c r="BP44" s="469"/>
      <c r="BQ44" s="448">
        <f>SUM(T44:W44)</f>
        <v>568.40174000000002</v>
      </c>
      <c r="BR44" s="448">
        <f>SUM(X44:AA44)</f>
        <v>876.69465000000002</v>
      </c>
      <c r="BS44" s="448">
        <f t="shared" si="89"/>
        <v>873.88704000000007</v>
      </c>
      <c r="BT44" s="448">
        <f t="shared" si="89"/>
        <v>884.45359000000008</v>
      </c>
      <c r="BU44" s="448">
        <f t="shared" si="89"/>
        <v>901.8132700000001</v>
      </c>
      <c r="BV44" s="471"/>
      <c r="BW44" s="471"/>
      <c r="BX44" s="471"/>
      <c r="BY44" s="471"/>
      <c r="BZ44" s="471"/>
      <c r="CA44" s="471"/>
      <c r="CB44" s="472"/>
      <c r="CC44" s="463"/>
    </row>
    <row r="45" spans="1:81" ht="14.25" customHeight="1">
      <c r="A45" s="1"/>
      <c r="B45" s="467" t="s">
        <v>288</v>
      </c>
      <c r="C45" s="330"/>
      <c r="D45" s="369"/>
      <c r="E45" s="215"/>
      <c r="F45" s="215"/>
      <c r="G45" s="353"/>
      <c r="H45" s="369"/>
      <c r="I45" s="215"/>
      <c r="J45" s="215"/>
      <c r="K45" s="353"/>
      <c r="L45" s="369"/>
      <c r="M45" s="215"/>
      <c r="N45" s="215"/>
      <c r="O45" s="215"/>
      <c r="P45" s="369"/>
      <c r="Q45" s="215"/>
      <c r="R45" s="215"/>
      <c r="S45" s="353"/>
      <c r="T45" s="486"/>
      <c r="U45" s="484"/>
      <c r="V45" s="484"/>
      <c r="W45" s="484"/>
      <c r="X45" s="453">
        <f>10%*SUM(X34:Y34)-Y45</f>
        <v>53.27704</v>
      </c>
      <c r="Y45" s="447">
        <f>Y$54*Y34</f>
        <v>68.163260000000008</v>
      </c>
      <c r="Z45" s="480"/>
      <c r="AA45" s="481"/>
      <c r="AB45" s="453">
        <f>11%*SUM(AB34:AC34)-AC45</f>
        <v>51.044660000000007</v>
      </c>
      <c r="AC45" s="447">
        <f>AC$54*AC34</f>
        <v>77.729259999999996</v>
      </c>
      <c r="AD45" s="480"/>
      <c r="AE45" s="480"/>
      <c r="AF45" s="520"/>
      <c r="AG45" s="447">
        <f>AG$54*AG34</f>
        <v>0</v>
      </c>
      <c r="AH45" s="480"/>
      <c r="AI45" s="480"/>
      <c r="AJ45" s="520"/>
      <c r="AK45" s="447">
        <f>AK$54*AK34</f>
        <v>0</v>
      </c>
      <c r="AL45" s="480"/>
      <c r="AM45" s="480"/>
      <c r="AN45" s="780"/>
      <c r="AO45" s="449"/>
      <c r="AP45" s="449"/>
      <c r="AQ45" s="451"/>
      <c r="AR45" s="450"/>
      <c r="AS45" s="449"/>
      <c r="AT45" s="449"/>
      <c r="AU45" s="451"/>
      <c r="AV45" s="450"/>
      <c r="AW45" s="449"/>
      <c r="AX45" s="449"/>
      <c r="AY45" s="451"/>
      <c r="AZ45" s="450"/>
      <c r="BA45" s="449"/>
      <c r="BB45" s="449"/>
      <c r="BC45" s="451"/>
      <c r="BD45" s="450"/>
      <c r="BE45" s="449"/>
      <c r="BF45" s="449"/>
      <c r="BG45" s="451"/>
      <c r="BH45" s="450"/>
      <c r="BI45" s="449"/>
      <c r="BJ45" s="449"/>
      <c r="BK45" s="451"/>
      <c r="BL45" s="419"/>
      <c r="BM45" s="369"/>
      <c r="BN45" s="215"/>
      <c r="BO45" s="215"/>
      <c r="BP45" s="215"/>
      <c r="BQ45" s="484"/>
      <c r="BR45" s="449"/>
      <c r="BS45" s="449"/>
      <c r="BT45" s="449"/>
      <c r="BU45" s="215"/>
      <c r="BV45" s="215"/>
      <c r="BW45" s="215"/>
      <c r="BX45" s="215"/>
      <c r="BY45" s="215"/>
      <c r="BZ45" s="215"/>
      <c r="CA45" s="215"/>
      <c r="CB45" s="353"/>
    </row>
    <row r="46" spans="1:81" ht="14.25" customHeight="1">
      <c r="A46" s="1"/>
      <c r="B46" s="465" t="s">
        <v>286</v>
      </c>
      <c r="C46" s="388"/>
      <c r="D46" s="391"/>
      <c r="E46" s="7"/>
      <c r="F46" s="7"/>
      <c r="G46" s="392"/>
      <c r="H46" s="391"/>
      <c r="I46" s="7"/>
      <c r="J46" s="7"/>
      <c r="K46" s="392"/>
      <c r="L46" s="391"/>
      <c r="M46" s="7"/>
      <c r="N46" s="7"/>
      <c r="O46" s="7"/>
      <c r="P46" s="391"/>
      <c r="Q46" s="7"/>
      <c r="R46" s="7"/>
      <c r="S46" s="392"/>
      <c r="T46" s="487"/>
      <c r="U46" s="488"/>
      <c r="V46" s="488"/>
      <c r="W46" s="488"/>
      <c r="X46" s="458">
        <f>X44-X45</f>
        <v>142.98616999999996</v>
      </c>
      <c r="Y46" s="468">
        <f>Y44-Y45</f>
        <v>160.61457999999996</v>
      </c>
      <c r="Z46" s="482"/>
      <c r="AA46" s="483"/>
      <c r="AB46" s="458">
        <f>AB44-AB45</f>
        <v>188.98590999999999</v>
      </c>
      <c r="AC46" s="468">
        <f>AC44-AC45</f>
        <v>138.8022499999999</v>
      </c>
      <c r="AD46" s="482"/>
      <c r="AE46" s="482"/>
      <c r="AF46" s="521"/>
      <c r="AG46" s="468">
        <f>AG44-AG45</f>
        <v>233.89118999999994</v>
      </c>
      <c r="AH46" s="482"/>
      <c r="AI46" s="482"/>
      <c r="AJ46" s="521"/>
      <c r="AK46" s="468">
        <f>AK44-AK45</f>
        <v>251.35372000000001</v>
      </c>
      <c r="AL46" s="482"/>
      <c r="AM46" s="482"/>
      <c r="AN46" s="781"/>
      <c r="AO46" s="455"/>
      <c r="AP46" s="455"/>
      <c r="AQ46" s="456"/>
      <c r="AR46" s="454"/>
      <c r="AS46" s="455"/>
      <c r="AT46" s="455"/>
      <c r="AU46" s="456"/>
      <c r="AV46" s="454"/>
      <c r="AW46" s="455"/>
      <c r="AX46" s="455"/>
      <c r="AY46" s="456"/>
      <c r="AZ46" s="454"/>
      <c r="BA46" s="455"/>
      <c r="BB46" s="455"/>
      <c r="BC46" s="456"/>
      <c r="BD46" s="454"/>
      <c r="BE46" s="455"/>
      <c r="BF46" s="455"/>
      <c r="BG46" s="456"/>
      <c r="BH46" s="454"/>
      <c r="BI46" s="455"/>
      <c r="BJ46" s="455"/>
      <c r="BK46" s="456"/>
      <c r="BL46" s="419"/>
      <c r="BM46" s="369"/>
      <c r="BN46" s="215"/>
      <c r="BO46" s="215"/>
      <c r="BP46" s="215"/>
      <c r="BQ46" s="484"/>
      <c r="BR46" s="449"/>
      <c r="BS46" s="449"/>
      <c r="BT46" s="449"/>
      <c r="BU46" s="215"/>
      <c r="BV46" s="215"/>
      <c r="BW46" s="215"/>
      <c r="BX46" s="215"/>
      <c r="BY46" s="215"/>
      <c r="BZ46" s="215"/>
      <c r="CA46" s="215"/>
      <c r="CB46" s="353"/>
    </row>
    <row r="47" spans="1:81" ht="14.25" customHeight="1">
      <c r="A47" s="1"/>
      <c r="B47" s="466" t="s">
        <v>268</v>
      </c>
      <c r="C47" s="388"/>
      <c r="D47" s="391"/>
      <c r="E47" s="7"/>
      <c r="F47" s="7"/>
      <c r="G47" s="392"/>
      <c r="H47" s="391"/>
      <c r="I47" s="7"/>
      <c r="J47" s="7"/>
      <c r="K47" s="392"/>
      <c r="L47" s="391"/>
      <c r="M47" s="7"/>
      <c r="N47" s="7"/>
      <c r="O47" s="7"/>
      <c r="P47" s="391"/>
      <c r="Q47" s="7"/>
      <c r="R47" s="7"/>
      <c r="S47" s="392"/>
      <c r="T47" s="459">
        <f>T44+T41</f>
        <v>376.23500000000001</v>
      </c>
      <c r="U47" s="460">
        <f t="shared" ref="U47:AE47" si="92">U44+U41</f>
        <v>414.95</v>
      </c>
      <c r="V47" s="460">
        <f t="shared" si="92"/>
        <v>513.34900000000005</v>
      </c>
      <c r="W47" s="397">
        <f t="shared" si="92"/>
        <v>529.02</v>
      </c>
      <c r="X47" s="459">
        <f t="shared" si="92"/>
        <v>594.73699999999997</v>
      </c>
      <c r="Y47" s="460">
        <f t="shared" si="92"/>
        <v>619.66600000000005</v>
      </c>
      <c r="Z47" s="460">
        <f t="shared" si="92"/>
        <v>567.19000000000005</v>
      </c>
      <c r="AA47" s="461">
        <f t="shared" si="92"/>
        <v>587.85199999999998</v>
      </c>
      <c r="AB47" s="459">
        <f t="shared" si="92"/>
        <v>615.46299999999997</v>
      </c>
      <c r="AC47" s="460">
        <f t="shared" si="92"/>
        <v>555.20899999999995</v>
      </c>
      <c r="AD47" s="460">
        <f t="shared" si="92"/>
        <v>511.09100000000001</v>
      </c>
      <c r="AE47" s="460">
        <f t="shared" si="92"/>
        <v>558.97299999999996</v>
      </c>
      <c r="AF47" s="459">
        <f t="shared" ref="AF47:AK47" si="93">AF44+AF41</f>
        <v>582.78399999999999</v>
      </c>
      <c r="AG47" s="460">
        <f t="shared" si="93"/>
        <v>543.93299999999999</v>
      </c>
      <c r="AH47" s="460">
        <f t="shared" si="93"/>
        <v>509.767</v>
      </c>
      <c r="AI47" s="460">
        <f t="shared" si="93"/>
        <v>532.16800000000001</v>
      </c>
      <c r="AJ47" s="459">
        <f t="shared" si="93"/>
        <v>578.95500000000004</v>
      </c>
      <c r="AK47" s="460">
        <f t="shared" si="93"/>
        <v>598.93700000000001</v>
      </c>
      <c r="AL47" s="460">
        <f>AL44+AL41</f>
        <v>586.81600000000003</v>
      </c>
      <c r="AM47" s="460">
        <f>AM44+AM41</f>
        <v>617.82299999999998</v>
      </c>
      <c r="AN47" s="782">
        <f>AN44+AN41</f>
        <v>612.63300000000004</v>
      </c>
      <c r="AO47" s="460"/>
      <c r="AP47" s="460"/>
      <c r="AQ47" s="461"/>
      <c r="AR47" s="459"/>
      <c r="AS47" s="460"/>
      <c r="AT47" s="460"/>
      <c r="AU47" s="461"/>
      <c r="AV47" s="459"/>
      <c r="AW47" s="460"/>
      <c r="AX47" s="460"/>
      <c r="AY47" s="461"/>
      <c r="AZ47" s="459"/>
      <c r="BA47" s="460"/>
      <c r="BB47" s="460"/>
      <c r="BC47" s="461"/>
      <c r="BD47" s="459"/>
      <c r="BE47" s="460"/>
      <c r="BF47" s="460"/>
      <c r="BG47" s="461"/>
      <c r="BH47" s="459"/>
      <c r="BI47" s="460"/>
      <c r="BJ47" s="460"/>
      <c r="BK47" s="461"/>
      <c r="BL47" s="419"/>
      <c r="BM47" s="443"/>
      <c r="BN47" s="444"/>
      <c r="BO47" s="444"/>
      <c r="BP47" s="444"/>
      <c r="BQ47" s="448">
        <f>BQ44+BQ41</f>
        <v>1833.5540000000001</v>
      </c>
      <c r="BR47" s="448">
        <f>BR44+BR41</f>
        <v>2369.4450000000002</v>
      </c>
      <c r="BS47" s="448">
        <f>BS44+BS41</f>
        <v>2240.7359999999999</v>
      </c>
      <c r="BT47" s="448">
        <f>BT44+BT41</f>
        <v>2142.2717500000003</v>
      </c>
      <c r="BU47" s="448">
        <f>BU44+BU41</f>
        <v>2236.0306300000002</v>
      </c>
      <c r="BV47" s="444"/>
      <c r="BW47" s="444"/>
      <c r="BX47" s="444"/>
      <c r="BY47" s="444"/>
      <c r="BZ47" s="444"/>
      <c r="CA47" s="444"/>
      <c r="CB47" s="445"/>
      <c r="CC47" s="751"/>
    </row>
    <row r="48" spans="1:81" ht="14.25" customHeight="1">
      <c r="A48" s="1"/>
      <c r="B48" s="380"/>
      <c r="C48" s="330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381"/>
      <c r="U48" s="381"/>
      <c r="V48" s="381"/>
      <c r="W48" s="381"/>
      <c r="X48" s="381"/>
      <c r="Y48" s="381"/>
      <c r="Z48" s="381"/>
      <c r="AA48" s="381"/>
      <c r="AB48" s="381"/>
      <c r="AC48" s="381"/>
      <c r="AD48" s="381"/>
      <c r="AE48" s="381"/>
      <c r="AF48" s="381"/>
      <c r="AG48" s="381"/>
      <c r="AH48" s="381"/>
      <c r="AI48" s="381"/>
      <c r="AJ48" s="381"/>
      <c r="AK48" s="381"/>
      <c r="AL48" s="381"/>
      <c r="AM48" s="381"/>
      <c r="AN48" s="381"/>
      <c r="AO48" s="381"/>
      <c r="AP48" s="381"/>
      <c r="AQ48" s="381"/>
      <c r="AR48" s="381"/>
      <c r="AS48" s="381"/>
      <c r="AT48" s="381"/>
      <c r="AU48" s="381"/>
      <c r="AV48" s="381"/>
      <c r="AW48" s="381"/>
      <c r="AX48" s="381"/>
      <c r="AY48" s="381"/>
      <c r="AZ48" s="381"/>
      <c r="BA48" s="381"/>
      <c r="BB48" s="381"/>
      <c r="BC48" s="381"/>
      <c r="BD48" s="381"/>
      <c r="BE48" s="381"/>
      <c r="BF48" s="381"/>
      <c r="BG48" s="381"/>
      <c r="BH48" s="381"/>
      <c r="BI48" s="381"/>
      <c r="BJ48" s="381"/>
      <c r="BK48" s="381"/>
      <c r="BL48" s="1"/>
      <c r="BM48" s="1"/>
      <c r="BN48" s="1"/>
      <c r="BO48" s="1"/>
      <c r="BP48" s="1"/>
      <c r="BQ48" s="1"/>
      <c r="BR48" s="381"/>
      <c r="BS48" s="381"/>
      <c r="BT48" s="381"/>
      <c r="BU48" s="215"/>
      <c r="BV48" s="215"/>
      <c r="BW48" s="215"/>
      <c r="BX48" s="1"/>
      <c r="BY48" s="1"/>
      <c r="BZ48" s="1"/>
      <c r="CA48" s="1"/>
      <c r="CB48" s="1"/>
    </row>
    <row r="49" spans="1:81" ht="14.25" customHeight="1">
      <c r="A49" s="1"/>
      <c r="B49" s="462" t="s">
        <v>283</v>
      </c>
      <c r="C49" s="426"/>
      <c r="D49" s="427"/>
      <c r="E49" s="427"/>
      <c r="F49" s="427"/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27"/>
      <c r="T49" s="427"/>
      <c r="U49" s="427"/>
      <c r="V49" s="427"/>
      <c r="W49" s="427"/>
      <c r="X49" s="427"/>
      <c r="Y49" s="427"/>
      <c r="Z49" s="427"/>
      <c r="AA49" s="427"/>
      <c r="AB49" s="427"/>
      <c r="AC49" s="427"/>
      <c r="AD49" s="427"/>
      <c r="AE49" s="427"/>
      <c r="AF49" s="427"/>
      <c r="AG49" s="427"/>
      <c r="AH49" s="427"/>
      <c r="AI49" s="427"/>
      <c r="AJ49" s="427"/>
      <c r="AK49" s="427"/>
      <c r="AL49" s="427"/>
      <c r="AM49" s="427"/>
      <c r="AN49" s="427"/>
      <c r="AO49" s="427"/>
      <c r="AP49" s="427"/>
      <c r="AQ49" s="427"/>
      <c r="AR49" s="427"/>
      <c r="AS49" s="427"/>
      <c r="AT49" s="427"/>
      <c r="AU49" s="427"/>
      <c r="AV49" s="427"/>
      <c r="AW49" s="427"/>
      <c r="AX49" s="427"/>
      <c r="AY49" s="427"/>
      <c r="AZ49" s="427"/>
      <c r="BA49" s="427"/>
      <c r="BB49" s="427"/>
      <c r="BC49" s="427"/>
      <c r="BD49" s="427"/>
      <c r="BE49" s="427"/>
      <c r="BF49" s="427"/>
      <c r="BG49" s="427"/>
      <c r="BH49" s="427"/>
      <c r="BI49" s="427"/>
      <c r="BJ49" s="427"/>
      <c r="BK49" s="427"/>
      <c r="BL49" s="419"/>
      <c r="BM49" s="428"/>
      <c r="BN49" s="429"/>
      <c r="BO49" s="429"/>
      <c r="BP49" s="429"/>
      <c r="BQ49" s="430"/>
      <c r="BR49" s="430"/>
      <c r="BS49" s="430"/>
      <c r="BT49" s="430"/>
      <c r="BU49" s="430"/>
      <c r="BV49" s="430"/>
      <c r="BW49" s="430"/>
      <c r="BX49" s="430"/>
      <c r="BY49" s="430"/>
      <c r="BZ49" s="430"/>
      <c r="CA49" s="430"/>
      <c r="CB49" s="431"/>
      <c r="CC49" s="751"/>
    </row>
    <row r="50" spans="1:81" s="407" customFormat="1" ht="14.25" customHeight="1">
      <c r="B50" s="522" t="s">
        <v>284</v>
      </c>
      <c r="C50" s="437"/>
      <c r="D50" s="523"/>
      <c r="E50" s="524"/>
      <c r="F50" s="524"/>
      <c r="G50" s="525"/>
      <c r="H50" s="523"/>
      <c r="I50" s="524"/>
      <c r="J50" s="524"/>
      <c r="K50" s="525"/>
      <c r="L50" s="523"/>
      <c r="M50" s="524"/>
      <c r="N50" s="524"/>
      <c r="O50" s="524"/>
      <c r="P50" s="526"/>
      <c r="Q50" s="527"/>
      <c r="R50" s="527"/>
      <c r="S50" s="528"/>
      <c r="T50" s="529">
        <v>0.72</v>
      </c>
      <c r="U50" s="530">
        <f>U41/U47</f>
        <v>0.6818660079527652</v>
      </c>
      <c r="V50" s="530">
        <f>V41/V47</f>
        <v>0.70000000000000007</v>
      </c>
      <c r="W50" s="530">
        <f>W41/W47</f>
        <v>0.66534055423235428</v>
      </c>
      <c r="X50" s="529">
        <v>0.67</v>
      </c>
      <c r="Y50" s="530">
        <f>Y41/Y47</f>
        <v>0.63080459473329187</v>
      </c>
      <c r="Z50" s="530">
        <f>Z41/Z47</f>
        <v>0.64999999999999991</v>
      </c>
      <c r="AA50" s="530">
        <f>AA41/AA47</f>
        <v>0.56938634214053874</v>
      </c>
      <c r="AB50" s="529">
        <v>0.61</v>
      </c>
      <c r="AC50" s="530">
        <f>AC41/AC47</f>
        <v>0.6100000000000001</v>
      </c>
      <c r="AD50" s="530">
        <f>AD41/AD47</f>
        <v>0.60999999999999965</v>
      </c>
      <c r="AE50" s="530">
        <f>AE41/AE47</f>
        <v>0.61</v>
      </c>
      <c r="AF50" s="529">
        <v>0.56999999999999995</v>
      </c>
      <c r="AG50" s="530">
        <f>AG41/AG47</f>
        <v>0.57000000000000006</v>
      </c>
      <c r="AH50" s="530">
        <f>AH41/AH47</f>
        <v>0.69841035218050607</v>
      </c>
      <c r="AI50" s="530">
        <f>AI41/AI47</f>
        <v>-1.8758272575577639</v>
      </c>
      <c r="AJ50" s="529">
        <v>0.6</v>
      </c>
      <c r="AK50" s="530">
        <f>AK41/AK47</f>
        <v>0.58033362440457004</v>
      </c>
      <c r="AL50" s="530">
        <f>AL41/AL47</f>
        <v>0.55992740484240366</v>
      </c>
      <c r="AM50" s="530">
        <f>AM41/AM47</f>
        <v>0.50287334722080623</v>
      </c>
      <c r="AN50" s="831">
        <v>0.53</v>
      </c>
      <c r="AO50" s="830">
        <v>0.54</v>
      </c>
      <c r="AP50" s="830">
        <v>0.53</v>
      </c>
      <c r="AQ50" s="832"/>
      <c r="AR50" s="529"/>
      <c r="AS50" s="531"/>
      <c r="AT50" s="531"/>
      <c r="AU50" s="532"/>
      <c r="AV50" s="529"/>
      <c r="AW50" s="531"/>
      <c r="AX50" s="531"/>
      <c r="AY50" s="532"/>
      <c r="AZ50" s="529"/>
      <c r="BA50" s="531"/>
      <c r="BB50" s="531"/>
      <c r="BC50" s="532"/>
      <c r="BD50" s="529"/>
      <c r="BE50" s="531"/>
      <c r="BF50" s="531"/>
      <c r="BG50" s="532"/>
      <c r="BH50" s="529"/>
      <c r="BI50" s="531"/>
      <c r="BJ50" s="531"/>
      <c r="BK50" s="532"/>
      <c r="BL50" s="533"/>
      <c r="BM50" s="534"/>
      <c r="BN50" s="535"/>
      <c r="BO50" s="535"/>
      <c r="BP50" s="535"/>
      <c r="BQ50" s="531">
        <v>0.69</v>
      </c>
      <c r="BR50" s="531">
        <v>0.63</v>
      </c>
      <c r="BS50" s="531">
        <v>0.61</v>
      </c>
      <c r="BT50" s="531">
        <v>0.57999999999999996</v>
      </c>
      <c r="BU50" s="531">
        <v>0.56000000000000005</v>
      </c>
      <c r="BV50" s="527"/>
      <c r="BW50" s="527"/>
      <c r="BX50" s="527"/>
      <c r="BY50" s="527"/>
      <c r="BZ50" s="527"/>
      <c r="CA50" s="527"/>
      <c r="CB50" s="528"/>
      <c r="CC50" s="422"/>
    </row>
    <row r="51" spans="1:81" s="398" customFormat="1" ht="14.25" customHeight="1">
      <c r="B51" s="536" t="s">
        <v>285</v>
      </c>
      <c r="C51" s="400"/>
      <c r="D51" s="537"/>
      <c r="E51" s="538"/>
      <c r="F51" s="538"/>
      <c r="G51" s="539"/>
      <c r="H51" s="537"/>
      <c r="I51" s="538"/>
      <c r="J51" s="538"/>
      <c r="K51" s="539"/>
      <c r="L51" s="537"/>
      <c r="M51" s="538"/>
      <c r="N51" s="538"/>
      <c r="O51" s="538"/>
      <c r="P51" s="540">
        <v>0.56000000000000005</v>
      </c>
      <c r="Q51" s="541">
        <v>0.56000000000000005</v>
      </c>
      <c r="R51" s="541">
        <v>0.55000000000000004</v>
      </c>
      <c r="S51" s="542">
        <f>S42/S34</f>
        <v>0.52539877067648222</v>
      </c>
      <c r="T51" s="540">
        <v>0.52</v>
      </c>
      <c r="U51" s="541">
        <v>0.46</v>
      </c>
      <c r="V51" s="541">
        <v>0.49</v>
      </c>
      <c r="W51" s="542">
        <f>W42/W34</f>
        <v>0.49219547465124175</v>
      </c>
      <c r="X51" s="540">
        <v>0.52</v>
      </c>
      <c r="Y51" s="541">
        <v>0.53</v>
      </c>
      <c r="Z51" s="541">
        <v>0.53</v>
      </c>
      <c r="AA51" s="542">
        <f>AA42/AA47</f>
        <v>0.45950346345678833</v>
      </c>
      <c r="AB51" s="540">
        <v>0.49</v>
      </c>
      <c r="AC51" s="541">
        <v>0.47</v>
      </c>
      <c r="AD51" s="541">
        <v>0.5</v>
      </c>
      <c r="AE51" s="542">
        <f>AE42/AE47</f>
        <v>0.46063527218667066</v>
      </c>
      <c r="AF51" s="540">
        <v>0.46</v>
      </c>
      <c r="AG51" s="541">
        <v>0.44</v>
      </c>
      <c r="AH51" s="541">
        <v>0.47</v>
      </c>
      <c r="AI51" s="542">
        <f>AI42/AI47</f>
        <v>-1.4036951676914056</v>
      </c>
      <c r="AJ51" s="540">
        <v>0.49</v>
      </c>
      <c r="AK51" s="541">
        <v>0.44</v>
      </c>
      <c r="AL51" s="541">
        <v>0.45</v>
      </c>
      <c r="AM51" s="542">
        <f>AM42/AM47</f>
        <v>0.46077408901902306</v>
      </c>
      <c r="AN51" s="835">
        <v>0.46</v>
      </c>
      <c r="AO51" s="836">
        <v>0.43</v>
      </c>
      <c r="AP51" s="836">
        <v>0.4</v>
      </c>
      <c r="AQ51" s="837"/>
      <c r="AR51" s="540"/>
      <c r="AS51" s="541"/>
      <c r="AT51" s="541"/>
      <c r="AU51" s="543"/>
      <c r="AV51" s="540"/>
      <c r="AW51" s="541"/>
      <c r="AX51" s="541"/>
      <c r="AY51" s="543"/>
      <c r="AZ51" s="540"/>
      <c r="BA51" s="541"/>
      <c r="BB51" s="541"/>
      <c r="BC51" s="543"/>
      <c r="BD51" s="540"/>
      <c r="BE51" s="541"/>
      <c r="BF51" s="541"/>
      <c r="BG51" s="543"/>
      <c r="BH51" s="540"/>
      <c r="BI51" s="541"/>
      <c r="BJ51" s="541"/>
      <c r="BK51" s="543"/>
      <c r="BL51" s="544"/>
      <c r="BM51" s="545"/>
      <c r="BN51" s="546"/>
      <c r="BO51" s="541">
        <v>0.61</v>
      </c>
      <c r="BP51" s="541">
        <v>0.55000000000000004</v>
      </c>
      <c r="BQ51" s="541">
        <v>0.49</v>
      </c>
      <c r="BR51" s="541">
        <v>0.51</v>
      </c>
      <c r="BS51" s="541">
        <v>0.48</v>
      </c>
      <c r="BT51" s="541">
        <v>0.46</v>
      </c>
      <c r="BU51" s="541">
        <v>0.46</v>
      </c>
      <c r="BV51" s="547"/>
      <c r="BW51" s="547"/>
      <c r="BX51" s="547"/>
      <c r="BY51" s="547"/>
      <c r="BZ51" s="547"/>
      <c r="CA51" s="547"/>
      <c r="CB51" s="548"/>
      <c r="CC51" s="399"/>
    </row>
    <row r="52" spans="1:81" s="398" customFormat="1" ht="14.25" customHeight="1">
      <c r="B52" s="536" t="s">
        <v>286</v>
      </c>
      <c r="C52" s="400"/>
      <c r="D52" s="537"/>
      <c r="E52" s="538"/>
      <c r="F52" s="538"/>
      <c r="G52" s="539"/>
      <c r="H52" s="537"/>
      <c r="I52" s="538"/>
      <c r="J52" s="538"/>
      <c r="K52" s="539"/>
      <c r="L52" s="537"/>
      <c r="M52" s="538"/>
      <c r="N52" s="538"/>
      <c r="O52" s="538"/>
      <c r="P52" s="549"/>
      <c r="Q52" s="547"/>
      <c r="R52" s="547"/>
      <c r="S52" s="548"/>
      <c r="T52" s="550">
        <f>T50-T51</f>
        <v>0.19999999999999996</v>
      </c>
      <c r="U52" s="550">
        <f>U50-U51</f>
        <v>0.22186600795276518</v>
      </c>
      <c r="V52" s="550">
        <f>V50-V51</f>
        <v>0.21000000000000008</v>
      </c>
      <c r="W52" s="542">
        <f>W46/W47</f>
        <v>0</v>
      </c>
      <c r="X52" s="550">
        <f>X50-X51</f>
        <v>0.15000000000000002</v>
      </c>
      <c r="Y52" s="550">
        <f>Y50-Y51</f>
        <v>0.10080459473329184</v>
      </c>
      <c r="Z52" s="550">
        <f>Z50-Z51</f>
        <v>0.11999999999999988</v>
      </c>
      <c r="AA52" s="542">
        <f>AA46/AA47</f>
        <v>0</v>
      </c>
      <c r="AB52" s="550">
        <f>AB50-AB51</f>
        <v>0.12</v>
      </c>
      <c r="AC52" s="550">
        <f>AC50-AC51</f>
        <v>0.14000000000000012</v>
      </c>
      <c r="AD52" s="550">
        <f>AD50-AD51</f>
        <v>0.10999999999999965</v>
      </c>
      <c r="AE52" s="542">
        <f>AE46/AE47</f>
        <v>0</v>
      </c>
      <c r="AF52" s="550">
        <f>AF50-AF51</f>
        <v>0.10999999999999993</v>
      </c>
      <c r="AG52" s="550">
        <f>AG50-AG51</f>
        <v>0.13000000000000006</v>
      </c>
      <c r="AH52" s="550">
        <f>AH50-AH51</f>
        <v>0.22841035218050609</v>
      </c>
      <c r="AI52" s="542">
        <f>AI46/AI47</f>
        <v>0</v>
      </c>
      <c r="AJ52" s="550">
        <f>AJ50-AJ51</f>
        <v>0.10999999999999999</v>
      </c>
      <c r="AK52" s="550">
        <f>AK50-AK51</f>
        <v>0.14033362440457003</v>
      </c>
      <c r="AL52" s="550">
        <f>AL50-AL51</f>
        <v>0.10992740484240365</v>
      </c>
      <c r="AM52" s="542">
        <f>AM46/AM47</f>
        <v>0</v>
      </c>
      <c r="AN52" s="569">
        <f>AN50-AN51</f>
        <v>7.0000000000000007E-2</v>
      </c>
      <c r="AO52" s="570">
        <f>AO50-AO51</f>
        <v>0.11000000000000004</v>
      </c>
      <c r="AP52" s="570">
        <f>AP50-AP51</f>
        <v>0.13</v>
      </c>
      <c r="AQ52" s="574"/>
      <c r="AR52" s="540"/>
      <c r="AS52" s="541"/>
      <c r="AT52" s="541"/>
      <c r="AU52" s="543"/>
      <c r="AV52" s="540"/>
      <c r="AW52" s="541"/>
      <c r="AX52" s="541"/>
      <c r="AY52" s="543"/>
      <c r="AZ52" s="540"/>
      <c r="BA52" s="541"/>
      <c r="BB52" s="541"/>
      <c r="BC52" s="543"/>
      <c r="BD52" s="540"/>
      <c r="BE52" s="541"/>
      <c r="BF52" s="541"/>
      <c r="BG52" s="543"/>
      <c r="BH52" s="540"/>
      <c r="BI52" s="541"/>
      <c r="BJ52" s="541"/>
      <c r="BK52" s="543"/>
      <c r="BL52" s="544"/>
      <c r="BM52" s="545"/>
      <c r="BN52" s="546"/>
      <c r="BO52" s="546"/>
      <c r="BP52" s="546"/>
      <c r="BQ52" s="550">
        <f>BQ43/BQ47</f>
        <v>0.20000000000000007</v>
      </c>
      <c r="BR52" s="550">
        <f>BR43/BR47</f>
        <v>0.11999999999999998</v>
      </c>
      <c r="BS52" s="550">
        <f>BS43/BS47</f>
        <v>0.13</v>
      </c>
      <c r="BT52" s="550"/>
      <c r="BU52" s="550"/>
      <c r="BV52" s="547"/>
      <c r="BW52" s="547"/>
      <c r="BX52" s="547"/>
      <c r="BY52" s="547"/>
      <c r="BZ52" s="547"/>
      <c r="CA52" s="547"/>
      <c r="CB52" s="548"/>
      <c r="CC52" s="399"/>
    </row>
    <row r="53" spans="1:81" s="407" customFormat="1" ht="14.25" customHeight="1">
      <c r="B53" s="522" t="s">
        <v>287</v>
      </c>
      <c r="C53" s="437"/>
      <c r="D53" s="523"/>
      <c r="E53" s="524"/>
      <c r="F53" s="524"/>
      <c r="G53" s="525"/>
      <c r="H53" s="523"/>
      <c r="I53" s="524"/>
      <c r="J53" s="524"/>
      <c r="K53" s="525"/>
      <c r="L53" s="523"/>
      <c r="M53" s="524"/>
      <c r="N53" s="524"/>
      <c r="O53" s="524"/>
      <c r="P53" s="526"/>
      <c r="Q53" s="527"/>
      <c r="R53" s="527"/>
      <c r="S53" s="528"/>
      <c r="T53" s="551">
        <f t="shared" ref="T53:AE53" si="94">T44/T47</f>
        <v>0.27999999999999997</v>
      </c>
      <c r="U53" s="530">
        <f t="shared" si="94"/>
        <v>0.31813399204723475</v>
      </c>
      <c r="V53" s="530">
        <f t="shared" si="94"/>
        <v>0.29999999999999988</v>
      </c>
      <c r="W53" s="552">
        <f t="shared" si="94"/>
        <v>0.33465944576764572</v>
      </c>
      <c r="X53" s="551">
        <f t="shared" si="94"/>
        <v>0.32999999999999996</v>
      </c>
      <c r="Y53" s="530">
        <f t="shared" si="94"/>
        <v>0.36919540526670813</v>
      </c>
      <c r="Z53" s="530">
        <f t="shared" si="94"/>
        <v>0.35000000000000009</v>
      </c>
      <c r="AA53" s="552">
        <f t="shared" si="94"/>
        <v>0.43061365785946132</v>
      </c>
      <c r="AB53" s="551">
        <f t="shared" si="94"/>
        <v>0.39</v>
      </c>
      <c r="AC53" s="530">
        <f t="shared" si="94"/>
        <v>0.3899999999999999</v>
      </c>
      <c r="AD53" s="530">
        <f t="shared" si="94"/>
        <v>0.39000000000000035</v>
      </c>
      <c r="AE53" s="552">
        <f t="shared" si="94"/>
        <v>0.38999999999999996</v>
      </c>
      <c r="AF53" s="551">
        <f t="shared" ref="AF53:AK53" si="95">AF44/AF47</f>
        <v>0.43000000000000005</v>
      </c>
      <c r="AG53" s="530">
        <f t="shared" si="95"/>
        <v>0.42999999999999988</v>
      </c>
      <c r="AH53" s="530">
        <f t="shared" si="95"/>
        <v>0.30158964781949393</v>
      </c>
      <c r="AI53" s="552">
        <f t="shared" si="95"/>
        <v>2.8758272575577637</v>
      </c>
      <c r="AJ53" s="551">
        <f t="shared" si="95"/>
        <v>0.40000000000000008</v>
      </c>
      <c r="AK53" s="530">
        <f t="shared" si="95"/>
        <v>0.41966637559542991</v>
      </c>
      <c r="AL53" s="530">
        <f>AL44/AL47</f>
        <v>0.44007259515759634</v>
      </c>
      <c r="AM53" s="552">
        <f>AM44/AM47</f>
        <v>0.49712665277919377</v>
      </c>
      <c r="AN53" s="833">
        <f>1-AN50</f>
        <v>0.47</v>
      </c>
      <c r="AO53" s="578">
        <f>1-AO50</f>
        <v>0.45999999999999996</v>
      </c>
      <c r="AP53" s="578">
        <f>1-AP50</f>
        <v>0.47</v>
      </c>
      <c r="AQ53" s="834"/>
      <c r="AR53" s="529"/>
      <c r="AS53" s="531"/>
      <c r="AT53" s="531"/>
      <c r="AU53" s="532"/>
      <c r="AV53" s="529"/>
      <c r="AW53" s="531"/>
      <c r="AX53" s="531"/>
      <c r="AY53" s="532"/>
      <c r="AZ53" s="529"/>
      <c r="BA53" s="531"/>
      <c r="BB53" s="531"/>
      <c r="BC53" s="532"/>
      <c r="BD53" s="529"/>
      <c r="BE53" s="531"/>
      <c r="BF53" s="531"/>
      <c r="BG53" s="532"/>
      <c r="BH53" s="529"/>
      <c r="BI53" s="531"/>
      <c r="BJ53" s="531"/>
      <c r="BK53" s="532"/>
      <c r="BL53" s="533"/>
      <c r="BM53" s="534"/>
      <c r="BN53" s="535"/>
      <c r="BO53" s="535"/>
      <c r="BP53" s="535"/>
      <c r="BQ53" s="530">
        <f>BQ44/BQ47</f>
        <v>0.31</v>
      </c>
      <c r="BR53" s="530">
        <f>BR44/BR47</f>
        <v>0.37</v>
      </c>
      <c r="BS53" s="530">
        <f>BS44/BS47</f>
        <v>0.39000000000000007</v>
      </c>
      <c r="BT53" s="530"/>
      <c r="BU53" s="530"/>
      <c r="BV53" s="527"/>
      <c r="BW53" s="527"/>
      <c r="BX53" s="527"/>
      <c r="BY53" s="527"/>
      <c r="BZ53" s="527"/>
      <c r="CA53" s="527"/>
      <c r="CB53" s="528"/>
      <c r="CC53" s="422"/>
    </row>
    <row r="54" spans="1:81" s="398" customFormat="1" ht="14.25" customHeight="1">
      <c r="B54" s="536" t="s">
        <v>288</v>
      </c>
      <c r="C54" s="400"/>
      <c r="D54" s="399"/>
      <c r="E54" s="401"/>
      <c r="F54" s="401"/>
      <c r="G54" s="402"/>
      <c r="H54" s="399"/>
      <c r="I54" s="401"/>
      <c r="J54" s="401"/>
      <c r="K54" s="402"/>
      <c r="L54" s="399"/>
      <c r="M54" s="401"/>
      <c r="N54" s="401"/>
      <c r="O54" s="401"/>
      <c r="P54" s="545"/>
      <c r="Q54" s="546"/>
      <c r="R54" s="546"/>
      <c r="S54" s="553"/>
      <c r="T54" s="554"/>
      <c r="U54" s="555"/>
      <c r="V54" s="555"/>
      <c r="W54" s="555"/>
      <c r="X54" s="556">
        <f>X45/X47</f>
        <v>8.9580839934290293E-2</v>
      </c>
      <c r="Y54" s="541">
        <v>0.11</v>
      </c>
      <c r="Z54" s="555"/>
      <c r="AA54" s="557"/>
      <c r="AB54" s="556">
        <f>AB45/AB47</f>
        <v>8.2937008398555251E-2</v>
      </c>
      <c r="AC54" s="541">
        <v>0.14000000000000001</v>
      </c>
      <c r="AD54" s="555"/>
      <c r="AE54" s="557"/>
      <c r="AF54" s="558"/>
      <c r="AG54" s="555"/>
      <c r="AH54" s="555"/>
      <c r="AI54" s="557"/>
      <c r="AJ54" s="558"/>
      <c r="AK54" s="555"/>
      <c r="AL54" s="541"/>
      <c r="AM54" s="557"/>
      <c r="AN54" s="540"/>
      <c r="AO54" s="541"/>
      <c r="AP54" s="541"/>
      <c r="AQ54" s="543"/>
      <c r="AR54" s="540"/>
      <c r="AS54" s="541"/>
      <c r="AT54" s="541"/>
      <c r="AU54" s="543"/>
      <c r="AV54" s="540"/>
      <c r="AW54" s="541"/>
      <c r="AX54" s="541"/>
      <c r="AY54" s="543"/>
      <c r="AZ54" s="540"/>
      <c r="BA54" s="541"/>
      <c r="BB54" s="541"/>
      <c r="BC54" s="543"/>
      <c r="BD54" s="540"/>
      <c r="BE54" s="541"/>
      <c r="BF54" s="541"/>
      <c r="BG54" s="543"/>
      <c r="BH54" s="540"/>
      <c r="BI54" s="541"/>
      <c r="BJ54" s="541"/>
      <c r="BK54" s="543"/>
      <c r="BL54" s="544"/>
      <c r="BM54" s="545"/>
      <c r="BN54" s="546"/>
      <c r="BO54" s="546"/>
      <c r="BP54" s="546"/>
      <c r="BQ54" s="555"/>
      <c r="BR54" s="541"/>
      <c r="BS54" s="541"/>
      <c r="BT54" s="541"/>
      <c r="BU54" s="546"/>
      <c r="BV54" s="546"/>
      <c r="BW54" s="546"/>
      <c r="BX54" s="546"/>
      <c r="BY54" s="546"/>
      <c r="BZ54" s="546"/>
      <c r="CA54" s="546"/>
      <c r="CB54" s="553"/>
      <c r="CC54" s="399"/>
    </row>
    <row r="55" spans="1:81" s="398" customFormat="1" ht="14.25" customHeight="1">
      <c r="B55" s="559" t="s">
        <v>286</v>
      </c>
      <c r="C55" s="560"/>
      <c r="D55" s="561"/>
      <c r="E55" s="562"/>
      <c r="F55" s="562"/>
      <c r="G55" s="563"/>
      <c r="H55" s="561"/>
      <c r="I55" s="562"/>
      <c r="J55" s="562"/>
      <c r="K55" s="563"/>
      <c r="L55" s="561"/>
      <c r="M55" s="562"/>
      <c r="N55" s="562"/>
      <c r="O55" s="562"/>
      <c r="P55" s="564"/>
      <c r="Q55" s="565"/>
      <c r="R55" s="565"/>
      <c r="S55" s="566"/>
      <c r="T55" s="567"/>
      <c r="U55" s="568"/>
      <c r="V55" s="568"/>
      <c r="W55" s="568"/>
      <c r="X55" s="569">
        <f>X46/X47</f>
        <v>0.24041916006570965</v>
      </c>
      <c r="Y55" s="570">
        <f>Y46/Y47</f>
        <v>0.25919540526670809</v>
      </c>
      <c r="Z55" s="568"/>
      <c r="AA55" s="571"/>
      <c r="AB55" s="569">
        <f>AB46/AB47</f>
        <v>0.30706299160144479</v>
      </c>
      <c r="AC55" s="570">
        <f>AC46/AC47</f>
        <v>0.24999999999999983</v>
      </c>
      <c r="AD55" s="568"/>
      <c r="AE55" s="571"/>
      <c r="AF55" s="572"/>
      <c r="AG55" s="568"/>
      <c r="AH55" s="568"/>
      <c r="AI55" s="571"/>
      <c r="AJ55" s="572"/>
      <c r="AK55" s="568"/>
      <c r="AL55" s="573"/>
      <c r="AM55" s="571"/>
      <c r="AN55" s="575"/>
      <c r="AO55" s="573"/>
      <c r="AP55" s="573"/>
      <c r="AQ55" s="574"/>
      <c r="AR55" s="575"/>
      <c r="AS55" s="573"/>
      <c r="AT55" s="573"/>
      <c r="AU55" s="574"/>
      <c r="AV55" s="575"/>
      <c r="AW55" s="573"/>
      <c r="AX55" s="573"/>
      <c r="AY55" s="574"/>
      <c r="AZ55" s="575"/>
      <c r="BA55" s="573"/>
      <c r="BB55" s="573"/>
      <c r="BC55" s="574"/>
      <c r="BD55" s="575"/>
      <c r="BE55" s="573"/>
      <c r="BF55" s="573"/>
      <c r="BG55" s="574"/>
      <c r="BH55" s="575"/>
      <c r="BI55" s="573"/>
      <c r="BJ55" s="573"/>
      <c r="BK55" s="574"/>
      <c r="BL55" s="544"/>
      <c r="BM55" s="545"/>
      <c r="BN55" s="546"/>
      <c r="BO55" s="546"/>
      <c r="BP55" s="546"/>
      <c r="BQ55" s="555"/>
      <c r="BR55" s="541"/>
      <c r="BS55" s="541"/>
      <c r="BT55" s="541"/>
      <c r="BU55" s="546"/>
      <c r="BV55" s="546"/>
      <c r="BW55" s="546"/>
      <c r="BX55" s="546"/>
      <c r="BY55" s="546"/>
      <c r="BZ55" s="546"/>
      <c r="CA55" s="546"/>
      <c r="CB55" s="553"/>
      <c r="CC55" s="399"/>
    </row>
    <row r="56" spans="1:81" s="398" customFormat="1" ht="14.25" customHeight="1">
      <c r="B56" s="576" t="s">
        <v>268</v>
      </c>
      <c r="C56" s="560"/>
      <c r="D56" s="561"/>
      <c r="E56" s="562"/>
      <c r="F56" s="562"/>
      <c r="G56" s="563"/>
      <c r="H56" s="561"/>
      <c r="I56" s="562"/>
      <c r="J56" s="562"/>
      <c r="K56" s="563"/>
      <c r="L56" s="561"/>
      <c r="M56" s="562"/>
      <c r="N56" s="562"/>
      <c r="O56" s="562"/>
      <c r="P56" s="564"/>
      <c r="Q56" s="565"/>
      <c r="R56" s="565"/>
      <c r="S56" s="566"/>
      <c r="T56" s="577">
        <f t="shared" ref="T56:AA56" si="96">T53+T50</f>
        <v>1</v>
      </c>
      <c r="U56" s="578">
        <f t="shared" si="96"/>
        <v>1</v>
      </c>
      <c r="V56" s="578">
        <f t="shared" si="96"/>
        <v>1</v>
      </c>
      <c r="W56" s="579">
        <f t="shared" si="96"/>
        <v>1</v>
      </c>
      <c r="X56" s="577">
        <f t="shared" si="96"/>
        <v>1</v>
      </c>
      <c r="Y56" s="578">
        <f t="shared" si="96"/>
        <v>1</v>
      </c>
      <c r="Z56" s="578">
        <f t="shared" si="96"/>
        <v>1</v>
      </c>
      <c r="AA56" s="579">
        <f t="shared" si="96"/>
        <v>1</v>
      </c>
      <c r="AB56" s="577">
        <f t="shared" ref="AB56:AG56" si="97">AB53+AB50</f>
        <v>1</v>
      </c>
      <c r="AC56" s="578">
        <f t="shared" si="97"/>
        <v>1</v>
      </c>
      <c r="AD56" s="578">
        <f t="shared" si="97"/>
        <v>1</v>
      </c>
      <c r="AE56" s="579">
        <f t="shared" si="97"/>
        <v>1</v>
      </c>
      <c r="AF56" s="577">
        <f t="shared" si="97"/>
        <v>1</v>
      </c>
      <c r="AG56" s="578">
        <f t="shared" si="97"/>
        <v>1</v>
      </c>
      <c r="AH56" s="578">
        <f t="shared" ref="AH56:AP56" si="98">AH53+AH50</f>
        <v>1</v>
      </c>
      <c r="AI56" s="579">
        <f t="shared" si="98"/>
        <v>0.99999999999999978</v>
      </c>
      <c r="AJ56" s="577">
        <f t="shared" si="98"/>
        <v>1</v>
      </c>
      <c r="AK56" s="578">
        <f t="shared" si="98"/>
        <v>1</v>
      </c>
      <c r="AL56" s="578">
        <f t="shared" si="98"/>
        <v>1</v>
      </c>
      <c r="AM56" s="578">
        <f t="shared" si="98"/>
        <v>1</v>
      </c>
      <c r="AN56" s="578">
        <f t="shared" si="98"/>
        <v>1</v>
      </c>
      <c r="AO56" s="578">
        <f t="shared" si="98"/>
        <v>1</v>
      </c>
      <c r="AP56" s="578">
        <f t="shared" si="98"/>
        <v>1</v>
      </c>
      <c r="AQ56" s="579"/>
      <c r="AR56" s="577"/>
      <c r="AS56" s="578"/>
      <c r="AT56" s="578"/>
      <c r="AU56" s="579"/>
      <c r="AV56" s="577"/>
      <c r="AW56" s="578"/>
      <c r="AX56" s="578"/>
      <c r="AY56" s="579"/>
      <c r="AZ56" s="577"/>
      <c r="BA56" s="578"/>
      <c r="BB56" s="578"/>
      <c r="BC56" s="579"/>
      <c r="BD56" s="577"/>
      <c r="BE56" s="578"/>
      <c r="BF56" s="578"/>
      <c r="BG56" s="579"/>
      <c r="BH56" s="577"/>
      <c r="BI56" s="578"/>
      <c r="BJ56" s="578"/>
      <c r="BK56" s="579"/>
      <c r="BL56" s="544"/>
      <c r="BM56" s="580"/>
      <c r="BN56" s="581"/>
      <c r="BO56" s="581"/>
      <c r="BP56" s="581"/>
      <c r="BQ56" s="530">
        <f>BQ53+BQ50</f>
        <v>1</v>
      </c>
      <c r="BR56" s="530">
        <f>BR53+BR50</f>
        <v>1</v>
      </c>
      <c r="BS56" s="530">
        <f>BS53+BS50</f>
        <v>1</v>
      </c>
      <c r="BT56" s="530"/>
      <c r="BU56" s="530"/>
      <c r="BV56" s="581"/>
      <c r="BW56" s="581"/>
      <c r="BX56" s="581"/>
      <c r="BY56" s="581"/>
      <c r="BZ56" s="581"/>
      <c r="CA56" s="581"/>
      <c r="CB56" s="582"/>
      <c r="CC56" s="399"/>
    </row>
    <row r="57" spans="1:81" ht="14.25" customHeight="1">
      <c r="A57" s="1"/>
      <c r="B57" s="330"/>
      <c r="C57" s="330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215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215"/>
      <c r="BV57" s="215"/>
      <c r="BW57" s="215"/>
      <c r="BX57" s="1"/>
      <c r="BY57" s="1"/>
      <c r="BZ57" s="1"/>
      <c r="CA57" s="1"/>
      <c r="CB57" s="1"/>
    </row>
    <row r="58" spans="1:81" ht="14.25" customHeight="1">
      <c r="A58" s="1"/>
      <c r="B58" s="462" t="s">
        <v>276</v>
      </c>
      <c r="C58" s="426"/>
      <c r="D58" s="427"/>
      <c r="E58" s="427"/>
      <c r="F58" s="427"/>
      <c r="G58" s="427"/>
      <c r="H58" s="427"/>
      <c r="I58" s="427"/>
      <c r="J58" s="427"/>
      <c r="K58" s="427"/>
      <c r="L58" s="427"/>
      <c r="M58" s="427"/>
      <c r="N58" s="427"/>
      <c r="O58" s="427"/>
      <c r="P58" s="427"/>
      <c r="Q58" s="427"/>
      <c r="R58" s="427"/>
      <c r="S58" s="427"/>
      <c r="T58" s="427"/>
      <c r="U58" s="427"/>
      <c r="V58" s="427"/>
      <c r="W58" s="427"/>
      <c r="X58" s="427"/>
      <c r="Y58" s="427"/>
      <c r="Z58" s="427"/>
      <c r="AA58" s="427"/>
      <c r="AB58" s="762" t="s">
        <v>431</v>
      </c>
      <c r="AC58" s="427"/>
      <c r="AD58" s="427"/>
      <c r="AE58" s="427"/>
      <c r="AF58" s="427"/>
      <c r="AG58" s="427"/>
      <c r="AH58" s="427"/>
      <c r="AI58" s="427"/>
      <c r="AJ58" s="427"/>
      <c r="AK58" s="427"/>
      <c r="AL58" s="427"/>
      <c r="AM58" s="427"/>
      <c r="AN58" s="427"/>
      <c r="AO58" s="427"/>
      <c r="AP58" s="427"/>
      <c r="AQ58" s="427"/>
      <c r="AR58" s="427"/>
      <c r="AS58" s="427"/>
      <c r="AT58" s="427"/>
      <c r="AU58" s="427"/>
      <c r="AV58" s="427"/>
      <c r="AW58" s="427"/>
      <c r="AX58" s="427"/>
      <c r="AY58" s="427"/>
      <c r="AZ58" s="427"/>
      <c r="BA58" s="427"/>
      <c r="BB58" s="427"/>
      <c r="BC58" s="427"/>
      <c r="BD58" s="427"/>
      <c r="BE58" s="427"/>
      <c r="BF58" s="427"/>
      <c r="BG58" s="427"/>
      <c r="BH58" s="427"/>
      <c r="BI58" s="427"/>
      <c r="BJ58" s="427"/>
      <c r="BK58" s="427"/>
      <c r="BL58" s="419"/>
      <c r="BM58" s="428"/>
      <c r="BN58" s="429"/>
      <c r="BO58" s="429"/>
      <c r="BP58" s="429"/>
      <c r="BQ58" s="430"/>
      <c r="BR58" s="430"/>
      <c r="BS58" s="430"/>
      <c r="BT58" s="430"/>
      <c r="BU58" s="430"/>
      <c r="BV58" s="430"/>
      <c r="BW58" s="430"/>
      <c r="BX58" s="430"/>
      <c r="BY58" s="430"/>
      <c r="BZ58" s="430"/>
      <c r="CA58" s="430"/>
      <c r="CB58" s="431"/>
      <c r="CC58" s="751"/>
    </row>
    <row r="59" spans="1:81" ht="14.25" customHeight="1">
      <c r="A59" s="1"/>
      <c r="B59" s="386" t="s">
        <v>278</v>
      </c>
      <c r="C59" s="330"/>
      <c r="D59" s="389"/>
      <c r="E59" s="331"/>
      <c r="F59" s="331"/>
      <c r="G59" s="390"/>
      <c r="H59" s="389"/>
      <c r="I59" s="331"/>
      <c r="J59" s="331"/>
      <c r="K59" s="390"/>
      <c r="L59" s="389"/>
      <c r="M59" s="331"/>
      <c r="N59" s="331"/>
      <c r="O59" s="331"/>
      <c r="P59" s="389"/>
      <c r="Q59" s="331"/>
      <c r="R59" s="331"/>
      <c r="S59" s="390"/>
      <c r="T59" s="450">
        <v>94.1</v>
      </c>
      <c r="U59" s="449">
        <f>127.7</f>
        <v>127.7</v>
      </c>
      <c r="V59" s="449">
        <v>168.4</v>
      </c>
      <c r="W59" s="452">
        <f>BQ59-SUM(T59:V59)</f>
        <v>189.79999999999995</v>
      </c>
      <c r="X59" s="450">
        <v>233</v>
      </c>
      <c r="Y59" s="449">
        <v>272</v>
      </c>
      <c r="Z59" s="449">
        <v>245.5</v>
      </c>
      <c r="AA59" s="452">
        <f>BR59-SUM(X59:Z59)</f>
        <v>270.10000000000002</v>
      </c>
      <c r="AB59" s="450">
        <f>AB70*$AB$47</f>
        <v>55.391669999999998</v>
      </c>
      <c r="AC59" s="763">
        <f>AC70*$AC$47</f>
        <v>61.072989999999997</v>
      </c>
      <c r="AD59" s="763">
        <f>AD70*$AD$47</f>
        <v>71.552740000000014</v>
      </c>
      <c r="AE59" s="765">
        <f>AE70*$AE$47</f>
        <v>72.666489999999996</v>
      </c>
      <c r="AF59" s="449">
        <v>100</v>
      </c>
      <c r="AG59" s="449">
        <v>106.9</v>
      </c>
      <c r="AH59" s="449">
        <v>125.5</v>
      </c>
      <c r="AI59" s="451">
        <f>+$AI$67*AI70</f>
        <v>143.68536</v>
      </c>
      <c r="AJ59" s="450">
        <v>175.2</v>
      </c>
      <c r="AK59" s="449">
        <v>213.7</v>
      </c>
      <c r="AL59" s="449">
        <f t="shared" ref="AL59:AM62" si="99">+AL70*AL$34</f>
        <v>222.99008000000001</v>
      </c>
      <c r="AM59" s="451">
        <f t="shared" si="99"/>
        <v>259.48566</v>
      </c>
      <c r="AN59" s="450">
        <f>AN$34*AN70</f>
        <v>275.68485000000004</v>
      </c>
      <c r="AO59" s="449">
        <f>AO70*$AO$34</f>
        <v>259.83265999999998</v>
      </c>
      <c r="AP59" s="449">
        <f>+AP70*AP$34</f>
        <v>255.22606999999999</v>
      </c>
      <c r="AQ59" s="452">
        <f>$AQ$67*AQ70</f>
        <v>277.78100000000001</v>
      </c>
      <c r="AR59" s="450">
        <f>AR70*$AR$34</f>
        <v>208.62304</v>
      </c>
      <c r="AS59" s="449">
        <f>AS70*$AS$34</f>
        <v>226.85596000000001</v>
      </c>
      <c r="AT59" s="449">
        <f t="shared" ref="AT59:AU62" si="100">AT70*$AT$34</f>
        <v>266.13045</v>
      </c>
      <c r="AU59" s="449">
        <f t="shared" si="100"/>
        <v>277.45515</v>
      </c>
      <c r="AV59" s="450">
        <f>AV70*$AR$34</f>
        <v>208.62304</v>
      </c>
      <c r="AW59" s="449">
        <f>AW70*$AS$34</f>
        <v>226.85596000000001</v>
      </c>
      <c r="AX59" s="449"/>
      <c r="AY59" s="451"/>
      <c r="AZ59" s="450"/>
      <c r="BA59" s="449"/>
      <c r="BB59" s="449"/>
      <c r="BC59" s="451"/>
      <c r="BD59" s="450"/>
      <c r="BE59" s="449"/>
      <c r="BF59" s="449"/>
      <c r="BG59" s="451"/>
      <c r="BH59" s="450"/>
      <c r="BI59" s="449"/>
      <c r="BJ59" s="449"/>
      <c r="BK59" s="451"/>
      <c r="BL59" s="419"/>
      <c r="BM59" s="369"/>
      <c r="BN59" s="215"/>
      <c r="BO59" s="215"/>
      <c r="BP59" s="215"/>
      <c r="BQ59" s="449">
        <v>580</v>
      </c>
      <c r="BR59" s="449">
        <v>1020.6</v>
      </c>
      <c r="BS59" s="449">
        <v>1159.0999999999999</v>
      </c>
      <c r="BT59" s="449"/>
      <c r="BU59" s="331"/>
      <c r="BV59" s="331"/>
      <c r="BW59" s="331"/>
      <c r="BX59" s="331"/>
      <c r="BY59" s="331"/>
      <c r="BZ59" s="331"/>
      <c r="CA59" s="331"/>
      <c r="CB59" s="390"/>
      <c r="CC59" s="751"/>
    </row>
    <row r="60" spans="1:81" ht="14.25" customHeight="1">
      <c r="A60" s="1"/>
      <c r="B60" s="386" t="s">
        <v>279</v>
      </c>
      <c r="C60" s="330"/>
      <c r="D60" s="389"/>
      <c r="E60" s="331"/>
      <c r="F60" s="331"/>
      <c r="G60" s="390"/>
      <c r="H60" s="389"/>
      <c r="I60" s="331"/>
      <c r="J60" s="331"/>
      <c r="K60" s="390"/>
      <c r="L60" s="389"/>
      <c r="M60" s="331"/>
      <c r="N60" s="331"/>
      <c r="O60" s="331"/>
      <c r="P60" s="389"/>
      <c r="Q60" s="331"/>
      <c r="R60" s="331"/>
      <c r="S60" s="390"/>
      <c r="T60" s="450">
        <f>133.5</f>
        <v>133.5</v>
      </c>
      <c r="U60" s="449">
        <f>139</f>
        <v>139</v>
      </c>
      <c r="V60" s="449">
        <f>169</f>
        <v>169</v>
      </c>
      <c r="W60" s="452">
        <f>BQ60-SUM(T60:V60)</f>
        <v>163.10000000000002</v>
      </c>
      <c r="X60" s="450">
        <f>178</f>
        <v>178</v>
      </c>
      <c r="Y60" s="449">
        <f>170.2</f>
        <v>170.2</v>
      </c>
      <c r="Z60" s="449">
        <v>151</v>
      </c>
      <c r="AA60" s="452">
        <f>BR60-SUM(X60:Z60)</f>
        <v>153.09999999999997</v>
      </c>
      <c r="AB60" s="450">
        <f>AB71*$AB$47</f>
        <v>301.57686999999999</v>
      </c>
      <c r="AC60" s="449">
        <f>AC71*$AC$47</f>
        <v>272.05240999999995</v>
      </c>
      <c r="AD60" s="449">
        <f>AD71*$AD$47</f>
        <v>219.76912999999999</v>
      </c>
      <c r="AE60" s="451">
        <f>AE71*$AE$47</f>
        <v>245.94811999999999</v>
      </c>
      <c r="AF60" s="449">
        <v>253.2</v>
      </c>
      <c r="AG60" s="449">
        <v>259.60000000000002</v>
      </c>
      <c r="AH60" s="449">
        <v>211.9</v>
      </c>
      <c r="AI60" s="451">
        <f>+$AI$67*AI71</f>
        <v>218.18887999999998</v>
      </c>
      <c r="AJ60" s="450">
        <v>210.5</v>
      </c>
      <c r="AK60" s="449">
        <v>201.6</v>
      </c>
      <c r="AL60" s="449">
        <f t="shared" si="99"/>
        <v>193.64928000000003</v>
      </c>
      <c r="AM60" s="451">
        <f t="shared" si="99"/>
        <v>210.05982</v>
      </c>
      <c r="AN60" s="450">
        <f>AN$34*AN71</f>
        <v>208.29522000000003</v>
      </c>
      <c r="AO60" s="449">
        <f>AO71*$AO$34</f>
        <v>187.32121999999998</v>
      </c>
      <c r="AP60" s="449">
        <f>+AP71*AP$34</f>
        <v>172.12920999999997</v>
      </c>
      <c r="AQ60" s="452">
        <f>$AQ$67*AQ71</f>
        <v>164.40099999999998</v>
      </c>
      <c r="AR60" s="450">
        <f>AR71*$AR$34</f>
        <v>137.25200000000001</v>
      </c>
      <c r="AS60" s="449">
        <f>AS71*$AS$34</f>
        <v>131.893</v>
      </c>
      <c r="AT60" s="449">
        <f t="shared" si="100"/>
        <v>130.23405</v>
      </c>
      <c r="AU60" s="449">
        <f t="shared" si="100"/>
        <v>130.23405</v>
      </c>
      <c r="AV60" s="450">
        <f>AV71*$AR$34</f>
        <v>137.25200000000001</v>
      </c>
      <c r="AW60" s="449">
        <f>AW71*$AS$34</f>
        <v>131.893</v>
      </c>
      <c r="AX60" s="449"/>
      <c r="AY60" s="451"/>
      <c r="AZ60" s="450"/>
      <c r="BA60" s="449"/>
      <c r="BB60" s="449"/>
      <c r="BC60" s="451"/>
      <c r="BD60" s="450"/>
      <c r="BE60" s="449"/>
      <c r="BF60" s="449"/>
      <c r="BG60" s="451"/>
      <c r="BH60" s="450"/>
      <c r="BI60" s="449"/>
      <c r="BJ60" s="449"/>
      <c r="BK60" s="451"/>
      <c r="BL60" s="419"/>
      <c r="BM60" s="369"/>
      <c r="BN60" s="215"/>
      <c r="BO60" s="215"/>
      <c r="BP60" s="215"/>
      <c r="BQ60" s="449">
        <v>604.6</v>
      </c>
      <c r="BR60" s="449">
        <v>652.29999999999995</v>
      </c>
      <c r="BS60" s="449">
        <v>503.6</v>
      </c>
      <c r="BT60" s="449"/>
      <c r="BU60" s="331"/>
      <c r="BV60" s="331"/>
      <c r="BW60" s="331"/>
      <c r="BX60" s="331"/>
      <c r="BY60" s="331"/>
      <c r="BZ60" s="331"/>
      <c r="CA60" s="331"/>
      <c r="CB60" s="390"/>
      <c r="CC60" s="751"/>
    </row>
    <row r="61" spans="1:81" ht="14.25" customHeight="1">
      <c r="A61" s="1"/>
      <c r="B61" s="386" t="s">
        <v>280</v>
      </c>
      <c r="C61" s="330"/>
      <c r="D61" s="389"/>
      <c r="E61" s="331"/>
      <c r="F61" s="331"/>
      <c r="G61" s="390"/>
      <c r="H61" s="389"/>
      <c r="I61" s="331"/>
      <c r="J61" s="331"/>
      <c r="K61" s="390"/>
      <c r="L61" s="389"/>
      <c r="M61" s="331"/>
      <c r="N61" s="331"/>
      <c r="O61" s="331"/>
      <c r="P61" s="389"/>
      <c r="Q61" s="331"/>
      <c r="R61" s="331"/>
      <c r="S61" s="390"/>
      <c r="T61" s="450">
        <f>128.8</f>
        <v>128.80000000000001</v>
      </c>
      <c r="U61" s="449">
        <f>128.1</f>
        <v>128.1</v>
      </c>
      <c r="V61" s="449">
        <f>151.4</f>
        <v>151.4</v>
      </c>
      <c r="W61" s="452">
        <f>BQ61-SUM(T61:V61)</f>
        <v>150.80000000000007</v>
      </c>
      <c r="X61" s="450">
        <f>157.4</f>
        <v>157.4</v>
      </c>
      <c r="Y61" s="449">
        <f>153.1</f>
        <v>153.1</v>
      </c>
      <c r="Z61" s="449">
        <v>143</v>
      </c>
      <c r="AA61" s="452">
        <f>BR61-SUM(X61:Z61)</f>
        <v>135.89999999999998</v>
      </c>
      <c r="AB61" s="450">
        <f>AB72*$AB$47</f>
        <v>227.72130999999999</v>
      </c>
      <c r="AC61" s="449">
        <f>AC72*$AC$47</f>
        <v>199.87523999999996</v>
      </c>
      <c r="AD61" s="449">
        <f>AD72*$AD$47</f>
        <v>199.32549</v>
      </c>
      <c r="AE61" s="451">
        <f>AE72*$AE$47</f>
        <v>217.99947</v>
      </c>
      <c r="AF61" s="449">
        <v>207.14</v>
      </c>
      <c r="AG61" s="449">
        <v>156.80000000000001</v>
      </c>
      <c r="AH61" s="449">
        <v>151.5</v>
      </c>
      <c r="AI61" s="451">
        <f>+$AI$67*AI72</f>
        <v>149.00704000000002</v>
      </c>
      <c r="AJ61" s="450">
        <v>171.9</v>
      </c>
      <c r="AK61" s="449">
        <v>163</v>
      </c>
      <c r="AL61" s="449">
        <f t="shared" si="99"/>
        <v>152.57216000000003</v>
      </c>
      <c r="AM61" s="451">
        <f t="shared" si="99"/>
        <v>129.74283</v>
      </c>
      <c r="AN61" s="450">
        <f>AN$34*AN72</f>
        <v>110.27394</v>
      </c>
      <c r="AO61" s="449">
        <f>AO72*$AO$34</f>
        <v>138.98025999999999</v>
      </c>
      <c r="AP61" s="449">
        <f>+AP72*AP$34</f>
        <v>148.38724999999999</v>
      </c>
      <c r="AQ61" s="452">
        <f>$AQ$67*AQ72</f>
        <v>107.711</v>
      </c>
      <c r="AR61" s="450">
        <f>AR72*$AR$34</f>
        <v>186.66272000000004</v>
      </c>
      <c r="AS61" s="449">
        <f>AS72*$AS$34</f>
        <v>147.72016000000002</v>
      </c>
      <c r="AT61" s="449">
        <f t="shared" si="100"/>
        <v>147.22110000000001</v>
      </c>
      <c r="AU61" s="449">
        <f t="shared" si="100"/>
        <v>135.8964</v>
      </c>
      <c r="AV61" s="450">
        <f>AV72*$AR$34</f>
        <v>186.66272000000004</v>
      </c>
      <c r="AW61" s="449">
        <f>AW72*$AS$34</f>
        <v>147.72016000000002</v>
      </c>
      <c r="AX61" s="449"/>
      <c r="AY61" s="451"/>
      <c r="AZ61" s="450"/>
      <c r="BA61" s="449"/>
      <c r="BB61" s="449"/>
      <c r="BC61" s="451"/>
      <c r="BD61" s="450"/>
      <c r="BE61" s="449"/>
      <c r="BF61" s="449"/>
      <c r="BG61" s="451"/>
      <c r="BH61" s="450"/>
      <c r="BI61" s="449"/>
      <c r="BJ61" s="449"/>
      <c r="BK61" s="451"/>
      <c r="BL61" s="419"/>
      <c r="BM61" s="369"/>
      <c r="BN61" s="215"/>
      <c r="BO61" s="215"/>
      <c r="BP61" s="215"/>
      <c r="BQ61" s="449">
        <v>559.1</v>
      </c>
      <c r="BR61" s="449">
        <v>589.4</v>
      </c>
      <c r="BS61" s="449">
        <v>485.5</v>
      </c>
      <c r="BT61" s="449"/>
      <c r="BU61" s="331"/>
      <c r="BV61" s="331"/>
      <c r="BW61" s="331"/>
      <c r="BX61" s="331"/>
      <c r="BY61" s="331"/>
      <c r="BZ61" s="331"/>
      <c r="CA61" s="331"/>
      <c r="CB61" s="390"/>
      <c r="CC61" s="751"/>
    </row>
    <row r="62" spans="1:81" ht="14.25" customHeight="1">
      <c r="A62" s="1"/>
      <c r="B62" s="386" t="s">
        <v>281</v>
      </c>
      <c r="C62" s="330"/>
      <c r="D62" s="369"/>
      <c r="E62" s="215"/>
      <c r="F62" s="215"/>
      <c r="G62" s="353"/>
      <c r="H62" s="369"/>
      <c r="I62" s="215"/>
      <c r="J62" s="215"/>
      <c r="K62" s="353"/>
      <c r="L62" s="369"/>
      <c r="M62" s="215"/>
      <c r="N62" s="215"/>
      <c r="O62" s="215"/>
      <c r="P62" s="369"/>
      <c r="Q62" s="215"/>
      <c r="R62" s="215"/>
      <c r="S62" s="353"/>
      <c r="T62" s="450">
        <f>19.8</f>
        <v>19.8</v>
      </c>
      <c r="U62" s="449">
        <f>20.2</f>
        <v>20.2</v>
      </c>
      <c r="V62" s="449">
        <v>24.5</v>
      </c>
      <c r="W62" s="452">
        <f>BQ62-SUM(T62:V62)</f>
        <v>25.400000000000006</v>
      </c>
      <c r="X62" s="450">
        <f>26.3</f>
        <v>26.3</v>
      </c>
      <c r="Y62" s="449">
        <f>24.4</f>
        <v>24.4</v>
      </c>
      <c r="Z62" s="449">
        <v>27.7</v>
      </c>
      <c r="AA62" s="452">
        <f>BR62-SUM(X62:Z62)</f>
        <v>28.699999999999989</v>
      </c>
      <c r="AB62" s="450">
        <f>AB73*$AB$47</f>
        <v>30.773150000000001</v>
      </c>
      <c r="AC62" s="449">
        <f>AC73*$AC$47</f>
        <v>22.208359999999999</v>
      </c>
      <c r="AD62" s="449">
        <f>AD73*$AD$47</f>
        <v>20.443640000000002</v>
      </c>
      <c r="AE62" s="451">
        <f>AE73*$AE$47</f>
        <v>22.358919999999998</v>
      </c>
      <c r="AF62" s="449">
        <v>22.5</v>
      </c>
      <c r="AG62" s="449">
        <v>20.6</v>
      </c>
      <c r="AH62" s="449">
        <v>20.9</v>
      </c>
      <c r="AI62" s="451">
        <f>+$AI$67*AI73</f>
        <v>21.286719999999999</v>
      </c>
      <c r="AJ62" s="450">
        <v>21.4</v>
      </c>
      <c r="AK62" s="449">
        <v>20.6</v>
      </c>
      <c r="AL62" s="449">
        <f t="shared" si="99"/>
        <v>17.604479999999999</v>
      </c>
      <c r="AM62" s="451">
        <f t="shared" si="99"/>
        <v>18.534689999999998</v>
      </c>
      <c r="AN62" s="450">
        <f>AN$34*AN73</f>
        <v>18.378990000000002</v>
      </c>
      <c r="AO62" s="449">
        <f>AO73*$AO$34</f>
        <v>18.127859999999998</v>
      </c>
      <c r="AP62" s="449">
        <f>+AP73*AP$34</f>
        <v>17.806469999999997</v>
      </c>
      <c r="AQ62" s="452">
        <f>$AQ$67*AQ73</f>
        <v>17.006999999999998</v>
      </c>
      <c r="AR62" s="450">
        <f>AR73*$AR$34</f>
        <v>16.47024</v>
      </c>
      <c r="AS62" s="449">
        <f>AS73*$AS$34</f>
        <v>21.102879999999999</v>
      </c>
      <c r="AT62" s="449">
        <f t="shared" si="100"/>
        <v>22.6494</v>
      </c>
      <c r="AU62" s="449">
        <f t="shared" si="100"/>
        <v>22.6494</v>
      </c>
      <c r="AV62" s="450">
        <f>AV73*$AR$34</f>
        <v>16.47024</v>
      </c>
      <c r="AW62" s="449">
        <f>AW73*$AS$34</f>
        <v>21.102879999999999</v>
      </c>
      <c r="AX62" s="449"/>
      <c r="AY62" s="449"/>
      <c r="AZ62" s="450"/>
      <c r="BA62" s="449"/>
      <c r="BB62" s="449"/>
      <c r="BC62" s="451"/>
      <c r="BD62" s="450"/>
      <c r="BE62" s="449"/>
      <c r="BF62" s="449"/>
      <c r="BG62" s="451"/>
      <c r="BH62" s="450"/>
      <c r="BI62" s="449"/>
      <c r="BJ62" s="449"/>
      <c r="BK62" s="451"/>
      <c r="BL62" s="419"/>
      <c r="BM62" s="369"/>
      <c r="BN62" s="215"/>
      <c r="BO62" s="215"/>
      <c r="BP62" s="215"/>
      <c r="BQ62" s="449">
        <v>89.9</v>
      </c>
      <c r="BR62" s="449">
        <v>107.1</v>
      </c>
      <c r="BS62" s="449">
        <v>92.5</v>
      </c>
      <c r="BT62" s="449"/>
      <c r="BU62" s="215"/>
      <c r="BV62" s="215"/>
      <c r="BW62" s="215"/>
      <c r="BX62" s="215"/>
      <c r="BY62" s="215"/>
      <c r="BZ62" s="215"/>
      <c r="CA62" s="215"/>
      <c r="CB62" s="353"/>
      <c r="CC62" s="751"/>
    </row>
    <row r="63" spans="1:81" ht="14.25" customHeight="1">
      <c r="A63" s="1"/>
      <c r="B63" s="386"/>
      <c r="C63" s="330"/>
      <c r="D63" s="215"/>
      <c r="E63" s="215"/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449"/>
      <c r="U63" s="449"/>
      <c r="V63" s="449"/>
      <c r="W63" s="447"/>
      <c r="X63" s="449"/>
      <c r="Y63" s="449"/>
      <c r="Z63" s="449"/>
      <c r="AA63" s="447"/>
      <c r="AB63" s="449"/>
      <c r="AC63" s="449"/>
      <c r="AD63" s="449"/>
      <c r="AE63" s="449"/>
      <c r="AF63" s="449"/>
      <c r="AG63" s="449"/>
      <c r="AH63" s="449"/>
      <c r="AI63" s="449"/>
      <c r="AJ63" s="449"/>
      <c r="AK63" s="449"/>
      <c r="AL63" s="449"/>
      <c r="AM63" s="449"/>
      <c r="AN63" s="449"/>
      <c r="AO63" s="449"/>
      <c r="AP63" s="449"/>
      <c r="AQ63" s="447"/>
      <c r="AR63" s="449"/>
      <c r="AS63" s="449"/>
      <c r="AT63" s="449"/>
      <c r="AU63" s="449"/>
      <c r="AV63" s="450"/>
      <c r="AW63" s="449"/>
      <c r="AX63" s="449"/>
      <c r="AY63" s="449"/>
      <c r="AZ63" s="450"/>
      <c r="BA63" s="449"/>
      <c r="BB63" s="449"/>
      <c r="BC63" s="449"/>
      <c r="BD63" s="450"/>
      <c r="BE63" s="449"/>
      <c r="BF63" s="449"/>
      <c r="BG63" s="449"/>
      <c r="BH63" s="450"/>
      <c r="BI63" s="449"/>
      <c r="BJ63" s="449"/>
      <c r="BK63" s="449"/>
      <c r="BL63" s="419"/>
      <c r="BM63" s="369"/>
      <c r="BN63" s="215"/>
      <c r="BO63" s="215"/>
      <c r="BP63" s="215"/>
      <c r="BQ63" s="449"/>
      <c r="BR63" s="449"/>
      <c r="BS63" s="449"/>
      <c r="BT63" s="449"/>
      <c r="BU63" s="215"/>
      <c r="BV63" s="215"/>
      <c r="BW63" s="215"/>
      <c r="BX63" s="215"/>
      <c r="BY63" s="215"/>
      <c r="BZ63" s="215"/>
      <c r="CA63" s="215"/>
      <c r="CB63" s="353"/>
      <c r="CC63" s="751"/>
    </row>
    <row r="64" spans="1:81" ht="14.25" customHeight="1">
      <c r="A64" s="1"/>
      <c r="B64" s="386" t="s">
        <v>471</v>
      </c>
      <c r="C64" s="330"/>
      <c r="D64" s="215"/>
      <c r="E64" s="215"/>
      <c r="F64" s="215"/>
      <c r="G64" s="215"/>
      <c r="H64" s="215"/>
      <c r="I64" s="215"/>
      <c r="J64" s="215"/>
      <c r="K64" s="215"/>
      <c r="L64" s="215"/>
      <c r="M64" s="215"/>
      <c r="N64" s="215"/>
      <c r="O64" s="215"/>
      <c r="P64" s="215"/>
      <c r="Q64" s="215"/>
      <c r="R64" s="215"/>
      <c r="S64" s="215"/>
      <c r="T64" s="449"/>
      <c r="U64" s="449"/>
      <c r="V64" s="449"/>
      <c r="W64" s="447"/>
      <c r="X64" s="449"/>
      <c r="Y64" s="449"/>
      <c r="Z64" s="449"/>
      <c r="AA64" s="447"/>
      <c r="AB64" s="449"/>
      <c r="AC64" s="449"/>
      <c r="AD64" s="449"/>
      <c r="AE64" s="449"/>
      <c r="AF64" s="449"/>
      <c r="AG64" s="449"/>
      <c r="AH64" s="449"/>
      <c r="AI64" s="449"/>
      <c r="AJ64" s="449"/>
      <c r="AK64" s="449"/>
      <c r="AL64" s="449"/>
      <c r="AM64" s="449"/>
      <c r="AN64" s="449"/>
      <c r="AO64" s="449"/>
      <c r="AP64" s="449"/>
      <c r="AQ64" s="447"/>
      <c r="AR64" s="449">
        <v>12</v>
      </c>
      <c r="AS64" s="449">
        <v>18</v>
      </c>
      <c r="AT64" s="449">
        <v>22</v>
      </c>
      <c r="AU64" s="449">
        <v>27</v>
      </c>
      <c r="AV64" s="450">
        <v>32</v>
      </c>
      <c r="AW64" s="449">
        <v>42</v>
      </c>
      <c r="AX64" s="449">
        <v>55</v>
      </c>
      <c r="AY64" s="449"/>
      <c r="AZ64" s="450"/>
      <c r="BA64" s="449"/>
      <c r="BB64" s="449"/>
      <c r="BC64" s="449"/>
      <c r="BD64" s="450"/>
      <c r="BE64" s="449"/>
      <c r="BF64" s="449"/>
      <c r="BG64" s="449"/>
      <c r="BH64" s="450"/>
      <c r="BI64" s="449"/>
      <c r="BJ64" s="449"/>
      <c r="BK64" s="449"/>
      <c r="BL64" s="419"/>
      <c r="BM64" s="369"/>
      <c r="BN64" s="215"/>
      <c r="BO64" s="215"/>
      <c r="BP64" s="215"/>
      <c r="BQ64" s="449"/>
      <c r="BR64" s="449"/>
      <c r="BS64" s="449"/>
      <c r="BT64" s="449"/>
      <c r="BU64" s="215"/>
      <c r="BV64" s="215"/>
      <c r="BW64" s="215"/>
      <c r="BX64" s="215"/>
      <c r="BY64" s="215"/>
      <c r="BZ64" s="215"/>
      <c r="CA64" s="215"/>
      <c r="CB64" s="353"/>
      <c r="CC64" s="751"/>
    </row>
    <row r="65" spans="1:81" ht="14.25" customHeight="1">
      <c r="A65" s="1"/>
      <c r="B65" s="386" t="s">
        <v>472</v>
      </c>
      <c r="C65" s="330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449"/>
      <c r="U65" s="449"/>
      <c r="V65" s="449"/>
      <c r="W65" s="447"/>
      <c r="X65" s="449"/>
      <c r="Y65" s="449"/>
      <c r="Z65" s="449"/>
      <c r="AA65" s="447"/>
      <c r="AB65" s="449"/>
      <c r="AC65" s="449"/>
      <c r="AD65" s="449"/>
      <c r="AE65" s="449"/>
      <c r="AF65" s="449"/>
      <c r="AG65" s="449"/>
      <c r="AH65" s="449"/>
      <c r="AI65" s="449"/>
      <c r="AJ65" s="449"/>
      <c r="AK65" s="449"/>
      <c r="AL65" s="449"/>
      <c r="AM65" s="449"/>
      <c r="AN65" s="449"/>
      <c r="AO65" s="449"/>
      <c r="AP65" s="449"/>
      <c r="AQ65" s="447"/>
      <c r="AR65" s="449"/>
      <c r="AS65" s="449"/>
      <c r="AT65" s="449"/>
      <c r="AU65" s="449">
        <v>0.5</v>
      </c>
      <c r="AV65" s="450">
        <v>2</v>
      </c>
      <c r="AW65" s="449">
        <v>3</v>
      </c>
      <c r="AX65" s="449">
        <v>5</v>
      </c>
      <c r="AY65" s="449"/>
      <c r="AZ65" s="450"/>
      <c r="BA65" s="449"/>
      <c r="BB65" s="449"/>
      <c r="BC65" s="449"/>
      <c r="BD65" s="450"/>
      <c r="BE65" s="449"/>
      <c r="BF65" s="449"/>
      <c r="BG65" s="449"/>
      <c r="BH65" s="450"/>
      <c r="BI65" s="449"/>
      <c r="BJ65" s="449"/>
      <c r="BK65" s="449"/>
      <c r="BL65" s="419"/>
      <c r="BM65" s="369"/>
      <c r="BN65" s="215"/>
      <c r="BO65" s="215"/>
      <c r="BP65" s="215"/>
      <c r="BQ65" s="449"/>
      <c r="BR65" s="449"/>
      <c r="BS65" s="449"/>
      <c r="BT65" s="449"/>
      <c r="BU65" s="215"/>
      <c r="BV65" s="215"/>
      <c r="BW65" s="215"/>
      <c r="BX65" s="215"/>
      <c r="BY65" s="215"/>
      <c r="BZ65" s="215"/>
      <c r="CA65" s="215"/>
      <c r="CB65" s="353"/>
      <c r="CC65" s="751"/>
    </row>
    <row r="66" spans="1:81" ht="14.25" customHeight="1">
      <c r="A66" s="1"/>
      <c r="B66" s="386"/>
      <c r="C66" s="330"/>
      <c r="D66" s="215"/>
      <c r="E66" s="215"/>
      <c r="F66" s="215"/>
      <c r="G66" s="215"/>
      <c r="H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449"/>
      <c r="U66" s="449"/>
      <c r="V66" s="449"/>
      <c r="W66" s="447"/>
      <c r="X66" s="449"/>
      <c r="Y66" s="449"/>
      <c r="Z66" s="449"/>
      <c r="AA66" s="447"/>
      <c r="AB66" s="449"/>
      <c r="AC66" s="449"/>
      <c r="AD66" s="449"/>
      <c r="AE66" s="449"/>
      <c r="AF66" s="449"/>
      <c r="AG66" s="449"/>
      <c r="AH66" s="449"/>
      <c r="AI66" s="449"/>
      <c r="AJ66" s="449"/>
      <c r="AK66" s="449"/>
      <c r="AL66" s="449"/>
      <c r="AM66" s="449"/>
      <c r="AN66" s="449"/>
      <c r="AO66" s="449"/>
      <c r="AP66" s="449"/>
      <c r="AQ66" s="447"/>
      <c r="AR66" s="449"/>
      <c r="AS66" s="449"/>
      <c r="AT66" s="449"/>
      <c r="AU66" s="449"/>
      <c r="AV66" s="450"/>
      <c r="AW66" s="449"/>
      <c r="AX66" s="449"/>
      <c r="AY66" s="449"/>
      <c r="AZ66" s="450"/>
      <c r="BA66" s="449"/>
      <c r="BB66" s="449"/>
      <c r="BC66" s="449"/>
      <c r="BD66" s="450"/>
      <c r="BE66" s="449"/>
      <c r="BF66" s="449"/>
      <c r="BG66" s="449"/>
      <c r="BH66" s="450"/>
      <c r="BI66" s="449"/>
      <c r="BJ66" s="449"/>
      <c r="BK66" s="449"/>
      <c r="BL66" s="419"/>
      <c r="BM66" s="369"/>
      <c r="BN66" s="215"/>
      <c r="BO66" s="215"/>
      <c r="BP66" s="215"/>
      <c r="BQ66" s="449"/>
      <c r="BR66" s="449"/>
      <c r="BS66" s="449"/>
      <c r="BT66" s="449"/>
      <c r="BU66" s="215"/>
      <c r="BV66" s="215"/>
      <c r="BW66" s="215"/>
      <c r="BX66" s="215"/>
      <c r="BY66" s="215"/>
      <c r="BZ66" s="215"/>
      <c r="CA66" s="215"/>
      <c r="CB66" s="353"/>
      <c r="CC66" s="751"/>
    </row>
    <row r="67" spans="1:81" ht="14.25" customHeight="1">
      <c r="A67" s="1"/>
      <c r="B67" s="387" t="s">
        <v>268</v>
      </c>
      <c r="C67" s="388"/>
      <c r="D67" s="391"/>
      <c r="E67" s="7"/>
      <c r="F67" s="7"/>
      <c r="G67" s="392"/>
      <c r="H67" s="391"/>
      <c r="I67" s="7"/>
      <c r="J67" s="7"/>
      <c r="K67" s="392"/>
      <c r="L67" s="391"/>
      <c r="M67" s="7"/>
      <c r="N67" s="7"/>
      <c r="O67" s="7"/>
      <c r="P67" s="391"/>
      <c r="Q67" s="7"/>
      <c r="R67" s="7"/>
      <c r="S67" s="392"/>
      <c r="T67" s="459">
        <f t="shared" ref="T67:AH67" si="101">SUM(T59:T62)</f>
        <v>376.2</v>
      </c>
      <c r="U67" s="460">
        <f t="shared" si="101"/>
        <v>414.99999999999994</v>
      </c>
      <c r="V67" s="460">
        <f t="shared" si="101"/>
        <v>513.29999999999995</v>
      </c>
      <c r="W67" s="397">
        <f t="shared" si="101"/>
        <v>529.1</v>
      </c>
      <c r="X67" s="459">
        <f t="shared" si="101"/>
        <v>594.69999999999993</v>
      </c>
      <c r="Y67" s="460">
        <f t="shared" si="101"/>
        <v>619.69999999999993</v>
      </c>
      <c r="Z67" s="460">
        <f t="shared" si="101"/>
        <v>567.20000000000005</v>
      </c>
      <c r="AA67" s="461">
        <f t="shared" si="101"/>
        <v>587.79999999999995</v>
      </c>
      <c r="AB67" s="459">
        <f t="shared" si="101"/>
        <v>615.46299999999997</v>
      </c>
      <c r="AC67" s="460">
        <f t="shared" si="101"/>
        <v>555.20899999999995</v>
      </c>
      <c r="AD67" s="460">
        <f t="shared" si="101"/>
        <v>511.09100000000001</v>
      </c>
      <c r="AE67" s="461">
        <f t="shared" si="101"/>
        <v>558.97299999999996</v>
      </c>
      <c r="AF67" s="460">
        <f t="shared" si="101"/>
        <v>582.83999999999992</v>
      </c>
      <c r="AG67" s="460">
        <f t="shared" si="101"/>
        <v>543.9</v>
      </c>
      <c r="AH67" s="460">
        <f t="shared" si="101"/>
        <v>509.79999999999995</v>
      </c>
      <c r="AI67" s="461">
        <f>+AI34</f>
        <v>532.16800000000001</v>
      </c>
      <c r="AJ67" s="459">
        <f t="shared" ref="AJ67:AP67" si="102">SUM(AJ59:AJ62)</f>
        <v>579</v>
      </c>
      <c r="AK67" s="460">
        <f t="shared" si="102"/>
        <v>598.9</v>
      </c>
      <c r="AL67" s="460">
        <f t="shared" si="102"/>
        <v>586.81600000000003</v>
      </c>
      <c r="AM67" s="460">
        <f t="shared" si="102"/>
        <v>617.82299999999998</v>
      </c>
      <c r="AN67" s="459">
        <f t="shared" si="102"/>
        <v>612.63300000000015</v>
      </c>
      <c r="AO67" s="460">
        <f t="shared" si="102"/>
        <v>604.26199999999994</v>
      </c>
      <c r="AP67" s="460">
        <f t="shared" si="102"/>
        <v>593.54899999999998</v>
      </c>
      <c r="AQ67" s="461">
        <f>IS!AQ10</f>
        <v>566.9</v>
      </c>
      <c r="AR67" s="815">
        <f t="shared" ref="AR67:AW67" si="103">SUM(AR59:AR62)</f>
        <v>549.00800000000004</v>
      </c>
      <c r="AS67" s="460">
        <f t="shared" si="103"/>
        <v>527.572</v>
      </c>
      <c r="AT67" s="460">
        <f t="shared" si="103"/>
        <v>566.23500000000001</v>
      </c>
      <c r="AU67" s="460">
        <f t="shared" si="103"/>
        <v>566.23500000000001</v>
      </c>
      <c r="AV67" s="459">
        <f t="shared" si="103"/>
        <v>549.00800000000004</v>
      </c>
      <c r="AW67" s="460">
        <f t="shared" si="103"/>
        <v>527.572</v>
      </c>
      <c r="AX67" s="460"/>
      <c r="AY67" s="460"/>
      <c r="AZ67" s="459"/>
      <c r="BA67" s="460"/>
      <c r="BB67" s="460"/>
      <c r="BC67" s="461"/>
      <c r="BD67" s="459"/>
      <c r="BE67" s="460"/>
      <c r="BF67" s="460"/>
      <c r="BG67" s="461"/>
      <c r="BH67" s="459"/>
      <c r="BI67" s="460"/>
      <c r="BJ67" s="460"/>
      <c r="BK67" s="461"/>
      <c r="BL67" s="419"/>
      <c r="BM67" s="443"/>
      <c r="BN67" s="444"/>
      <c r="BO67" s="444"/>
      <c r="BP67" s="444"/>
      <c r="BQ67" s="448">
        <f>SUM(BQ59:BQ62)</f>
        <v>1833.6</v>
      </c>
      <c r="BR67" s="448">
        <f>SUM(BR59:BR62)</f>
        <v>2369.4</v>
      </c>
      <c r="BS67" s="448">
        <f>SUM(BS59:BS62)</f>
        <v>2240.6999999999998</v>
      </c>
      <c r="BT67" s="448"/>
      <c r="BU67" s="444"/>
      <c r="BV67" s="444"/>
      <c r="BW67" s="444"/>
      <c r="BX67" s="444"/>
      <c r="BY67" s="444"/>
      <c r="BZ67" s="444"/>
      <c r="CA67" s="444"/>
      <c r="CB67" s="445"/>
      <c r="CC67" s="751"/>
    </row>
    <row r="68" spans="1:81" ht="14.25" customHeight="1">
      <c r="A68" s="1"/>
      <c r="B68" s="380"/>
      <c r="C68" s="330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381"/>
      <c r="U68" s="381"/>
      <c r="V68" s="381"/>
      <c r="W68" s="381"/>
      <c r="X68" s="381"/>
      <c r="Y68" s="381"/>
      <c r="Z68" s="381"/>
      <c r="AA68" s="381"/>
      <c r="AB68" s="381"/>
      <c r="AC68" s="381"/>
      <c r="AD68" s="381"/>
      <c r="AE68" s="381"/>
      <c r="AF68" s="381"/>
      <c r="AG68" s="381"/>
      <c r="AH68" s="381"/>
      <c r="AI68" s="381"/>
      <c r="AJ68" s="381"/>
      <c r="AK68" s="381"/>
      <c r="AL68" s="381"/>
      <c r="AM68" s="381"/>
      <c r="AN68" s="381"/>
      <c r="AO68" s="381"/>
      <c r="AP68" s="381"/>
      <c r="AQ68" s="381"/>
      <c r="AR68" s="381"/>
      <c r="AS68" s="381"/>
      <c r="AT68" s="381"/>
      <c r="AU68" s="381"/>
      <c r="AV68" s="381"/>
      <c r="AW68" s="381"/>
      <c r="AX68" s="381"/>
      <c r="AY68" s="381"/>
      <c r="AZ68" s="381"/>
      <c r="BA68" s="381"/>
      <c r="BB68" s="381"/>
      <c r="BC68" s="381"/>
      <c r="BD68" s="381"/>
      <c r="BE68" s="381"/>
      <c r="BF68" s="381"/>
      <c r="BG68" s="381"/>
      <c r="BH68" s="381"/>
      <c r="BI68" s="381"/>
      <c r="BJ68" s="381"/>
      <c r="BK68" s="381"/>
      <c r="BL68" s="1"/>
      <c r="BM68" s="1"/>
      <c r="BN68" s="1"/>
      <c r="BO68" s="1"/>
      <c r="BP68" s="1"/>
      <c r="BQ68" s="1"/>
      <c r="BR68" s="381"/>
      <c r="BS68" s="381"/>
      <c r="BT68" s="381"/>
      <c r="BU68" s="215"/>
      <c r="BV68" s="215"/>
      <c r="BW68" s="215"/>
      <c r="BX68" s="1"/>
      <c r="BY68" s="1"/>
      <c r="BZ68" s="1"/>
      <c r="CA68" s="1"/>
      <c r="CB68" s="1"/>
    </row>
    <row r="69" spans="1:81" ht="14.25" customHeight="1">
      <c r="A69" s="1"/>
      <c r="B69" s="462" t="s">
        <v>277</v>
      </c>
      <c r="C69" s="426"/>
      <c r="D69" s="427"/>
      <c r="E69" s="427"/>
      <c r="F69" s="427"/>
      <c r="G69" s="427"/>
      <c r="H69" s="427"/>
      <c r="I69" s="427"/>
      <c r="J69" s="427"/>
      <c r="K69" s="427"/>
      <c r="L69" s="427"/>
      <c r="M69" s="427"/>
      <c r="N69" s="427"/>
      <c r="O69" s="427"/>
      <c r="P69" s="427"/>
      <c r="Q69" s="427"/>
      <c r="R69" s="427"/>
      <c r="S69" s="427"/>
      <c r="T69" s="427"/>
      <c r="U69" s="427"/>
      <c r="V69" s="427"/>
      <c r="W69" s="427"/>
      <c r="X69" s="427"/>
      <c r="Y69" s="427"/>
      <c r="Z69" s="427"/>
      <c r="AA69" s="427"/>
      <c r="AB69" s="762" t="s">
        <v>432</v>
      </c>
      <c r="AC69" s="762"/>
      <c r="AD69" s="762"/>
      <c r="AE69" s="766"/>
      <c r="AF69" s="427"/>
      <c r="AG69" s="427"/>
      <c r="AH69" s="427"/>
      <c r="AI69" s="427"/>
      <c r="AJ69" s="427"/>
      <c r="AK69" s="427"/>
      <c r="AL69" s="427"/>
      <c r="AM69" s="427"/>
      <c r="AN69" s="427"/>
      <c r="AO69" s="427"/>
      <c r="AP69" s="427"/>
      <c r="AQ69" s="427"/>
      <c r="AR69" s="427"/>
      <c r="AS69" s="427"/>
      <c r="AT69" s="427"/>
      <c r="AU69" s="427"/>
      <c r="AV69" s="427"/>
      <c r="AW69" s="427"/>
      <c r="AX69" s="427"/>
      <c r="AY69" s="427"/>
      <c r="AZ69" s="427"/>
      <c r="BA69" s="427"/>
      <c r="BB69" s="427"/>
      <c r="BC69" s="427"/>
      <c r="BD69" s="427"/>
      <c r="BE69" s="427"/>
      <c r="BF69" s="427"/>
      <c r="BG69" s="427"/>
      <c r="BH69" s="427"/>
      <c r="BI69" s="427"/>
      <c r="BJ69" s="427"/>
      <c r="BK69" s="427"/>
      <c r="BL69" s="419"/>
      <c r="BM69" s="428"/>
      <c r="BN69" s="429"/>
      <c r="BO69" s="429"/>
      <c r="BP69" s="429"/>
      <c r="BQ69" s="430"/>
      <c r="BR69" s="430"/>
      <c r="BS69" s="430"/>
      <c r="BT69" s="430"/>
      <c r="BU69" s="430"/>
      <c r="BV69" s="430"/>
      <c r="BW69" s="430"/>
      <c r="BX69" s="430"/>
      <c r="BY69" s="430"/>
      <c r="BZ69" s="430"/>
      <c r="CA69" s="430"/>
      <c r="CB69" s="431"/>
      <c r="CC69" s="751"/>
    </row>
    <row r="70" spans="1:81" s="398" customFormat="1" ht="14.25" customHeight="1">
      <c r="B70" s="399" t="s">
        <v>278</v>
      </c>
      <c r="C70" s="400"/>
      <c r="D70" s="399"/>
      <c r="E70" s="401"/>
      <c r="F70" s="401"/>
      <c r="G70" s="402"/>
      <c r="H70" s="399"/>
      <c r="I70" s="401"/>
      <c r="J70" s="401"/>
      <c r="K70" s="402"/>
      <c r="L70" s="399"/>
      <c r="M70" s="401"/>
      <c r="N70" s="401"/>
      <c r="O70" s="401"/>
      <c r="P70" s="399"/>
      <c r="Q70" s="401"/>
      <c r="R70" s="401"/>
      <c r="S70" s="402"/>
      <c r="T70" s="404">
        <f t="shared" ref="T70:AA73" si="104">T59/T$81</f>
        <v>0.25013290802764482</v>
      </c>
      <c r="U70" s="405">
        <f t="shared" si="104"/>
        <v>0.30771084337349403</v>
      </c>
      <c r="V70" s="405">
        <f t="shared" si="104"/>
        <v>0.32807325150983835</v>
      </c>
      <c r="W70" s="406">
        <f t="shared" si="104"/>
        <v>0.35872235872235853</v>
      </c>
      <c r="X70" s="404">
        <f t="shared" si="104"/>
        <v>0.39179418194047422</v>
      </c>
      <c r="Y70" s="405">
        <f t="shared" si="104"/>
        <v>0.43892205906083592</v>
      </c>
      <c r="Z70" s="405">
        <f t="shared" si="104"/>
        <v>0.43282792665726383</v>
      </c>
      <c r="AA70" s="406">
        <f t="shared" si="104"/>
        <v>0.45951003742769658</v>
      </c>
      <c r="AB70" s="404">
        <v>0.09</v>
      </c>
      <c r="AC70" s="405">
        <v>0.11</v>
      </c>
      <c r="AD70" s="405">
        <v>0.14000000000000001</v>
      </c>
      <c r="AE70" s="406">
        <v>0.13</v>
      </c>
      <c r="AF70" s="405">
        <f t="shared" ref="AF70:AH73" si="105">AF59/AF$81</f>
        <v>0.17158544955387781</v>
      </c>
      <c r="AG70" s="405">
        <f t="shared" si="105"/>
        <v>0.19654348225776799</v>
      </c>
      <c r="AH70" s="405">
        <f t="shared" si="105"/>
        <v>0.24627158555729986</v>
      </c>
      <c r="AI70" s="406">
        <v>0.27</v>
      </c>
      <c r="AJ70" s="404">
        <f t="shared" ref="AJ70:AK73" si="106">AJ59/AJ$81</f>
        <v>0.30259067357512953</v>
      </c>
      <c r="AK70" s="405">
        <f t="shared" si="106"/>
        <v>0.35682083820337279</v>
      </c>
      <c r="AL70" s="405">
        <v>0.38</v>
      </c>
      <c r="AM70" s="406">
        <v>0.42</v>
      </c>
      <c r="AN70" s="404">
        <v>0.45</v>
      </c>
      <c r="AO70" s="405">
        <v>0.43</v>
      </c>
      <c r="AP70" s="405">
        <v>0.43</v>
      </c>
      <c r="AQ70" s="103">
        <v>0.49</v>
      </c>
      <c r="AR70" s="404">
        <v>0.38</v>
      </c>
      <c r="AS70" s="405">
        <v>0.43</v>
      </c>
      <c r="AT70" s="405">
        <v>0.47</v>
      </c>
      <c r="AU70" s="405">
        <v>0.49</v>
      </c>
      <c r="AV70" s="404">
        <v>0.38</v>
      </c>
      <c r="AW70" s="405">
        <v>0.43</v>
      </c>
      <c r="AX70" s="405"/>
      <c r="AY70" s="406"/>
      <c r="AZ70" s="404"/>
      <c r="BA70" s="405"/>
      <c r="BB70" s="405"/>
      <c r="BC70" s="406"/>
      <c r="BD70" s="404"/>
      <c r="BE70" s="405"/>
      <c r="BF70" s="405"/>
      <c r="BG70" s="406"/>
      <c r="BH70" s="404"/>
      <c r="BI70" s="405"/>
      <c r="BJ70" s="405"/>
      <c r="BK70" s="406"/>
      <c r="BL70" s="420"/>
      <c r="BM70" s="399"/>
      <c r="BN70" s="401"/>
      <c r="BO70" s="401"/>
      <c r="BP70" s="401"/>
      <c r="BQ70" s="403">
        <f t="shared" ref="BQ70:BS73" si="107">BQ59/BQ$67</f>
        <v>0.31631762652705064</v>
      </c>
      <c r="BR70" s="405">
        <f t="shared" si="107"/>
        <v>0.43074195998987086</v>
      </c>
      <c r="BS70" s="405">
        <f t="shared" si="107"/>
        <v>0.51729370286071319</v>
      </c>
      <c r="BT70" s="405"/>
      <c r="BU70" s="401"/>
      <c r="BV70" s="401"/>
      <c r="BW70" s="401"/>
      <c r="BX70" s="401"/>
      <c r="BY70" s="401"/>
      <c r="BZ70" s="401"/>
      <c r="CA70" s="401"/>
      <c r="CB70" s="402"/>
      <c r="CC70" s="399"/>
    </row>
    <row r="71" spans="1:81" s="398" customFormat="1" ht="14.25" customHeight="1">
      <c r="B71" s="399" t="s">
        <v>279</v>
      </c>
      <c r="C71" s="400"/>
      <c r="D71" s="399"/>
      <c r="E71" s="401"/>
      <c r="F71" s="401"/>
      <c r="G71" s="402"/>
      <c r="H71" s="399"/>
      <c r="I71" s="401"/>
      <c r="J71" s="401"/>
      <c r="K71" s="402"/>
      <c r="L71" s="399"/>
      <c r="M71" s="401"/>
      <c r="N71" s="401"/>
      <c r="O71" s="401"/>
      <c r="P71" s="399"/>
      <c r="Q71" s="401"/>
      <c r="R71" s="401"/>
      <c r="S71" s="402"/>
      <c r="T71" s="404">
        <f t="shared" si="104"/>
        <v>0.35486443381180222</v>
      </c>
      <c r="U71" s="405">
        <f t="shared" si="104"/>
        <v>0.33493975903614465</v>
      </c>
      <c r="V71" s="405">
        <f t="shared" si="104"/>
        <v>0.32924215858172612</v>
      </c>
      <c r="W71" s="406">
        <f t="shared" si="104"/>
        <v>0.3082593082593082</v>
      </c>
      <c r="X71" s="404">
        <f t="shared" si="104"/>
        <v>0.29931057676139233</v>
      </c>
      <c r="Y71" s="405">
        <f t="shared" si="104"/>
        <v>0.27464902372115541</v>
      </c>
      <c r="Z71" s="405">
        <f t="shared" si="104"/>
        <v>0.26622002820874474</v>
      </c>
      <c r="AA71" s="406">
        <f t="shared" si="104"/>
        <v>0.26046274242939771</v>
      </c>
      <c r="AB71" s="404">
        <v>0.49</v>
      </c>
      <c r="AC71" s="405">
        <v>0.49</v>
      </c>
      <c r="AD71" s="405">
        <v>0.43</v>
      </c>
      <c r="AE71" s="406">
        <v>0.44</v>
      </c>
      <c r="AF71" s="405">
        <f t="shared" si="105"/>
        <v>0.43445435827041862</v>
      </c>
      <c r="AG71" s="405">
        <f t="shared" si="105"/>
        <v>0.47729362015076304</v>
      </c>
      <c r="AH71" s="405">
        <f t="shared" si="105"/>
        <v>0.41581632653061229</v>
      </c>
      <c r="AI71" s="406">
        <v>0.41</v>
      </c>
      <c r="AJ71" s="404">
        <f t="shared" si="106"/>
        <v>0.36355785837651122</v>
      </c>
      <c r="AK71" s="405">
        <f t="shared" si="106"/>
        <v>0.33661713140758048</v>
      </c>
      <c r="AL71" s="405">
        <v>0.33</v>
      </c>
      <c r="AM71" s="406">
        <v>0.34</v>
      </c>
      <c r="AN71" s="404">
        <v>0.34</v>
      </c>
      <c r="AO71" s="405">
        <v>0.31</v>
      </c>
      <c r="AP71" s="405">
        <v>0.28999999999999998</v>
      </c>
      <c r="AQ71" s="103">
        <v>0.28999999999999998</v>
      </c>
      <c r="AR71" s="404">
        <v>0.25</v>
      </c>
      <c r="AS71" s="405">
        <v>0.25</v>
      </c>
      <c r="AT71" s="405">
        <v>0.23</v>
      </c>
      <c r="AU71" s="405">
        <v>0.23</v>
      </c>
      <c r="AV71" s="404">
        <v>0.25</v>
      </c>
      <c r="AW71" s="405">
        <v>0.25</v>
      </c>
      <c r="AX71" s="405"/>
      <c r="AY71" s="406"/>
      <c r="AZ71" s="404"/>
      <c r="BA71" s="405"/>
      <c r="BB71" s="405"/>
      <c r="BC71" s="406"/>
      <c r="BD71" s="404"/>
      <c r="BE71" s="405"/>
      <c r="BF71" s="405"/>
      <c r="BG71" s="406"/>
      <c r="BH71" s="404"/>
      <c r="BI71" s="405"/>
      <c r="BJ71" s="405"/>
      <c r="BK71" s="406"/>
      <c r="BL71" s="420"/>
      <c r="BM71" s="399"/>
      <c r="BN71" s="401"/>
      <c r="BO71" s="401"/>
      <c r="BP71" s="401"/>
      <c r="BQ71" s="403">
        <f t="shared" si="107"/>
        <v>0.32973385689354279</v>
      </c>
      <c r="BR71" s="405">
        <f t="shared" si="107"/>
        <v>0.27530176415970287</v>
      </c>
      <c r="BS71" s="405">
        <f t="shared" si="107"/>
        <v>0.22475119382335881</v>
      </c>
      <c r="BT71" s="405"/>
      <c r="BU71" s="401"/>
      <c r="BV71" s="401"/>
      <c r="BW71" s="401"/>
      <c r="BX71" s="401"/>
      <c r="BY71" s="401"/>
      <c r="BZ71" s="401"/>
      <c r="CA71" s="401"/>
      <c r="CB71" s="402"/>
      <c r="CC71" s="399"/>
    </row>
    <row r="72" spans="1:81" s="398" customFormat="1" ht="14.25" customHeight="1">
      <c r="B72" s="399" t="s">
        <v>280</v>
      </c>
      <c r="C72" s="400"/>
      <c r="D72" s="399"/>
      <c r="E72" s="401"/>
      <c r="F72" s="401"/>
      <c r="G72" s="402"/>
      <c r="H72" s="399"/>
      <c r="I72" s="401"/>
      <c r="J72" s="401"/>
      <c r="K72" s="402"/>
      <c r="L72" s="399"/>
      <c r="M72" s="401"/>
      <c r="N72" s="401"/>
      <c r="O72" s="401"/>
      <c r="P72" s="399"/>
      <c r="Q72" s="401"/>
      <c r="R72" s="401"/>
      <c r="S72" s="402"/>
      <c r="T72" s="404">
        <f t="shared" si="104"/>
        <v>0.34237107921318449</v>
      </c>
      <c r="U72" s="405">
        <f t="shared" si="104"/>
        <v>0.30867469879518072</v>
      </c>
      <c r="V72" s="405">
        <f t="shared" si="104"/>
        <v>0.29495421780635112</v>
      </c>
      <c r="W72" s="406">
        <f t="shared" si="104"/>
        <v>0.28501228501228509</v>
      </c>
      <c r="X72" s="404">
        <f t="shared" si="104"/>
        <v>0.26467126282159076</v>
      </c>
      <c r="Y72" s="405">
        <f t="shared" si="104"/>
        <v>0.24705502662578668</v>
      </c>
      <c r="Z72" s="405">
        <f t="shared" si="104"/>
        <v>0.25211565585331458</v>
      </c>
      <c r="AA72" s="406">
        <f t="shared" si="104"/>
        <v>0.23120108880571622</v>
      </c>
      <c r="AB72" s="404">
        <v>0.37</v>
      </c>
      <c r="AC72" s="405">
        <v>0.36</v>
      </c>
      <c r="AD72" s="405">
        <v>0.39</v>
      </c>
      <c r="AE72" s="406">
        <v>0.39</v>
      </c>
      <c r="AF72" s="405">
        <f t="shared" si="105"/>
        <v>0.35542210020590248</v>
      </c>
      <c r="AG72" s="405">
        <f t="shared" si="105"/>
        <v>0.28828828828828834</v>
      </c>
      <c r="AH72" s="405">
        <f t="shared" si="105"/>
        <v>0.2972919937205652</v>
      </c>
      <c r="AI72" s="406">
        <v>0.28000000000000003</v>
      </c>
      <c r="AJ72" s="404">
        <f t="shared" si="106"/>
        <v>0.29689119170984457</v>
      </c>
      <c r="AK72" s="405">
        <f t="shared" si="106"/>
        <v>0.27216563700116875</v>
      </c>
      <c r="AL72" s="405">
        <v>0.26</v>
      </c>
      <c r="AM72" s="406">
        <v>0.21</v>
      </c>
      <c r="AN72" s="404">
        <v>0.18</v>
      </c>
      <c r="AO72" s="405">
        <v>0.23</v>
      </c>
      <c r="AP72" s="405">
        <v>0.25</v>
      </c>
      <c r="AQ72" s="103">
        <v>0.19</v>
      </c>
      <c r="AR72" s="404">
        <v>0.34</v>
      </c>
      <c r="AS72" s="405">
        <v>0.28000000000000003</v>
      </c>
      <c r="AT72" s="405">
        <v>0.26</v>
      </c>
      <c r="AU72" s="405">
        <v>0.24</v>
      </c>
      <c r="AV72" s="404">
        <v>0.34</v>
      </c>
      <c r="AW72" s="405">
        <v>0.28000000000000003</v>
      </c>
      <c r="AX72" s="405"/>
      <c r="AY72" s="406"/>
      <c r="AZ72" s="404"/>
      <c r="BA72" s="405"/>
      <c r="BB72" s="405"/>
      <c r="BC72" s="406"/>
      <c r="BD72" s="404"/>
      <c r="BE72" s="405"/>
      <c r="BF72" s="405"/>
      <c r="BG72" s="406"/>
      <c r="BH72" s="404"/>
      <c r="BI72" s="405"/>
      <c r="BJ72" s="405"/>
      <c r="BK72" s="406"/>
      <c r="BL72" s="420"/>
      <c r="BM72" s="399"/>
      <c r="BN72" s="401"/>
      <c r="BO72" s="401"/>
      <c r="BP72" s="401"/>
      <c r="BQ72" s="403">
        <f t="shared" si="107"/>
        <v>0.30491928446771382</v>
      </c>
      <c r="BR72" s="405">
        <f t="shared" si="107"/>
        <v>0.24875495906136572</v>
      </c>
      <c r="BS72" s="405">
        <f t="shared" si="107"/>
        <v>0.21667336100325793</v>
      </c>
      <c r="BT72" s="405"/>
      <c r="BU72" s="401"/>
      <c r="BV72" s="401"/>
      <c r="BW72" s="401"/>
      <c r="BX72" s="401"/>
      <c r="BY72" s="401"/>
      <c r="BZ72" s="401"/>
      <c r="CA72" s="401"/>
      <c r="CB72" s="402"/>
      <c r="CC72" s="399"/>
    </row>
    <row r="73" spans="1:81" s="398" customFormat="1" ht="14.25" customHeight="1">
      <c r="B73" s="399" t="s">
        <v>281</v>
      </c>
      <c r="C73" s="400"/>
      <c r="D73" s="399"/>
      <c r="E73" s="401"/>
      <c r="F73" s="401"/>
      <c r="G73" s="402"/>
      <c r="H73" s="399"/>
      <c r="I73" s="401"/>
      <c r="J73" s="401"/>
      <c r="K73" s="402"/>
      <c r="L73" s="399"/>
      <c r="M73" s="401"/>
      <c r="N73" s="401"/>
      <c r="O73" s="401"/>
      <c r="P73" s="399"/>
      <c r="Q73" s="401"/>
      <c r="R73" s="401"/>
      <c r="S73" s="402"/>
      <c r="T73" s="404">
        <f t="shared" si="104"/>
        <v>5.2631578947368418E-2</v>
      </c>
      <c r="U73" s="405">
        <f t="shared" si="104"/>
        <v>4.8674698795180729E-2</v>
      </c>
      <c r="V73" s="405">
        <f t="shared" si="104"/>
        <v>4.7730372102084556E-2</v>
      </c>
      <c r="W73" s="406">
        <f t="shared" si="104"/>
        <v>4.8006048006048005E-2</v>
      </c>
      <c r="X73" s="404">
        <f t="shared" si="104"/>
        <v>4.4223978476542802E-2</v>
      </c>
      <c r="Y73" s="405">
        <f t="shared" si="104"/>
        <v>3.9373890592222044E-2</v>
      </c>
      <c r="Z73" s="405">
        <f t="shared" si="104"/>
        <v>4.8836389280677017E-2</v>
      </c>
      <c r="AA73" s="406">
        <f t="shared" si="104"/>
        <v>4.8826131337189507E-2</v>
      </c>
      <c r="AB73" s="404">
        <v>0.05</v>
      </c>
      <c r="AC73" s="764">
        <v>0.04</v>
      </c>
      <c r="AD73" s="764">
        <v>0.04</v>
      </c>
      <c r="AE73" s="767">
        <v>0.04</v>
      </c>
      <c r="AF73" s="405">
        <f t="shared" si="105"/>
        <v>3.860672614962251E-2</v>
      </c>
      <c r="AG73" s="405">
        <f t="shared" si="105"/>
        <v>3.7874609303180734E-2</v>
      </c>
      <c r="AH73" s="405">
        <f t="shared" si="105"/>
        <v>4.1012558869701725E-2</v>
      </c>
      <c r="AI73" s="406">
        <v>0.04</v>
      </c>
      <c r="AJ73" s="404">
        <f t="shared" si="106"/>
        <v>3.6960276338514675E-2</v>
      </c>
      <c r="AK73" s="405">
        <f t="shared" si="106"/>
        <v>3.4396393387877776E-2</v>
      </c>
      <c r="AL73" s="405">
        <v>0.03</v>
      </c>
      <c r="AM73" s="406">
        <v>0.03</v>
      </c>
      <c r="AN73" s="404">
        <v>0.03</v>
      </c>
      <c r="AO73" s="405">
        <v>0.03</v>
      </c>
      <c r="AP73" s="405">
        <v>0.03</v>
      </c>
      <c r="AQ73" s="103">
        <v>0.03</v>
      </c>
      <c r="AR73" s="404">
        <v>0.03</v>
      </c>
      <c r="AS73" s="405">
        <v>0.04</v>
      </c>
      <c r="AT73" s="405">
        <v>0.04</v>
      </c>
      <c r="AU73" s="405">
        <v>0.04</v>
      </c>
      <c r="AV73" s="404">
        <v>0.03</v>
      </c>
      <c r="AW73" s="405">
        <v>0.04</v>
      </c>
      <c r="AX73" s="405"/>
      <c r="AY73" s="406"/>
      <c r="AZ73" s="404"/>
      <c r="BA73" s="405"/>
      <c r="BB73" s="405"/>
      <c r="BC73" s="406"/>
      <c r="BD73" s="404"/>
      <c r="BE73" s="405"/>
      <c r="BF73" s="405"/>
      <c r="BG73" s="406"/>
      <c r="BH73" s="404"/>
      <c r="BI73" s="405"/>
      <c r="BJ73" s="405"/>
      <c r="BK73" s="406"/>
      <c r="BL73" s="420"/>
      <c r="BM73" s="399"/>
      <c r="BN73" s="401"/>
      <c r="BO73" s="401"/>
      <c r="BP73" s="401"/>
      <c r="BQ73" s="403">
        <f t="shared" si="107"/>
        <v>4.9029232111692848E-2</v>
      </c>
      <c r="BR73" s="405">
        <f t="shared" si="107"/>
        <v>4.5201316789060517E-2</v>
      </c>
      <c r="BS73" s="405">
        <f t="shared" si="107"/>
        <v>4.128174231267015E-2</v>
      </c>
      <c r="BT73" s="405"/>
      <c r="BU73" s="401"/>
      <c r="BV73" s="401"/>
      <c r="BW73" s="401"/>
      <c r="BX73" s="401"/>
      <c r="BY73" s="401"/>
      <c r="BZ73" s="401"/>
      <c r="CA73" s="401"/>
      <c r="CB73" s="402"/>
      <c r="CC73" s="399"/>
    </row>
    <row r="74" spans="1:81" s="407" customFormat="1" ht="14.25" customHeight="1">
      <c r="B74" s="436" t="s">
        <v>268</v>
      </c>
      <c r="C74" s="437"/>
      <c r="D74" s="438"/>
      <c r="E74" s="437"/>
      <c r="F74" s="437"/>
      <c r="G74" s="439"/>
      <c r="H74" s="438"/>
      <c r="I74" s="437"/>
      <c r="J74" s="437"/>
      <c r="K74" s="439"/>
      <c r="L74" s="438"/>
      <c r="M74" s="437"/>
      <c r="N74" s="437"/>
      <c r="O74" s="437"/>
      <c r="P74" s="438"/>
      <c r="Q74" s="437"/>
      <c r="R74" s="437"/>
      <c r="S74" s="439"/>
      <c r="T74" s="440">
        <f t="shared" ref="T74:AC74" si="108">T67/T$81</f>
        <v>0.99999999999999989</v>
      </c>
      <c r="U74" s="441">
        <f t="shared" si="108"/>
        <v>1</v>
      </c>
      <c r="V74" s="441">
        <f t="shared" si="108"/>
        <v>1</v>
      </c>
      <c r="W74" s="442">
        <f t="shared" si="108"/>
        <v>0.99999999999999978</v>
      </c>
      <c r="X74" s="440">
        <f t="shared" si="108"/>
        <v>1</v>
      </c>
      <c r="Y74" s="441">
        <f t="shared" si="108"/>
        <v>1</v>
      </c>
      <c r="Z74" s="441">
        <f t="shared" si="108"/>
        <v>1.0000000000000002</v>
      </c>
      <c r="AA74" s="442">
        <f t="shared" si="108"/>
        <v>1</v>
      </c>
      <c r="AB74" s="440">
        <f t="shared" si="108"/>
        <v>0.99993988627132424</v>
      </c>
      <c r="AC74" s="441">
        <f t="shared" si="108"/>
        <v>1.0000162103746397</v>
      </c>
      <c r="AD74" s="441">
        <f>SUM(AD70:AD73)</f>
        <v>1</v>
      </c>
      <c r="AE74" s="442">
        <f>SUM(AE70:AE73)</f>
        <v>1</v>
      </c>
      <c r="AF74" s="441">
        <f>AF67/AF$81</f>
        <v>1.0000686341798213</v>
      </c>
      <c r="AG74" s="441">
        <f>AG67/AG$81</f>
        <v>1</v>
      </c>
      <c r="AH74" s="441">
        <f>SUM(AH70:AH73)</f>
        <v>1.000392464678179</v>
      </c>
      <c r="AI74" s="441">
        <f>SUM(AI70:AI73)</f>
        <v>1</v>
      </c>
      <c r="AJ74" s="440">
        <f>SUM(AJ70:AJ73)</f>
        <v>1</v>
      </c>
      <c r="AK74" s="441">
        <f>AK67/AK$81</f>
        <v>0.99999999999999978</v>
      </c>
      <c r="AL74" s="441">
        <f>AL67/AL$81</f>
        <v>1</v>
      </c>
      <c r="AM74" s="441">
        <f>AM67/AM$81</f>
        <v>1</v>
      </c>
      <c r="AN74" s="440">
        <f>SUM(AN70:AN73)</f>
        <v>1</v>
      </c>
      <c r="AO74" s="441">
        <f>SUM(AO70:AO73)</f>
        <v>1</v>
      </c>
      <c r="AP74" s="441">
        <f>AP67/AP$81</f>
        <v>1</v>
      </c>
      <c r="AQ74" s="442">
        <f t="shared" ref="AQ74:AW74" si="109">SUM(AQ70:AQ73)</f>
        <v>1</v>
      </c>
      <c r="AR74" s="440">
        <f t="shared" si="109"/>
        <v>1</v>
      </c>
      <c r="AS74" s="441">
        <f t="shared" si="109"/>
        <v>1</v>
      </c>
      <c r="AT74" s="441">
        <f t="shared" si="109"/>
        <v>1</v>
      </c>
      <c r="AU74" s="441">
        <f t="shared" si="109"/>
        <v>1</v>
      </c>
      <c r="AV74" s="440">
        <f t="shared" si="109"/>
        <v>1</v>
      </c>
      <c r="AW74" s="441">
        <f t="shared" si="109"/>
        <v>1</v>
      </c>
      <c r="AX74" s="441"/>
      <c r="AY74" s="442"/>
      <c r="AZ74" s="440"/>
      <c r="BA74" s="441"/>
      <c r="BB74" s="441"/>
      <c r="BC74" s="442"/>
      <c r="BD74" s="440"/>
      <c r="BE74" s="441"/>
      <c r="BF74" s="441"/>
      <c r="BG74" s="442"/>
      <c r="BH74" s="440"/>
      <c r="BI74" s="441"/>
      <c r="BJ74" s="441"/>
      <c r="BK74" s="442"/>
      <c r="BL74" s="421"/>
      <c r="BM74" s="438"/>
      <c r="BN74" s="437"/>
      <c r="BO74" s="437"/>
      <c r="BP74" s="437"/>
      <c r="BQ74" s="446">
        <f>SUM(BQ70:BQ73)</f>
        <v>1</v>
      </c>
      <c r="BR74" s="441">
        <f>SUM(BR70:BR73)</f>
        <v>0.99999999999999989</v>
      </c>
      <c r="BS74" s="441">
        <f>SUM(BS70:BS73)</f>
        <v>1.0000000000000002</v>
      </c>
      <c r="BT74" s="441"/>
      <c r="BU74" s="437"/>
      <c r="BV74" s="437"/>
      <c r="BW74" s="437"/>
      <c r="BX74" s="437"/>
      <c r="BY74" s="437"/>
      <c r="BZ74" s="437"/>
      <c r="CA74" s="437"/>
      <c r="CB74" s="439"/>
      <c r="CC74" s="422"/>
    </row>
    <row r="75" spans="1:81" ht="14.25" customHeight="1">
      <c r="A75" s="1"/>
      <c r="B75" s="330"/>
      <c r="C75" s="330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215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215"/>
      <c r="BV75" s="215"/>
      <c r="BW75" s="215"/>
      <c r="BX75" s="1"/>
      <c r="BY75" s="1"/>
      <c r="BZ75" s="1"/>
      <c r="CA75" s="1"/>
      <c r="CB75" s="1"/>
    </row>
    <row r="76" spans="1:81" ht="14.25" customHeight="1">
      <c r="A76" s="1"/>
      <c r="B76" s="462" t="s">
        <v>269</v>
      </c>
      <c r="C76" s="426"/>
      <c r="D76" s="427"/>
      <c r="E76" s="427"/>
      <c r="F76" s="427"/>
      <c r="G76" s="427"/>
      <c r="H76" s="427"/>
      <c r="I76" s="427"/>
      <c r="J76" s="427"/>
      <c r="K76" s="427"/>
      <c r="L76" s="427"/>
      <c r="M76" s="427"/>
      <c r="N76" s="427"/>
      <c r="O76" s="427"/>
      <c r="P76" s="427"/>
      <c r="Q76" s="427"/>
      <c r="R76" s="427"/>
      <c r="S76" s="427"/>
      <c r="T76" s="427"/>
      <c r="U76" s="427"/>
      <c r="V76" s="427"/>
      <c r="W76" s="427"/>
      <c r="X76" s="427"/>
      <c r="Y76" s="427"/>
      <c r="Z76" s="427"/>
      <c r="AA76" s="427"/>
      <c r="AB76" s="427"/>
      <c r="AC76" s="427"/>
      <c r="AD76" s="427"/>
      <c r="AE76" s="427"/>
      <c r="AF76" s="427"/>
      <c r="AG76" s="427"/>
      <c r="AH76" s="427"/>
      <c r="AI76" s="427"/>
      <c r="AJ76" s="427"/>
      <c r="AK76" s="427"/>
      <c r="AL76" s="427"/>
      <c r="AM76" s="427"/>
      <c r="AN76" s="427"/>
      <c r="AO76" s="427"/>
      <c r="AP76" s="427"/>
      <c r="AQ76" s="427"/>
      <c r="AR76" s="427"/>
      <c r="AS76" s="427"/>
      <c r="AT76" s="427"/>
      <c r="AU76" s="427"/>
      <c r="AV76" s="427"/>
      <c r="AW76" s="427"/>
      <c r="AX76" s="427"/>
      <c r="AY76" s="427"/>
      <c r="AZ76" s="427"/>
      <c r="BA76" s="427"/>
      <c r="BB76" s="427"/>
      <c r="BC76" s="427"/>
      <c r="BD76" s="427"/>
      <c r="BE76" s="427"/>
      <c r="BF76" s="427"/>
      <c r="BG76" s="427"/>
      <c r="BH76" s="427"/>
      <c r="BI76" s="427"/>
      <c r="BJ76" s="427"/>
      <c r="BK76" s="427"/>
      <c r="BL76" s="419"/>
      <c r="BM76" s="428"/>
      <c r="BN76" s="429"/>
      <c r="BO76" s="429"/>
      <c r="BP76" s="429"/>
      <c r="BQ76" s="430"/>
      <c r="BR76" s="430"/>
      <c r="BS76" s="430"/>
      <c r="BT76" s="430"/>
      <c r="BU76" s="430"/>
      <c r="BV76" s="430"/>
      <c r="BW76" s="430"/>
      <c r="BX76" s="430"/>
      <c r="BY76" s="430"/>
      <c r="BZ76" s="430"/>
      <c r="CA76" s="430"/>
      <c r="CB76" s="431"/>
      <c r="CC76" s="751"/>
    </row>
    <row r="77" spans="1:81" ht="14.25" customHeight="1">
      <c r="A77" s="1"/>
      <c r="B77" s="386" t="s">
        <v>264</v>
      </c>
      <c r="C77" s="330"/>
      <c r="D77" s="389"/>
      <c r="E77" s="331"/>
      <c r="F77" s="331"/>
      <c r="G77" s="390"/>
      <c r="H77" s="389"/>
      <c r="I77" s="331"/>
      <c r="J77" s="331"/>
      <c r="K77" s="390"/>
      <c r="L77" s="389"/>
      <c r="M77" s="331"/>
      <c r="N77" s="331"/>
      <c r="O77" s="331"/>
      <c r="P77" s="389"/>
      <c r="Q77" s="331"/>
      <c r="R77" s="331"/>
      <c r="S77" s="390"/>
      <c r="T77" s="450">
        <v>129.6</v>
      </c>
      <c r="U77" s="449">
        <v>145.19999999999999</v>
      </c>
      <c r="V77" s="449">
        <v>181.7</v>
      </c>
      <c r="W77" s="452">
        <f>BQ77-SUM(T77:V77)</f>
        <v>172.00000000000006</v>
      </c>
      <c r="X77" s="450">
        <v>191.9</v>
      </c>
      <c r="Y77" s="449">
        <v>186.5</v>
      </c>
      <c r="Z77" s="449">
        <v>173</v>
      </c>
      <c r="AA77" s="452">
        <f>BR77-SUM(X77:Z77)</f>
        <v>159</v>
      </c>
      <c r="AB77" s="450">
        <v>181.2</v>
      </c>
      <c r="AC77" s="449">
        <v>161.4</v>
      </c>
      <c r="AD77" s="449">
        <v>162.80000000000001</v>
      </c>
      <c r="AE77" s="452">
        <f>BS77-SUM(AB77:AD77)</f>
        <v>178.99999999999994</v>
      </c>
      <c r="AF77" s="450">
        <v>172.5</v>
      </c>
      <c r="AG77" s="449">
        <v>153.1</v>
      </c>
      <c r="AH77" s="449">
        <v>162.69999999999999</v>
      </c>
      <c r="AI77" s="394">
        <f>$AI$81*AI84</f>
        <v>164.97208000000001</v>
      </c>
      <c r="AJ77" s="450">
        <v>182.6</v>
      </c>
      <c r="AK77" s="449">
        <v>187.2</v>
      </c>
      <c r="AL77" s="447">
        <f t="shared" ref="AL77:AM80" si="110">+AL84*AL$34</f>
        <v>170.17663999999999</v>
      </c>
      <c r="AM77" s="334">
        <f t="shared" si="110"/>
        <v>166.81220999999999</v>
      </c>
      <c r="AN77" s="453">
        <f>AN$67*AN84</f>
        <v>159.28458000000003</v>
      </c>
      <c r="AO77" s="447">
        <f t="shared" ref="AO77:AP80" si="111">+AO84*AO$34</f>
        <v>193.36383999999998</v>
      </c>
      <c r="AP77" s="333">
        <f t="shared" si="111"/>
        <v>201.80665999999999</v>
      </c>
      <c r="AQ77" s="334">
        <f t="shared" ref="AQ77:AR80" si="112">AQ$67*AQ84</f>
        <v>181.40799999999999</v>
      </c>
      <c r="AR77" s="344">
        <f t="shared" si="112"/>
        <v>186.66272000000004</v>
      </c>
      <c r="AS77" s="447">
        <f t="shared" ref="AS77:AT80" si="113">+AS84*AS$34</f>
        <v>158.27160000000001</v>
      </c>
      <c r="AT77" s="333">
        <f t="shared" si="113"/>
        <v>181.1952</v>
      </c>
      <c r="AU77" s="333">
        <f>+AU84*AU$34</f>
        <v>182.74112000000002</v>
      </c>
      <c r="AV77" s="344">
        <f>AV$67*AV84</f>
        <v>186.66272000000004</v>
      </c>
      <c r="AW77" s="447">
        <f t="shared" ref="AW77:AX80" si="114">+AW84*AW$34</f>
        <v>173.76269999999997</v>
      </c>
      <c r="AX77" s="447">
        <f t="shared" si="114"/>
        <v>175.7064</v>
      </c>
      <c r="AY77" s="334">
        <f t="shared" ref="AY77:BA80" si="115">+AY84*AY$34</f>
        <v>188.93011999999999</v>
      </c>
      <c r="AZ77" s="447">
        <f t="shared" si="115"/>
        <v>178.47934000000001</v>
      </c>
      <c r="BA77" s="447">
        <f t="shared" si="115"/>
        <v>192.04593</v>
      </c>
      <c r="BB77" s="447">
        <f t="shared" ref="BB77:BC80" si="116">+BB84*BB$34</f>
        <v>195.66982999999999</v>
      </c>
      <c r="BC77" s="334">
        <f t="shared" si="116"/>
        <v>208.58722</v>
      </c>
      <c r="BD77" s="393"/>
      <c r="BE77" s="449"/>
      <c r="BF77" s="385"/>
      <c r="BG77" s="394"/>
      <c r="BH77" s="393"/>
      <c r="BI77" s="449"/>
      <c r="BJ77" s="385"/>
      <c r="BK77" s="394"/>
      <c r="BL77" s="419"/>
      <c r="BM77" s="369"/>
      <c r="BN77" s="215"/>
      <c r="BO77" s="215"/>
      <c r="BP77" s="215"/>
      <c r="BQ77" s="449">
        <f>628.5</f>
        <v>628.5</v>
      </c>
      <c r="BR77" s="449">
        <v>710.4</v>
      </c>
      <c r="BS77" s="449">
        <f>684.4</f>
        <v>684.4</v>
      </c>
      <c r="BT77" s="449"/>
      <c r="BU77" s="331"/>
      <c r="BV77" s="331"/>
      <c r="BW77" s="331"/>
      <c r="BX77" s="331"/>
      <c r="BY77" s="331"/>
      <c r="BZ77" s="331"/>
      <c r="CA77" s="331"/>
      <c r="CB77" s="390"/>
      <c r="CC77" s="751"/>
    </row>
    <row r="78" spans="1:81" ht="14.25" customHeight="1">
      <c r="A78" s="1"/>
      <c r="B78" s="386" t="s">
        <v>265</v>
      </c>
      <c r="C78" s="330"/>
      <c r="D78" s="389"/>
      <c r="E78" s="331"/>
      <c r="F78" s="331"/>
      <c r="G78" s="390"/>
      <c r="H78" s="389"/>
      <c r="I78" s="331"/>
      <c r="J78" s="331"/>
      <c r="K78" s="390"/>
      <c r="L78" s="389"/>
      <c r="M78" s="331"/>
      <c r="N78" s="331"/>
      <c r="O78" s="331"/>
      <c r="P78" s="389"/>
      <c r="Q78" s="331"/>
      <c r="R78" s="331"/>
      <c r="S78" s="390"/>
      <c r="T78" s="450">
        <v>139.5</v>
      </c>
      <c r="U78" s="449">
        <v>143.6</v>
      </c>
      <c r="V78" s="449">
        <v>182.3</v>
      </c>
      <c r="W78" s="452">
        <f>BQ78-SUM(T78:V78)</f>
        <v>183.7</v>
      </c>
      <c r="X78" s="450">
        <v>204.2</v>
      </c>
      <c r="Y78" s="449">
        <v>218</v>
      </c>
      <c r="Z78" s="449">
        <v>216.5</v>
      </c>
      <c r="AA78" s="452">
        <f>BR78-SUM(X78:Z78)</f>
        <v>205.19999999999993</v>
      </c>
      <c r="AB78" s="450">
        <v>216.6</v>
      </c>
      <c r="AC78" s="449">
        <v>172</v>
      </c>
      <c r="AD78" s="449">
        <v>180.2</v>
      </c>
      <c r="AE78" s="452">
        <f>BS78-SUM(AB78:AD78)</f>
        <v>175.70000000000005</v>
      </c>
      <c r="AF78" s="450">
        <v>203.1</v>
      </c>
      <c r="AG78" s="449">
        <v>195.6</v>
      </c>
      <c r="AH78" s="449">
        <v>174.7</v>
      </c>
      <c r="AI78" s="394">
        <f>$AI$81*AI85</f>
        <v>180.93712000000002</v>
      </c>
      <c r="AJ78" s="450">
        <v>207.3</v>
      </c>
      <c r="AK78" s="449">
        <v>229.2</v>
      </c>
      <c r="AL78" s="447">
        <f t="shared" si="110"/>
        <v>234.72640000000001</v>
      </c>
      <c r="AM78" s="334">
        <f t="shared" si="110"/>
        <v>265.66388999999998</v>
      </c>
      <c r="AN78" s="453">
        <f>AN$67*AN85</f>
        <v>263.43219000000005</v>
      </c>
      <c r="AO78" s="447">
        <f t="shared" si="111"/>
        <v>223.57693999999998</v>
      </c>
      <c r="AP78" s="333">
        <f t="shared" si="111"/>
        <v>231.48410999999999</v>
      </c>
      <c r="AQ78" s="334">
        <f t="shared" si="112"/>
        <v>209.75299999999999</v>
      </c>
      <c r="AR78" s="344">
        <f t="shared" si="112"/>
        <v>197.64288000000002</v>
      </c>
      <c r="AS78" s="447">
        <f t="shared" si="113"/>
        <v>211.02880000000002</v>
      </c>
      <c r="AT78" s="333">
        <f t="shared" si="113"/>
        <v>232.15635</v>
      </c>
      <c r="AU78" s="333">
        <f>+AU85*AU$34</f>
        <v>217.00508000000002</v>
      </c>
      <c r="AV78" s="344">
        <f>AV$67*AV85</f>
        <v>197.64288000000002</v>
      </c>
      <c r="AW78" s="447">
        <f t="shared" si="114"/>
        <v>231.68359999999998</v>
      </c>
      <c r="AX78" s="447">
        <f t="shared" si="114"/>
        <v>251.84583999999998</v>
      </c>
      <c r="AY78" s="334">
        <f t="shared" si="115"/>
        <v>249.87531999999999</v>
      </c>
      <c r="AZ78" s="447">
        <f t="shared" si="115"/>
        <v>264.64177999999998</v>
      </c>
      <c r="BA78" s="447">
        <f t="shared" si="115"/>
        <v>247.80120000000002</v>
      </c>
      <c r="BB78" s="447">
        <f t="shared" si="116"/>
        <v>258.78913</v>
      </c>
      <c r="BC78" s="334">
        <f t="shared" si="116"/>
        <v>262.41618</v>
      </c>
      <c r="BD78" s="393"/>
      <c r="BE78" s="449"/>
      <c r="BF78" s="385"/>
      <c r="BG78" s="394"/>
      <c r="BH78" s="393"/>
      <c r="BI78" s="449"/>
      <c r="BJ78" s="385"/>
      <c r="BK78" s="394"/>
      <c r="BL78" s="419"/>
      <c r="BM78" s="369"/>
      <c r="BN78" s="215"/>
      <c r="BO78" s="215"/>
      <c r="BP78" s="215"/>
      <c r="BQ78" s="449">
        <f>649.1</f>
        <v>649.1</v>
      </c>
      <c r="BR78" s="449">
        <v>843.9</v>
      </c>
      <c r="BS78" s="449">
        <f>744.5</f>
        <v>744.5</v>
      </c>
      <c r="BT78" s="449"/>
      <c r="BU78" s="331"/>
      <c r="BV78" s="331"/>
      <c r="BW78" s="331"/>
      <c r="BX78" s="331"/>
      <c r="BY78" s="331"/>
      <c r="BZ78" s="331"/>
      <c r="CA78" s="331"/>
      <c r="CB78" s="390"/>
      <c r="CC78" s="751"/>
    </row>
    <row r="79" spans="1:81" ht="14.25" customHeight="1">
      <c r="A79" s="1"/>
      <c r="B79" s="386" t="s">
        <v>266</v>
      </c>
      <c r="C79" s="330"/>
      <c r="D79" s="389"/>
      <c r="E79" s="331"/>
      <c r="F79" s="331"/>
      <c r="G79" s="390"/>
      <c r="H79" s="389"/>
      <c r="I79" s="331"/>
      <c r="J79" s="331"/>
      <c r="K79" s="390"/>
      <c r="L79" s="389"/>
      <c r="M79" s="331"/>
      <c r="N79" s="331"/>
      <c r="O79" s="331"/>
      <c r="P79" s="389"/>
      <c r="Q79" s="331"/>
      <c r="R79" s="331"/>
      <c r="S79" s="390"/>
      <c r="T79" s="450">
        <v>75.8</v>
      </c>
      <c r="U79" s="449">
        <v>86.8</v>
      </c>
      <c r="V79" s="449">
        <v>103.3</v>
      </c>
      <c r="W79" s="452">
        <f>BQ79-SUM(T79:V79)</f>
        <v>129.20000000000005</v>
      </c>
      <c r="X79" s="450">
        <v>154.19999999999999</v>
      </c>
      <c r="Y79" s="449">
        <v>160.9</v>
      </c>
      <c r="Z79" s="449">
        <v>125.3</v>
      </c>
      <c r="AA79" s="452">
        <f>BR79-SUM(X79:Z79)</f>
        <v>174.89999999999992</v>
      </c>
      <c r="AB79" s="450">
        <v>160.4</v>
      </c>
      <c r="AC79" s="449">
        <v>161.69999999999999</v>
      </c>
      <c r="AD79" s="449">
        <v>117.7</v>
      </c>
      <c r="AE79" s="452">
        <f>BS79-SUM(AB79:AD79)</f>
        <v>149.99999999999994</v>
      </c>
      <c r="AF79" s="450">
        <v>152.5</v>
      </c>
      <c r="AG79" s="449">
        <v>140.30000000000001</v>
      </c>
      <c r="AH79" s="449">
        <v>119.4</v>
      </c>
      <c r="AI79" s="394">
        <f>$AI$81*AI86</f>
        <v>138.36368000000002</v>
      </c>
      <c r="AJ79" s="450">
        <v>138.19999999999999</v>
      </c>
      <c r="AK79" s="449">
        <v>130.30000000000001</v>
      </c>
      <c r="AL79" s="447">
        <f t="shared" si="110"/>
        <v>129.09952000000001</v>
      </c>
      <c r="AM79" s="334">
        <f t="shared" si="110"/>
        <v>129.74283</v>
      </c>
      <c r="AN79" s="453">
        <f>AN$67*AN86</f>
        <v>128.65293000000003</v>
      </c>
      <c r="AO79" s="447">
        <f t="shared" si="111"/>
        <v>126.89501999999999</v>
      </c>
      <c r="AP79" s="333">
        <f t="shared" si="111"/>
        <v>100.90333</v>
      </c>
      <c r="AQ79" s="334">
        <f t="shared" si="112"/>
        <v>119.04899999999999</v>
      </c>
      <c r="AR79" s="344">
        <f t="shared" si="112"/>
        <v>104.31152</v>
      </c>
      <c r="AS79" s="447">
        <f t="shared" si="113"/>
        <v>105.51440000000001</v>
      </c>
      <c r="AT79" s="333">
        <f t="shared" si="113"/>
        <v>96.259950000000003</v>
      </c>
      <c r="AU79" s="333">
        <f>+AU86*AU$34</f>
        <v>119.92386</v>
      </c>
      <c r="AV79" s="344">
        <f>AV$67*AV86</f>
        <v>104.31152</v>
      </c>
      <c r="AW79" s="447">
        <f t="shared" si="114"/>
        <v>115.84179999999999</v>
      </c>
      <c r="AX79" s="447">
        <f t="shared" si="114"/>
        <v>111.28072</v>
      </c>
      <c r="AY79" s="334">
        <f t="shared" si="115"/>
        <v>121.8904</v>
      </c>
      <c r="AZ79" s="447">
        <f t="shared" si="115"/>
        <v>116.93474000000001</v>
      </c>
      <c r="BA79" s="447">
        <f t="shared" si="115"/>
        <v>123.90060000000001</v>
      </c>
      <c r="BB79" s="447">
        <f t="shared" si="116"/>
        <v>126.23860000000001</v>
      </c>
      <c r="BC79" s="334">
        <f t="shared" si="116"/>
        <v>148.02964</v>
      </c>
      <c r="BD79" s="393"/>
      <c r="BE79" s="449"/>
      <c r="BF79" s="385"/>
      <c r="BG79" s="394"/>
      <c r="BH79" s="393"/>
      <c r="BI79" s="449"/>
      <c r="BJ79" s="385"/>
      <c r="BK79" s="394"/>
      <c r="BL79" s="419"/>
      <c r="BM79" s="369"/>
      <c r="BN79" s="215"/>
      <c r="BO79" s="215"/>
      <c r="BP79" s="215"/>
      <c r="BQ79" s="449">
        <f>395.1</f>
        <v>395.1</v>
      </c>
      <c r="BR79" s="449">
        <v>615.29999999999995</v>
      </c>
      <c r="BS79" s="449">
        <f>589.8</f>
        <v>589.79999999999995</v>
      </c>
      <c r="BT79" s="449"/>
      <c r="BU79" s="331"/>
      <c r="BV79" s="331"/>
      <c r="BW79" s="331"/>
      <c r="BX79" s="331"/>
      <c r="BY79" s="331"/>
      <c r="BZ79" s="331"/>
      <c r="CA79" s="331"/>
      <c r="CB79" s="390"/>
      <c r="CC79" s="751"/>
    </row>
    <row r="80" spans="1:81" ht="14.25" customHeight="1">
      <c r="A80" s="1"/>
      <c r="B80" s="432" t="s">
        <v>267</v>
      </c>
      <c r="C80" s="388"/>
      <c r="D80" s="391"/>
      <c r="E80" s="7"/>
      <c r="F80" s="7"/>
      <c r="G80" s="392"/>
      <c r="H80" s="391"/>
      <c r="I80" s="7"/>
      <c r="J80" s="7"/>
      <c r="K80" s="392"/>
      <c r="L80" s="391"/>
      <c r="M80" s="7"/>
      <c r="N80" s="7"/>
      <c r="O80" s="7"/>
      <c r="P80" s="391"/>
      <c r="Q80" s="7"/>
      <c r="R80" s="7"/>
      <c r="S80" s="392"/>
      <c r="T80" s="454">
        <v>31.3</v>
      </c>
      <c r="U80" s="455">
        <v>39.4</v>
      </c>
      <c r="V80" s="455">
        <v>46</v>
      </c>
      <c r="W80" s="457">
        <f>BQ80-SUM(T80:V80)</f>
        <v>44.2</v>
      </c>
      <c r="X80" s="454">
        <v>44.4</v>
      </c>
      <c r="Y80" s="455">
        <v>54.3</v>
      </c>
      <c r="Z80" s="455">
        <v>52.4</v>
      </c>
      <c r="AA80" s="457">
        <f>BR80-SUM(X80:Z80)</f>
        <v>48.700000000000017</v>
      </c>
      <c r="AB80" s="454">
        <v>57.3</v>
      </c>
      <c r="AC80" s="455">
        <v>60.1</v>
      </c>
      <c r="AD80" s="455">
        <v>50.4</v>
      </c>
      <c r="AE80" s="457">
        <f>BS80-SUM(AB80:AD80)</f>
        <v>54.199999999999989</v>
      </c>
      <c r="AF80" s="454">
        <v>54.7</v>
      </c>
      <c r="AG80" s="455">
        <v>54.9</v>
      </c>
      <c r="AH80" s="455">
        <v>52.8</v>
      </c>
      <c r="AI80" s="394">
        <f>$AI$81*AI87</f>
        <v>47.895119999999999</v>
      </c>
      <c r="AJ80" s="454">
        <v>50.9</v>
      </c>
      <c r="AK80" s="455">
        <v>52.2</v>
      </c>
      <c r="AL80" s="468">
        <f t="shared" si="110"/>
        <v>52.81344</v>
      </c>
      <c r="AM80" s="334">
        <f t="shared" si="110"/>
        <v>55.604069999999993</v>
      </c>
      <c r="AN80" s="458">
        <f>AN$67*AN87</f>
        <v>61.263300000000015</v>
      </c>
      <c r="AO80" s="468">
        <f t="shared" si="111"/>
        <v>60.426199999999994</v>
      </c>
      <c r="AP80" s="899">
        <f t="shared" si="111"/>
        <v>59.354900000000001</v>
      </c>
      <c r="AQ80" s="900">
        <f t="shared" si="112"/>
        <v>56.69</v>
      </c>
      <c r="AR80" s="901">
        <f t="shared" si="112"/>
        <v>60.390880000000003</v>
      </c>
      <c r="AS80" s="468">
        <f t="shared" si="113"/>
        <v>52.757200000000005</v>
      </c>
      <c r="AT80" s="899">
        <f t="shared" si="113"/>
        <v>56.623500000000007</v>
      </c>
      <c r="AU80" s="899">
        <f>+AU87*AU$34</f>
        <v>51.395940000000003</v>
      </c>
      <c r="AV80" s="901">
        <f>AV$67*AV87</f>
        <v>60.390880000000003</v>
      </c>
      <c r="AW80" s="468">
        <f t="shared" si="114"/>
        <v>57.920899999999996</v>
      </c>
      <c r="AX80" s="468">
        <f t="shared" si="114"/>
        <v>46.855040000000002</v>
      </c>
      <c r="AY80" s="900">
        <f t="shared" si="115"/>
        <v>48.756160000000001</v>
      </c>
      <c r="AZ80" s="468">
        <f t="shared" si="115"/>
        <v>55.390140000000002</v>
      </c>
      <c r="BA80" s="468">
        <f t="shared" si="115"/>
        <v>55.755270000000003</v>
      </c>
      <c r="BB80" s="468">
        <f t="shared" si="116"/>
        <v>50.495440000000002</v>
      </c>
      <c r="BC80" s="900">
        <f t="shared" si="116"/>
        <v>53.828959999999995</v>
      </c>
      <c r="BD80" s="433"/>
      <c r="BE80" s="455"/>
      <c r="BF80" s="434"/>
      <c r="BG80" s="435"/>
      <c r="BH80" s="433"/>
      <c r="BI80" s="455"/>
      <c r="BJ80" s="434"/>
      <c r="BK80" s="435"/>
      <c r="BL80" s="419"/>
      <c r="BM80" s="369"/>
      <c r="BN80" s="215"/>
      <c r="BO80" s="215"/>
      <c r="BP80" s="215"/>
      <c r="BQ80" s="449">
        <f>160.9</f>
        <v>160.9</v>
      </c>
      <c r="BR80" s="449">
        <v>199.8</v>
      </c>
      <c r="BS80" s="449">
        <f>222</f>
        <v>222</v>
      </c>
      <c r="BT80" s="449"/>
      <c r="BU80" s="215"/>
      <c r="BV80" s="215"/>
      <c r="BW80" s="215"/>
      <c r="BX80" s="215"/>
      <c r="BY80" s="215"/>
      <c r="BZ80" s="215"/>
      <c r="CA80" s="215"/>
      <c r="CB80" s="353"/>
      <c r="CC80" s="751"/>
    </row>
    <row r="81" spans="1:81" ht="14.25" customHeight="1">
      <c r="A81" s="1"/>
      <c r="B81" s="387" t="s">
        <v>268</v>
      </c>
      <c r="C81" s="388"/>
      <c r="D81" s="391"/>
      <c r="E81" s="7"/>
      <c r="F81" s="7"/>
      <c r="G81" s="392"/>
      <c r="H81" s="391"/>
      <c r="I81" s="7"/>
      <c r="J81" s="7"/>
      <c r="K81" s="392"/>
      <c r="L81" s="391"/>
      <c r="M81" s="7"/>
      <c r="N81" s="7"/>
      <c r="O81" s="7"/>
      <c r="P81" s="391"/>
      <c r="Q81" s="7"/>
      <c r="R81" s="7"/>
      <c r="S81" s="392"/>
      <c r="T81" s="459">
        <f t="shared" ref="T81:AD81" si="117">SUM(T77:T80)</f>
        <v>376.20000000000005</v>
      </c>
      <c r="U81" s="460">
        <f t="shared" si="117"/>
        <v>414.99999999999994</v>
      </c>
      <c r="V81" s="460">
        <f t="shared" si="117"/>
        <v>513.29999999999995</v>
      </c>
      <c r="W81" s="397">
        <f t="shared" si="117"/>
        <v>529.10000000000014</v>
      </c>
      <c r="X81" s="459">
        <f t="shared" si="117"/>
        <v>594.69999999999993</v>
      </c>
      <c r="Y81" s="460">
        <f t="shared" si="117"/>
        <v>619.69999999999993</v>
      </c>
      <c r="Z81" s="460">
        <f t="shared" si="117"/>
        <v>567.19999999999993</v>
      </c>
      <c r="AA81" s="461">
        <f>SUM(AA77:AA80)</f>
        <v>587.79999999999995</v>
      </c>
      <c r="AB81" s="459">
        <f t="shared" si="117"/>
        <v>615.49999999999989</v>
      </c>
      <c r="AC81" s="460">
        <f t="shared" si="117"/>
        <v>555.19999999999993</v>
      </c>
      <c r="AD81" s="460">
        <f t="shared" si="117"/>
        <v>511.09999999999997</v>
      </c>
      <c r="AE81" s="461">
        <f>SUM(AE77:AE80)</f>
        <v>558.89999999999986</v>
      </c>
      <c r="AF81" s="459">
        <f>SUM(AF77:AF80)</f>
        <v>582.80000000000007</v>
      </c>
      <c r="AG81" s="460">
        <f>SUM(AG77:AG80)</f>
        <v>543.9</v>
      </c>
      <c r="AH81" s="460">
        <f>SUM(AH77:AH80)</f>
        <v>509.59999999999997</v>
      </c>
      <c r="AI81" s="597">
        <f>+AI67</f>
        <v>532.16800000000001</v>
      </c>
      <c r="AJ81" s="395">
        <f>+AJ67</f>
        <v>579</v>
      </c>
      <c r="AK81" s="460">
        <f t="shared" ref="AK81:AR81" si="118">SUM(AK77:AK80)</f>
        <v>598.90000000000009</v>
      </c>
      <c r="AL81" s="460">
        <f t="shared" si="118"/>
        <v>586.81600000000003</v>
      </c>
      <c r="AM81" s="597">
        <f t="shared" si="118"/>
        <v>617.82299999999998</v>
      </c>
      <c r="AN81" s="395">
        <f t="shared" si="118"/>
        <v>612.63300000000027</v>
      </c>
      <c r="AO81" s="460">
        <f t="shared" si="118"/>
        <v>604.26199999999994</v>
      </c>
      <c r="AP81" s="396">
        <f t="shared" si="118"/>
        <v>593.54899999999998</v>
      </c>
      <c r="AQ81" s="397">
        <f t="shared" si="118"/>
        <v>566.89999999999986</v>
      </c>
      <c r="AR81" s="395">
        <f t="shared" si="118"/>
        <v>549.00800000000004</v>
      </c>
      <c r="AS81" s="460">
        <f t="shared" ref="AS81:AY81" si="119">SUM(AS77:AS80)</f>
        <v>527.572</v>
      </c>
      <c r="AT81" s="396">
        <f t="shared" si="119"/>
        <v>566.23500000000001</v>
      </c>
      <c r="AU81" s="396">
        <f t="shared" si="119"/>
        <v>571.06600000000003</v>
      </c>
      <c r="AV81" s="395">
        <f t="shared" si="119"/>
        <v>549.00800000000004</v>
      </c>
      <c r="AW81" s="460">
        <f t="shared" si="119"/>
        <v>579.20899999999995</v>
      </c>
      <c r="AX81" s="460">
        <f t="shared" si="119"/>
        <v>585.68799999999999</v>
      </c>
      <c r="AY81" s="460">
        <f t="shared" si="119"/>
        <v>609.452</v>
      </c>
      <c r="AZ81" s="395">
        <f>SUM(AZ77:AZ80)</f>
        <v>615.44600000000003</v>
      </c>
      <c r="BA81" s="460">
        <f>SUM(BA77:BA80)</f>
        <v>619.50300000000004</v>
      </c>
      <c r="BB81" s="460">
        <f>SUM(BB77:BB80)</f>
        <v>631.19299999999998</v>
      </c>
      <c r="BC81" s="925">
        <f>SUM(BC77:BC80)</f>
        <v>672.86200000000008</v>
      </c>
      <c r="BD81" s="395"/>
      <c r="BE81" s="460"/>
      <c r="BF81" s="396"/>
      <c r="BG81" s="397"/>
      <c r="BH81" s="395"/>
      <c r="BI81" s="460"/>
      <c r="BJ81" s="396"/>
      <c r="BK81" s="397"/>
      <c r="BL81" s="419"/>
      <c r="BM81" s="443"/>
      <c r="BN81" s="444"/>
      <c r="BO81" s="444"/>
      <c r="BP81" s="444"/>
      <c r="BQ81" s="448">
        <f>SUM(BQ77:BQ80)</f>
        <v>1833.6</v>
      </c>
      <c r="BR81" s="448">
        <f>SUM(BR77:BR80)</f>
        <v>2369.4</v>
      </c>
      <c r="BS81" s="448">
        <f>SUM(BS77:BS80)</f>
        <v>2240.6999999999998</v>
      </c>
      <c r="BT81" s="448"/>
      <c r="BU81" s="444"/>
      <c r="BV81" s="444"/>
      <c r="BW81" s="444"/>
      <c r="BX81" s="444"/>
      <c r="BY81" s="444"/>
      <c r="BZ81" s="444"/>
      <c r="CA81" s="444"/>
      <c r="CB81" s="445"/>
      <c r="CC81" s="751"/>
    </row>
    <row r="82" spans="1:81" ht="14.25" customHeight="1">
      <c r="A82" s="1"/>
      <c r="B82" s="380"/>
      <c r="C82" s="330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381"/>
      <c r="U82" s="381"/>
      <c r="V82" s="381"/>
      <c r="W82" s="381"/>
      <c r="X82" s="381"/>
      <c r="Y82" s="381"/>
      <c r="Z82" s="381"/>
      <c r="AA82" s="381"/>
      <c r="AB82" s="381"/>
      <c r="AC82" s="381"/>
      <c r="AD82" s="381"/>
      <c r="AE82" s="381"/>
      <c r="AF82" s="381" t="s">
        <v>291</v>
      </c>
      <c r="AG82" s="381"/>
      <c r="AH82" s="381"/>
      <c r="AI82" s="381"/>
      <c r="AJ82" s="381"/>
      <c r="AK82" s="381"/>
      <c r="AL82" s="381"/>
      <c r="AM82" s="381"/>
      <c r="AN82" s="381"/>
      <c r="AO82" s="381"/>
      <c r="AP82" s="381"/>
      <c r="AQ82" s="381"/>
      <c r="AR82" s="381"/>
      <c r="AS82" s="381"/>
      <c r="AT82" s="381"/>
      <c r="AU82" s="381"/>
      <c r="AV82" s="381"/>
      <c r="AW82" s="381"/>
      <c r="AX82" s="381"/>
      <c r="AY82" s="381"/>
      <c r="AZ82" s="381"/>
      <c r="BA82" s="381"/>
      <c r="BB82" s="381"/>
      <c r="BC82" s="381"/>
      <c r="BD82" s="381"/>
      <c r="BE82" s="381"/>
      <c r="BF82" s="381"/>
      <c r="BG82" s="381"/>
      <c r="BH82" s="381"/>
      <c r="BI82" s="381"/>
      <c r="BJ82" s="381"/>
      <c r="BK82" s="381"/>
      <c r="BL82" s="1"/>
      <c r="BM82" s="1"/>
      <c r="BN82" s="1"/>
      <c r="BO82" s="1"/>
      <c r="BP82" s="1"/>
      <c r="BQ82" s="1"/>
      <c r="BR82" s="381"/>
      <c r="BS82" s="381"/>
      <c r="BT82" s="381"/>
      <c r="BU82" s="215"/>
      <c r="BV82" s="215"/>
      <c r="BW82" s="215"/>
      <c r="BX82" s="1"/>
      <c r="BY82" s="1"/>
      <c r="BZ82" s="1"/>
      <c r="CA82" s="1"/>
      <c r="CB82" s="1"/>
    </row>
    <row r="83" spans="1:81" ht="14.25" customHeight="1">
      <c r="A83" s="1"/>
      <c r="B83" s="462" t="s">
        <v>270</v>
      </c>
      <c r="C83" s="426"/>
      <c r="D83" s="427"/>
      <c r="E83" s="427"/>
      <c r="F83" s="427"/>
      <c r="G83" s="427"/>
      <c r="H83" s="427"/>
      <c r="I83" s="427"/>
      <c r="J83" s="427"/>
      <c r="K83" s="427"/>
      <c r="L83" s="427"/>
      <c r="M83" s="427"/>
      <c r="N83" s="427"/>
      <c r="O83" s="427"/>
      <c r="P83" s="427"/>
      <c r="Q83" s="427"/>
      <c r="R83" s="427"/>
      <c r="S83" s="427"/>
      <c r="T83" s="427"/>
      <c r="U83" s="427"/>
      <c r="V83" s="427"/>
      <c r="W83" s="427"/>
      <c r="X83" s="427"/>
      <c r="Y83" s="427"/>
      <c r="Z83" s="427"/>
      <c r="AA83" s="427"/>
      <c r="AB83" s="427"/>
      <c r="AC83" s="427"/>
      <c r="AD83" s="427"/>
      <c r="AE83" s="427"/>
      <c r="AF83" s="427"/>
      <c r="AG83" s="427"/>
      <c r="AH83" s="427"/>
      <c r="AI83" s="427"/>
      <c r="AJ83" s="427"/>
      <c r="AK83" s="427"/>
      <c r="AL83" s="427"/>
      <c r="AM83" s="427"/>
      <c r="AN83" s="427"/>
      <c r="AO83" s="427"/>
      <c r="AP83" s="427"/>
      <c r="AQ83" s="427"/>
      <c r="AR83" s="427"/>
      <c r="AS83" s="427"/>
      <c r="AT83" s="427"/>
      <c r="AU83" s="427"/>
      <c r="AV83" s="427"/>
      <c r="AW83" s="427"/>
      <c r="AX83" s="427"/>
      <c r="AY83" s="427"/>
      <c r="AZ83" s="427"/>
      <c r="BA83" s="427"/>
      <c r="BB83" s="427"/>
      <c r="BC83" s="427"/>
      <c r="BD83" s="427"/>
      <c r="BE83" s="427"/>
      <c r="BF83" s="427"/>
      <c r="BG83" s="427"/>
      <c r="BH83" s="427"/>
      <c r="BI83" s="427"/>
      <c r="BJ83" s="427"/>
      <c r="BK83" s="427"/>
      <c r="BL83" s="419"/>
      <c r="BM83" s="428"/>
      <c r="BN83" s="429"/>
      <c r="BO83" s="429"/>
      <c r="BP83" s="429"/>
      <c r="BQ83" s="430"/>
      <c r="BR83" s="430"/>
      <c r="BS83" s="430"/>
      <c r="BT83" s="430"/>
      <c r="BU83" s="430"/>
      <c r="BV83" s="430"/>
      <c r="BW83" s="430"/>
      <c r="BX83" s="430"/>
      <c r="BY83" s="430"/>
      <c r="BZ83" s="430"/>
      <c r="CA83" s="430"/>
      <c r="CB83" s="431"/>
      <c r="CC83" s="751"/>
    </row>
    <row r="84" spans="1:81" s="398" customFormat="1" ht="14.25" customHeight="1">
      <c r="B84" s="399" t="s">
        <v>264</v>
      </c>
      <c r="C84" s="400"/>
      <c r="D84" s="399"/>
      <c r="E84" s="401"/>
      <c r="F84" s="401"/>
      <c r="G84" s="402"/>
      <c r="H84" s="399"/>
      <c r="I84" s="401"/>
      <c r="J84" s="401"/>
      <c r="K84" s="402"/>
      <c r="L84" s="399"/>
      <c r="M84" s="401"/>
      <c r="N84" s="401"/>
      <c r="O84" s="401"/>
      <c r="P84" s="399"/>
      <c r="Q84" s="401"/>
      <c r="R84" s="401"/>
      <c r="S84" s="402"/>
      <c r="T84" s="404">
        <f t="shared" ref="T84:AD84" si="120">T77/T$81</f>
        <v>0.34449760765550236</v>
      </c>
      <c r="U84" s="405">
        <f t="shared" si="120"/>
        <v>0.34987951807228918</v>
      </c>
      <c r="V84" s="405">
        <f t="shared" si="120"/>
        <v>0.35398402493668418</v>
      </c>
      <c r="W84" s="406">
        <f t="shared" si="120"/>
        <v>0.32508032508032508</v>
      </c>
      <c r="X84" s="404">
        <f t="shared" si="120"/>
        <v>0.32268370607028757</v>
      </c>
      <c r="Y84" s="405">
        <f t="shared" si="120"/>
        <v>0.30095207358399229</v>
      </c>
      <c r="Z84" s="405">
        <f t="shared" si="120"/>
        <v>0.30500705218617774</v>
      </c>
      <c r="AA84" s="406">
        <f t="shared" si="120"/>
        <v>0.27050017012589317</v>
      </c>
      <c r="AB84" s="404">
        <f t="shared" si="120"/>
        <v>0.29439480097481724</v>
      </c>
      <c r="AC84" s="405">
        <f t="shared" si="120"/>
        <v>0.29070605187319887</v>
      </c>
      <c r="AD84" s="405">
        <f t="shared" si="120"/>
        <v>0.31852866366660149</v>
      </c>
      <c r="AE84" s="424">
        <v>0.32</v>
      </c>
      <c r="AF84" s="404">
        <f t="shared" ref="AF84:AH88" si="121">AF77/AF$81</f>
        <v>0.29598490048043924</v>
      </c>
      <c r="AG84" s="405">
        <f t="shared" si="121"/>
        <v>0.2814855671998529</v>
      </c>
      <c r="AH84" s="405">
        <f t="shared" si="121"/>
        <v>0.31927001569858715</v>
      </c>
      <c r="AI84" s="406">
        <v>0.31</v>
      </c>
      <c r="AJ84" s="404">
        <f t="shared" ref="AJ84:AM88" si="122">AJ77/AJ$81</f>
        <v>0.31537132987910188</v>
      </c>
      <c r="AK84" s="405">
        <f t="shared" si="122"/>
        <v>0.31257305059275331</v>
      </c>
      <c r="AL84" s="896">
        <v>0.28999999999999998</v>
      </c>
      <c r="AM84" s="897">
        <v>0.27</v>
      </c>
      <c r="AN84" s="898">
        <v>0.26</v>
      </c>
      <c r="AO84" s="896">
        <v>0.32</v>
      </c>
      <c r="AP84" s="896">
        <v>0.34</v>
      </c>
      <c r="AQ84" s="897">
        <v>0.32</v>
      </c>
      <c r="AR84" s="898">
        <v>0.34</v>
      </c>
      <c r="AS84" s="896">
        <v>0.3</v>
      </c>
      <c r="AT84" s="896">
        <v>0.32</v>
      </c>
      <c r="AU84" s="896">
        <v>0.32</v>
      </c>
      <c r="AV84" s="898">
        <v>0.34</v>
      </c>
      <c r="AW84" s="896">
        <v>0.3</v>
      </c>
      <c r="AX84" s="896">
        <v>0.3</v>
      </c>
      <c r="AY84" s="897">
        <v>0.31</v>
      </c>
      <c r="AZ84" s="898">
        <v>0.28999999999999998</v>
      </c>
      <c r="BA84" s="896">
        <v>0.31</v>
      </c>
      <c r="BB84" s="896">
        <v>0.31</v>
      </c>
      <c r="BC84" s="896">
        <v>0.31</v>
      </c>
      <c r="BD84" s="404"/>
      <c r="BE84" s="405"/>
      <c r="BF84" s="405"/>
      <c r="BG84" s="406"/>
      <c r="BH84" s="404"/>
      <c r="BI84" s="405"/>
      <c r="BJ84" s="405"/>
      <c r="BK84" s="406"/>
      <c r="BL84" s="420"/>
      <c r="BM84" s="399"/>
      <c r="BN84" s="401"/>
      <c r="BO84" s="401"/>
      <c r="BP84" s="401"/>
      <c r="BQ84" s="403">
        <f t="shared" ref="BQ84:BS88" si="123">BQ77/BQ$81</f>
        <v>0.34276832460732987</v>
      </c>
      <c r="BR84" s="405">
        <f t="shared" si="123"/>
        <v>0.29982273993416053</v>
      </c>
      <c r="BS84" s="405">
        <f t="shared" si="123"/>
        <v>0.30544026420315079</v>
      </c>
      <c r="BT84" s="405"/>
      <c r="BU84" s="401"/>
      <c r="BV84" s="401"/>
      <c r="BW84" s="401"/>
      <c r="BX84" s="401"/>
      <c r="BY84" s="401"/>
      <c r="BZ84" s="401"/>
      <c r="CA84" s="401"/>
      <c r="CB84" s="402"/>
      <c r="CC84" s="399"/>
    </row>
    <row r="85" spans="1:81" s="398" customFormat="1" ht="14.25" customHeight="1">
      <c r="B85" s="399" t="s">
        <v>265</v>
      </c>
      <c r="C85" s="400"/>
      <c r="D85" s="399"/>
      <c r="E85" s="401"/>
      <c r="F85" s="401"/>
      <c r="G85" s="402"/>
      <c r="H85" s="399"/>
      <c r="I85" s="401"/>
      <c r="J85" s="401"/>
      <c r="K85" s="402"/>
      <c r="L85" s="399"/>
      <c r="M85" s="401"/>
      <c r="N85" s="401"/>
      <c r="O85" s="401"/>
      <c r="P85" s="399"/>
      <c r="Q85" s="401"/>
      <c r="R85" s="401"/>
      <c r="S85" s="402"/>
      <c r="T85" s="404">
        <f t="shared" ref="T85:AD85" si="124">T78/T$81</f>
        <v>0.37081339712918654</v>
      </c>
      <c r="U85" s="405">
        <f t="shared" si="124"/>
        <v>0.34602409638554221</v>
      </c>
      <c r="V85" s="405">
        <f t="shared" si="124"/>
        <v>0.35515293200857206</v>
      </c>
      <c r="W85" s="406">
        <f t="shared" si="124"/>
        <v>0.3471933471933471</v>
      </c>
      <c r="X85" s="404">
        <f t="shared" si="124"/>
        <v>0.34336640322851858</v>
      </c>
      <c r="Y85" s="405">
        <f t="shared" si="124"/>
        <v>0.35178312086493468</v>
      </c>
      <c r="Z85" s="405">
        <f t="shared" si="124"/>
        <v>0.38169957686882938</v>
      </c>
      <c r="AA85" s="406">
        <f t="shared" si="124"/>
        <v>0.34909833276624691</v>
      </c>
      <c r="AB85" s="404">
        <f t="shared" si="124"/>
        <v>0.35190901705930144</v>
      </c>
      <c r="AC85" s="405">
        <f t="shared" si="124"/>
        <v>0.30979827089337181</v>
      </c>
      <c r="AD85" s="405">
        <f t="shared" si="124"/>
        <v>0.35257288201917431</v>
      </c>
      <c r="AE85" s="424">
        <v>0.31</v>
      </c>
      <c r="AF85" s="404">
        <f t="shared" si="121"/>
        <v>0.3484900480439258</v>
      </c>
      <c r="AG85" s="405">
        <f t="shared" si="121"/>
        <v>0.35962493105350246</v>
      </c>
      <c r="AH85" s="405">
        <f t="shared" si="121"/>
        <v>0.34281789638932497</v>
      </c>
      <c r="AI85" s="406">
        <v>0.34</v>
      </c>
      <c r="AJ85" s="404">
        <f t="shared" si="122"/>
        <v>0.35803108808290157</v>
      </c>
      <c r="AK85" s="405">
        <f t="shared" si="122"/>
        <v>0.38270161963599925</v>
      </c>
      <c r="AL85" s="896">
        <v>0.4</v>
      </c>
      <c r="AM85" s="897">
        <v>0.43</v>
      </c>
      <c r="AN85" s="898">
        <v>0.43</v>
      </c>
      <c r="AO85" s="896">
        <v>0.37</v>
      </c>
      <c r="AP85" s="896">
        <v>0.39</v>
      </c>
      <c r="AQ85" s="897">
        <v>0.37</v>
      </c>
      <c r="AR85" s="898">
        <v>0.36</v>
      </c>
      <c r="AS85" s="896">
        <v>0.4</v>
      </c>
      <c r="AT85" s="896">
        <v>0.41</v>
      </c>
      <c r="AU85" s="896">
        <v>0.38</v>
      </c>
      <c r="AV85" s="898">
        <v>0.36</v>
      </c>
      <c r="AW85" s="896">
        <v>0.4</v>
      </c>
      <c r="AX85" s="896">
        <v>0.43</v>
      </c>
      <c r="AY85" s="897">
        <v>0.41</v>
      </c>
      <c r="AZ85" s="898">
        <v>0.43</v>
      </c>
      <c r="BA85" s="896">
        <v>0.4</v>
      </c>
      <c r="BB85" s="896">
        <v>0.41</v>
      </c>
      <c r="BC85" s="896">
        <v>0.39</v>
      </c>
      <c r="BD85" s="404"/>
      <c r="BE85" s="405"/>
      <c r="BF85" s="405"/>
      <c r="BG85" s="406"/>
      <c r="BH85" s="404"/>
      <c r="BI85" s="405"/>
      <c r="BJ85" s="405"/>
      <c r="BK85" s="406"/>
      <c r="BL85" s="420"/>
      <c r="BM85" s="399"/>
      <c r="BN85" s="401"/>
      <c r="BO85" s="401"/>
      <c r="BP85" s="401"/>
      <c r="BQ85" s="403">
        <f t="shared" si="123"/>
        <v>0.35400305410122168</v>
      </c>
      <c r="BR85" s="405">
        <f t="shared" si="123"/>
        <v>0.35616611800455811</v>
      </c>
      <c r="BS85" s="405">
        <f t="shared" si="123"/>
        <v>0.33226223947873434</v>
      </c>
      <c r="BT85" s="405"/>
      <c r="BU85" s="401"/>
      <c r="BV85" s="401"/>
      <c r="BW85" s="401"/>
      <c r="BX85" s="401"/>
      <c r="BY85" s="401"/>
      <c r="BZ85" s="401"/>
      <c r="CA85" s="401"/>
      <c r="CB85" s="402"/>
      <c r="CC85" s="399"/>
    </row>
    <row r="86" spans="1:81" s="398" customFormat="1" ht="14.25" customHeight="1">
      <c r="B86" s="399" t="s">
        <v>266</v>
      </c>
      <c r="C86" s="400"/>
      <c r="D86" s="399"/>
      <c r="E86" s="401"/>
      <c r="F86" s="401"/>
      <c r="G86" s="402"/>
      <c r="H86" s="399"/>
      <c r="I86" s="401"/>
      <c r="J86" s="401"/>
      <c r="K86" s="402"/>
      <c r="L86" s="399"/>
      <c r="M86" s="401"/>
      <c r="N86" s="401"/>
      <c r="O86" s="401"/>
      <c r="P86" s="399"/>
      <c r="Q86" s="401"/>
      <c r="R86" s="401"/>
      <c r="S86" s="402"/>
      <c r="T86" s="404">
        <f t="shared" ref="T86:AD86" si="125">T79/T$81</f>
        <v>0.20148856990962252</v>
      </c>
      <c r="U86" s="405">
        <f t="shared" si="125"/>
        <v>0.20915662650602412</v>
      </c>
      <c r="V86" s="405">
        <f t="shared" si="125"/>
        <v>0.20124683421001366</v>
      </c>
      <c r="W86" s="406">
        <f t="shared" si="125"/>
        <v>0.24418824418824422</v>
      </c>
      <c r="X86" s="404">
        <f t="shared" si="125"/>
        <v>0.25929039852026231</v>
      </c>
      <c r="Y86" s="405">
        <f t="shared" si="125"/>
        <v>0.25964176214297247</v>
      </c>
      <c r="Z86" s="405">
        <f t="shared" si="125"/>
        <v>0.22090973201692526</v>
      </c>
      <c r="AA86" s="406">
        <f t="shared" si="125"/>
        <v>0.29755018713848236</v>
      </c>
      <c r="AB86" s="404">
        <f t="shared" si="125"/>
        <v>0.26060113728675877</v>
      </c>
      <c r="AC86" s="405">
        <f t="shared" si="125"/>
        <v>0.29124639769452448</v>
      </c>
      <c r="AD86" s="405">
        <f t="shared" si="125"/>
        <v>0.23028761494815106</v>
      </c>
      <c r="AE86" s="424">
        <v>0.27</v>
      </c>
      <c r="AF86" s="404">
        <f t="shared" si="121"/>
        <v>0.26166781056966365</v>
      </c>
      <c r="AG86" s="405">
        <f t="shared" si="121"/>
        <v>0.25795182938040084</v>
      </c>
      <c r="AH86" s="405">
        <f t="shared" si="121"/>
        <v>0.23430141287284148</v>
      </c>
      <c r="AI86" s="406">
        <v>0.26</v>
      </c>
      <c r="AJ86" s="404">
        <f t="shared" si="122"/>
        <v>0.23868739205526768</v>
      </c>
      <c r="AK86" s="405">
        <f t="shared" si="122"/>
        <v>0.21756553681749874</v>
      </c>
      <c r="AL86" s="896">
        <v>0.22</v>
      </c>
      <c r="AM86" s="897">
        <v>0.21</v>
      </c>
      <c r="AN86" s="898">
        <v>0.21</v>
      </c>
      <c r="AO86" s="896">
        <v>0.21</v>
      </c>
      <c r="AP86" s="896">
        <v>0.17</v>
      </c>
      <c r="AQ86" s="897">
        <v>0.21</v>
      </c>
      <c r="AR86" s="898">
        <v>0.19</v>
      </c>
      <c r="AS86" s="896">
        <v>0.2</v>
      </c>
      <c r="AT86" s="896">
        <v>0.17</v>
      </c>
      <c r="AU86" s="896">
        <v>0.21</v>
      </c>
      <c r="AV86" s="898">
        <v>0.19</v>
      </c>
      <c r="AW86" s="896">
        <v>0.2</v>
      </c>
      <c r="AX86" s="896">
        <v>0.19</v>
      </c>
      <c r="AY86" s="897">
        <v>0.2</v>
      </c>
      <c r="AZ86" s="898">
        <v>0.19</v>
      </c>
      <c r="BA86" s="896">
        <v>0.2</v>
      </c>
      <c r="BB86" s="896">
        <v>0.2</v>
      </c>
      <c r="BC86" s="896">
        <v>0.22</v>
      </c>
      <c r="BD86" s="404"/>
      <c r="BE86" s="405"/>
      <c r="BF86" s="405"/>
      <c r="BG86" s="406"/>
      <c r="BH86" s="404"/>
      <c r="BI86" s="405"/>
      <c r="BJ86" s="405"/>
      <c r="BK86" s="406"/>
      <c r="BL86" s="420"/>
      <c r="BM86" s="399"/>
      <c r="BN86" s="401"/>
      <c r="BO86" s="401"/>
      <c r="BP86" s="401"/>
      <c r="BQ86" s="403">
        <f t="shared" si="123"/>
        <v>0.21547774869109951</v>
      </c>
      <c r="BR86" s="405">
        <f t="shared" si="123"/>
        <v>0.25968599645479867</v>
      </c>
      <c r="BS86" s="405">
        <f t="shared" si="123"/>
        <v>0.26322131476770655</v>
      </c>
      <c r="BT86" s="405"/>
      <c r="BU86" s="401"/>
      <c r="BV86" s="401"/>
      <c r="BW86" s="401"/>
      <c r="BX86" s="401"/>
      <c r="BY86" s="401"/>
      <c r="BZ86" s="401"/>
      <c r="CA86" s="401"/>
      <c r="CB86" s="402"/>
      <c r="CC86" s="399"/>
    </row>
    <row r="87" spans="1:81" s="398" customFormat="1" ht="14.25" customHeight="1">
      <c r="B87" s="399" t="s">
        <v>267</v>
      </c>
      <c r="C87" s="400"/>
      <c r="D87" s="399"/>
      <c r="E87" s="401"/>
      <c r="F87" s="401"/>
      <c r="G87" s="402"/>
      <c r="H87" s="399"/>
      <c r="I87" s="401"/>
      <c r="J87" s="401"/>
      <c r="K87" s="402"/>
      <c r="L87" s="399"/>
      <c r="M87" s="401"/>
      <c r="N87" s="401"/>
      <c r="O87" s="401"/>
      <c r="P87" s="399"/>
      <c r="Q87" s="401"/>
      <c r="R87" s="401"/>
      <c r="S87" s="402"/>
      <c r="T87" s="404">
        <f t="shared" ref="T87:AD87" si="126">T80/T$81</f>
        <v>8.3200425305688455E-2</v>
      </c>
      <c r="U87" s="405">
        <f t="shared" si="126"/>
        <v>9.4939759036144586E-2</v>
      </c>
      <c r="V87" s="405">
        <f t="shared" si="126"/>
        <v>8.9616208844730191E-2</v>
      </c>
      <c r="W87" s="406">
        <f t="shared" si="126"/>
        <v>8.3538083538083521E-2</v>
      </c>
      <c r="X87" s="404">
        <f t="shared" si="126"/>
        <v>7.4659492180931569E-2</v>
      </c>
      <c r="Y87" s="405">
        <f t="shared" si="126"/>
        <v>8.7623043408100704E-2</v>
      </c>
      <c r="Z87" s="405">
        <f t="shared" si="126"/>
        <v>9.238363892806771E-2</v>
      </c>
      <c r="AA87" s="406">
        <f t="shared" si="126"/>
        <v>8.2851309969377368E-2</v>
      </c>
      <c r="AB87" s="404">
        <f t="shared" si="126"/>
        <v>9.3095044679122677E-2</v>
      </c>
      <c r="AC87" s="405">
        <f t="shared" si="126"/>
        <v>0.10824927953890491</v>
      </c>
      <c r="AD87" s="405">
        <f t="shared" si="126"/>
        <v>9.8610839366073177E-2</v>
      </c>
      <c r="AE87" s="424">
        <v>0.1</v>
      </c>
      <c r="AF87" s="404">
        <f t="shared" si="121"/>
        <v>9.3857240905971168E-2</v>
      </c>
      <c r="AG87" s="405">
        <f t="shared" si="121"/>
        <v>0.10093767236624379</v>
      </c>
      <c r="AH87" s="405">
        <f t="shared" si="121"/>
        <v>0.10361067503924647</v>
      </c>
      <c r="AI87" s="406">
        <v>0.09</v>
      </c>
      <c r="AJ87" s="404">
        <f t="shared" si="122"/>
        <v>8.7910189982728842E-2</v>
      </c>
      <c r="AK87" s="405">
        <f t="shared" si="122"/>
        <v>8.7159792953748524E-2</v>
      </c>
      <c r="AL87" s="896">
        <v>0.09</v>
      </c>
      <c r="AM87" s="897">
        <v>0.09</v>
      </c>
      <c r="AN87" s="898">
        <v>0.1</v>
      </c>
      <c r="AO87" s="896">
        <v>0.1</v>
      </c>
      <c r="AP87" s="896">
        <v>0.1</v>
      </c>
      <c r="AQ87" s="897">
        <v>0.1</v>
      </c>
      <c r="AR87" s="898">
        <v>0.11</v>
      </c>
      <c r="AS87" s="896">
        <v>0.1</v>
      </c>
      <c r="AT87" s="896">
        <v>0.1</v>
      </c>
      <c r="AU87" s="896">
        <v>0.09</v>
      </c>
      <c r="AV87" s="898">
        <v>0.11</v>
      </c>
      <c r="AW87" s="896">
        <v>0.1</v>
      </c>
      <c r="AX87" s="896">
        <v>0.08</v>
      </c>
      <c r="AY87" s="897">
        <v>0.08</v>
      </c>
      <c r="AZ87" s="898">
        <v>0.09</v>
      </c>
      <c r="BA87" s="896">
        <v>0.09</v>
      </c>
      <c r="BB87" s="896">
        <v>0.08</v>
      </c>
      <c r="BC87" s="896">
        <v>0.08</v>
      </c>
      <c r="BD87" s="404"/>
      <c r="BE87" s="405"/>
      <c r="BF87" s="405"/>
      <c r="BG87" s="406"/>
      <c r="BH87" s="404"/>
      <c r="BI87" s="405"/>
      <c r="BJ87" s="405"/>
      <c r="BK87" s="406"/>
      <c r="BL87" s="420"/>
      <c r="BM87" s="399"/>
      <c r="BN87" s="401"/>
      <c r="BO87" s="401"/>
      <c r="BP87" s="401"/>
      <c r="BQ87" s="403">
        <f t="shared" si="123"/>
        <v>8.7750872600349042E-2</v>
      </c>
      <c r="BR87" s="405">
        <f t="shared" si="123"/>
        <v>8.432514560648266E-2</v>
      </c>
      <c r="BS87" s="405">
        <f t="shared" si="123"/>
        <v>9.9076181550408357E-2</v>
      </c>
      <c r="BT87" s="405"/>
      <c r="BU87" s="401"/>
      <c r="BV87" s="401"/>
      <c r="BW87" s="401"/>
      <c r="BX87" s="401"/>
      <c r="BY87" s="401"/>
      <c r="BZ87" s="401"/>
      <c r="CA87" s="401"/>
      <c r="CB87" s="402"/>
      <c r="CC87" s="399"/>
    </row>
    <row r="88" spans="1:81" s="407" customFormat="1" ht="14.25" customHeight="1">
      <c r="B88" s="436" t="s">
        <v>268</v>
      </c>
      <c r="C88" s="437"/>
      <c r="D88" s="438"/>
      <c r="E88" s="437"/>
      <c r="F88" s="437"/>
      <c r="G88" s="439"/>
      <c r="H88" s="438"/>
      <c r="I88" s="437"/>
      <c r="J88" s="437"/>
      <c r="K88" s="439"/>
      <c r="L88" s="438"/>
      <c r="M88" s="437"/>
      <c r="N88" s="437"/>
      <c r="O88" s="437"/>
      <c r="P88" s="438"/>
      <c r="Q88" s="437"/>
      <c r="R88" s="437"/>
      <c r="S88" s="439"/>
      <c r="T88" s="440">
        <f t="shared" ref="T88:AC88" si="127">T81/T$81</f>
        <v>1</v>
      </c>
      <c r="U88" s="441">
        <f t="shared" si="127"/>
        <v>1</v>
      </c>
      <c r="V88" s="441">
        <f t="shared" si="127"/>
        <v>1</v>
      </c>
      <c r="W88" s="442">
        <f t="shared" si="127"/>
        <v>1</v>
      </c>
      <c r="X88" s="440">
        <f t="shared" si="127"/>
        <v>1</v>
      </c>
      <c r="Y88" s="441">
        <f t="shared" si="127"/>
        <v>1</v>
      </c>
      <c r="Z88" s="441">
        <f t="shared" si="127"/>
        <v>1</v>
      </c>
      <c r="AA88" s="442">
        <f t="shared" si="127"/>
        <v>1</v>
      </c>
      <c r="AB88" s="440">
        <f t="shared" si="127"/>
        <v>1</v>
      </c>
      <c r="AC88" s="441">
        <f t="shared" si="127"/>
        <v>1</v>
      </c>
      <c r="AD88" s="441">
        <f>SUM(AD84:AD87)</f>
        <v>1</v>
      </c>
      <c r="AE88" s="442">
        <f>SUM(AE84:AE87)</f>
        <v>1</v>
      </c>
      <c r="AF88" s="440">
        <f t="shared" si="121"/>
        <v>1</v>
      </c>
      <c r="AG88" s="441">
        <f t="shared" si="121"/>
        <v>1</v>
      </c>
      <c r="AH88" s="441">
        <f>SUM(AH84:AH87)</f>
        <v>1</v>
      </c>
      <c r="AI88" s="441">
        <f>SUM(AI84:AI87)</f>
        <v>1</v>
      </c>
      <c r="AJ88" s="440">
        <f t="shared" si="122"/>
        <v>1</v>
      </c>
      <c r="AK88" s="441">
        <f t="shared" si="122"/>
        <v>1</v>
      </c>
      <c r="AL88" s="441">
        <f t="shared" si="122"/>
        <v>1</v>
      </c>
      <c r="AM88" s="441">
        <f t="shared" si="122"/>
        <v>1</v>
      </c>
      <c r="AN88" s="440">
        <f>AN81/AN$81</f>
        <v>1</v>
      </c>
      <c r="AO88" s="441">
        <f>AO81/AO$81</f>
        <v>1</v>
      </c>
      <c r="AP88" s="441">
        <f>AP81/AP$81</f>
        <v>1</v>
      </c>
      <c r="AQ88" s="442">
        <f>AQ81/AQ$81</f>
        <v>1</v>
      </c>
      <c r="AR88" s="440">
        <f>SUM(AR84:AR87)</f>
        <v>0.99999999999999989</v>
      </c>
      <c r="AS88" s="441">
        <f>AS81/AS$81</f>
        <v>1</v>
      </c>
      <c r="AT88" s="441">
        <f>AT81/AT$81</f>
        <v>1</v>
      </c>
      <c r="AU88" s="441">
        <f>AU81/AU$81</f>
        <v>1</v>
      </c>
      <c r="AV88" s="440">
        <f>SUM(AV84:AV87)</f>
        <v>0.99999999999999989</v>
      </c>
      <c r="AW88" s="441">
        <f>AW81/AW$81</f>
        <v>1</v>
      </c>
      <c r="AX88" s="441">
        <f>AX81/AX$81</f>
        <v>1</v>
      </c>
      <c r="AY88" s="441">
        <f>AY81/AY$81</f>
        <v>1</v>
      </c>
      <c r="AZ88" s="440">
        <f>SUM(AZ84:AZ87)</f>
        <v>0.99999999999999989</v>
      </c>
      <c r="BA88" s="441">
        <f>BA81/BA$81</f>
        <v>1</v>
      </c>
      <c r="BB88" s="441">
        <f>BB81/BB$81</f>
        <v>1</v>
      </c>
      <c r="BC88" s="441">
        <f>BC81/BC$81</f>
        <v>1</v>
      </c>
      <c r="BD88" s="440"/>
      <c r="BE88" s="441"/>
      <c r="BF88" s="441"/>
      <c r="BG88" s="442"/>
      <c r="BH88" s="440"/>
      <c r="BI88" s="441"/>
      <c r="BJ88" s="441"/>
      <c r="BK88" s="442"/>
      <c r="BL88" s="421"/>
      <c r="BM88" s="438"/>
      <c r="BN88" s="437"/>
      <c r="BO88" s="437"/>
      <c r="BP88" s="437"/>
      <c r="BQ88" s="446">
        <f t="shared" si="123"/>
        <v>1</v>
      </c>
      <c r="BR88" s="441">
        <f t="shared" si="123"/>
        <v>1</v>
      </c>
      <c r="BS88" s="441">
        <f t="shared" si="123"/>
        <v>1</v>
      </c>
      <c r="BT88" s="441"/>
      <c r="BU88" s="437"/>
      <c r="BV88" s="437"/>
      <c r="BW88" s="437"/>
      <c r="BX88" s="437"/>
      <c r="BY88" s="437"/>
      <c r="BZ88" s="437"/>
      <c r="CA88" s="437"/>
      <c r="CB88" s="439"/>
      <c r="CC88" s="422"/>
    </row>
    <row r="89" spans="1:81" ht="14.25" customHeight="1">
      <c r="A89" s="1"/>
      <c r="B89" s="330"/>
      <c r="C89" s="330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215"/>
      <c r="BW89" s="215"/>
      <c r="BX89" s="1"/>
      <c r="BY89" s="1"/>
      <c r="BZ89" s="1"/>
      <c r="CA89" s="1"/>
      <c r="CB89" s="1"/>
    </row>
    <row r="90" spans="1:81" ht="14.25" customHeight="1">
      <c r="A90" s="3"/>
      <c r="B90" s="309"/>
      <c r="C90" s="309"/>
      <c r="D90" s="309" t="s">
        <v>205</v>
      </c>
      <c r="E90" s="309" t="s">
        <v>206</v>
      </c>
      <c r="F90" s="309" t="s">
        <v>207</v>
      </c>
      <c r="G90" s="309" t="s">
        <v>208</v>
      </c>
      <c r="H90" s="309" t="s">
        <v>201</v>
      </c>
      <c r="I90" s="309" t="s">
        <v>202</v>
      </c>
      <c r="J90" s="309" t="s">
        <v>203</v>
      </c>
      <c r="K90" s="309" t="s">
        <v>204</v>
      </c>
      <c r="L90" s="309" t="s">
        <v>29</v>
      </c>
      <c r="M90" s="309" t="s">
        <v>30</v>
      </c>
      <c r="N90" s="309" t="s">
        <v>31</v>
      </c>
      <c r="O90" s="309" t="s">
        <v>32</v>
      </c>
      <c r="P90" s="309" t="s">
        <v>33</v>
      </c>
      <c r="Q90" s="309" t="s">
        <v>34</v>
      </c>
      <c r="R90" s="309" t="s">
        <v>35</v>
      </c>
      <c r="S90" s="309" t="s">
        <v>36</v>
      </c>
      <c r="T90" s="309" t="s">
        <v>37</v>
      </c>
      <c r="U90" s="309" t="s">
        <v>38</v>
      </c>
      <c r="V90" s="309" t="s">
        <v>39</v>
      </c>
      <c r="W90" s="309" t="s">
        <v>40</v>
      </c>
      <c r="X90" s="309" t="s">
        <v>41</v>
      </c>
      <c r="Y90" s="309" t="s">
        <v>42</v>
      </c>
      <c r="Z90" s="309" t="s">
        <v>43</v>
      </c>
      <c r="AA90" s="309" t="s">
        <v>44</v>
      </c>
      <c r="AB90" s="309" t="s">
        <v>45</v>
      </c>
      <c r="AC90" s="309" t="s">
        <v>46</v>
      </c>
      <c r="AD90" s="309" t="s">
        <v>47</v>
      </c>
      <c r="AE90" s="309" t="s">
        <v>48</v>
      </c>
      <c r="AF90" s="309" t="s">
        <v>49</v>
      </c>
      <c r="AG90" s="309" t="s">
        <v>50</v>
      </c>
      <c r="AH90" s="309" t="s">
        <v>51</v>
      </c>
      <c r="AI90" s="309" t="s">
        <v>52</v>
      </c>
      <c r="AJ90" s="309" t="s">
        <v>53</v>
      </c>
      <c r="AK90" s="309" t="s">
        <v>54</v>
      </c>
      <c r="AL90" s="309" t="s">
        <v>55</v>
      </c>
      <c r="AM90" s="309" t="s">
        <v>56</v>
      </c>
      <c r="AN90" s="309" t="s">
        <v>78</v>
      </c>
      <c r="AO90" s="309" t="s">
        <v>79</v>
      </c>
      <c r="AP90" s="309" t="s">
        <v>80</v>
      </c>
      <c r="AQ90" s="309" t="s">
        <v>81</v>
      </c>
      <c r="AR90" s="774" t="s">
        <v>82</v>
      </c>
      <c r="AS90" s="774" t="s">
        <v>83</v>
      </c>
      <c r="AT90" s="774" t="s">
        <v>84</v>
      </c>
      <c r="AU90" s="774" t="s">
        <v>85</v>
      </c>
      <c r="AV90" s="774" t="s">
        <v>86</v>
      </c>
      <c r="AW90" s="774" t="s">
        <v>87</v>
      </c>
      <c r="AX90" s="774" t="s">
        <v>88</v>
      </c>
      <c r="AY90" s="774" t="s">
        <v>89</v>
      </c>
      <c r="AZ90" s="774" t="s">
        <v>90</v>
      </c>
      <c r="BA90" s="774" t="s">
        <v>91</v>
      </c>
      <c r="BB90" s="774" t="s">
        <v>92</v>
      </c>
      <c r="BC90" s="774" t="s">
        <v>93</v>
      </c>
      <c r="BD90" s="774" t="s">
        <v>94</v>
      </c>
      <c r="BE90" s="774" t="s">
        <v>95</v>
      </c>
      <c r="BF90" s="774" t="s">
        <v>96</v>
      </c>
      <c r="BG90" s="774" t="s">
        <v>97</v>
      </c>
      <c r="BH90" s="774" t="s">
        <v>98</v>
      </c>
      <c r="BI90" s="774" t="s">
        <v>99</v>
      </c>
      <c r="BJ90" s="774" t="s">
        <v>100</v>
      </c>
      <c r="BK90" s="774" t="s">
        <v>101</v>
      </c>
      <c r="BL90" s="3"/>
      <c r="BM90" s="3" t="s">
        <v>209</v>
      </c>
      <c r="BN90" s="3" t="s">
        <v>57</v>
      </c>
      <c r="BO90" s="3" t="s">
        <v>58</v>
      </c>
      <c r="BP90" s="3" t="s">
        <v>59</v>
      </c>
      <c r="BQ90" s="3" t="s">
        <v>60</v>
      </c>
      <c r="BR90" s="3" t="s">
        <v>61</v>
      </c>
      <c r="BS90" s="3" t="s">
        <v>62</v>
      </c>
      <c r="BT90" s="3" t="s">
        <v>63</v>
      </c>
      <c r="BU90" s="3" t="s">
        <v>64</v>
      </c>
      <c r="BV90" s="309" t="s">
        <v>65</v>
      </c>
      <c r="BW90" s="309" t="s">
        <v>66</v>
      </c>
      <c r="BX90" s="3" t="s">
        <v>67</v>
      </c>
      <c r="BY90" s="3" t="s">
        <v>68</v>
      </c>
      <c r="BZ90" s="3" t="s">
        <v>69</v>
      </c>
      <c r="CA90" s="3" t="s">
        <v>102</v>
      </c>
      <c r="CB90" s="771" t="s">
        <v>496</v>
      </c>
    </row>
    <row r="91" spans="1:81" ht="14.25" customHeight="1">
      <c r="A91" s="5"/>
      <c r="B91" s="214" t="s">
        <v>70</v>
      </c>
      <c r="C91" s="214"/>
      <c r="D91" s="310" t="e">
        <f>IS!D112</f>
        <v>#NAME?</v>
      </c>
      <c r="E91" s="310" t="e">
        <f>IS!E112</f>
        <v>#NAME?</v>
      </c>
      <c r="F91" s="310" t="e">
        <f>IS!F112</f>
        <v>#NAME?</v>
      </c>
      <c r="G91" s="310" t="e">
        <f>IS!G112</f>
        <v>#NAME?</v>
      </c>
      <c r="H91" s="310" t="e">
        <f>IS!H112</f>
        <v>#NAME?</v>
      </c>
      <c r="I91" s="310" t="e">
        <f>IS!I112</f>
        <v>#NAME?</v>
      </c>
      <c r="J91" s="310" t="e">
        <f>IS!J112</f>
        <v>#NAME?</v>
      </c>
      <c r="K91" s="310" t="e">
        <f>IS!K112</f>
        <v>#NAME?</v>
      </c>
      <c r="L91" s="310" t="e">
        <f>IS!L112</f>
        <v>#NAME?</v>
      </c>
      <c r="M91" s="310" t="e">
        <f>IS!M112</f>
        <v>#NAME?</v>
      </c>
      <c r="N91" s="310" t="e">
        <f>IS!N112</f>
        <v>#NAME?</v>
      </c>
      <c r="O91" s="310" t="e">
        <f>IS!O112</f>
        <v>#NAME?</v>
      </c>
      <c r="P91" s="310" t="e">
        <f>IS!P112</f>
        <v>#NAME?</v>
      </c>
      <c r="Q91" s="310" t="e">
        <f>IS!Q112</f>
        <v>#NAME?</v>
      </c>
      <c r="R91" s="310" t="e">
        <f>IS!R112</f>
        <v>#NAME?</v>
      </c>
      <c r="S91" s="310" t="e">
        <f>IS!S112</f>
        <v>#NAME?</v>
      </c>
      <c r="T91" s="310" t="e">
        <f>IS!T112</f>
        <v>#NAME?</v>
      </c>
      <c r="U91" s="310" t="e">
        <f>IS!U112</f>
        <v>#NAME?</v>
      </c>
      <c r="V91" s="310" t="e">
        <f>IS!V112</f>
        <v>#NAME?</v>
      </c>
      <c r="W91" s="310" t="e">
        <f>IS!W112</f>
        <v>#NAME?</v>
      </c>
      <c r="X91" s="310" t="e">
        <f>IS!X112</f>
        <v>#NAME?</v>
      </c>
      <c r="Y91" s="310" t="e">
        <f>IS!Y112</f>
        <v>#NAME?</v>
      </c>
      <c r="Z91" s="310" t="e">
        <f>IS!Z112</f>
        <v>#NAME?</v>
      </c>
      <c r="AA91" s="310" t="e">
        <f>IS!AA112</f>
        <v>#NAME?</v>
      </c>
      <c r="AB91" s="310" t="e">
        <f>IS!AB112</f>
        <v>#NAME?</v>
      </c>
      <c r="AC91" s="310" t="e">
        <f>IS!AC112</f>
        <v>#NAME?</v>
      </c>
      <c r="AD91" s="310" t="e">
        <f>IS!AD112</f>
        <v>#NAME?</v>
      </c>
      <c r="AE91" s="310" t="e">
        <f>IS!AE112</f>
        <v>#NAME?</v>
      </c>
      <c r="AF91" s="310" t="e">
        <f>IS!AF112</f>
        <v>#NAME?</v>
      </c>
      <c r="AG91" s="310" t="e">
        <f>IS!AG112</f>
        <v>#NAME?</v>
      </c>
      <c r="AH91" s="310" t="e">
        <f>IS!AH112</f>
        <v>#NAME?</v>
      </c>
      <c r="AI91" s="310" t="e">
        <f>IS!AI112</f>
        <v>#NAME?</v>
      </c>
      <c r="AJ91" s="310" t="e">
        <f>IS!AJ112</f>
        <v>#NAME?</v>
      </c>
      <c r="AK91" s="310" t="e">
        <f>IS!AK112</f>
        <v>#NAME?</v>
      </c>
      <c r="AL91" s="310" t="str">
        <f>IS!AL112</f>
        <v>A</v>
      </c>
      <c r="AM91" s="310" t="str">
        <f>IS!AM112</f>
        <v>A</v>
      </c>
      <c r="AN91" s="310" t="e">
        <f>IS!AN112</f>
        <v>#NAME?</v>
      </c>
      <c r="AO91" s="310" t="e">
        <f>IS!AO112</f>
        <v>#NAME?</v>
      </c>
      <c r="AP91" s="310" t="e">
        <f>IS!AP112</f>
        <v>#NAME?</v>
      </c>
      <c r="AQ91" s="310" t="e">
        <f>IS!AQ112</f>
        <v>#NAME?</v>
      </c>
      <c r="AR91" s="310" t="e">
        <f>IS!AR112</f>
        <v>#NAME?</v>
      </c>
      <c r="AS91" s="310" t="e">
        <f>IS!AS112</f>
        <v>#NAME?</v>
      </c>
      <c r="AT91" s="310" t="e">
        <f>IS!AT112</f>
        <v>#NAME?</v>
      </c>
      <c r="AU91" s="310" t="e">
        <f>IS!AU112</f>
        <v>#NAME?</v>
      </c>
      <c r="AV91" s="310" t="e">
        <f>IS!AV112</f>
        <v>#NAME?</v>
      </c>
      <c r="AW91" s="310" t="e">
        <f>IS!AW112</f>
        <v>#NAME?</v>
      </c>
      <c r="AX91" s="310" t="e">
        <f>IS!AX112</f>
        <v>#NAME?</v>
      </c>
      <c r="AY91" s="310" t="e">
        <f>IS!AY112</f>
        <v>#NAME?</v>
      </c>
      <c r="AZ91" s="310" t="e">
        <f>IS!AZ112</f>
        <v>#NAME?</v>
      </c>
      <c r="BA91" s="310" t="e">
        <f>IS!BA112</f>
        <v>#NAME?</v>
      </c>
      <c r="BB91" s="310" t="e">
        <f>IS!BB112</f>
        <v>#NAME?</v>
      </c>
      <c r="BC91" s="310" t="e">
        <f>IS!BC112</f>
        <v>#NAME?</v>
      </c>
      <c r="BD91" s="310" t="e">
        <f>IS!BD112</f>
        <v>#NAME?</v>
      </c>
      <c r="BE91" s="310" t="e">
        <f>IS!BE112</f>
        <v>#NAME?</v>
      </c>
      <c r="BF91" s="310" t="e">
        <f>IS!BF112</f>
        <v>#NAME?</v>
      </c>
      <c r="BG91" s="310" t="e">
        <f>IS!BG112</f>
        <v>#NAME?</v>
      </c>
      <c r="BH91" s="310" t="e">
        <f>IS!BH112</f>
        <v>#NAME?</v>
      </c>
      <c r="BI91" s="310" t="e">
        <f>IS!BI112</f>
        <v>#NAME?</v>
      </c>
      <c r="BJ91" s="310" t="e">
        <f>IS!BJ112</f>
        <v>#NAME?</v>
      </c>
      <c r="BK91" s="310" t="e">
        <f>IS!BK112</f>
        <v>#NAME?</v>
      </c>
      <c r="BL91" s="332"/>
      <c r="BM91" s="310" t="str">
        <f>IS!BM112</f>
        <v>A</v>
      </c>
      <c r="BN91" s="310" t="str">
        <f>IS!BN112</f>
        <v>A</v>
      </c>
      <c r="BO91" s="310" t="str">
        <f>IS!BO112</f>
        <v>A</v>
      </c>
      <c r="BP91" s="310" t="str">
        <f>IS!BP112</f>
        <v>A</v>
      </c>
      <c r="BQ91" s="310" t="str">
        <f>IS!BQ112</f>
        <v>A</v>
      </c>
      <c r="BR91" s="310" t="e">
        <f>IS!BR112</f>
        <v>#NAME?</v>
      </c>
      <c r="BS91" s="310" t="e">
        <f>IS!BS112</f>
        <v>#NAME?</v>
      </c>
      <c r="BT91" s="310" t="e">
        <f>IS!BT112</f>
        <v>#NAME?</v>
      </c>
      <c r="BU91" s="310" t="e">
        <f>IS!BU112</f>
        <v>#NAME?</v>
      </c>
      <c r="BV91" s="310" t="e">
        <f>IS!BV112</f>
        <v>#NAME?</v>
      </c>
      <c r="BW91" s="310" t="e">
        <f>IS!BW112</f>
        <v>#NAME?</v>
      </c>
      <c r="BX91" s="310" t="e">
        <f>IS!BX112</f>
        <v>#NAME?</v>
      </c>
      <c r="BY91" s="310" t="e">
        <f>IS!BY112</f>
        <v>#NAME?</v>
      </c>
      <c r="BZ91" s="310" t="e">
        <f>IS!BY112</f>
        <v>#NAME?</v>
      </c>
      <c r="CA91" s="310" t="e">
        <f>IS!BZ112</f>
        <v>#NAME?</v>
      </c>
      <c r="CB91" s="310" t="e">
        <f>IS!CA112</f>
        <v>#NAME?</v>
      </c>
    </row>
    <row r="92" spans="1:81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7" spans="2:2" ht="14.25" customHeight="1">
      <c r="B97" s="510" t="s">
        <v>369</v>
      </c>
    </row>
    <row r="98" spans="2:2" ht="14.25" customHeight="1">
      <c r="B98" s="510" t="s">
        <v>370</v>
      </c>
    </row>
    <row r="99" spans="2:2" ht="14.25" customHeight="1">
      <c r="B99" s="510" t="s">
        <v>371</v>
      </c>
    </row>
  </sheetData>
  <phoneticPr fontId="23" type="noConversion"/>
  <pageMargins left="0.32" right="0.42" top="0.42" bottom="0.5" header="0.5" footer="0.5"/>
  <pageSetup scale="50" orientation="landscape" r:id="rId1"/>
  <headerFooter alignWithMargins="0"/>
  <ignoredErrors>
    <ignoredError sqref="BR10:BR11 BR15:BR17 BR21:BR23 BR27:BR29 BR33" formulaRange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1031" bestFit="1" customWidth="1"/>
    <col min="2" max="2" width="19.85546875" style="1053" customWidth="1"/>
    <col min="3" max="3" width="12" style="1031" bestFit="1" customWidth="1"/>
    <col min="4" max="256" width="9.140625" style="1031"/>
    <col min="257" max="257" width="29.5703125" style="1031" bestFit="1" customWidth="1"/>
    <col min="258" max="258" width="19.85546875" style="1031" customWidth="1"/>
    <col min="259" max="259" width="12" style="1031" bestFit="1" customWidth="1"/>
    <col min="260" max="512" width="9.140625" style="1031"/>
    <col min="513" max="513" width="29.5703125" style="1031" bestFit="1" customWidth="1"/>
    <col min="514" max="514" width="19.85546875" style="1031" customWidth="1"/>
    <col min="515" max="515" width="12" style="1031" bestFit="1" customWidth="1"/>
    <col min="516" max="768" width="9.140625" style="1031"/>
    <col min="769" max="769" width="29.5703125" style="1031" bestFit="1" customWidth="1"/>
    <col min="770" max="770" width="19.85546875" style="1031" customWidth="1"/>
    <col min="771" max="771" width="12" style="1031" bestFit="1" customWidth="1"/>
    <col min="772" max="1024" width="9.140625" style="1031"/>
    <col min="1025" max="1025" width="29.5703125" style="1031" bestFit="1" customWidth="1"/>
    <col min="1026" max="1026" width="19.85546875" style="1031" customWidth="1"/>
    <col min="1027" max="1027" width="12" style="1031" bestFit="1" customWidth="1"/>
    <col min="1028" max="1280" width="9.140625" style="1031"/>
    <col min="1281" max="1281" width="29.5703125" style="1031" bestFit="1" customWidth="1"/>
    <col min="1282" max="1282" width="19.85546875" style="1031" customWidth="1"/>
    <col min="1283" max="1283" width="12" style="1031" bestFit="1" customWidth="1"/>
    <col min="1284" max="1536" width="9.140625" style="1031"/>
    <col min="1537" max="1537" width="29.5703125" style="1031" bestFit="1" customWidth="1"/>
    <col min="1538" max="1538" width="19.85546875" style="1031" customWidth="1"/>
    <col min="1539" max="1539" width="12" style="1031" bestFit="1" customWidth="1"/>
    <col min="1540" max="1792" width="9.140625" style="1031"/>
    <col min="1793" max="1793" width="29.5703125" style="1031" bestFit="1" customWidth="1"/>
    <col min="1794" max="1794" width="19.85546875" style="1031" customWidth="1"/>
    <col min="1795" max="1795" width="12" style="1031" bestFit="1" customWidth="1"/>
    <col min="1796" max="2048" width="9.140625" style="1031"/>
    <col min="2049" max="2049" width="29.5703125" style="1031" bestFit="1" customWidth="1"/>
    <col min="2050" max="2050" width="19.85546875" style="1031" customWidth="1"/>
    <col min="2051" max="2051" width="12" style="1031" bestFit="1" customWidth="1"/>
    <col min="2052" max="2304" width="9.140625" style="1031"/>
    <col min="2305" max="2305" width="29.5703125" style="1031" bestFit="1" customWidth="1"/>
    <col min="2306" max="2306" width="19.85546875" style="1031" customWidth="1"/>
    <col min="2307" max="2307" width="12" style="1031" bestFit="1" customWidth="1"/>
    <col min="2308" max="2560" width="9.140625" style="1031"/>
    <col min="2561" max="2561" width="29.5703125" style="1031" bestFit="1" customWidth="1"/>
    <col min="2562" max="2562" width="19.85546875" style="1031" customWidth="1"/>
    <col min="2563" max="2563" width="12" style="1031" bestFit="1" customWidth="1"/>
    <col min="2564" max="2816" width="9.140625" style="1031"/>
    <col min="2817" max="2817" width="29.5703125" style="1031" bestFit="1" customWidth="1"/>
    <col min="2818" max="2818" width="19.85546875" style="1031" customWidth="1"/>
    <col min="2819" max="2819" width="12" style="1031" bestFit="1" customWidth="1"/>
    <col min="2820" max="3072" width="9.140625" style="1031"/>
    <col min="3073" max="3073" width="29.5703125" style="1031" bestFit="1" customWidth="1"/>
    <col min="3074" max="3074" width="19.85546875" style="1031" customWidth="1"/>
    <col min="3075" max="3075" width="12" style="1031" bestFit="1" customWidth="1"/>
    <col min="3076" max="3328" width="9.140625" style="1031"/>
    <col min="3329" max="3329" width="29.5703125" style="1031" bestFit="1" customWidth="1"/>
    <col min="3330" max="3330" width="19.85546875" style="1031" customWidth="1"/>
    <col min="3331" max="3331" width="12" style="1031" bestFit="1" customWidth="1"/>
    <col min="3332" max="3584" width="9.140625" style="1031"/>
    <col min="3585" max="3585" width="29.5703125" style="1031" bestFit="1" customWidth="1"/>
    <col min="3586" max="3586" width="19.85546875" style="1031" customWidth="1"/>
    <col min="3587" max="3587" width="12" style="1031" bestFit="1" customWidth="1"/>
    <col min="3588" max="3840" width="9.140625" style="1031"/>
    <col min="3841" max="3841" width="29.5703125" style="1031" bestFit="1" customWidth="1"/>
    <col min="3842" max="3842" width="19.85546875" style="1031" customWidth="1"/>
    <col min="3843" max="3843" width="12" style="1031" bestFit="1" customWidth="1"/>
    <col min="3844" max="4096" width="9.140625" style="1031"/>
    <col min="4097" max="4097" width="29.5703125" style="1031" bestFit="1" customWidth="1"/>
    <col min="4098" max="4098" width="19.85546875" style="1031" customWidth="1"/>
    <col min="4099" max="4099" width="12" style="1031" bestFit="1" customWidth="1"/>
    <col min="4100" max="4352" width="9.140625" style="1031"/>
    <col min="4353" max="4353" width="29.5703125" style="1031" bestFit="1" customWidth="1"/>
    <col min="4354" max="4354" width="19.85546875" style="1031" customWidth="1"/>
    <col min="4355" max="4355" width="12" style="1031" bestFit="1" customWidth="1"/>
    <col min="4356" max="4608" width="9.140625" style="1031"/>
    <col min="4609" max="4609" width="29.5703125" style="1031" bestFit="1" customWidth="1"/>
    <col min="4610" max="4610" width="19.85546875" style="1031" customWidth="1"/>
    <col min="4611" max="4611" width="12" style="1031" bestFit="1" customWidth="1"/>
    <col min="4612" max="4864" width="9.140625" style="1031"/>
    <col min="4865" max="4865" width="29.5703125" style="1031" bestFit="1" customWidth="1"/>
    <col min="4866" max="4866" width="19.85546875" style="1031" customWidth="1"/>
    <col min="4867" max="4867" width="12" style="1031" bestFit="1" customWidth="1"/>
    <col min="4868" max="5120" width="9.140625" style="1031"/>
    <col min="5121" max="5121" width="29.5703125" style="1031" bestFit="1" customWidth="1"/>
    <col min="5122" max="5122" width="19.85546875" style="1031" customWidth="1"/>
    <col min="5123" max="5123" width="12" style="1031" bestFit="1" customWidth="1"/>
    <col min="5124" max="5376" width="9.140625" style="1031"/>
    <col min="5377" max="5377" width="29.5703125" style="1031" bestFit="1" customWidth="1"/>
    <col min="5378" max="5378" width="19.85546875" style="1031" customWidth="1"/>
    <col min="5379" max="5379" width="12" style="1031" bestFit="1" customWidth="1"/>
    <col min="5380" max="5632" width="9.140625" style="1031"/>
    <col min="5633" max="5633" width="29.5703125" style="1031" bestFit="1" customWidth="1"/>
    <col min="5634" max="5634" width="19.85546875" style="1031" customWidth="1"/>
    <col min="5635" max="5635" width="12" style="1031" bestFit="1" customWidth="1"/>
    <col min="5636" max="5888" width="9.140625" style="1031"/>
    <col min="5889" max="5889" width="29.5703125" style="1031" bestFit="1" customWidth="1"/>
    <col min="5890" max="5890" width="19.85546875" style="1031" customWidth="1"/>
    <col min="5891" max="5891" width="12" style="1031" bestFit="1" customWidth="1"/>
    <col min="5892" max="6144" width="9.140625" style="1031"/>
    <col min="6145" max="6145" width="29.5703125" style="1031" bestFit="1" customWidth="1"/>
    <col min="6146" max="6146" width="19.85546875" style="1031" customWidth="1"/>
    <col min="6147" max="6147" width="12" style="1031" bestFit="1" customWidth="1"/>
    <col min="6148" max="6400" width="9.140625" style="1031"/>
    <col min="6401" max="6401" width="29.5703125" style="1031" bestFit="1" customWidth="1"/>
    <col min="6402" max="6402" width="19.85546875" style="1031" customWidth="1"/>
    <col min="6403" max="6403" width="12" style="1031" bestFit="1" customWidth="1"/>
    <col min="6404" max="6656" width="9.140625" style="1031"/>
    <col min="6657" max="6657" width="29.5703125" style="1031" bestFit="1" customWidth="1"/>
    <col min="6658" max="6658" width="19.85546875" style="1031" customWidth="1"/>
    <col min="6659" max="6659" width="12" style="1031" bestFit="1" customWidth="1"/>
    <col min="6660" max="6912" width="9.140625" style="1031"/>
    <col min="6913" max="6913" width="29.5703125" style="1031" bestFit="1" customWidth="1"/>
    <col min="6914" max="6914" width="19.85546875" style="1031" customWidth="1"/>
    <col min="6915" max="6915" width="12" style="1031" bestFit="1" customWidth="1"/>
    <col min="6916" max="7168" width="9.140625" style="1031"/>
    <col min="7169" max="7169" width="29.5703125" style="1031" bestFit="1" customWidth="1"/>
    <col min="7170" max="7170" width="19.85546875" style="1031" customWidth="1"/>
    <col min="7171" max="7171" width="12" style="1031" bestFit="1" customWidth="1"/>
    <col min="7172" max="7424" width="9.140625" style="1031"/>
    <col min="7425" max="7425" width="29.5703125" style="1031" bestFit="1" customWidth="1"/>
    <col min="7426" max="7426" width="19.85546875" style="1031" customWidth="1"/>
    <col min="7427" max="7427" width="12" style="1031" bestFit="1" customWidth="1"/>
    <col min="7428" max="7680" width="9.140625" style="1031"/>
    <col min="7681" max="7681" width="29.5703125" style="1031" bestFit="1" customWidth="1"/>
    <col min="7682" max="7682" width="19.85546875" style="1031" customWidth="1"/>
    <col min="7683" max="7683" width="12" style="1031" bestFit="1" customWidth="1"/>
    <col min="7684" max="7936" width="9.140625" style="1031"/>
    <col min="7937" max="7937" width="29.5703125" style="1031" bestFit="1" customWidth="1"/>
    <col min="7938" max="7938" width="19.85546875" style="1031" customWidth="1"/>
    <col min="7939" max="7939" width="12" style="1031" bestFit="1" customWidth="1"/>
    <col min="7940" max="8192" width="9.140625" style="1031"/>
    <col min="8193" max="8193" width="29.5703125" style="1031" bestFit="1" customWidth="1"/>
    <col min="8194" max="8194" width="19.85546875" style="1031" customWidth="1"/>
    <col min="8195" max="8195" width="12" style="1031" bestFit="1" customWidth="1"/>
    <col min="8196" max="8448" width="9.140625" style="1031"/>
    <col min="8449" max="8449" width="29.5703125" style="1031" bestFit="1" customWidth="1"/>
    <col min="8450" max="8450" width="19.85546875" style="1031" customWidth="1"/>
    <col min="8451" max="8451" width="12" style="1031" bestFit="1" customWidth="1"/>
    <col min="8452" max="8704" width="9.140625" style="1031"/>
    <col min="8705" max="8705" width="29.5703125" style="1031" bestFit="1" customWidth="1"/>
    <col min="8706" max="8706" width="19.85546875" style="1031" customWidth="1"/>
    <col min="8707" max="8707" width="12" style="1031" bestFit="1" customWidth="1"/>
    <col min="8708" max="8960" width="9.140625" style="1031"/>
    <col min="8961" max="8961" width="29.5703125" style="1031" bestFit="1" customWidth="1"/>
    <col min="8962" max="8962" width="19.85546875" style="1031" customWidth="1"/>
    <col min="8963" max="8963" width="12" style="1031" bestFit="1" customWidth="1"/>
    <col min="8964" max="9216" width="9.140625" style="1031"/>
    <col min="9217" max="9217" width="29.5703125" style="1031" bestFit="1" customWidth="1"/>
    <col min="9218" max="9218" width="19.85546875" style="1031" customWidth="1"/>
    <col min="9219" max="9219" width="12" style="1031" bestFit="1" customWidth="1"/>
    <col min="9220" max="9472" width="9.140625" style="1031"/>
    <col min="9473" max="9473" width="29.5703125" style="1031" bestFit="1" customWidth="1"/>
    <col min="9474" max="9474" width="19.85546875" style="1031" customWidth="1"/>
    <col min="9475" max="9475" width="12" style="1031" bestFit="1" customWidth="1"/>
    <col min="9476" max="9728" width="9.140625" style="1031"/>
    <col min="9729" max="9729" width="29.5703125" style="1031" bestFit="1" customWidth="1"/>
    <col min="9730" max="9730" width="19.85546875" style="1031" customWidth="1"/>
    <col min="9731" max="9731" width="12" style="1031" bestFit="1" customWidth="1"/>
    <col min="9732" max="9984" width="9.140625" style="1031"/>
    <col min="9985" max="9985" width="29.5703125" style="1031" bestFit="1" customWidth="1"/>
    <col min="9986" max="9986" width="19.85546875" style="1031" customWidth="1"/>
    <col min="9987" max="9987" width="12" style="1031" bestFit="1" customWidth="1"/>
    <col min="9988" max="10240" width="9.140625" style="1031"/>
    <col min="10241" max="10241" width="29.5703125" style="1031" bestFit="1" customWidth="1"/>
    <col min="10242" max="10242" width="19.85546875" style="1031" customWidth="1"/>
    <col min="10243" max="10243" width="12" style="1031" bestFit="1" customWidth="1"/>
    <col min="10244" max="10496" width="9.140625" style="1031"/>
    <col min="10497" max="10497" width="29.5703125" style="1031" bestFit="1" customWidth="1"/>
    <col min="10498" max="10498" width="19.85546875" style="1031" customWidth="1"/>
    <col min="10499" max="10499" width="12" style="1031" bestFit="1" customWidth="1"/>
    <col min="10500" max="10752" width="9.140625" style="1031"/>
    <col min="10753" max="10753" width="29.5703125" style="1031" bestFit="1" customWidth="1"/>
    <col min="10754" max="10754" width="19.85546875" style="1031" customWidth="1"/>
    <col min="10755" max="10755" width="12" style="1031" bestFit="1" customWidth="1"/>
    <col min="10756" max="11008" width="9.140625" style="1031"/>
    <col min="11009" max="11009" width="29.5703125" style="1031" bestFit="1" customWidth="1"/>
    <col min="11010" max="11010" width="19.85546875" style="1031" customWidth="1"/>
    <col min="11011" max="11011" width="12" style="1031" bestFit="1" customWidth="1"/>
    <col min="11012" max="11264" width="9.140625" style="1031"/>
    <col min="11265" max="11265" width="29.5703125" style="1031" bestFit="1" customWidth="1"/>
    <col min="11266" max="11266" width="19.85546875" style="1031" customWidth="1"/>
    <col min="11267" max="11267" width="12" style="1031" bestFit="1" customWidth="1"/>
    <col min="11268" max="11520" width="9.140625" style="1031"/>
    <col min="11521" max="11521" width="29.5703125" style="1031" bestFit="1" customWidth="1"/>
    <col min="11522" max="11522" width="19.85546875" style="1031" customWidth="1"/>
    <col min="11523" max="11523" width="12" style="1031" bestFit="1" customWidth="1"/>
    <col min="11524" max="11776" width="9.140625" style="1031"/>
    <col min="11777" max="11777" width="29.5703125" style="1031" bestFit="1" customWidth="1"/>
    <col min="11778" max="11778" width="19.85546875" style="1031" customWidth="1"/>
    <col min="11779" max="11779" width="12" style="1031" bestFit="1" customWidth="1"/>
    <col min="11780" max="12032" width="9.140625" style="1031"/>
    <col min="12033" max="12033" width="29.5703125" style="1031" bestFit="1" customWidth="1"/>
    <col min="12034" max="12034" width="19.85546875" style="1031" customWidth="1"/>
    <col min="12035" max="12035" width="12" style="1031" bestFit="1" customWidth="1"/>
    <col min="12036" max="12288" width="9.140625" style="1031"/>
    <col min="12289" max="12289" width="29.5703125" style="1031" bestFit="1" customWidth="1"/>
    <col min="12290" max="12290" width="19.85546875" style="1031" customWidth="1"/>
    <col min="12291" max="12291" width="12" style="1031" bestFit="1" customWidth="1"/>
    <col min="12292" max="12544" width="9.140625" style="1031"/>
    <col min="12545" max="12545" width="29.5703125" style="1031" bestFit="1" customWidth="1"/>
    <col min="12546" max="12546" width="19.85546875" style="1031" customWidth="1"/>
    <col min="12547" max="12547" width="12" style="1031" bestFit="1" customWidth="1"/>
    <col min="12548" max="12800" width="9.140625" style="1031"/>
    <col min="12801" max="12801" width="29.5703125" style="1031" bestFit="1" customWidth="1"/>
    <col min="12802" max="12802" width="19.85546875" style="1031" customWidth="1"/>
    <col min="12803" max="12803" width="12" style="1031" bestFit="1" customWidth="1"/>
    <col min="12804" max="13056" width="9.140625" style="1031"/>
    <col min="13057" max="13057" width="29.5703125" style="1031" bestFit="1" customWidth="1"/>
    <col min="13058" max="13058" width="19.85546875" style="1031" customWidth="1"/>
    <col min="13059" max="13059" width="12" style="1031" bestFit="1" customWidth="1"/>
    <col min="13060" max="13312" width="9.140625" style="1031"/>
    <col min="13313" max="13313" width="29.5703125" style="1031" bestFit="1" customWidth="1"/>
    <col min="13314" max="13314" width="19.85546875" style="1031" customWidth="1"/>
    <col min="13315" max="13315" width="12" style="1031" bestFit="1" customWidth="1"/>
    <col min="13316" max="13568" width="9.140625" style="1031"/>
    <col min="13569" max="13569" width="29.5703125" style="1031" bestFit="1" customWidth="1"/>
    <col min="13570" max="13570" width="19.85546875" style="1031" customWidth="1"/>
    <col min="13571" max="13571" width="12" style="1031" bestFit="1" customWidth="1"/>
    <col min="13572" max="13824" width="9.140625" style="1031"/>
    <col min="13825" max="13825" width="29.5703125" style="1031" bestFit="1" customWidth="1"/>
    <col min="13826" max="13826" width="19.85546875" style="1031" customWidth="1"/>
    <col min="13827" max="13827" width="12" style="1031" bestFit="1" customWidth="1"/>
    <col min="13828" max="14080" width="9.140625" style="1031"/>
    <col min="14081" max="14081" width="29.5703125" style="1031" bestFit="1" customWidth="1"/>
    <col min="14082" max="14082" width="19.85546875" style="1031" customWidth="1"/>
    <col min="14083" max="14083" width="12" style="1031" bestFit="1" customWidth="1"/>
    <col min="14084" max="14336" width="9.140625" style="1031"/>
    <col min="14337" max="14337" width="29.5703125" style="1031" bestFit="1" customWidth="1"/>
    <col min="14338" max="14338" width="19.85546875" style="1031" customWidth="1"/>
    <col min="14339" max="14339" width="12" style="1031" bestFit="1" customWidth="1"/>
    <col min="14340" max="14592" width="9.140625" style="1031"/>
    <col min="14593" max="14593" width="29.5703125" style="1031" bestFit="1" customWidth="1"/>
    <col min="14594" max="14594" width="19.85546875" style="1031" customWidth="1"/>
    <col min="14595" max="14595" width="12" style="1031" bestFit="1" customWidth="1"/>
    <col min="14596" max="14848" width="9.140625" style="1031"/>
    <col min="14849" max="14849" width="29.5703125" style="1031" bestFit="1" customWidth="1"/>
    <col min="14850" max="14850" width="19.85546875" style="1031" customWidth="1"/>
    <col min="14851" max="14851" width="12" style="1031" bestFit="1" customWidth="1"/>
    <col min="14852" max="15104" width="9.140625" style="1031"/>
    <col min="15105" max="15105" width="29.5703125" style="1031" bestFit="1" customWidth="1"/>
    <col min="15106" max="15106" width="19.85546875" style="1031" customWidth="1"/>
    <col min="15107" max="15107" width="12" style="1031" bestFit="1" customWidth="1"/>
    <col min="15108" max="15360" width="9.140625" style="1031"/>
    <col min="15361" max="15361" width="29.5703125" style="1031" bestFit="1" customWidth="1"/>
    <col min="15362" max="15362" width="19.85546875" style="1031" customWidth="1"/>
    <col min="15363" max="15363" width="12" style="1031" bestFit="1" customWidth="1"/>
    <col min="15364" max="15616" width="9.140625" style="1031"/>
    <col min="15617" max="15617" width="29.5703125" style="1031" bestFit="1" customWidth="1"/>
    <col min="15618" max="15618" width="19.85546875" style="1031" customWidth="1"/>
    <col min="15619" max="15619" width="12" style="1031" bestFit="1" customWidth="1"/>
    <col min="15620" max="15872" width="9.140625" style="1031"/>
    <col min="15873" max="15873" width="29.5703125" style="1031" bestFit="1" customWidth="1"/>
    <col min="15874" max="15874" width="19.85546875" style="1031" customWidth="1"/>
    <col min="15875" max="15875" width="12" style="1031" bestFit="1" customWidth="1"/>
    <col min="15876" max="16128" width="9.140625" style="1031"/>
    <col min="16129" max="16129" width="29.5703125" style="1031" bestFit="1" customWidth="1"/>
    <col min="16130" max="16130" width="19.85546875" style="1031" customWidth="1"/>
    <col min="16131" max="16131" width="12" style="1031" bestFit="1" customWidth="1"/>
    <col min="16132" max="16384" width="9.140625" style="1031"/>
  </cols>
  <sheetData>
    <row r="1" spans="1:2">
      <c r="A1" s="1031" t="s">
        <v>796</v>
      </c>
      <c r="B1" s="1052">
        <v>6.1</v>
      </c>
    </row>
    <row r="2" spans="1:2">
      <c r="A2" s="1031" t="s">
        <v>797</v>
      </c>
      <c r="B2" s="1056">
        <v>43216.349027777775</v>
      </c>
    </row>
    <row r="3" spans="1:2">
      <c r="A3" s="1031" t="s">
        <v>798</v>
      </c>
      <c r="B3" s="1053" t="s">
        <v>497</v>
      </c>
    </row>
    <row r="4" spans="1:2">
      <c r="A4" s="1031" t="s">
        <v>799</v>
      </c>
      <c r="B4" s="1053" t="s">
        <v>372</v>
      </c>
    </row>
    <row r="5" spans="1:2">
      <c r="A5" s="1031" t="s">
        <v>800</v>
      </c>
      <c r="B5" s="1053" t="s">
        <v>801</v>
      </c>
    </row>
    <row r="6" spans="1:2">
      <c r="A6" s="1031" t="s">
        <v>802</v>
      </c>
    </row>
    <row r="7" spans="1:2">
      <c r="A7" s="1031" t="s">
        <v>803</v>
      </c>
      <c r="B7" s="1053" t="s">
        <v>241</v>
      </c>
    </row>
    <row r="8" spans="1:2">
      <c r="A8" s="1031" t="s">
        <v>804</v>
      </c>
      <c r="B8" s="1053" t="s">
        <v>805</v>
      </c>
    </row>
    <row r="9" spans="1:2">
      <c r="A9" s="1031" t="s">
        <v>806</v>
      </c>
      <c r="B9" s="1053" t="s">
        <v>843</v>
      </c>
    </row>
    <row r="10" spans="1:2">
      <c r="A10" s="1031" t="s">
        <v>807</v>
      </c>
    </row>
    <row r="11" spans="1:2">
      <c r="A11" s="1031" t="s">
        <v>808</v>
      </c>
    </row>
    <row r="12" spans="1:2">
      <c r="A12" s="1031" t="s">
        <v>809</v>
      </c>
    </row>
    <row r="13" spans="1:2">
      <c r="A13" s="1031" t="s">
        <v>810</v>
      </c>
    </row>
    <row r="14" spans="1:2">
      <c r="A14" s="1031" t="s">
        <v>811</v>
      </c>
    </row>
    <row r="15" spans="1:2">
      <c r="A15" s="1031" t="s">
        <v>812</v>
      </c>
    </row>
    <row r="16" spans="1:2">
      <c r="A16" s="1031" t="s">
        <v>813</v>
      </c>
    </row>
    <row r="17" spans="1:4">
      <c r="A17" s="1031" t="s">
        <v>814</v>
      </c>
      <c r="B17" s="1053" t="s">
        <v>844</v>
      </c>
    </row>
    <row r="18" spans="1:4">
      <c r="A18" s="1031" t="s">
        <v>815</v>
      </c>
      <c r="B18" s="1053" t="s">
        <v>847</v>
      </c>
    </row>
    <row r="19" spans="1:4">
      <c r="A19" s="1031" t="s">
        <v>816</v>
      </c>
      <c r="B19" s="1053" t="s">
        <v>240</v>
      </c>
    </row>
    <row r="20" spans="1:4">
      <c r="A20" s="1031" t="s">
        <v>817</v>
      </c>
      <c r="B20" s="1054">
        <v>983919101</v>
      </c>
    </row>
    <row r="21" spans="1:4">
      <c r="A21" s="1031" t="s">
        <v>818</v>
      </c>
      <c r="B21" s="1053" t="s">
        <v>240</v>
      </c>
    </row>
    <row r="22" spans="1:4">
      <c r="A22" s="1031" t="s">
        <v>819</v>
      </c>
      <c r="B22" s="1054">
        <v>2985677</v>
      </c>
    </row>
    <row r="23" spans="1:4">
      <c r="A23" s="1031" t="s">
        <v>198</v>
      </c>
      <c r="B23" s="1052">
        <v>63.64</v>
      </c>
    </row>
    <row r="24" spans="1:4">
      <c r="A24" s="1031" t="s">
        <v>197</v>
      </c>
      <c r="B24" s="1053" t="s">
        <v>75</v>
      </c>
      <c r="D24" s="1031" t="s">
        <v>291</v>
      </c>
    </row>
    <row r="25" spans="1:4">
      <c r="A25" s="1031" t="s">
        <v>820</v>
      </c>
      <c r="B25" s="1053" t="s">
        <v>848</v>
      </c>
    </row>
    <row r="26" spans="1:4">
      <c r="A26" s="1031" t="s">
        <v>821</v>
      </c>
      <c r="B26" s="1053">
        <v>0</v>
      </c>
    </row>
    <row r="27" spans="1:4">
      <c r="A27" s="1031" t="s">
        <v>822</v>
      </c>
      <c r="B27" s="1053" t="s">
        <v>823</v>
      </c>
    </row>
    <row r="28" spans="1:4">
      <c r="A28" s="1031" t="s">
        <v>824</v>
      </c>
      <c r="B28" s="1053" t="s">
        <v>825</v>
      </c>
    </row>
    <row r="29" spans="1:4">
      <c r="A29" s="1031" t="s">
        <v>826</v>
      </c>
    </row>
    <row r="30" spans="1:4">
      <c r="A30" s="1031" t="s">
        <v>827</v>
      </c>
    </row>
    <row r="31" spans="1:4">
      <c r="A31" s="1031" t="s">
        <v>828</v>
      </c>
    </row>
    <row r="32" spans="1:4">
      <c r="A32" s="1031" t="s">
        <v>829</v>
      </c>
      <c r="B32" s="1052"/>
    </row>
    <row r="33" spans="1:2">
      <c r="A33" s="1031" t="s">
        <v>830</v>
      </c>
      <c r="B33" s="1052"/>
    </row>
    <row r="34" spans="1:2">
      <c r="A34" s="1031" t="s">
        <v>831</v>
      </c>
      <c r="B34" s="1052"/>
    </row>
    <row r="35" spans="1:2">
      <c r="A35" s="1031" t="s">
        <v>832</v>
      </c>
      <c r="B35" s="1053">
        <v>1000000</v>
      </c>
    </row>
    <row r="36" spans="1:2">
      <c r="A36" s="1031" t="s">
        <v>833</v>
      </c>
      <c r="B36" s="1053" t="s">
        <v>845</v>
      </c>
    </row>
    <row r="37" spans="1:2">
      <c r="A37" s="1031" t="s">
        <v>834</v>
      </c>
      <c r="B37" s="1053" t="s">
        <v>835</v>
      </c>
    </row>
    <row r="38" spans="1:2">
      <c r="A38" s="1031" t="s">
        <v>836</v>
      </c>
      <c r="B38" s="1053" t="s">
        <v>837</v>
      </c>
    </row>
    <row r="39" spans="1:2">
      <c r="A39" s="1031" t="s">
        <v>838</v>
      </c>
      <c r="B39" s="1053" t="s">
        <v>846</v>
      </c>
    </row>
    <row r="40" spans="1:2">
      <c r="A40" s="1031" t="s">
        <v>839</v>
      </c>
      <c r="B40" s="1053">
        <v>1500000092</v>
      </c>
    </row>
    <row r="41" spans="1:2">
      <c r="A41" s="1031" t="s">
        <v>840</v>
      </c>
      <c r="B41" s="1053">
        <v>1</v>
      </c>
    </row>
    <row r="42" spans="1:2">
      <c r="A42" s="1055" t="s">
        <v>841</v>
      </c>
    </row>
    <row r="43" spans="1:2">
      <c r="A43" s="1031" t="s">
        <v>842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1031" bestFit="1" customWidth="1"/>
    <col min="2" max="256" width="9.140625" style="1031"/>
    <col min="257" max="257" width="28.5703125" style="1031" bestFit="1" customWidth="1"/>
    <col min="258" max="512" width="9.140625" style="1031"/>
    <col min="513" max="513" width="28.5703125" style="1031" bestFit="1" customWidth="1"/>
    <col min="514" max="768" width="9.140625" style="1031"/>
    <col min="769" max="769" width="28.5703125" style="1031" bestFit="1" customWidth="1"/>
    <col min="770" max="1024" width="9.140625" style="1031"/>
    <col min="1025" max="1025" width="28.5703125" style="1031" bestFit="1" customWidth="1"/>
    <col min="1026" max="1280" width="9.140625" style="1031"/>
    <col min="1281" max="1281" width="28.5703125" style="1031" bestFit="1" customWidth="1"/>
    <col min="1282" max="1536" width="9.140625" style="1031"/>
    <col min="1537" max="1537" width="28.5703125" style="1031" bestFit="1" customWidth="1"/>
    <col min="1538" max="1792" width="9.140625" style="1031"/>
    <col min="1793" max="1793" width="28.5703125" style="1031" bestFit="1" customWidth="1"/>
    <col min="1794" max="2048" width="9.140625" style="1031"/>
    <col min="2049" max="2049" width="28.5703125" style="1031" bestFit="1" customWidth="1"/>
    <col min="2050" max="2304" width="9.140625" style="1031"/>
    <col min="2305" max="2305" width="28.5703125" style="1031" bestFit="1" customWidth="1"/>
    <col min="2306" max="2560" width="9.140625" style="1031"/>
    <col min="2561" max="2561" width="28.5703125" style="1031" bestFit="1" customWidth="1"/>
    <col min="2562" max="2816" width="9.140625" style="1031"/>
    <col min="2817" max="2817" width="28.5703125" style="1031" bestFit="1" customWidth="1"/>
    <col min="2818" max="3072" width="9.140625" style="1031"/>
    <col min="3073" max="3073" width="28.5703125" style="1031" bestFit="1" customWidth="1"/>
    <col min="3074" max="3328" width="9.140625" style="1031"/>
    <col min="3329" max="3329" width="28.5703125" style="1031" bestFit="1" customWidth="1"/>
    <col min="3330" max="3584" width="9.140625" style="1031"/>
    <col min="3585" max="3585" width="28.5703125" style="1031" bestFit="1" customWidth="1"/>
    <col min="3586" max="3840" width="9.140625" style="1031"/>
    <col min="3841" max="3841" width="28.5703125" style="1031" bestFit="1" customWidth="1"/>
    <col min="3842" max="4096" width="9.140625" style="1031"/>
    <col min="4097" max="4097" width="28.5703125" style="1031" bestFit="1" customWidth="1"/>
    <col min="4098" max="4352" width="9.140625" style="1031"/>
    <col min="4353" max="4353" width="28.5703125" style="1031" bestFit="1" customWidth="1"/>
    <col min="4354" max="4608" width="9.140625" style="1031"/>
    <col min="4609" max="4609" width="28.5703125" style="1031" bestFit="1" customWidth="1"/>
    <col min="4610" max="4864" width="9.140625" style="1031"/>
    <col min="4865" max="4865" width="28.5703125" style="1031" bestFit="1" customWidth="1"/>
    <col min="4866" max="5120" width="9.140625" style="1031"/>
    <col min="5121" max="5121" width="28.5703125" style="1031" bestFit="1" customWidth="1"/>
    <col min="5122" max="5376" width="9.140625" style="1031"/>
    <col min="5377" max="5377" width="28.5703125" style="1031" bestFit="1" customWidth="1"/>
    <col min="5378" max="5632" width="9.140625" style="1031"/>
    <col min="5633" max="5633" width="28.5703125" style="1031" bestFit="1" customWidth="1"/>
    <col min="5634" max="5888" width="9.140625" style="1031"/>
    <col min="5889" max="5889" width="28.5703125" style="1031" bestFit="1" customWidth="1"/>
    <col min="5890" max="6144" width="9.140625" style="1031"/>
    <col min="6145" max="6145" width="28.5703125" style="1031" bestFit="1" customWidth="1"/>
    <col min="6146" max="6400" width="9.140625" style="1031"/>
    <col min="6401" max="6401" width="28.5703125" style="1031" bestFit="1" customWidth="1"/>
    <col min="6402" max="6656" width="9.140625" style="1031"/>
    <col min="6657" max="6657" width="28.5703125" style="1031" bestFit="1" customWidth="1"/>
    <col min="6658" max="6912" width="9.140625" style="1031"/>
    <col min="6913" max="6913" width="28.5703125" style="1031" bestFit="1" customWidth="1"/>
    <col min="6914" max="7168" width="9.140625" style="1031"/>
    <col min="7169" max="7169" width="28.5703125" style="1031" bestFit="1" customWidth="1"/>
    <col min="7170" max="7424" width="9.140625" style="1031"/>
    <col min="7425" max="7425" width="28.5703125" style="1031" bestFit="1" customWidth="1"/>
    <col min="7426" max="7680" width="9.140625" style="1031"/>
    <col min="7681" max="7681" width="28.5703125" style="1031" bestFit="1" customWidth="1"/>
    <col min="7682" max="7936" width="9.140625" style="1031"/>
    <col min="7937" max="7937" width="28.5703125" style="1031" bestFit="1" customWidth="1"/>
    <col min="7938" max="8192" width="9.140625" style="1031"/>
    <col min="8193" max="8193" width="28.5703125" style="1031" bestFit="1" customWidth="1"/>
    <col min="8194" max="8448" width="9.140625" style="1031"/>
    <col min="8449" max="8449" width="28.5703125" style="1031" bestFit="1" customWidth="1"/>
    <col min="8450" max="8704" width="9.140625" style="1031"/>
    <col min="8705" max="8705" width="28.5703125" style="1031" bestFit="1" customWidth="1"/>
    <col min="8706" max="8960" width="9.140625" style="1031"/>
    <col min="8961" max="8961" width="28.5703125" style="1031" bestFit="1" customWidth="1"/>
    <col min="8962" max="9216" width="9.140625" style="1031"/>
    <col min="9217" max="9217" width="28.5703125" style="1031" bestFit="1" customWidth="1"/>
    <col min="9218" max="9472" width="9.140625" style="1031"/>
    <col min="9473" max="9473" width="28.5703125" style="1031" bestFit="1" customWidth="1"/>
    <col min="9474" max="9728" width="9.140625" style="1031"/>
    <col min="9729" max="9729" width="28.5703125" style="1031" bestFit="1" customWidth="1"/>
    <col min="9730" max="9984" width="9.140625" style="1031"/>
    <col min="9985" max="9985" width="28.5703125" style="1031" bestFit="1" customWidth="1"/>
    <col min="9986" max="10240" width="9.140625" style="1031"/>
    <col min="10241" max="10241" width="28.5703125" style="1031" bestFit="1" customWidth="1"/>
    <col min="10242" max="10496" width="9.140625" style="1031"/>
    <col min="10497" max="10497" width="28.5703125" style="1031" bestFit="1" customWidth="1"/>
    <col min="10498" max="10752" width="9.140625" style="1031"/>
    <col min="10753" max="10753" width="28.5703125" style="1031" bestFit="1" customWidth="1"/>
    <col min="10754" max="11008" width="9.140625" style="1031"/>
    <col min="11009" max="11009" width="28.5703125" style="1031" bestFit="1" customWidth="1"/>
    <col min="11010" max="11264" width="9.140625" style="1031"/>
    <col min="11265" max="11265" width="28.5703125" style="1031" bestFit="1" customWidth="1"/>
    <col min="11266" max="11520" width="9.140625" style="1031"/>
    <col min="11521" max="11521" width="28.5703125" style="1031" bestFit="1" customWidth="1"/>
    <col min="11522" max="11776" width="9.140625" style="1031"/>
    <col min="11777" max="11777" width="28.5703125" style="1031" bestFit="1" customWidth="1"/>
    <col min="11778" max="12032" width="9.140625" style="1031"/>
    <col min="12033" max="12033" width="28.5703125" style="1031" bestFit="1" customWidth="1"/>
    <col min="12034" max="12288" width="9.140625" style="1031"/>
    <col min="12289" max="12289" width="28.5703125" style="1031" bestFit="1" customWidth="1"/>
    <col min="12290" max="12544" width="9.140625" style="1031"/>
    <col min="12545" max="12545" width="28.5703125" style="1031" bestFit="1" customWidth="1"/>
    <col min="12546" max="12800" width="9.140625" style="1031"/>
    <col min="12801" max="12801" width="28.5703125" style="1031" bestFit="1" customWidth="1"/>
    <col min="12802" max="13056" width="9.140625" style="1031"/>
    <col min="13057" max="13057" width="28.5703125" style="1031" bestFit="1" customWidth="1"/>
    <col min="13058" max="13312" width="9.140625" style="1031"/>
    <col min="13313" max="13313" width="28.5703125" style="1031" bestFit="1" customWidth="1"/>
    <col min="13314" max="13568" width="9.140625" style="1031"/>
    <col min="13569" max="13569" width="28.5703125" style="1031" bestFit="1" customWidth="1"/>
    <col min="13570" max="13824" width="9.140625" style="1031"/>
    <col min="13825" max="13825" width="28.5703125" style="1031" bestFit="1" customWidth="1"/>
    <col min="13826" max="14080" width="9.140625" style="1031"/>
    <col min="14081" max="14081" width="28.5703125" style="1031" bestFit="1" customWidth="1"/>
    <col min="14082" max="14336" width="9.140625" style="1031"/>
    <col min="14337" max="14337" width="28.5703125" style="1031" bestFit="1" customWidth="1"/>
    <col min="14338" max="14592" width="9.140625" style="1031"/>
    <col min="14593" max="14593" width="28.5703125" style="1031" bestFit="1" customWidth="1"/>
    <col min="14594" max="14848" width="9.140625" style="1031"/>
    <col min="14849" max="14849" width="28.5703125" style="1031" bestFit="1" customWidth="1"/>
    <col min="14850" max="15104" width="9.140625" style="1031"/>
    <col min="15105" max="15105" width="28.5703125" style="1031" bestFit="1" customWidth="1"/>
    <col min="15106" max="15360" width="9.140625" style="1031"/>
    <col min="15361" max="15361" width="28.5703125" style="1031" bestFit="1" customWidth="1"/>
    <col min="15362" max="15616" width="9.140625" style="1031"/>
    <col min="15617" max="15617" width="28.5703125" style="1031" bestFit="1" customWidth="1"/>
    <col min="15618" max="15872" width="9.140625" style="1031"/>
    <col min="15873" max="15873" width="28.5703125" style="1031" bestFit="1" customWidth="1"/>
    <col min="15874" max="16128" width="9.140625" style="1031"/>
    <col min="16129" max="16129" width="28.5703125" style="1031" bestFit="1" customWidth="1"/>
    <col min="16130" max="16384" width="9.140625" style="1031"/>
  </cols>
  <sheetData>
    <row r="1" spans="1:1">
      <c r="A1" s="1057" t="s">
        <v>849</v>
      </c>
    </row>
    <row r="2" spans="1:1">
      <c r="A2" s="1057" t="s">
        <v>854</v>
      </c>
    </row>
    <row r="3" spans="1:1">
      <c r="A3" s="1057" t="s">
        <v>855</v>
      </c>
    </row>
    <row r="4" spans="1:1">
      <c r="A4" s="1057" t="s">
        <v>856</v>
      </c>
    </row>
    <row r="5" spans="1:1">
      <c r="A5" s="1057" t="s">
        <v>857</v>
      </c>
    </row>
    <row r="6" spans="1:1">
      <c r="A6" s="1057" t="s">
        <v>850</v>
      </c>
    </row>
    <row r="7" spans="1:1">
      <c r="A7" s="1057" t="s">
        <v>858</v>
      </c>
    </row>
    <row r="8" spans="1:1">
      <c r="A8" s="1057" t="s">
        <v>859</v>
      </c>
    </row>
    <row r="9" spans="1:1">
      <c r="A9" s="1057" t="s">
        <v>860</v>
      </c>
    </row>
    <row r="10" spans="1:1">
      <c r="A10" s="1057" t="s">
        <v>851</v>
      </c>
    </row>
    <row r="11" spans="1:1">
      <c r="A11" s="1057" t="s">
        <v>861</v>
      </c>
    </row>
    <row r="12" spans="1:1">
      <c r="A12" s="1057" t="s">
        <v>852</v>
      </c>
    </row>
    <row r="13" spans="1:1">
      <c r="A13" s="1057" t="s">
        <v>853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0999f9db-6d72-4d5a-9930-34e998a91065</GUID>
    <SOURCE_ALTADDRESS>$B$7:$BK$85</SOURCE_ALTADDRESS>
    <SOURCETYPE>Table</SOURCETYPE>
    <SOURCE_OBJECTNAME>Linking_Range_27</SOURCE_OBJECTNAME>
    <OBJECTTYPE>Native</OBJECTTYPE>
    <SOURCE_SHEETCODE>Sheet2</SOURCE_SHEETCODE>
    <SOURCE_SHEETNAME>IS</SOURCE_SHEETNAME>
    <SOURCEAPPLICATION>EXCEL_SOURCE</SOURCEAPPLICATION>
    <UPDATEDAT>10/16/2014 8:20:36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/MSResearch/Content/ExternalAssets/2014-10/Images/twNwf9s2EadBCysNtP3w--.png</TARGET_BINARYFULLNAME>
    <TARGET_STORYFULLNAME>/MSResearch/Content/ExternalAssets/2014-10/Sections/Linking_Range_27-058.xml</TARGET_STORYFULLNAME>
    <TARGET_UUID>687036a4-5593-11e4-b03b-7e57cd39a3c9</TARGET_UUID>
  </Link>
  <Link>
    <GUID>1a34df01-3cd6-4871-a473-a65f7de2afc9</GUID>
    <SOURCE_ALTADDRESS>$C$3:$E$6</SOURCE_ALTADDRESS>
    <SOURCETYPE>Table</SOURCETYPE>
    <SOURCE_OBJECTNAME>Linking_Range_42</SOURCE_OBJECTNAME>
    <OBJECTTYPE>Native</OBJECTTYPE>
    <SOURCE_SHEETCODE>Sheet14</SOURCE_SHEETCODE>
    <SOURCE_SHEETNAME>By Segm</SOURCE_SHEETNAME>
    <SOURCEAPPLICATION>EXCEL_SOURCE</SOURCEAPPLICATION>
    <UPDATEDAT>1/21/2015 11:24:38 AM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/MSResearch/Content/ExternalAssets/2014-10/Images/Ci-cecDLhUuFlaRxj9BnqQ--.png</TARGET_BINARYFULLNAME>
    <TARGET_STORYFULLNAME>/MSResearch/Content/ExternalAssets/2014-10/Sections/Linking_Range_42-029.xml</TARGET_STORYFULLNAME>
    <TARGET_UUID>0a81c552-559e-11e4-b03b-7e57cd39a3c9</TARGET_UUID>
    <LINKSTATUS>Unknown</LINKSTATUS>
  </Link>
  <Link>
    <GUID>bd563785-3b86-4609-9987-04a133e7faa4</GUID>
    <SOURCE_ALTADDRESS>$B$5:$J$33</SOURCE_ALTADDRESS>
    <SOURCETYPE>Table</SOURCETYPE>
    <SOURCE_OBJECTNAME>Linking_Range_6</SOURCE_OBJECTNAME>
    <OBJECTTYPE>Native</OBJECTTYPE>
    <SOURCE_SHEETCODE>Sheet15</SOURCE_SHEETCODE>
    <SOURCE_SHEETNAME>QoQ Comp</SOURCE_SHEETNAME>
    <SOURCEAPPLICATION>EXCEL_SOURCE</SOURCEAPPLICATION>
    <UPDATEDAT>1/21/2015 5:46:51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/MSResearch/Content/ExternalAssets/2014-10/Images/4Xl-GFFUmkyU8xoqY2NRXg--.png</TARGET_BINARYFULLNAME>
    <TARGET_STORYFULLNAME>/MSResearch/Content/ExternalAssets/2014-10/Sections/Linking_Range_6-136.xml</TARGET_STORYFULLNAME>
    <TARGET_UUID>42806002-5595-11e4-b03b-7e57cd39a3c9</TARGET_UUID>
    <LINKSTATUS>Unknown</LINKSTATUS>
    <TRANSPARENTBACKGROUND>False</TRANSPARENTBACKGROUND>
    <TRANSPARENTPLOTAREA>False</TRANSPARENTPLOTAREA>
  </Link>
  <Link>
    <GUID>a80597e8-63f8-4609-a930-f927ecf187b8</GUID>
    <SOURCE_ALTADDRESS>$B$5:$L$33</SOURCE_ALTADDRESS>
    <SOURCETYPE>Table</SOURCETYPE>
    <SOURCE_OBJECTNAME>Linking_Range_43</SOURCE_OBJECTNAME>
    <OBJECTTYPE>Native</OBJECTTYPE>
    <SOURCE_SHEETCODE>Sheet15</SOURCE_SHEETCODE>
    <SOURCE_SHEETNAME>QoQ Comp</SOURCE_SHEETNAME>
    <SOURCEAPPLICATION>EXCEL_SOURCE</SOURCEAPPLICATION>
    <UPDATEDAT>1/21/2015 5:47:14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/MSResearch/Content/ExternalAssets/2015-01/Images/OyxOVGYBUiUO19yTTpCSA--.png</TARGET_BINARYFULLNAME>
    <TARGET_STORYFULLNAME>/MSResearch/Content/ExternalAssets/2015-01/Sections/20150121_054711_Linking_Range_43.xml</TARGET_STORYFULLNAME>
    <TARGET_UUID>6fc7defc-a1bf-11e4-9d5a-3eb708603406</TARGET_UUID>
  </Link>
  <Link>
    <GUID>a95f46ff-ce6a-4953-9972-872f88253f6a</GUID>
    <SOURCE_ALTADDRESS>$C$9:$L$28</SOURCE_ALTADDRESS>
    <SOURCETYPE>Table</SOURCETYPE>
    <SOURCE_OBJECTNAME>Linking_Range_41</SOURCE_OBJECTNAME>
    <OBJECTTYPE>Native</OBJECTTYPE>
    <SOURCE_SHEETCODE>Sheet13</SOURCE_SHEETCODE>
    <SOURCE_SHEETNAME>Snapshot</SOURCE_SHEETNAME>
    <SOURCEAPPLICATION>EXCEL_SOURCE</SOURCEAPPLICATION>
    <UPDATEDAT>1/21/2015 8:50:42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/MSResearch/Content/ExternalAssets/2014-10/Images/biqtVXl12USQePdOZ8K2pg--.png</TARGET_BINARYFULLNAME>
    <TARGET_STORYFULLNAME>/MSResearch/Content/ExternalAssets/2014-10/Sections/Linking_Range_41-026.xml</TARGET_STORYFULLNAME>
    <TARGET_UUID>1585770e-5595-11e4-b03b-7e57cd39a3c9</TARGET_UUID>
    <LINKSTATUS>Unknown</LINKSTATUS>
    <TRANSPARENTBACKGROUND>False</TRANSPARENTBACKGROUND>
    <TRANSPARENTPLOTAREA>False</TRANSPARENTPLOTAREA>
  </Link>
  <Link>
    <GUID>4b468080-542c-430d-aed4-2dfc8b8a50b7</GUID>
    <SOURCE_ALTADDRESS>$C$9:$L$18</SOURCE_ALTADDRESS>
    <SOURCETYPE>Table</SOURCETYPE>
    <SOURCE_OBJECTNAME>Linking_Range_46</SOURCE_OBJECTNAME>
    <OBJECTTYPE>Native</OBJECTTYPE>
    <SOURCE_SHEETCODE>Sheet13</SOURCE_SHEETCODE>
    <SOURCE_SHEETNAME>Snapshot</SOURCE_SHEETNAME>
    <SOURCEAPPLICATION>EXCEL_SOURCE</SOURCEAPPLICATION>
    <UPDATEDAT>1/21/2015 9:03:13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/MSResearch/Content/ExternalAssets/2015-01/Images/ppGrScqPZkWPb8djD8r7Fw--.png</TARGET_BINARYFULLNAME>
    <TARGET_STORYFULLNAME>/MSResearch/Content/ExternalAssets/2015-01/Sections/20150121_090310_Linking_Range_46.xml</TARGET_STORYFULLNAME>
    <TARGET_UUID>d100fc06-a1da-11e4-9d5a-3eb708603406</TARGET_UUID>
  </Link>
  <Link>
    <GUID>eecf5a51-d046-4eec-88ce-6945f11635fc</GUID>
    <SOURCE_ALTADDRESS>$C$21:$F$28</SOURCE_ALTADDRESS>
    <SOURCETYPE>Table</SOURCETYPE>
    <SOURCE_OBJECTNAME>Linking_Range_5</SOURCE_OBJECTNAME>
    <OBJECTTYPE>Native</OBJECTTYPE>
    <SOURCE_SHEETCODE>Sheet13</SOURCE_SHEETCODE>
    <SOURCE_SHEETNAME>Snapshot</SOURCE_SHEETNAME>
    <SOURCEAPPLICATION>EXCEL_SOURCE</SOURCEAPPLICATION>
    <UPDATEDAT>1/21/2015 9:03:47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/MSResearch/Content/ExternalAssets/2015-01/Images/a3qujruXRkK8-prJyTKk1Q--.png</TARGET_BINARYFULLNAME>
    <TARGET_STORYFULLNAME>/MSResearch/Content/ExternalAssets/2015-01/Sections/20150121_090344_Linking_Range_5.xml</TARGET_STORYFULLNAME>
    <TARGET_UUID>e539880a-a1da-11e4-9d5a-3eb708603406</TARGET_UUID>
  </Link>
  <Link>
    <GUID>c7b8b9b8-b508-446e-94ec-c3a9f9eb64ca</GUID>
    <SOURCE_ALTADDRESS>$C$21:$H$28</SOURCE_ALTADDRESS>
    <SOURCETYPE>Table</SOURCETYPE>
    <SOURCE_OBJECTNAME>Linking_Range_47</SOURCE_OBJECTNAME>
    <OBJECTTYPE>Native</OBJECTTYPE>
    <SOURCE_SHEETCODE>Sheet13</SOURCE_SHEETCODE>
    <SOURCE_SHEETNAME>Snapshot</SOURCE_SHEETNAME>
    <SOURCEAPPLICATION>EXCEL_SOURCE</SOURCEAPPLICATION>
    <UPDATEDAT>1/21/2015 9:04:07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/MSResearch/Content/ExternalAssets/2015-01/Images/HbnNO_ECTkSK7POyjOqtSQ--.png</TARGET_BINARYFULLNAME>
    <TARGET_STORYFULLNAME>/MSResearch/Content/ExternalAssets/2015-01/Sections/20150121_090405_Linking_Range_47.xml</TARGET_STORYFULLNAME>
    <TARGET_UUID>f15c5928-a1da-11e4-9d5a-3eb708603406</TARGET_UUID>
  </Link>
  <Link>
    <GUID>4656575e-f6c2-4e6f-8941-53a1bec8705a</GUID>
    <SOURCE_ALTADDRESS>$D$7:$R$15</SOURCE_ALTADDRESS>
    <SOURCETYPE>Table</SOURCETYPE>
    <SOURCE_OBJECTNAME>Linking_Range_21</SOURCE_OBJECTNAME>
    <OBJECTTYPE>Native</OBJECTTYPE>
    <SOURCE_SHEETCODE>Sheet34</SOURCE_SHEETCODE>
    <SOURCE_SHEETNAME>MS vs. Cons.</SOURCE_SHEETNAME>
    <SOURCEAPPLICATION>EXCEL_SOURCE</SOURCEAPPLICATION>
    <UPDATEDAT>4/14/2015 7:52:41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/MSResearch/Content/ExternalAssets/2015-04/Images/luyZC5fsBUi0wmJhN0LU1w--.png</TARGET_BINARYFULLNAME>
    <TARGET_STORYFULLNAME>/MSResearch/Content/ExternalAssets/2015-04/Sections/20150414_075240_Linking_Range_21.xml</TARGET_STORYFULLNAME>
    <TARGET_UUID>55b972c2-e301-11e4-8428-e799a3b9280a</TARGET_UUID>
  </Link>
  <Link>
    <GUID>7b71da20-0165-4347-b165-f3624dbfc5e3</GUID>
    <SOURCE_ALTADDRESS>$C$9:$L$30</SOURCE_ALTADDRESS>
    <SOURCETYPE>Table</SOURCETYPE>
    <SOURCE_OBJECTNAME>Linking_Range_48</SOURCE_OBJECTNAME>
    <OBJECTTYPE>Native</OBJECTTYPE>
    <SOURCE_SHEETCODE>Sheet13</SOURCE_SHEETCODE>
    <SOURCE_SHEETNAME>Snapshot</SOURCE_SHEETNAME>
    <SOURCEAPPLICATION>EXCEL_SOURCE</SOURCEAPPLICATION>
    <UPDATEDAT>4/22/2015 7:51:47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/MSResearch/Content/ExternalAssets/2015-04/Images/GrcjKx_BWUC3cCCAXb1e2Q--.png</TARGET_BINARYFULLNAME>
    <TARGET_STORYFULLNAME>/MSResearch/Content/ExternalAssets/2015-04/Sections/20150422_075145_Linking_Range_48.xml</TARGET_STORYFULLNAME>
    <TARGET_UUID>88b1395e-e94a-11e4-b44c-544b7b2f2e67</TARGET_UUID>
  </Link>
  <Link>
    <GUID>21c91a5a-3cf9-4d90-8233-4bf575eba8d6</GUID>
    <SOURCE_ALTADDRESS>$B$5:$J$31</SOURCE_ALTADDRESS>
    <SOURCETYPE>Table</SOURCETYPE>
    <SOURCE_OBJECTNAME>Linking_Range_49</SOURCE_OBJECTNAME>
    <OBJECTTYPE>Native</OBJECTTYPE>
    <SOURCE_SHEETCODE>Sheet15</SOURCE_SHEETCODE>
    <SOURCE_SHEETNAME>QoQ Comp</SOURCE_SHEETNAME>
    <SOURCEAPPLICATION>EXCEL_SOURCE</SOURCEAPPLICATION>
    <UPDATEDAT>4/22/2015 7:52:11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/MSResearch/Content/ExternalAssets/2015-04/Images/zNsQSq2kpUmCZdIQ3uEjZQ--.png</TARGET_BINARYFULLNAME>
    <TARGET_STORYFULLNAME>/MSResearch/Content/ExternalAssets/2015-04/Sections/20150422_075209_Linking_Range_49.xml</TARGET_STORYFULLNAME>
    <TARGET_UUID>9694252c-e94a-11e4-b44c-544b7b2f2e67</TARGET_UUID>
  </Link>
  <Link>
    <GUID>3e893e72-0295-4e51-adfc-56e3409ec7f3</GUID>
    <SOURCE_ALTADDRESS>$B$5:$L$31</SOURCE_ALTADDRESS>
    <SOURCETYPE>Table</SOURCETYPE>
    <SOURCE_OBJECTNAME>Linking_Range_50</SOURCE_OBJECTNAME>
    <OBJECTTYPE>Native</OBJECTTYPE>
    <SOURCE_SHEETCODE>Sheet15</SOURCE_SHEETCODE>
    <SOURCE_SHEETNAME>QoQ Comp</SOURCE_SHEETNAME>
    <SOURCEAPPLICATION>EXCEL_SOURCE</SOURCEAPPLICATION>
    <UPDATEDAT>4/22/2015 7:52:25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/MSResearch/Content/ExternalAssets/2015-04/Images/eif57vQxy02-hQ8QvIw8yA--.png</TARGET_BINARYFULLNAME>
    <TARGET_STORYFULLNAME>/MSResearch/Content/ExternalAssets/2015-04/Sections/20150422_075223_Linking_Range_50.xml</TARGET_STORYFULLNAME>
    <TARGET_UUID>9f6662d2-e94a-11e4-b44c-544b7b2f2e67</TARGET_UUID>
  </Link>
  <Link>
    <GUID>b1167af2-39b3-4245-98be-22ad34cb1ee7</GUID>
    <SOURCE_ALTADDRESS>$B$7:$BL$85</SOURCE_ALTADDRESS>
    <SOURCETYPE>Table</SOURCETYPE>
    <SOURCE_OBJECTNAME>Linking_Range_44</SOURCE_OBJECTNAME>
    <OBJECTTYPE>Native</OBJECTTYPE>
    <SOURCE_SHEETCODE>Sheet2</SOURCE_SHEETCODE>
    <SOURCE_SHEETNAME>IS</SOURCE_SHEETNAME>
    <SOURCEAPPLICATION>EXCEL_SOURCE</SOURCEAPPLICATION>
    <UPDATEDAT>4/22/2015 7:53:31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/MSResearch/Content/ExternalAssets/2015-01/Images/VqrH5gLlT6MxSvm391-vg--.png</TARGET_BINARYFULLNAME>
    <TARGET_STORYFULLNAME>/MSResearch/Content/ExternalAssets/2015-01/Sections/20150121_085356_Linking_Range_44.xml</TARGET_STORYFULLNAME>
    <TARGET_UUID>8684b178-a1d9-11e4-9d5a-3eb708603406</TARGET_UUID>
    <TRANSPARENTBACKGROUND>False</TRANSPARENTBACKGROUND>
    <TRANSPARENTPLOTAREA>False</TRANSPARENTPLOTAREA>
    <EXTRACTSOURCEMODE>CopyToClipboard</EXTRACTSOURCEMODE>
  </Link>
  <Link>
    <GUID>84e40b3c-5c28-4753-b977-47ae259be3bd</GUID>
    <SOURCE_ALTADDRESS>$B$7:$BK$53</SOURCE_ALTADDRESS>
    <SOURCETYPE>Table</SOURCETYPE>
    <SOURCE_OBJECTNAME>Linking_Range_39</SOURCE_OBJECTNAME>
    <OBJECTTYPE>Native</OBJECTTYPE>
    <SOURCE_SHEETCODE>Sheet4</SOURCE_SHEETCODE>
    <SOURCE_SHEETNAME>CFS</SOURCE_SHEETNAME>
    <SOURCEAPPLICATION>EXCEL_SOURCE</SOURCEAPPLICATION>
    <UPDATEDAT>4/22/2015 7:54:55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/MSResearch/Content/ExternalAssets/2014-10/Images/v-jnjalaruL7MrJI-fSig--.png</TARGET_BINARYFULLNAME>
    <TARGET_STORYFULLNAME>/MSResearch/Content/ExternalAssets/2014-10/Sections/Linking_Range_39-036.xml</TARGET_STORYFULLNAME>
    <TARGET_UUID>c2abba44-5593-11e4-b03b-7e57cd39a3c9</TARGET_UUID>
    <TRANSPARENTBACKGROUND>False</TRANSPARENTBACKGROUND>
    <TRANSPARENTPLOTAREA>False</TRANSPARENTPLOTAREA>
    <EXTRACTSOURCEMODE>CopyToClipboard</EXTRACTSOURCEMODE>
  </Link>
  <Link>
    <GUID>e80b4876-ba13-4517-b12b-e57c15931ddb</GUID>
    <SOURCE_ALTADDRESS>$B$7:$BK$41</SOURCE_ALTADDRESS>
    <SOURCETYPE>Table</SOURCETYPE>
    <SOURCE_OBJECTNAME>Linking_Range_28</SOURCE_OBJECTNAME>
    <OBJECTTYPE>Native</OBJECTTYPE>
    <SOURCE_SHEETCODE>Sheet3</SOURCE_SHEETCODE>
    <SOURCE_SHEETNAME>BS</SOURCE_SHEETNAME>
    <SOURCEAPPLICATION>EXCEL_SOURCE</SOURCEAPPLICATION>
    <UPDATEDAT>4/22/2015 7:55:53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/MSResearch/Content/ExternalAssets/2014-10/Images/9czBIIbJmO4wNOJWybIFw--.png</TARGET_BINARYFULLNAME>
    <TARGET_STORYFULLNAME>/MSResearch/Content/ExternalAssets/2014-10/Sections/Linking_Range_28-049.xml</TARGET_STORYFULLNAME>
    <TARGET_UUID>87c40954-5593-11e4-b03b-7e57cd39a3c9</TARGET_UUID>
    <LINKSTATUS>Unknown</LINKSTATUS>
  </Link>
  <Link>
    <GUID>1aec3d6d-4a3f-4e87-9810-376fafb50ddc</GUID>
    <SOURCE_ALTADDRESS>$B$7:$AU$41</SOURCE_ALTADDRESS>
    <SOURCETYPE>Table</SOURCETYPE>
    <SOURCE_OBJECTNAME>Linking_Range_45</SOURCE_OBJECTNAME>
    <OBJECTTYPE>Native</OBJECTTYPE>
    <SOURCE_SHEETCODE>Sheet3</SOURCE_SHEETCODE>
    <SOURCE_SHEETNAME>BS</SOURCE_SHEETNAME>
    <SOURCEAPPLICATION>EXCEL_SOURCE</SOURCEAPPLICATION>
    <UPDATEDAT>4/22/2015 7:55:56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/MSResearch/Content/ExternalAssets/2015-01/Images/YRslnlNxrUSYD_GLjVxJBw--.png</TARGET_BINARYFULLNAME>
    <TARGET_STORYFULLNAME>/MSResearch/Content/ExternalAssets/2015-01/Sections/20150121_085427_Linking_Range_45.xml</TARGET_STORYFULLNAME>
    <TARGET_UUID>98c96ed2-a1d9-11e4-9d5a-3eb708603406</TARGET_UUID>
    <LINKSTATUS>Unknown</LINKSTATUS>
  </Link>
  <Link>
    <GUID>797e81b2-cc23-46e5-8a5f-89630316625d</GUID>
    <SOURCE_ALTADDRESS>$B$7:$AY$41</SOURCE_ALTADDRESS>
    <SOURCETYPE>Table</SOURCETYPE>
    <SOURCE_OBJECTNAME>Linking_Range_51</SOURCE_OBJECTNAME>
    <OBJECTTYPE>Native</OBJECTTYPE>
    <SOURCE_SHEETCODE>Sheet3</SOURCE_SHEETCODE>
    <SOURCE_SHEETNAME>BS</SOURCE_SHEETNAME>
    <SOURCEAPPLICATION>EXCEL_SOURCE</SOURCEAPPLICATION>
    <UPDATEDAT>4/22/2015 7:55:59 PM</UPDATEDAT>
    <SOURCE_ISOUTOFDATE>False</SOURCE_ISOUTOFDATE>
    <SOURCE_WORKBOOKNAME>XLNX WIP.xls</SOURCE_WORKBOOKNAME>
    <SOURCE_WORKBOOKPATH>\\MSAD\ROOT\NA\NY\LIB\ER\SEMI CAP\Joe Files\Companies\XLNX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/MSResearch/Content/ExternalAssets/2015-04/Images/DhNsEriLtki2puE_-B-Hlw--.png</TARGET_BINARYFULLNAME>
    <TARGET_STORYFULLNAME>/MSResearch/Content/ExternalAssets/2015-04/Sections/20150422_075410_Linking_Range_51.xml</TARGET_STORYFULLNAME>
    <TARGET_UUID>df3b9378-e94a-11e4-b44c-544b7b2f2e67</TARGET_UUID>
    <LINKSTATUS>Unknown</LINKSTATUS>
  </Link>
  <Link>
    <GUID>d5d684dc-fe56-45ac-91e3-c2207db195e9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4/22/2015 9:26:53 PM</UPDATEDAT>
    <SOURCE_ISOUTOFDATE>False</SOURCE_ISOUTOFDATE>
    <SOURCE_WORKBOOKNAME>XLNX WIP.xls</SOURCE_WORKBOOKNAME>
    <SOURCE_WORKBOOKPATH>\\MSAD\ROOT\NA\NY\LIB\ER\SEMI CAP\Joe Files\Companies\XLNX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/MSResearch/Content/ExternalAssets/2014-10/Images/2a6eDrrhPWA__vKREI6wQ--.png</TARGET_BINARYFULLNAME>
    <TARGET_STORYFULLNAME>/MSResearch/Content/ExternalAssets/2014-10/Sections/MWA_Risk_Reward-385.xml</TARGET_STORYFULLNAME>
    <TARGET_UUID>2e88179a-55a7-11e4-b03b-7e57cd39a3c9</TARGET_UUID>
    <LINKSTATUS>Unknown</LINKSTATUS>
    <HIDEGRIDLINES>False</HIDEGRIDLINES>
    <EXTRACTSOURCEMODE>CopyToClipboard</EXTRACTSOURCEMODE>
  </Link>
</lk:Links>
</file>

<file path=customXml/itemProps1.xml><?xml version="1.0" encoding="utf-8"?>
<ds:datastoreItem xmlns:ds="http://schemas.openxmlformats.org/officeDocument/2006/customXml" ds:itemID="{22A61042-2FD7-41C2-A77E-EF0DD9A01022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513A3AD9-1594-4E19-A43D-B5377E5F19E3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111</vt:i4>
      </vt:variant>
    </vt:vector>
  </HeadingPairs>
  <TitlesOfParts>
    <vt:vector size="118" baseType="lpstr">
      <vt:lpstr>ImportantDisclosures</vt:lpstr>
      <vt:lpstr>IS</vt:lpstr>
      <vt:lpstr>BS</vt:lpstr>
      <vt:lpstr>CFS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Linking_12</vt:lpstr>
      <vt:lpstr>Linking_13</vt:lpstr>
      <vt:lpstr>Linking_15</vt:lpstr>
      <vt:lpstr>Linking_16</vt:lpstr>
      <vt:lpstr>Linking_17</vt:lpstr>
      <vt:lpstr>Linking_18</vt:lpstr>
      <vt:lpstr>Linking_20</vt:lpstr>
      <vt:lpstr>Linking_21</vt:lpstr>
      <vt:lpstr>Linking_22</vt:lpstr>
      <vt:lpstr>Linking_4</vt:lpstr>
      <vt:lpstr>Linking_7</vt:lpstr>
      <vt:lpstr>Linking_8</vt:lpstr>
      <vt:lpstr>Linking_9</vt:lpstr>
      <vt:lpstr>Linking_Range_1</vt:lpstr>
      <vt:lpstr>Linking_Range_10</vt:lpstr>
      <vt:lpstr>Linking_Range_11</vt:lpstr>
      <vt:lpstr>Linking_Range_12</vt:lpstr>
      <vt:lpstr>Linking_Range_17</vt:lpstr>
      <vt:lpstr>Linking_Range_2</vt:lpstr>
      <vt:lpstr>Linking_Range_22</vt:lpstr>
      <vt:lpstr>Linking_Range_23</vt:lpstr>
      <vt:lpstr>Linking_Range_24</vt:lpstr>
      <vt:lpstr>Linking_Range_27</vt:lpstr>
      <vt:lpstr>Linking_Range_28</vt:lpstr>
      <vt:lpstr>Linking_Range_3</vt:lpstr>
      <vt:lpstr>Linking_Range_31</vt:lpstr>
      <vt:lpstr>Linking_Range_32</vt:lpstr>
      <vt:lpstr>Linking_Range_33</vt:lpstr>
      <vt:lpstr>Linking_Range_35</vt:lpstr>
      <vt:lpstr>Linking_Range_36</vt:lpstr>
      <vt:lpstr>Linking_Range_37</vt:lpstr>
      <vt:lpstr>Linking_Range_38</vt:lpstr>
      <vt:lpstr>Linking_Range_39</vt:lpstr>
      <vt:lpstr>Linking_Range_44</vt:lpstr>
      <vt:lpstr>Linking_Range_45</vt:lpstr>
      <vt:lpstr>Linking_Range_51</vt:lpstr>
      <vt:lpstr>Linking_Range_7</vt:lpstr>
      <vt:lpstr>Linking_Text_2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'BU-Segment'!Print_Area</vt:lpstr>
      <vt:lpstr>IS!Print_Area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Rao, Vinayak (Research)</cp:lastModifiedBy>
  <cp:lastPrinted>2018-02-27T22:42:32Z</cp:lastPrinted>
  <dcterms:modified xsi:type="dcterms:W3CDTF">2018-04-26T12:22:38Z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2</vt:lpwstr>
  </property>
  <property fmtid="{D5CDD505-2E9C-101B-9397-08002B2CF9AE}" name="LinkingAutoNameNumberLinking_Range_" pid="3">
    <vt:lpwstr>54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764306</vt:lpwstr>
  </property>
  <property fmtid="{D5CDD505-2E9C-101B-9397-08002B2CF9AE}" name="ERModPubCompanyName" pid="7">
    <vt:lpwstr>Xilinx</vt:lpwstr>
  </property>
  <property fmtid="{D5CDD505-2E9C-101B-9397-08002B2CF9AE}" name="MSDH34TAG" pid="8">
    <vt:lpwstr>.TEZUF76X5TAHATHESADREYAK-00-INB160+*94600-06=8476b71e/-494c/-11e8/-adef/-6a0a1ce82510,MD=20180426083437/-0400,ZZ=000Z-f955.</vt:lpwstr>
  </property>
</Properties>
</file>