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15" yWindow="60" windowWidth="19440" windowHeight="14745" tabRatio="857"/>
  </bookViews>
  <sheets>
    <sheet name="ImportantDisclosures" sheetId="79" r:id="rId1"/>
    <sheet name="Cover" sheetId="54" r:id="rId2"/>
    <sheet name="Fin Sum" sheetId="45" r:id="rId3"/>
    <sheet name="Valuation" sheetId="44" r:id="rId4"/>
    <sheet name="BS, CF and P&amp;L" sheetId="43" r:id="rId5"/>
    <sheet name="MW-Cache" sheetId="71" state="veryHidden" r:id="rId6"/>
    <sheet name="Market Drivers" sheetId="75" r:id="rId7"/>
    <sheet name="Segments" sheetId="15" r:id="rId8"/>
    <sheet name="IndexInformation" sheetId="80" r:id="rId9"/>
    <sheet name="ModPubIndex" sheetId="81" r:id="rId10"/>
  </sheets>
  <externalReferences>
    <externalReference r:id="rId11"/>
    <externalReference r:id="rId12"/>
    <externalReference r:id="rId13"/>
    <externalReference r:id="rId14"/>
    <externalReference r:id="rId15"/>
  </externalReferences>
  <definedNames>
    <definedName name="__FDS_HYPERLINK_TOGGLE_STATE__" hidden="1">"ON"</definedName>
    <definedName name="_dep01">[1]Sheet1!$M$126</definedName>
    <definedName name="_dep93">[1]Sheet1!$E$166</definedName>
    <definedName name="_dep94">[1]Sheet1!$F$166</definedName>
    <definedName name="_dep95">[1]Sheet1!$G$166</definedName>
    <definedName name="_dep96">[1]Sheet1!$H$166</definedName>
    <definedName name="_dep97">[1]Sheet1!$I$166</definedName>
    <definedName name="_dep98">[1]Sheet1!$J$166</definedName>
    <definedName name="_dep99">[1]Sheet1!$K$126</definedName>
    <definedName name="_dps01">[1]Sheet1!$M$14</definedName>
    <definedName name="_dps93">[1]Sheet1!$E$14</definedName>
    <definedName name="_dps94">[1]Sheet1!$F$14</definedName>
    <definedName name="_dps95">[1]Sheet1!$G$14</definedName>
    <definedName name="_dps96">[1]Sheet1!$H$14</definedName>
    <definedName name="_dps97">[1]Sheet1!$I$14</definedName>
    <definedName name="_dps98">[1]Sheet1!$J$14</definedName>
    <definedName name="_dps99">[1]Sheet1!$K$14</definedName>
    <definedName name="_int01">[1]Sheet1!$M$44</definedName>
    <definedName name="_int93">[1]Sheet1!$E$44</definedName>
    <definedName name="_int94">[1]Sheet1!$F$44</definedName>
    <definedName name="_int95">[1]Sheet1!$G$44</definedName>
    <definedName name="_int96">[1]Sheet1!$H$44</definedName>
    <definedName name="_int97">[1]Sheet1!$I$44</definedName>
    <definedName name="_int98">[1]Sheet1!$J$44</definedName>
    <definedName name="_int99">[1]Sheet1!$K$44</definedName>
    <definedName name="_nde01">[1]Sheet1!$M$150</definedName>
    <definedName name="_nde93">[1]Sheet1!$E$150</definedName>
    <definedName name="_nde94">[1]Sheet1!$F$150</definedName>
    <definedName name="_nde95">[1]Sheet1!$G$150</definedName>
    <definedName name="_nde96">[1]Sheet1!$H$150</definedName>
    <definedName name="_nde97">[1]Sheet1!$I$150</definedName>
    <definedName name="_nde98">[1]Sheet1!$J$150</definedName>
    <definedName name="_nde99">[1]Sheet1!$K$150</definedName>
    <definedName name="_nta01">[1]Sheet1!$M$16</definedName>
    <definedName name="_nta93">[1]Sheet1!$E$16</definedName>
    <definedName name="_nta94">[1]Sheet1!$F$16</definedName>
    <definedName name="_nta95">[1]Sheet1!$G$16</definedName>
    <definedName name="_nta96">[1]Sheet1!$H$16</definedName>
    <definedName name="_nta97">[1]Sheet1!$I$16</definedName>
    <definedName name="_nta98">[1]Sheet1!$J$16</definedName>
    <definedName name="_nta99">[1]Sheet1!$K$16</definedName>
    <definedName name="_roa01">[1]Sheet1!$M$155</definedName>
    <definedName name="_roa93">[1]Sheet1!$E$155</definedName>
    <definedName name="_roa94">[1]Sheet1!$F$155</definedName>
    <definedName name="_roa95">[1]Sheet1!$G$155</definedName>
    <definedName name="_roa96">[1]Sheet1!$H$155</definedName>
    <definedName name="_roa97">[1]Sheet1!$I$155</definedName>
    <definedName name="_roa98">[1]Sheet1!$J$155</definedName>
    <definedName name="_roa99">[1]Sheet1!$K$155</definedName>
    <definedName name="_roe01">[1]Sheet1!$M$154</definedName>
    <definedName name="_roe93">[1]Sheet1!$E$154</definedName>
    <definedName name="_roe94">[1]Sheet1!$F$154</definedName>
    <definedName name="_roe95">[1]Sheet1!$G$154</definedName>
    <definedName name="_roe96">[1]Sheet1!$H$154</definedName>
    <definedName name="_roe97">[1]Sheet1!$I$154</definedName>
    <definedName name="_roe98">[1]Sheet1!$J$154</definedName>
    <definedName name="_roe99">[1]Sheet1!$K$154</definedName>
    <definedName name="_tax01">[1]Sheet1!$M$46</definedName>
    <definedName name="_tax93">[1]Sheet1!$E$46</definedName>
    <definedName name="_tax94">[1]Sheet1!$F$46</definedName>
    <definedName name="_tax95">[1]Sheet1!$G$46</definedName>
    <definedName name="_tax96">[1]Sheet1!$H$46</definedName>
    <definedName name="_tax97">[1]Sheet1!$I$46</definedName>
    <definedName name="_tax98">[1]Sheet1!$J$46</definedName>
    <definedName name="_tax99">[1]Sheet1!$K$46</definedName>
    <definedName name="AdditionalInstructions">IndexInformation!$B$42</definedName>
    <definedName name="Address" localSheetId="0">ImportantDisclosures!$A$2:$A$2</definedName>
    <definedName name="ANA" localSheetId="9">ModPubIndex!$A$7</definedName>
    <definedName name="Authors" localSheetId="0">ImportantDisclosures!$A$7</definedName>
    <definedName name="Authors" localSheetId="8">IndexInformation!$B$18</definedName>
    <definedName name="Bld_99">[2]Building!$C$2</definedName>
    <definedName name="BRO" localSheetId="9">ModPubIndex!$A$1</definedName>
    <definedName name="BS_00">6</definedName>
    <definedName name="BS_01">9</definedName>
    <definedName name="BS_02">12</definedName>
    <definedName name="BS_03">15</definedName>
    <definedName name="BS_04">18</definedName>
    <definedName name="BS_05">21</definedName>
    <definedName name="BS_06">24</definedName>
    <definedName name="BS_07">27</definedName>
    <definedName name="BS_08">30</definedName>
    <definedName name="BS_09">33</definedName>
    <definedName name="BS_10">36</definedName>
    <definedName name="BS_11">39</definedName>
    <definedName name="BS_12">42</definedName>
    <definedName name="BS_13">45</definedName>
    <definedName name="BS_1H00">4</definedName>
    <definedName name="BS_1H01">7</definedName>
    <definedName name="BS_1H02">10</definedName>
    <definedName name="BS_1H03">13</definedName>
    <definedName name="BS_1H04">16</definedName>
    <definedName name="BS_1H05">19</definedName>
    <definedName name="BS_1H06">22</definedName>
    <definedName name="BS_1H07">25</definedName>
    <definedName name="BS_1H08">28</definedName>
    <definedName name="BS_1H09">31</definedName>
    <definedName name="BS_1H10">34</definedName>
    <definedName name="BS_1H11">37</definedName>
    <definedName name="BS_1H12">40</definedName>
    <definedName name="BS_2H00">5</definedName>
    <definedName name="BS_2H01">8</definedName>
    <definedName name="BS_2H02">11</definedName>
    <definedName name="BS_2H03">14</definedName>
    <definedName name="BS_2H04">17</definedName>
    <definedName name="BS_2H05">20</definedName>
    <definedName name="BS_2H06">23</definedName>
    <definedName name="BS_2H07">26</definedName>
    <definedName name="BS_2H08">29</definedName>
    <definedName name="BS_2H09">32</definedName>
    <definedName name="BS_2H10">35</definedName>
    <definedName name="BS_2H11">38</definedName>
    <definedName name="BS_2H12">41</definedName>
    <definedName name="BS_99">3</definedName>
    <definedName name="Cement_00">Segments!$F$2</definedName>
    <definedName name="Cement_01">Segments!$I$2</definedName>
    <definedName name="Cement_02">Segments!$L$2</definedName>
    <definedName name="Cement_03">Segments!$O$2</definedName>
    <definedName name="Cement_04">Segments!$R$2</definedName>
    <definedName name="Cement_05">Segments!$U$2</definedName>
    <definedName name="Cement_06">Segments!$X$2</definedName>
    <definedName name="Cement_07">Segments!$AA$2</definedName>
    <definedName name="Cement_08">Segments!$AD$2</definedName>
    <definedName name="Cement_09">Segments!$AG$2</definedName>
    <definedName name="Cement_10">Segments!$AJ$2</definedName>
    <definedName name="Cement_11">Segments!$AM$2</definedName>
    <definedName name="Cement_12">Segments!$AP$2</definedName>
    <definedName name="Cement_13">Segments!$AS$2</definedName>
    <definedName name="Cement_1H00">Segments!$D$2</definedName>
    <definedName name="Cement_1H01">Segments!$G$2</definedName>
    <definedName name="Cement_1H02">Segments!$J$2</definedName>
    <definedName name="Cement_1H03">Segments!$M$2</definedName>
    <definedName name="Cement_1H04">Segments!$P$2</definedName>
    <definedName name="Cement_1H05">Segments!$S$2</definedName>
    <definedName name="Cement_1H06">Segments!$V$2</definedName>
    <definedName name="Cement_1H07">Segments!$Y$2</definedName>
    <definedName name="Cement_1H08">Segments!$AB$2</definedName>
    <definedName name="Cement_1H09">Segments!$AE$2</definedName>
    <definedName name="Cement_1H10">Segments!$AH$2</definedName>
    <definedName name="Cement_1H11">Segments!$AK$2</definedName>
    <definedName name="Cement_1H12">Segments!$AN$2</definedName>
    <definedName name="Cement_2H00">Segments!$E$2</definedName>
    <definedName name="Cement_2H01">Segments!$H$2</definedName>
    <definedName name="Cement_2H02">Segments!$K$2</definedName>
    <definedName name="Cement_2H03">Segments!$N$2</definedName>
    <definedName name="Cement_2H04">Segments!$Q$2</definedName>
    <definedName name="Cement_2H05">Segments!$T$2</definedName>
    <definedName name="Cement_2H06">Segments!$W$2</definedName>
    <definedName name="Cement_2H07">Segments!$Z$2</definedName>
    <definedName name="Cement_2H08">Segments!$AC$2</definedName>
    <definedName name="Cement_2H09">Segments!$AF$2</definedName>
    <definedName name="Cement_2H10">Segments!$AI$2</definedName>
    <definedName name="Cement_2H11">Segments!$AL$2</definedName>
    <definedName name="Cement_2H12">Segments!$AO$2</definedName>
    <definedName name="Cement_99">Segments!$C$2</definedName>
    <definedName name="CF_00">6</definedName>
    <definedName name="CF_01">9</definedName>
    <definedName name="CF_02">12</definedName>
    <definedName name="CF_03">15</definedName>
    <definedName name="CF_04">18</definedName>
    <definedName name="CF_05">21</definedName>
    <definedName name="CF_06">24</definedName>
    <definedName name="CF_07">27</definedName>
    <definedName name="CF_08">30</definedName>
    <definedName name="CF_09">33</definedName>
    <definedName name="CF_10">36</definedName>
    <definedName name="CF_11">39</definedName>
    <definedName name="CF_12">42</definedName>
    <definedName name="CF_13">45</definedName>
    <definedName name="CF_1H00">4</definedName>
    <definedName name="CF_1H01">7</definedName>
    <definedName name="CF_1H02">10</definedName>
    <definedName name="CF_1H03">13</definedName>
    <definedName name="CF_1H04">16</definedName>
    <definedName name="CF_1H05">19</definedName>
    <definedName name="CF_1H06">22</definedName>
    <definedName name="CF_1H07">25</definedName>
    <definedName name="CF_1H08">28</definedName>
    <definedName name="CF_1H09">31</definedName>
    <definedName name="CF_1H10">34</definedName>
    <definedName name="CF_1H11">37</definedName>
    <definedName name="CF_1H12">40</definedName>
    <definedName name="CF_2H00">5</definedName>
    <definedName name="CF_2H01">8</definedName>
    <definedName name="CF_2H02">11</definedName>
    <definedName name="CF_2H03">14</definedName>
    <definedName name="CF_2H04">17</definedName>
    <definedName name="CF_2H05">20</definedName>
    <definedName name="CF_2H06">23</definedName>
    <definedName name="CF_2H07">26</definedName>
    <definedName name="CF_2H08">29</definedName>
    <definedName name="CF_2H09">32</definedName>
    <definedName name="CF_2H10">35</definedName>
    <definedName name="CF_2H11">38</definedName>
    <definedName name="CF_2H12">41</definedName>
    <definedName name="CF_99">3</definedName>
    <definedName name="Con_00">[2]Construction!$F$2</definedName>
    <definedName name="Con_01">[2]Construction!$I$2</definedName>
    <definedName name="Con_02">[2]Construction!$L$2</definedName>
    <definedName name="Con_03">[2]Construction!$O$2</definedName>
    <definedName name="Con_04">[2]Construction!$R$2</definedName>
    <definedName name="Con_05">[2]Construction!$U$2</definedName>
    <definedName name="Con_06">[2]Construction!$X$2</definedName>
    <definedName name="Con_07">[2]Construction!$AA$2</definedName>
    <definedName name="Con_08">[2]Construction!$AD$2</definedName>
    <definedName name="Con_09">[2]Construction!$AG$2</definedName>
    <definedName name="Con_10">[2]Construction!$AJ$2</definedName>
    <definedName name="Con_11">[2]Construction!$AM$2</definedName>
    <definedName name="Con_12">[2]Construction!$AP$2</definedName>
    <definedName name="Con_1H00">[2]Construction!$D$2</definedName>
    <definedName name="Con_1H01">[2]Construction!$G$2</definedName>
    <definedName name="Con_1H02">[2]Construction!$J$2</definedName>
    <definedName name="Con_1H03">[2]Construction!$M$2</definedName>
    <definedName name="Con_1H04">[2]Construction!$P$2</definedName>
    <definedName name="Con_1H05">[2]Construction!$S$2</definedName>
    <definedName name="Con_1H06">[2]Construction!$V$2</definedName>
    <definedName name="Con_1H07">[2]Construction!$Y$2</definedName>
    <definedName name="Con_1H08">[2]Construction!$AB$2</definedName>
    <definedName name="Con_1H09">[2]Construction!$AE$2</definedName>
    <definedName name="Con_1H10">[2]Construction!$AH$2</definedName>
    <definedName name="Con_1H11">[2]Construction!$AK$2</definedName>
    <definedName name="Con_1H12">[2]Construction!$AN$2</definedName>
    <definedName name="Con_2H00">[2]Construction!$E$2</definedName>
    <definedName name="Con_2H01">[2]Construction!$H$2</definedName>
    <definedName name="Con_2H02">[2]Construction!$K$2</definedName>
    <definedName name="Con_2H03">[2]Construction!$N$2</definedName>
    <definedName name="Con_2H04">[2]Construction!$Q$2</definedName>
    <definedName name="Con_2H05">[2]Construction!$T$2</definedName>
    <definedName name="Con_2H06">[2]Construction!$W$2</definedName>
    <definedName name="Con_2H07">[2]Construction!$Z$2</definedName>
    <definedName name="Con_2H08">[2]Construction!$AC$2</definedName>
    <definedName name="Con_2H09">[2]Construction!$AF$2</definedName>
    <definedName name="Con_2H10">[2]Construction!$AI$2</definedName>
    <definedName name="Con_2H11">[2]Construction!$AL$2</definedName>
    <definedName name="Con_2H12">[2]Construction!$AO$2</definedName>
    <definedName name="Con_99">[2]Construction!$C$2</definedName>
    <definedName name="Con_EBIT">[2]Construction!$A$301:$IV$301</definedName>
    <definedName name="Con_EBITDA">[2]Construction!$A$299:$IV$299</definedName>
    <definedName name="Con_Rev">[2]Construction!$A$297:$IV$297</definedName>
    <definedName name="copymult">Valuation!$C$95:$G$95</definedName>
    <definedName name="CopyrightStamp">ImportantDisclosures!$A$27</definedName>
    <definedName name="COU" localSheetId="9">ModPubIndex!$A$5</definedName>
    <definedName name="CQEnd" localSheetId="8">IndexInformation!$B$31</definedName>
    <definedName name="Currency" localSheetId="8">IndexInformation!$B$24</definedName>
    <definedName name="CurrentStockPrice" localSheetId="8">IndexInformation!$B$23</definedName>
    <definedName name="CurrQtrEPS" localSheetId="8">IndexInformation!$B$29</definedName>
    <definedName name="CurrYearEPS" localSheetId="8">IndexInformation!$B$11</definedName>
    <definedName name="CurrYearTotalRevenue" localSheetId="8">IndexInformation!$B$10</definedName>
    <definedName name="CurrYearTotalRevenueActual" localSheetId="8">IndexInformation!$B$32</definedName>
    <definedName name="CUSIP" localSheetId="8">IndexInformation!$B$20</definedName>
    <definedName name="CYEnd" localSheetId="8">IndexInformation!$B$30</definedName>
    <definedName name="Date" localSheetId="0">ImportantDisclosures!$A$8</definedName>
    <definedName name="Date">#N/A</definedName>
    <definedName name="Deleted" localSheetId="8">IndexInformation!$B$27</definedName>
    <definedName name="dep00">[1]Sheet1!$L$126</definedName>
    <definedName name="Depn_00">6</definedName>
    <definedName name="Depn_01">9</definedName>
    <definedName name="Depn_02">12</definedName>
    <definedName name="Depn_03">15</definedName>
    <definedName name="Depn_04">18</definedName>
    <definedName name="Depn_05">21</definedName>
    <definedName name="Depn_06">24</definedName>
    <definedName name="Depn_07">27</definedName>
    <definedName name="Depn_08">30</definedName>
    <definedName name="Depn_09">33</definedName>
    <definedName name="Depn_10">36</definedName>
    <definedName name="Depn_11">39</definedName>
    <definedName name="Depn_12">42</definedName>
    <definedName name="Depn_13">45</definedName>
    <definedName name="Depn_1H00">4</definedName>
    <definedName name="Depn_1H01">7</definedName>
    <definedName name="Depn_1H02">10</definedName>
    <definedName name="Depn_1H03">13</definedName>
    <definedName name="Depn_1H04">16</definedName>
    <definedName name="Depn_1H05">19</definedName>
    <definedName name="Depn_1H06">22</definedName>
    <definedName name="Depn_1H07">25</definedName>
    <definedName name="Depn_1H08">28</definedName>
    <definedName name="Depn_1H09">31</definedName>
    <definedName name="Depn_1H10">34</definedName>
    <definedName name="Depn_1H11">37</definedName>
    <definedName name="Depn_1H12">40</definedName>
    <definedName name="Depn_2H00">5</definedName>
    <definedName name="Depn_2H01">8</definedName>
    <definedName name="Depn_2H02">11</definedName>
    <definedName name="Depn_2H03">14</definedName>
    <definedName name="Depn_2H04">17</definedName>
    <definedName name="Depn_2H05">20</definedName>
    <definedName name="Depn_2H06">23</definedName>
    <definedName name="Depn_2H07">26</definedName>
    <definedName name="Depn_2H08">29</definedName>
    <definedName name="Depn_2H09">32</definedName>
    <definedName name="Depn_2H10">35</definedName>
    <definedName name="Depn_2H11">38</definedName>
    <definedName name="Depn_2H12">41</definedName>
    <definedName name="Depn_99">3</definedName>
    <definedName name="Description" localSheetId="8">IndexInformation!$B$7</definedName>
    <definedName name="Discipline" localSheetId="8">IndexInformation!$B$3</definedName>
    <definedName name="DISCIPLINE" localSheetId="9">ModPubIndex!$A$12</definedName>
    <definedName name="DisclosuresText">ImportantDisclosures!$A$22</definedName>
    <definedName name="Distribution" localSheetId="8">IndexInformation!$B$26</definedName>
    <definedName name="DistTable" localSheetId="0">ImportantDisclosures!#REF!</definedName>
    <definedName name="DistTablePreamble" localSheetId="0">ImportantDisclosures!#REF!</definedName>
    <definedName name="Div5_rev">"Div5_rev"</definedName>
    <definedName name="DOCDAT" localSheetId="9">ModPubIndex!$A$2</definedName>
    <definedName name="DOCTIME" localSheetId="9">ModPubIndex!$A$3</definedName>
    <definedName name="DocType" localSheetId="8">IndexInformation!$B$5</definedName>
    <definedName name="dps00">[1]Sheet1!$L$14</definedName>
    <definedName name="dpsf00">[1]Sheet1!$L$13</definedName>
    <definedName name="dpsf01">[1]Sheet1!$M$13</definedName>
    <definedName name="dpsf93">[1]Sheet1!$E$13</definedName>
    <definedName name="dpsf94">[1]Sheet1!$F$13</definedName>
    <definedName name="dpsf95">[1]Sheet1!$G$13</definedName>
    <definedName name="dpsf96">[1]Sheet1!$H$13</definedName>
    <definedName name="dpsf97">[1]Sheet1!$I$13</definedName>
    <definedName name="dpsf98">[1]Sheet1!$J$13</definedName>
    <definedName name="dpsf99">[1]Sheet1!$K$13</definedName>
    <definedName name="dpsi00">[1]Sheet1!$L$12</definedName>
    <definedName name="dpsi01">[1]Sheet1!$M$12</definedName>
    <definedName name="dpsi93">[1]Sheet1!$E$12</definedName>
    <definedName name="dpsi94">[1]Sheet1!$F$12</definedName>
    <definedName name="dpsi95">[1]Sheet1!$G$12</definedName>
    <definedName name="dpsi96">[1]Sheet1!$H$12</definedName>
    <definedName name="dpsi97">[1]Sheet1!$I$12</definedName>
    <definedName name="dpsi98">[1]Sheet1!$J$12</definedName>
    <definedName name="dpsi99">[1]Sheet1!$K$12</definedName>
    <definedName name="Drivers">Segments!$A$32</definedName>
    <definedName name="ebit00">[1]Sheet1!$L$41</definedName>
    <definedName name="ebit01">[1]Sheet1!$M$41</definedName>
    <definedName name="ebit93">[1]Sheet1!$E$41</definedName>
    <definedName name="ebit94">[1]Sheet1!$F$41</definedName>
    <definedName name="ebit95">[1]Sheet1!$G$41</definedName>
    <definedName name="ebit96">[1]Sheet1!$H$41</definedName>
    <definedName name="ebit97">[1]Sheet1!$I$41</definedName>
    <definedName name="ebit98">[1]Sheet1!$J$41</definedName>
    <definedName name="ebit99">[1]Sheet1!$K$41</definedName>
    <definedName name="ebitdps00">[1]Sheet1!$L$17</definedName>
    <definedName name="ebitdps01">[1]Sheet1!$M$17</definedName>
    <definedName name="ebitdps93">[1]Sheet1!$E$17</definedName>
    <definedName name="ebitdps94">[1]Sheet1!$F$17</definedName>
    <definedName name="ebitdps95">[1]Sheet1!$G$17</definedName>
    <definedName name="ebitdps96">[1]Sheet1!$H$17</definedName>
    <definedName name="ebitdps97">[1]Sheet1!$I$17</definedName>
    <definedName name="ebitdps98">[1]Sheet1!$J$17</definedName>
    <definedName name="ebitdps99">[1]Sheet1!$K$17</definedName>
    <definedName name="EMAIL_ALERT" localSheetId="9">ModPubIndex!$A$10</definedName>
    <definedName name="EmailAlert" localSheetId="8">IndexInformation!$B$28</definedName>
    <definedName name="FCC_paste0">#N/A</definedName>
    <definedName name="FCC_paste1">1196.6638979856</definedName>
    <definedName name="FCC_paste2">1147.3</definedName>
    <definedName name="FCC_paste3">1202.3</definedName>
    <definedName name="FCC_paste4">1411.2</definedName>
    <definedName name="FCC_paste5">1536.7</definedName>
    <definedName name="FCC_paste6">1570.38500361412</definedName>
    <definedName name="FCC_paste7">1844.9125882163</definedName>
    <definedName name="Finsum">'Fin Sum'!$A$1</definedName>
    <definedName name="FiveYearGrowthRate" localSheetId="8">IndexInformation!$B$16</definedName>
    <definedName name="FollowingYearEPS" localSheetId="8">IndexInformation!$B$15</definedName>
    <definedName name="FollowingYearTotalRevenue" localSheetId="8">IndexInformation!$B$14</definedName>
    <definedName name="FollowingYearTotalRevenueActual" localSheetId="8">IndexInformation!$B$34</definedName>
    <definedName name="FR_COM_ABBR">" "</definedName>
    <definedName name="FR_COM_AGG">0</definedName>
    <definedName name="FR_COM_NAME_LINK">" "</definedName>
    <definedName name="FR_COU_ABBR">" "</definedName>
    <definedName name="FR_COU_ABBR_LINK">" "</definedName>
    <definedName name="FR_COU_NAME_LINK">" "</definedName>
    <definedName name="FR_END_DATE">" "</definedName>
    <definedName name="FR_LINKS_OVERRUN">TRUE</definedName>
    <definedName name="FR_SHOW_LINK_MARKER">TRUE</definedName>
    <definedName name="FR_START_DATE">" "</definedName>
    <definedName name="FR_USE_DIMFAC">TRUE</definedName>
    <definedName name="FR_USE_LOCAL_CCY">TRUE</definedName>
    <definedName name="frank00">[1]Sheet1!$L$22</definedName>
    <definedName name="frank01">[1]Sheet1!$M$22</definedName>
    <definedName name="frank93">[1]Sheet1!$E$22</definedName>
    <definedName name="frank94">[1]Sheet1!$F$22</definedName>
    <definedName name="frank95">[1]Sheet1!$G$22</definedName>
    <definedName name="frank96">[1]Sheet1!$H$22</definedName>
    <definedName name="frank97">[1]Sheet1!$I$22</definedName>
    <definedName name="frank98">[1]Sheet1!$J$22</definedName>
    <definedName name="frank99">[1]Sheet1!$K$22</definedName>
    <definedName name="Groupfinancials">'BS, CF and P&amp;L'!$B$5</definedName>
    <definedName name="HL" localSheetId="9">ModPubIndex!$A$8</definedName>
    <definedName name="Home">'Fin Sum'!$B$2</definedName>
    <definedName name="IND" localSheetId="9">ModPubIndex!$A$9</definedName>
    <definedName name="Industry" localSheetId="0">ImportantDisclosures!$A$12</definedName>
    <definedName name="IndustryId">IndexInformation!$B$40</definedName>
    <definedName name="IndustryRating" localSheetId="0">ImportantDisclosures!$A$13</definedName>
    <definedName name="Int_00">6</definedName>
    <definedName name="Int_01">9</definedName>
    <definedName name="Int_02">12</definedName>
    <definedName name="Int_03">15</definedName>
    <definedName name="Int_04">18</definedName>
    <definedName name="Int_05">21</definedName>
    <definedName name="Int_06">24</definedName>
    <definedName name="Int_07">27</definedName>
    <definedName name="Int_08">30</definedName>
    <definedName name="Int_09">33</definedName>
    <definedName name="Int_10">36</definedName>
    <definedName name="Int_11">39</definedName>
    <definedName name="Int_12">42</definedName>
    <definedName name="Int_13">45</definedName>
    <definedName name="Int_1H00">4</definedName>
    <definedName name="Int_1H01">7</definedName>
    <definedName name="Int_1H02">10</definedName>
    <definedName name="Int_1H03">13</definedName>
    <definedName name="Int_1H04">16</definedName>
    <definedName name="Int_1H05">19</definedName>
    <definedName name="Int_1H06">22</definedName>
    <definedName name="Int_1H07">25</definedName>
    <definedName name="Int_1H08">28</definedName>
    <definedName name="Int_1H09">31</definedName>
    <definedName name="Int_1H10">34</definedName>
    <definedName name="Int_1H11">37</definedName>
    <definedName name="Int_1H12">40</definedName>
    <definedName name="Int_2H00">5</definedName>
    <definedName name="Int_2H01">8</definedName>
    <definedName name="Int_2H02">11</definedName>
    <definedName name="Int_2H03">14</definedName>
    <definedName name="Int_2H04">17</definedName>
    <definedName name="Int_2H05">20</definedName>
    <definedName name="Int_2H06">23</definedName>
    <definedName name="Int_2H07">26</definedName>
    <definedName name="Int_2H08">29</definedName>
    <definedName name="Int_2H09">32</definedName>
    <definedName name="Int_2H10">35</definedName>
    <definedName name="Int_2H11">38</definedName>
    <definedName name="Int_2H12">41</definedName>
    <definedName name="Int_99">3</definedName>
    <definedName name="int00">[1]Sheet1!$L$44</definedName>
    <definedName name="InterestExpenseCopy">'BS, CF and P&amp;L'!$AD$171:$CC$171</definedName>
    <definedName name="InterestExpensePaste">'BS, CF and P&amp;L'!$AD$172:$CC$172</definedName>
    <definedName name="InterestIncomeCopy">'BS, CF and P&amp;L'!$AD$180:$CC$180</definedName>
    <definedName name="InterestIncomePaste">'BS, CF and P&amp;L'!$AD$181:$CC$181</definedName>
    <definedName name="IQ_ADDIN" hidden="1">"AUTO"</definedName>
    <definedName name="IQ_CH" hidden="1">110000</definedName>
    <definedName name="IQ_CQ" hidden="1">5000</definedName>
    <definedName name="IQ_CY" hidden="1">10000</definedName>
    <definedName name="IQ_DAILY" hidden="1">500000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NAMES_REVISION_DATE_" hidden="1">40527.3146990741</definedName>
    <definedName name="IQ_NTM" hidden="1">6000</definedName>
    <definedName name="IQ_TODAY" hidden="1">0</definedName>
    <definedName name="IQ_WEEK" hidden="1">50000</definedName>
    <definedName name="IQ_YTD" hidden="1">3000</definedName>
    <definedName name="IQ_YTDMONTH" hidden="1">130000</definedName>
    <definedName name="KeepVersions" localSheetId="8">IndexInformation!$B$8</definedName>
    <definedName name="LanguageCode">IndexInformation!$B$38</definedName>
    <definedName name="LastCell" localSheetId="0">ImportantDisclosures!$A$22</definedName>
    <definedName name="Linking_1">'Fin Sum'!$B$6:$T$75</definedName>
    <definedName name="Linking_12">'Fin Sum'!$B$4:$U$75</definedName>
    <definedName name="Linking_2">'Fin Sum'!$B$4:$T$75</definedName>
    <definedName name="Linking_7">Valuation!$B$4:$D$12</definedName>
    <definedName name="Linking_9">'Fin Sum'!$M$79:$S$97</definedName>
    <definedName name="lstexchcodes">"Drop Down 22"</definedName>
    <definedName name="MacroVersion" localSheetId="8">IndexInformation!$B$1</definedName>
    <definedName name="mktdrivers">Segments!$B$40</definedName>
    <definedName name="ModelPrice" localSheetId="0">ImportantDisclosures!$A$14</definedName>
    <definedName name="Multiplier" localSheetId="8">IndexInformation!$B$35</definedName>
    <definedName name="nde00">[1]Sheet1!$L$150</definedName>
    <definedName name="NextYearEPS" localSheetId="8">IndexInformation!$B$13</definedName>
    <definedName name="NextYearTotalRevenue" localSheetId="8">IndexInformation!$B$12</definedName>
    <definedName name="NextYearTotalRevenueActual" localSheetId="8">IndexInformation!$B$33</definedName>
    <definedName name="NPAT_EX_ALL">'[3]P&amp;L'!$A$81:$IV$81</definedName>
    <definedName name="nta00">[1]Sheet1!$L$16</definedName>
    <definedName name="ObjectType">IndexInformation!$B$37</definedName>
    <definedName name="PANA" localSheetId="9">ModPubIndex!$A$11</definedName>
    <definedName name="PathName" localSheetId="8">IndexInformation!$B$25</definedName>
    <definedName name="Pershare">'BS, CF and P&amp;L'!$A$278</definedName>
    <definedName name="PL_00">6</definedName>
    <definedName name="PL_01">9</definedName>
    <definedName name="PL_02">12</definedName>
    <definedName name="PL_03">15</definedName>
    <definedName name="PL_04">18</definedName>
    <definedName name="PL_05">21</definedName>
    <definedName name="PL_06">24</definedName>
    <definedName name="PL_07">27</definedName>
    <definedName name="PL_08">30</definedName>
    <definedName name="PL_09">33</definedName>
    <definedName name="PL_10">36</definedName>
    <definedName name="PL_11">39</definedName>
    <definedName name="PL_12">42</definedName>
    <definedName name="PL_13">45</definedName>
    <definedName name="PL_1H00">4</definedName>
    <definedName name="PL_1H01">7</definedName>
    <definedName name="PL_1H02">10</definedName>
    <definedName name="PL_1H03">13</definedName>
    <definedName name="PL_1H04">16</definedName>
    <definedName name="PL_1H05">19</definedName>
    <definedName name="PL_1H06">22</definedName>
    <definedName name="PL_1H07">25</definedName>
    <definedName name="PL_1H08">28</definedName>
    <definedName name="PL_1H09">31</definedName>
    <definedName name="PL_1H10">34</definedName>
    <definedName name="PL_1H11">37</definedName>
    <definedName name="PL_1H12">40</definedName>
    <definedName name="PL_2H00">5</definedName>
    <definedName name="PL_2H01">8</definedName>
    <definedName name="PL_2H02">11</definedName>
    <definedName name="PL_2H03">14</definedName>
    <definedName name="PL_2H04">17</definedName>
    <definedName name="PL_2H05">20</definedName>
    <definedName name="PL_2H06">23</definedName>
    <definedName name="PL_2H07">26</definedName>
    <definedName name="PL_2H08">29</definedName>
    <definedName name="PL_2H09">32</definedName>
    <definedName name="PL_2H10">35</definedName>
    <definedName name="PL_2H11">38</definedName>
    <definedName name="PL_2H12">41</definedName>
    <definedName name="PL_99">3</definedName>
    <definedName name="pricetarget">Valuation!$D$139</definedName>
    <definedName name="_xlnm.Print_Area" localSheetId="4">'BS, CF and P&amp;L'!$A$1:$BQ$329</definedName>
    <definedName name="_xlnm.Print_Area" localSheetId="2">'Fin Sum'!$B$4:$T$83</definedName>
    <definedName name="_xlnm.Print_Area" localSheetId="7">Segments!$B$3:$BN$195</definedName>
    <definedName name="_xlnm.Print_Area" localSheetId="3">Valuation!$B$14:$P$139</definedName>
    <definedName name="_xlnm.Print_Titles" localSheetId="4">'BS, CF and P&amp;L'!$1:$6</definedName>
    <definedName name="_xlnm.Print_Titles" localSheetId="7">Segments!$3:$4</definedName>
    <definedName name="PRODUCT" localSheetId="9">ModPubIndex!$A$6</definedName>
    <definedName name="PSYM" localSheetId="9">ModPubIndex!$A$4</definedName>
    <definedName name="PublishDate" localSheetId="8">IndexInformation!$B$2</definedName>
    <definedName name="Rating" localSheetId="8">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searchTopic" localSheetId="8">IndexInformation!$B$4</definedName>
    <definedName name="RIC" localSheetId="8">IndexInformation!$B$21</definedName>
    <definedName name="roa00">[1]Sheet1!$L$155</definedName>
    <definedName name="roe00">[1]Sheet1!$L$154</definedName>
    <definedName name="sales00">[1]Sheet1!$L$33</definedName>
    <definedName name="sales01">[1]Sheet1!$M$33</definedName>
    <definedName name="sales93">[1]Sheet1!$E$33</definedName>
    <definedName name="sales94">[1]Sheet1!$F$33</definedName>
    <definedName name="sales95">[1]Sheet1!$G$33</definedName>
    <definedName name="sales96">[1]Sheet1!$H$33</definedName>
    <definedName name="sales97">[1]Sheet1!$I$33</definedName>
    <definedName name="sales98">[1]Sheet1!$J$33</definedName>
    <definedName name="sales99">[1]Sheet1!$K$33</definedName>
    <definedName name="SC_00">6</definedName>
    <definedName name="SC_01">9</definedName>
    <definedName name="SC_02">12</definedName>
    <definedName name="SC_03">15</definedName>
    <definedName name="SC_04">18</definedName>
    <definedName name="SC_05">21</definedName>
    <definedName name="SC_06">24</definedName>
    <definedName name="SC_07">27</definedName>
    <definedName name="SC_08">30</definedName>
    <definedName name="SC_09">33</definedName>
    <definedName name="SC_10">36</definedName>
    <definedName name="SC_11">39</definedName>
    <definedName name="SC_12">42</definedName>
    <definedName name="SC_13">45</definedName>
    <definedName name="SC_1H00">4</definedName>
    <definedName name="SC_1H01">7</definedName>
    <definedName name="SC_1H02">10</definedName>
    <definedName name="SC_1H03">13</definedName>
    <definedName name="SC_1H04">16</definedName>
    <definedName name="SC_1H05">19</definedName>
    <definedName name="SC_1H06">22</definedName>
    <definedName name="SC_1H07">25</definedName>
    <definedName name="SC_1H08">28</definedName>
    <definedName name="SC_1H09">31</definedName>
    <definedName name="SC_1H10">34</definedName>
    <definedName name="SC_1H11">37</definedName>
    <definedName name="SC_1H12">40</definedName>
    <definedName name="SC_2H00">5</definedName>
    <definedName name="SC_2H01">8</definedName>
    <definedName name="SC_2H02">11</definedName>
    <definedName name="SC_2H03">14</definedName>
    <definedName name="SC_2H04">17</definedName>
    <definedName name="SC_2H05">20</definedName>
    <definedName name="SC_2H06">23</definedName>
    <definedName name="SC_2H07">26</definedName>
    <definedName name="SC_2H08">29</definedName>
    <definedName name="SC_2H09">32</definedName>
    <definedName name="SC_2H10">35</definedName>
    <definedName name="SC_2H11">38</definedName>
    <definedName name="SC_2H12">41</definedName>
    <definedName name="SC_99">3</definedName>
    <definedName name="SCI_costs">'[3]P&amp;L'!$A$54:$IV$54</definedName>
    <definedName name="SECSettlement" localSheetId="0">ImportantDisclosures!#REF!</definedName>
    <definedName name="SEDOL" localSheetId="8">IndexInformation!$B$22</definedName>
    <definedName name="Segments">Segments!$B$7</definedName>
    <definedName name="sencount" hidden="1">1</definedName>
    <definedName name="shareprice">#NAME?</definedName>
    <definedName name="solver_lin" hidden="1">0</definedName>
    <definedName name="solver_num" hidden="1">0</definedName>
    <definedName name="solver_typ" hidden="1">3</definedName>
    <definedName name="solver_val" hidden="1">5.05</definedName>
    <definedName name="SourceDefined" localSheetId="0">ImportantDisclosures!$A$19</definedName>
    <definedName name="Statements">'BS, CF and P&amp;L'!$A$7</definedName>
    <definedName name="StockRating" localSheetId="0">ImportantDisclosures!$A$11</definedName>
    <definedName name="SubjectCode" localSheetId="8">IndexInformation!$B$6</definedName>
    <definedName name="SubmitterUserId">IndexInformation!$B$39</definedName>
    <definedName name="SUPPRESSED" localSheetId="9">ModPubIndex!$A$13</definedName>
    <definedName name="TargetPrice" localSheetId="0">ImportantDisclosures!$A$15</definedName>
    <definedName name="Tax_00">6</definedName>
    <definedName name="Tax_01">9</definedName>
    <definedName name="Tax_02">12</definedName>
    <definedName name="Tax_03">15</definedName>
    <definedName name="Tax_04">18</definedName>
    <definedName name="Tax_05">21</definedName>
    <definedName name="Tax_06">24</definedName>
    <definedName name="Tax_07">27</definedName>
    <definedName name="Tax_08">30</definedName>
    <definedName name="Tax_09">33</definedName>
    <definedName name="Tax_10">36</definedName>
    <definedName name="Tax_11">39</definedName>
    <definedName name="Tax_12">42</definedName>
    <definedName name="Tax_13">45</definedName>
    <definedName name="Tax_1H00">4</definedName>
    <definedName name="Tax_1H01">7</definedName>
    <definedName name="Tax_1H02">10</definedName>
    <definedName name="Tax_1H03">13</definedName>
    <definedName name="Tax_1H04">16</definedName>
    <definedName name="Tax_1H05">19</definedName>
    <definedName name="Tax_1H06">22</definedName>
    <definedName name="Tax_1H07">25</definedName>
    <definedName name="Tax_1H08">28</definedName>
    <definedName name="Tax_1H09">31</definedName>
    <definedName name="Tax_1H10">34</definedName>
    <definedName name="Tax_1H11">37</definedName>
    <definedName name="Tax_1H12">40</definedName>
    <definedName name="Tax_2H00">5</definedName>
    <definedName name="Tax_2H01">8</definedName>
    <definedName name="Tax_2H02">11</definedName>
    <definedName name="Tax_2H03">14</definedName>
    <definedName name="Tax_2H04">17</definedName>
    <definedName name="Tax_2H05">20</definedName>
    <definedName name="Tax_2H06">23</definedName>
    <definedName name="Tax_2H07">26</definedName>
    <definedName name="Tax_2H08">29</definedName>
    <definedName name="Tax_2H09">32</definedName>
    <definedName name="Tax_2H10">35</definedName>
    <definedName name="Tax_2H11">38</definedName>
    <definedName name="Tax_2H12">41</definedName>
    <definedName name="Tax_99">3</definedName>
    <definedName name="tax00">[1]Sheet1!$L$46</definedName>
    <definedName name="TemplateRegion">IndexInformation!$B$36</definedName>
    <definedName name="TemplateVersion">2</definedName>
    <definedName name="TemplateVersionCSR">2.01</definedName>
    <definedName name="Ticker" localSheetId="0">ImportantDisclosures!$A$10</definedName>
    <definedName name="TickerRegion">IndexInformation!$B$41</definedName>
    <definedName name="Tickers" localSheetId="8">IndexInformation!$B$19</definedName>
    <definedName name="total_CA">[4]BS!$A$20:$IV$20</definedName>
    <definedName name="total_CL">[4]BS!$A$38:$IV$38</definedName>
    <definedName name="Total_EBITDA">'[4]P&amp;L'!$A$39:$IV$39</definedName>
    <definedName name="tp">2.85</definedName>
    <definedName name="UpdateReason" localSheetId="8">IndexInformation!$B$17</definedName>
    <definedName name="USA_00">[5]USA!$H$2</definedName>
    <definedName name="USA_01">[5]USA!$M$2</definedName>
    <definedName name="USA_02">[5]USA!$R$2</definedName>
    <definedName name="USA_03">[5]USA!$W$2</definedName>
    <definedName name="USA_04">[5]USA!$AB$2</definedName>
    <definedName name="USA_05">[5]USA!$AG$2</definedName>
    <definedName name="USA_06">[5]USA!$AL$2</definedName>
    <definedName name="USA_07">[5]USA!$AQ$2</definedName>
    <definedName name="USA_08">[5]USA!$AV$2</definedName>
    <definedName name="USA_09">[5]USA!$BA$2</definedName>
    <definedName name="USA_10">[5]USA!$BF$2</definedName>
    <definedName name="USA_11">[5]USA!$BK$2</definedName>
    <definedName name="USA_12">[5]USA!$BP$2</definedName>
    <definedName name="USA_1H00">[2]USA!$D$2</definedName>
    <definedName name="USA_1H01">[2]USA!$G$2</definedName>
    <definedName name="USA_1H02">[2]USA!$J$2</definedName>
    <definedName name="USA_1H03">[2]USA!$M$2</definedName>
    <definedName name="USA_1H04">[2]USA!$P$2</definedName>
    <definedName name="USA_1H05">[2]USA!$S$2</definedName>
    <definedName name="USA_1H06">[2]USA!$V$2</definedName>
    <definedName name="USA_1H07">[2]USA!$Y$2</definedName>
    <definedName name="USA_1H08">[2]USA!$AB$2</definedName>
    <definedName name="USA_1H09">[2]USA!$AE$2</definedName>
    <definedName name="USA_1H10">[2]USA!$AH$2</definedName>
    <definedName name="USA_1H11">[2]USA!$AK$2</definedName>
    <definedName name="USA_1H12">[2]USA!$AN$2</definedName>
    <definedName name="USA_2H00">[2]USA!$E$2</definedName>
    <definedName name="USA_2H01">[2]USA!$H$2</definedName>
    <definedName name="USA_2H02">[2]USA!$K$2</definedName>
    <definedName name="USA_2H03">[2]USA!$N$2</definedName>
    <definedName name="USA_2H04">[2]USA!$Q$2</definedName>
    <definedName name="USA_2H05">[2]USA!$T$2</definedName>
    <definedName name="USA_2H06">[2]USA!$W$2</definedName>
    <definedName name="USA_2H07">[2]USA!$Z$2</definedName>
    <definedName name="USA_2H08">[2]USA!$AC$2</definedName>
    <definedName name="USA_2H09">[2]USA!$AF$2</definedName>
    <definedName name="USA_2H10">[2]USA!$AI$2</definedName>
    <definedName name="USA_2H11">[2]USA!$AL$2</definedName>
    <definedName name="USA_2H12">[2]USA!$AO$2</definedName>
    <definedName name="USA_99">[5]USA!$C$2</definedName>
    <definedName name="USA_EBIT">[5]USA!$A$83:$IV$83</definedName>
    <definedName name="USA_EBITDA">[5]USA!$A$79:$IV$79</definedName>
    <definedName name="USA_Revenue">[5]USA!$A$69:$IV$69</definedName>
    <definedName name="USRegDisclosures" localSheetId="0">ImportantDisclosures!#REF!</definedName>
    <definedName name="Valuation">Valuation!$B$15</definedName>
    <definedName name="Version">1</definedName>
    <definedName name="wrn.Bunnings." hidden="1">{"Summary",#N/A,FALSE,"Bunnings";"Merch_Summary",#N/A,FALSE,"Bunnings";"Forestry",#N/A,FALSE,"Bunnings"}</definedName>
    <definedName name="wrn.Cable." hidden="1">{"Cable_front",#N/A,TRUE,"Cable";"Cable_back",#N/A,TRUE,"Cable"}</definedName>
    <definedName name="wrn.Client." hidden="1">{"Full_Year",#N/A,FALSE,"PE1_S";#N/A,#N/A,FALSE,"DIVIS_S"}</definedName>
    <definedName name="wrn.Client_Detailed." hidden="1">{"Full_Year",#N/A,FALSE,"PE1_S";"Full_Year",#N/A,FALSE,"Cashflow_EPS";"Full_Year",#N/A,FALSE,"EBIT_DIV"}</definedName>
    <definedName name="wrn.Divisional._.Summaries." hidden="1">{"Divisional summaries",#N/A,TRUE,"Model"}</definedName>
    <definedName name="wrn.Full._.Divisional._.Analysis." hidden="1">{#N/A,"Likely capex",TRUE,"Model";#N/A,"Optimal ROAs",TRUE,"Model";"Full Divisional Analysis","Aggressive asset sales",TRUE,"Model"}</definedName>
    <definedName name="wrn.Full._.EBITDA._.Valuation." hidden="1">{"Full EBITDA valuation",#N/A,FALSE,"Value"}</definedName>
    <definedName name="wrn.Full_Client." hidden="1">{"Full_Year",#N/A,FALSE,"PE1_S";"Automotive",#N/A,FALSE,"Auto_EBIT";#N/A,#N/A,FALSE,"Industrial_EBIT";#N/A,#N/A,FALSE,"Webforge_EBIT"}</definedName>
    <definedName name="wrn.Full_Model." hidden="1">{"Full_Year",#N/A,FALSE,"P&amp;L";#N/A,#N/A,FALSE,"C_flow_EPS";"B_Sheet",#N/A,FALSE,"B_Sheet";"Detail",#N/A,FALSE,"Fert. &amp; Chem.";#N/A,#N/A,FALSE,"Energy";"Merch_Summary",#N/A,FALSE,"Bunnings";"Warehouse",#N/A,FALSE,"Bunnings";"Forestry",#N/A,FALSE,"Bunnings";#N/A,#N/A,FALSE,"Rural"}</definedName>
    <definedName name="wvu.B_Sheet." hidden="1">{TRUE,TRUE,-1.25,-15.5,604.5,366.75,FALSE,TRUE,TRUE,TRUE,0,1,#N/A,1,65,17.1333333333333,4,3,FALSE,TRUE,3,TRUE,1,FALSE,75,"Swvu.B_Sheet.","ACwvu.B_Sheet.",#N/A,FALSE,FALSE,0.748031496062992,0.748031496062992,0.984251968503937,0.984251968503937,1,"","&amp;C&amp;""Helvetica,Regular""&amp;10J B Were &amp;&amp; Son Industrial Research - Analyst: Matt Cook - (03) 9679-1445",FALSE,FALSE,FALSE,FALSE,1,75,#N/A,#N/A,"=R5C7:R69C15","=C1:C3,R1:R4","Rwvu.B_Sheet.",#N/A,FALSE,FALSE,TRUE,9,#N/A,#N/A,FALSE,FALSE,TRUE,TRUE,TRUE}</definedName>
    <definedName name="wvu.bal_98." hidden="1">{TRUE,TRUE,-1.25,-15.5,484.5,276.75,FALSE,TRUE,TRUE,TRUE,0,1,#N/A,1,36,13.234375,17,1,FALSE,TRUE,3,TRUE,1,FALSE,100,"Swvu.bal_98.","ACwvu.bal_98.",#N/A,FALSE,FALSE,0.748031496062992,0.748031496062992,0.984251968503937,0.984251968503937,1,"&amp;F","Page &amp;P",FALSE,FALSE,FALSE,FALSE,1,100,#N/A,#N/A,FALSE,FALSE,"Rwvu.bal_98.",#N/A,FALSE,FALSE,TRUE,9,#N/A,#N/A,FALSE,FALSE,TRUE,TRUE,TRUE}</definedName>
    <definedName name="wvu.Detail." hidden="1">{TRUE,TRUE,-1.25,-15.5,604.5,366.75,FALSE,TRUE,TRUE,TRUE,0,1,#N/A,1,#N/A,11.4,33.0769230769231,1,FALSE,FALSE,3,TRUE,1,FALSE,75,"Swvu.Detail.","ACwvu.Detail.",#N/A,FALSE,FALSE,0.393700787401575,0.393700787401575,0.393700787401575,0.393700787401575,1,"","&amp;C&amp;""Helvetica,Regular""&amp;10J B Were &amp;&amp; Son Industrial Research:  Analyst Matt Cook:  Ph: 03-9679 1445",TRUE,FALSE,FALSE,FALSE,1,80,#N/A,#N/A,"=R5C4:R105C11","=C1,R1:R4",#N/A,#N/A,FALSE,FALSE,TRUE,9,#N/A,#N/A,FALSE,FALSE,TRUE,TRUE,TRUE}</definedName>
    <definedName name="wvu.Full_Year." hidden="1">{TRUE,TRUE,-1.25,-15.5,604.5,366.75,FALSE,TRUE,TRUE,TRUE,0,1,#N/A,1,18,25.85,20,1,FALSE,TRUE,3,TRUE,1,FALSE,75,"Swvu.Full_Year.","ACwvu.Full_Year.",#N/A,FALSE,FALSE,0.393700787401575,0.393700787401575,0.393700787401575,0.393700787401575,1," ","&amp;C&amp;""Helvetica,Regular""J B Were &amp; Son - Research. Analyst: Matt Cook- Tel: (03) 9679 1445",TRUE,FALSE,FALSE,FALSE,1,85,#N/A,#N/A,"=C1:C22","=C1:C3,R1:R4","Rwvu.Full_Year.","Cwvu.Full_Year.",FALSE,FALSE,FALSE,9,#N/A,#N/A,FALSE,FALSE,TRUE,TRUE,TRUE}</definedName>
    <definedName name="wvu.Warehouse." hidden="1">{TRUE,TRUE,-1.25,-15.5,604.5,366.75,FALSE,TRUE,TRUE,TRUE,0,1,6,1,74,3.7,5.15384615384615,4,TRUE,TRUE,3,TRUE,1,FALSE,75,"Swvu.Warehouse.","ACwvu.Warehouse.",#N/A,FALSE,FALSE,0.393700787401575,0.393700787401575,0.393700787401575,0.393700787401575,1,"","&amp;C&amp;10J B Were &amp;&amp; Son Industrial Research - Analyst:  Matt Cook Ph: 03 9679 1445",TRUE,FALSE,FALSE,FALSE,1,75,#N/A,#N/A,"=R74C7:R192C13","=C1:C4,R1:R4",#N/A,#N/A,FALSE,FALSE,TRUE,9,#N/A,#N/A,FALSE,FALSE,TRUE,TRUE,TRUE}</definedName>
  </definedNames>
  <calcPr calcId="145621" iterate="1"/>
</workbook>
</file>

<file path=xl/calcChain.xml><?xml version="1.0" encoding="utf-8"?>
<calcChain xmlns="http://schemas.openxmlformats.org/spreadsheetml/2006/main">
  <c r="S29" i="45" l="1"/>
  <c r="BG115" i="15" l="1"/>
  <c r="BF115" i="15"/>
  <c r="BG133" i="43"/>
  <c r="BF133" i="43"/>
  <c r="BD143" i="15" l="1"/>
  <c r="BD144" i="15"/>
  <c r="BD142" i="15"/>
  <c r="BG188" i="15" l="1"/>
  <c r="BF188" i="15"/>
  <c r="BH188" i="15"/>
  <c r="BE63" i="43" l="1"/>
  <c r="BE24" i="15"/>
  <c r="BE30" i="15"/>
  <c r="BE27" i="15"/>
  <c r="BE147" i="15"/>
  <c r="CF91" i="15"/>
  <c r="BE96" i="15"/>
  <c r="BE90" i="15"/>
  <c r="BE102" i="15"/>
  <c r="BE192" i="15" l="1"/>
  <c r="BD192" i="15"/>
  <c r="BE179" i="15"/>
  <c r="BE178" i="15"/>
  <c r="BD182" i="15"/>
  <c r="BD181" i="15"/>
  <c r="BD180" i="15"/>
  <c r="BD179" i="15"/>
  <c r="BE180" i="15"/>
  <c r="BD168" i="15"/>
  <c r="BD169" i="15" s="1"/>
  <c r="BE166" i="15"/>
  <c r="BE165" i="15"/>
  <c r="BD164" i="15"/>
  <c r="BD166" i="15" s="1"/>
  <c r="BD162" i="15"/>
  <c r="BE162" i="15" s="1"/>
  <c r="BD161" i="15"/>
  <c r="BE160" i="15"/>
  <c r="BD160" i="15"/>
  <c r="BD158" i="15"/>
  <c r="BD159" i="15" s="1"/>
  <c r="BE157" i="15"/>
  <c r="BD156" i="15"/>
  <c r="BD111" i="15"/>
  <c r="BE114" i="15"/>
  <c r="BE111" i="15"/>
  <c r="BE137" i="15"/>
  <c r="BD137" i="15"/>
  <c r="BD147" i="15"/>
  <c r="BD187" i="15" s="1"/>
  <c r="BE187" i="15" s="1"/>
  <c r="BE145" i="15"/>
  <c r="BD69" i="43"/>
  <c r="BD64" i="43"/>
  <c r="BD63" i="43"/>
  <c r="BD66" i="43" s="1"/>
  <c r="BD24" i="43"/>
  <c r="BD23" i="43"/>
  <c r="BD329" i="43"/>
  <c r="BE327" i="43"/>
  <c r="BD327" i="43"/>
  <c r="BE324" i="43"/>
  <c r="BD324" i="43"/>
  <c r="BE292" i="43"/>
  <c r="BD292" i="43"/>
  <c r="BE287" i="43"/>
  <c r="BE284" i="43"/>
  <c r="BD281" i="43"/>
  <c r="BD193" i="43"/>
  <c r="BD194" i="43" s="1"/>
  <c r="BE191" i="43"/>
  <c r="BD191" i="43"/>
  <c r="BE189" i="43"/>
  <c r="BD188" i="43"/>
  <c r="BE188" i="43" s="1"/>
  <c r="BD187" i="43"/>
  <c r="BE187" i="43" s="1"/>
  <c r="BD179" i="43"/>
  <c r="BD180" i="43" s="1"/>
  <c r="BE180" i="43" s="1"/>
  <c r="BE179" i="43" s="1"/>
  <c r="BE177" i="43"/>
  <c r="BD177" i="43"/>
  <c r="BE176" i="43"/>
  <c r="BE178" i="43" s="1"/>
  <c r="BD176" i="43"/>
  <c r="BD178" i="43" s="1"/>
  <c r="BE166" i="43"/>
  <c r="BD166" i="43"/>
  <c r="BE157" i="43"/>
  <c r="BE167" i="43" s="1"/>
  <c r="BD157" i="43"/>
  <c r="BE156" i="43"/>
  <c r="BD156" i="43" s="1"/>
  <c r="BD148" i="43"/>
  <c r="BE142" i="43"/>
  <c r="BE133" i="43"/>
  <c r="BE132" i="43"/>
  <c r="BE135" i="43"/>
  <c r="BE137" i="43"/>
  <c r="BE126" i="43"/>
  <c r="BE125" i="43"/>
  <c r="BD126" i="43"/>
  <c r="BE260" i="43"/>
  <c r="BD260" i="43"/>
  <c r="BE259" i="43"/>
  <c r="BE261" i="43" s="1"/>
  <c r="BD259" i="43"/>
  <c r="BE258" i="43"/>
  <c r="BD258" i="43"/>
  <c r="BD261" i="43" s="1"/>
  <c r="BD242" i="43"/>
  <c r="BD241" i="43"/>
  <c r="BD240" i="43"/>
  <c r="BD239" i="43"/>
  <c r="BD231" i="43"/>
  <c r="BD230" i="43"/>
  <c r="BD229" i="43"/>
  <c r="BD228" i="43"/>
  <c r="BD232" i="43" s="1"/>
  <c r="BD224" i="43"/>
  <c r="BD223" i="43"/>
  <c r="BD222" i="43"/>
  <c r="BD221" i="43"/>
  <c r="BD220" i="43"/>
  <c r="BD225" i="43" s="1"/>
  <c r="BD213" i="43"/>
  <c r="BD211" i="43"/>
  <c r="BD210" i="43"/>
  <c r="BD208" i="43"/>
  <c r="BD207" i="43"/>
  <c r="BD215" i="43" s="1"/>
  <c r="BD203" i="43"/>
  <c r="BD202" i="43"/>
  <c r="BD201" i="43"/>
  <c r="BD200" i="43"/>
  <c r="BD204" i="43" s="1"/>
  <c r="BD170" i="15" l="1"/>
  <c r="BE169" i="15"/>
  <c r="BE170" i="15" s="1"/>
  <c r="BD165" i="15"/>
  <c r="BE158" i="15"/>
  <c r="BE159" i="15" s="1"/>
  <c r="BE116" i="15"/>
  <c r="BD159" i="43"/>
  <c r="BD167" i="43"/>
  <c r="BD169" i="43" s="1"/>
  <c r="BE169" i="43"/>
  <c r="BE159" i="43"/>
  <c r="BE263" i="43"/>
  <c r="BD263" i="43"/>
  <c r="BE160" i="43" l="1"/>
  <c r="BD160" i="43"/>
  <c r="D7" i="44"/>
  <c r="D6" i="44"/>
  <c r="D5" i="44"/>
  <c r="F50" i="44" l="1"/>
  <c r="J41" i="45" l="1"/>
  <c r="J39" i="45"/>
  <c r="J36" i="45"/>
  <c r="J20" i="45"/>
  <c r="J16" i="45"/>
  <c r="U60" i="45"/>
  <c r="U59" i="45"/>
  <c r="U58" i="45"/>
  <c r="U57" i="45"/>
  <c r="U56" i="45"/>
  <c r="U55" i="45"/>
  <c r="U46" i="45"/>
  <c r="U39" i="45"/>
  <c r="U31" i="45"/>
  <c r="U26" i="45"/>
  <c r="J45" i="45"/>
  <c r="J28" i="45"/>
  <c r="J22" i="45"/>
  <c r="D120" i="44" l="1"/>
  <c r="D119" i="44"/>
  <c r="BC94" i="43" l="1"/>
  <c r="BB94" i="43"/>
  <c r="AY94" i="43"/>
  <c r="AV94" i="43"/>
  <c r="AT94" i="43"/>
  <c r="AS94" i="43"/>
  <c r="AQ94" i="43"/>
  <c r="AP94" i="43"/>
  <c r="AN94" i="43"/>
  <c r="AK94" i="43"/>
  <c r="AH94" i="43"/>
  <c r="AG94" i="43"/>
  <c r="CC348" i="43" l="1"/>
  <c r="F16" i="45" l="1"/>
  <c r="U20" i="45" l="1"/>
  <c r="X8" i="45"/>
  <c r="U8" i="45"/>
  <c r="B4" i="45" s="1"/>
  <c r="D34" i="44" l="1"/>
  <c r="U7" i="45" l="1"/>
  <c r="D12" i="44" s="1"/>
  <c r="BJ103" i="15" l="1"/>
  <c r="BM103" i="15"/>
  <c r="BP103" i="15"/>
  <c r="BS103" i="15"/>
  <c r="BV103" i="15"/>
  <c r="BY103" i="15"/>
  <c r="CB103" i="15"/>
  <c r="BK91" i="15"/>
  <c r="BK103" i="15" s="1"/>
  <c r="BL103" i="15" s="1"/>
  <c r="BN91" i="15"/>
  <c r="BN103" i="15" s="1"/>
  <c r="BO103" i="15" s="1"/>
  <c r="BQ91" i="15"/>
  <c r="BQ103" i="15" s="1"/>
  <c r="BT91" i="15"/>
  <c r="BT103" i="15" s="1"/>
  <c r="BW91" i="15"/>
  <c r="BW103" i="15" s="1"/>
  <c r="BX103" i="15" s="1"/>
  <c r="BZ91" i="15"/>
  <c r="BZ103" i="15" s="1"/>
  <c r="CA103" i="15" s="1"/>
  <c r="CC91" i="15"/>
  <c r="CC103" i="15" s="1"/>
  <c r="BU103" i="15" l="1"/>
  <c r="BR103" i="15"/>
  <c r="E124" i="44"/>
  <c r="AC3" i="75" l="1"/>
  <c r="AB3" i="75"/>
  <c r="AA3" i="75"/>
  <c r="Z3" i="75"/>
  <c r="Y3" i="75"/>
  <c r="X3" i="75"/>
  <c r="W3" i="75"/>
  <c r="V3" i="75"/>
  <c r="U3" i="75"/>
  <c r="T3" i="75"/>
  <c r="S3" i="75"/>
  <c r="R3" i="75"/>
  <c r="Q3" i="75"/>
  <c r="P3" i="75"/>
  <c r="O3" i="75"/>
  <c r="N3" i="75"/>
  <c r="M3" i="75"/>
  <c r="L3" i="75"/>
  <c r="K3" i="75"/>
  <c r="J3" i="75"/>
  <c r="I3" i="75"/>
  <c r="H3" i="75"/>
  <c r="G3" i="75"/>
  <c r="F3" i="75"/>
  <c r="E3" i="75"/>
  <c r="D3" i="75"/>
  <c r="C3" i="75"/>
  <c r="CC51" i="15"/>
  <c r="CB51" i="15"/>
  <c r="CA51" i="15"/>
  <c r="BZ51" i="15"/>
  <c r="BY51" i="15"/>
  <c r="BX51" i="15"/>
  <c r="BW51" i="15"/>
  <c r="BV51" i="15"/>
  <c r="BU51" i="15"/>
  <c r="BT51" i="15"/>
  <c r="BS51" i="15"/>
  <c r="BR51" i="15"/>
  <c r="BQ51" i="15"/>
  <c r="BP51" i="15"/>
  <c r="BO51" i="15"/>
  <c r="BN51" i="15"/>
  <c r="BM51" i="15"/>
  <c r="BL51" i="15"/>
  <c r="BK51" i="15"/>
  <c r="BJ51" i="15"/>
  <c r="BI51" i="15"/>
  <c r="BH51" i="15"/>
  <c r="BG51" i="15"/>
  <c r="BF51" i="15"/>
  <c r="BE51" i="15"/>
  <c r="BD51" i="15"/>
  <c r="BC51" i="15"/>
  <c r="BB51" i="15"/>
  <c r="BA51" i="15"/>
  <c r="AZ51" i="15"/>
  <c r="AY51" i="15"/>
  <c r="AX51" i="15"/>
  <c r="AW51" i="15"/>
  <c r="AV51" i="15"/>
  <c r="AU51" i="15"/>
  <c r="AT51" i="15"/>
  <c r="AS51" i="15"/>
  <c r="AR51" i="15"/>
  <c r="AQ51" i="15"/>
  <c r="AP51" i="15"/>
  <c r="AO51" i="15"/>
  <c r="AN51" i="15"/>
  <c r="AM51" i="15"/>
  <c r="AL51" i="15"/>
  <c r="AK51" i="15"/>
  <c r="AJ51" i="15"/>
  <c r="AI51" i="15"/>
  <c r="AH51" i="15"/>
  <c r="AG51" i="15"/>
  <c r="AF51" i="15"/>
  <c r="AE51" i="15"/>
  <c r="AD51" i="15"/>
  <c r="AC51" i="15"/>
  <c r="AB51" i="15"/>
  <c r="AA51" i="15"/>
  <c r="Z51" i="15"/>
  <c r="Y51" i="15"/>
  <c r="X51" i="15"/>
  <c r="W51" i="15"/>
  <c r="V51" i="15"/>
  <c r="U51" i="15"/>
  <c r="T51" i="15"/>
  <c r="S51" i="15"/>
  <c r="R51" i="15"/>
  <c r="Q51" i="15"/>
  <c r="P51" i="15"/>
  <c r="O51" i="15"/>
  <c r="N51" i="15"/>
  <c r="M51" i="15"/>
  <c r="L51" i="15"/>
  <c r="K51" i="15"/>
  <c r="J51" i="15"/>
  <c r="I51" i="15"/>
  <c r="H51" i="15"/>
  <c r="G51" i="15"/>
  <c r="F51" i="15"/>
  <c r="E51" i="15"/>
  <c r="D51" i="15"/>
  <c r="CC47" i="15"/>
  <c r="CB47" i="15"/>
  <c r="CA47" i="15"/>
  <c r="BZ47" i="15"/>
  <c r="BY47" i="15"/>
  <c r="BX47" i="15"/>
  <c r="BW47" i="15"/>
  <c r="BV47" i="15"/>
  <c r="BU47" i="15"/>
  <c r="BT47" i="15"/>
  <c r="BS47" i="15"/>
  <c r="BR47" i="15"/>
  <c r="BQ47" i="15"/>
  <c r="BP47" i="15"/>
  <c r="BO47" i="15"/>
  <c r="BN47" i="15"/>
  <c r="BM47" i="15"/>
  <c r="BL47" i="15"/>
  <c r="BK47" i="15"/>
  <c r="BJ47" i="15"/>
  <c r="BI47" i="15"/>
  <c r="BH47" i="15"/>
  <c r="BG47" i="15"/>
  <c r="BF47" i="15"/>
  <c r="BE47" i="15"/>
  <c r="BD47" i="15"/>
  <c r="BC47" i="15"/>
  <c r="BB47" i="15"/>
  <c r="BA47" i="15"/>
  <c r="AZ47" i="15"/>
  <c r="AY47" i="15"/>
  <c r="AX47" i="15"/>
  <c r="AW47" i="15"/>
  <c r="AV47" i="15"/>
  <c r="AU47" i="15"/>
  <c r="AT47" i="15"/>
  <c r="AS47" i="15"/>
  <c r="AR47" i="15"/>
  <c r="AQ47" i="15"/>
  <c r="AP47" i="15"/>
  <c r="AO47" i="15"/>
  <c r="AN47" i="15"/>
  <c r="AM47" i="15"/>
  <c r="AL47" i="15"/>
  <c r="AK47" i="15"/>
  <c r="AJ47" i="15"/>
  <c r="AI47" i="15"/>
  <c r="AH47" i="15"/>
  <c r="AG47" i="15"/>
  <c r="AF47" i="15"/>
  <c r="AE47" i="15"/>
  <c r="AD47" i="15"/>
  <c r="AC47" i="15"/>
  <c r="AB47" i="15"/>
  <c r="AA47" i="15"/>
  <c r="Z47" i="15"/>
  <c r="Y47" i="15"/>
  <c r="X47" i="15"/>
  <c r="W47" i="15"/>
  <c r="V47" i="15"/>
  <c r="U47" i="15"/>
  <c r="T47" i="15"/>
  <c r="S47" i="15"/>
  <c r="R47" i="15"/>
  <c r="Q47" i="15"/>
  <c r="P47" i="15"/>
  <c r="O47" i="15"/>
  <c r="N47" i="15"/>
  <c r="M47" i="15"/>
  <c r="L47" i="15"/>
  <c r="K47" i="15"/>
  <c r="J47" i="15"/>
  <c r="I47" i="15"/>
  <c r="H47" i="15"/>
  <c r="G47" i="15"/>
  <c r="F47" i="15"/>
  <c r="E47" i="15"/>
  <c r="D47" i="15"/>
  <c r="CC43" i="15"/>
  <c r="CB43" i="15"/>
  <c r="CA43" i="15"/>
  <c r="BZ43" i="15"/>
  <c r="BY43" i="15"/>
  <c r="BX43" i="15"/>
  <c r="BW43" i="15"/>
  <c r="BV43" i="15"/>
  <c r="BU43" i="15"/>
  <c r="BT43" i="15"/>
  <c r="BS43" i="15"/>
  <c r="BR43" i="15"/>
  <c r="BQ43" i="15"/>
  <c r="BP43" i="15"/>
  <c r="BO43" i="15"/>
  <c r="BN43" i="15"/>
  <c r="BM43" i="15"/>
  <c r="BL43" i="15"/>
  <c r="BK43" i="15"/>
  <c r="BJ43" i="15"/>
  <c r="BI43" i="15"/>
  <c r="BH43" i="15"/>
  <c r="BG43" i="15"/>
  <c r="BF43" i="15"/>
  <c r="BE43" i="15"/>
  <c r="BD43" i="15"/>
  <c r="BC43" i="15"/>
  <c r="BB43" i="15"/>
  <c r="BA43" i="15"/>
  <c r="AZ43" i="15"/>
  <c r="AY43" i="15"/>
  <c r="AX43" i="15"/>
  <c r="AW43" i="15"/>
  <c r="AV43" i="15"/>
  <c r="AU43" i="15"/>
  <c r="AT43" i="15"/>
  <c r="AS43" i="15"/>
  <c r="AR43" i="15"/>
  <c r="AQ43" i="15"/>
  <c r="AP43" i="15"/>
  <c r="AO43" i="15"/>
  <c r="AN43" i="15"/>
  <c r="AM43" i="15"/>
  <c r="AL43" i="15"/>
  <c r="AK43" i="15"/>
  <c r="AJ43" i="15"/>
  <c r="AI43" i="15"/>
  <c r="AH43" i="15"/>
  <c r="AG43" i="15"/>
  <c r="AF43" i="15"/>
  <c r="AE43" i="15"/>
  <c r="AD43" i="15"/>
  <c r="AC43" i="15"/>
  <c r="AB43" i="15"/>
  <c r="AA43" i="15"/>
  <c r="Z43" i="15"/>
  <c r="Y43" i="15"/>
  <c r="X43" i="15"/>
  <c r="W43" i="15"/>
  <c r="V43" i="15"/>
  <c r="U43" i="15"/>
  <c r="T43" i="15"/>
  <c r="S43" i="15"/>
  <c r="R43" i="15"/>
  <c r="Q43" i="15"/>
  <c r="P43" i="15"/>
  <c r="O43" i="15"/>
  <c r="N43" i="15"/>
  <c r="M43" i="15"/>
  <c r="L43" i="15"/>
  <c r="K43" i="15"/>
  <c r="J43" i="15"/>
  <c r="I43" i="15"/>
  <c r="H43" i="15"/>
  <c r="G43" i="15"/>
  <c r="F43" i="15"/>
  <c r="E43" i="15"/>
  <c r="D43" i="15"/>
  <c r="CC38" i="15"/>
  <c r="CB38" i="15"/>
  <c r="CA38" i="15"/>
  <c r="BZ38" i="15"/>
  <c r="BY38" i="15"/>
  <c r="BX38" i="15"/>
  <c r="BW38" i="15"/>
  <c r="BV38" i="15"/>
  <c r="BU38" i="15"/>
  <c r="BT38" i="15"/>
  <c r="BS38" i="15"/>
  <c r="BR38" i="15"/>
  <c r="BQ38" i="15"/>
  <c r="BP38" i="15"/>
  <c r="BO38" i="15"/>
  <c r="BN38" i="15"/>
  <c r="BM38" i="15"/>
  <c r="BL38" i="15"/>
  <c r="BK38" i="15"/>
  <c r="BJ38" i="15"/>
  <c r="BI38" i="15"/>
  <c r="BH38" i="15"/>
  <c r="BG38" i="15"/>
  <c r="BF38" i="15"/>
  <c r="BE38" i="15"/>
  <c r="BD38" i="15"/>
  <c r="BC38" i="15"/>
  <c r="BB38" i="15"/>
  <c r="BA38" i="15"/>
  <c r="AZ38" i="15"/>
  <c r="AY38" i="15"/>
  <c r="AX38" i="15"/>
  <c r="AW38" i="15"/>
  <c r="AV38" i="15"/>
  <c r="AU38" i="15"/>
  <c r="AT38" i="15"/>
  <c r="AS38" i="15"/>
  <c r="AR38" i="15"/>
  <c r="AQ38" i="15"/>
  <c r="AP38" i="15"/>
  <c r="AO38" i="15"/>
  <c r="AN38" i="15"/>
  <c r="AM38" i="15"/>
  <c r="AL38" i="15"/>
  <c r="AK38" i="15"/>
  <c r="AJ38" i="15"/>
  <c r="AI38" i="15"/>
  <c r="AH38" i="15"/>
  <c r="AG38" i="15"/>
  <c r="AF38" i="15"/>
  <c r="AE38" i="15"/>
  <c r="AD38" i="15"/>
  <c r="AC38" i="15"/>
  <c r="AB38" i="15"/>
  <c r="AA38" i="15"/>
  <c r="Z38" i="15"/>
  <c r="Y38" i="15"/>
  <c r="X38" i="15"/>
  <c r="W38" i="15"/>
  <c r="V38" i="15"/>
  <c r="U38" i="15"/>
  <c r="T38" i="15"/>
  <c r="S38" i="15"/>
  <c r="R38" i="15"/>
  <c r="Q38" i="15"/>
  <c r="P38" i="15"/>
  <c r="O38" i="15"/>
  <c r="N38" i="15"/>
  <c r="M38" i="15"/>
  <c r="L38" i="15"/>
  <c r="K38" i="15"/>
  <c r="J38" i="15"/>
  <c r="I38" i="15"/>
  <c r="H38" i="15"/>
  <c r="G38" i="15"/>
  <c r="F38" i="15"/>
  <c r="E38" i="15"/>
  <c r="D38" i="15"/>
  <c r="CC35" i="15"/>
  <c r="CB35" i="15"/>
  <c r="CA35" i="15"/>
  <c r="BZ35" i="15"/>
  <c r="BY35" i="15"/>
  <c r="BX35" i="15"/>
  <c r="BW35" i="15"/>
  <c r="BV35" i="15"/>
  <c r="BU35" i="15"/>
  <c r="BT35" i="15"/>
  <c r="BS35" i="15"/>
  <c r="BR35" i="15"/>
  <c r="BQ35" i="15"/>
  <c r="BP35" i="15"/>
  <c r="BO35" i="15"/>
  <c r="BN35" i="15"/>
  <c r="BM35" i="15"/>
  <c r="BL35" i="15"/>
  <c r="BK35" i="15"/>
  <c r="BJ35" i="15"/>
  <c r="BI35" i="15"/>
  <c r="BH35" i="15"/>
  <c r="BG35" i="15"/>
  <c r="BF35" i="15"/>
  <c r="BE35" i="15"/>
  <c r="BD35" i="15"/>
  <c r="BC35" i="15"/>
  <c r="BB35" i="15"/>
  <c r="BA35" i="15"/>
  <c r="AZ35" i="15"/>
  <c r="AY35" i="15"/>
  <c r="AX35" i="15"/>
  <c r="AW35" i="15"/>
  <c r="AV35" i="15"/>
  <c r="AU35" i="15"/>
  <c r="AT35" i="15"/>
  <c r="AS35" i="15"/>
  <c r="AR35" i="15"/>
  <c r="AQ35" i="15"/>
  <c r="AP35" i="15"/>
  <c r="AO35" i="15"/>
  <c r="AN35" i="15"/>
  <c r="AM35" i="15"/>
  <c r="AL35" i="15"/>
  <c r="AK35" i="15"/>
  <c r="AJ35" i="15"/>
  <c r="AI35" i="15"/>
  <c r="AH35" i="15"/>
  <c r="AG35" i="15"/>
  <c r="AF35" i="15"/>
  <c r="AE35" i="15"/>
  <c r="AD35" i="15"/>
  <c r="AC35" i="15"/>
  <c r="AB35" i="15"/>
  <c r="AA35" i="15"/>
  <c r="Z35" i="15"/>
  <c r="Y35" i="15"/>
  <c r="X35" i="15"/>
  <c r="W35" i="15"/>
  <c r="V35" i="15"/>
  <c r="U35" i="15"/>
  <c r="T35" i="15"/>
  <c r="S35" i="15"/>
  <c r="R35" i="15"/>
  <c r="Q35" i="15"/>
  <c r="P35" i="15"/>
  <c r="O35" i="15"/>
  <c r="N35" i="15"/>
  <c r="M35" i="15"/>
  <c r="L35" i="15"/>
  <c r="K35" i="15"/>
  <c r="J35" i="15"/>
  <c r="I35" i="15"/>
  <c r="H35" i="15"/>
  <c r="G35" i="15"/>
  <c r="F35" i="15"/>
  <c r="E35" i="15"/>
  <c r="D35" i="15"/>
  <c r="C35" i="15"/>
  <c r="CB25" i="75"/>
  <c r="AP25" i="75"/>
  <c r="CB21" i="75"/>
  <c r="AP21" i="75"/>
  <c r="CB17" i="75"/>
  <c r="AP17" i="75"/>
  <c r="AN13" i="75"/>
  <c r="AJ9" i="75" l="1"/>
  <c r="AP9" i="75"/>
  <c r="AV9" i="75"/>
  <c r="BB9" i="75"/>
  <c r="BH9" i="75"/>
  <c r="BN9" i="75"/>
  <c r="BT9" i="75"/>
  <c r="BZ9" i="75"/>
  <c r="AV21" i="75"/>
  <c r="BB21" i="75"/>
  <c r="BH21" i="75"/>
  <c r="BN21" i="75"/>
  <c r="BT21" i="75"/>
  <c r="BZ21" i="75"/>
  <c r="AG9" i="75"/>
  <c r="AN10" i="75"/>
  <c r="AS21" i="75"/>
  <c r="AY21" i="75"/>
  <c r="BE21" i="75"/>
  <c r="BK21" i="75"/>
  <c r="BQ21" i="75"/>
  <c r="BW21" i="75"/>
  <c r="AQ10" i="75"/>
  <c r="AW10" i="75"/>
  <c r="BC10" i="75"/>
  <c r="BI10" i="75"/>
  <c r="BO10" i="75"/>
  <c r="BU10" i="75"/>
  <c r="CA10" i="75"/>
  <c r="AQ13" i="75"/>
  <c r="AT13" i="75"/>
  <c r="AW13" i="75"/>
  <c r="AZ13" i="75"/>
  <c r="BC13" i="75"/>
  <c r="BF13" i="75"/>
  <c r="BI13" i="75"/>
  <c r="BL13" i="75"/>
  <c r="BO13" i="75"/>
  <c r="BR13" i="75"/>
  <c r="BU13" i="75"/>
  <c r="BX13" i="75"/>
  <c r="CA13" i="75"/>
  <c r="CC21" i="75"/>
  <c r="AO10" i="75"/>
  <c r="AU10" i="75"/>
  <c r="BA10" i="75"/>
  <c r="BG10" i="75"/>
  <c r="BM10" i="75"/>
  <c r="BS10" i="75"/>
  <c r="BY10" i="75"/>
  <c r="AS12" i="75"/>
  <c r="AU13" i="75"/>
  <c r="AY12" i="75"/>
  <c r="BA13" i="75"/>
  <c r="BE12" i="75"/>
  <c r="BG13" i="75"/>
  <c r="BK12" i="75"/>
  <c r="BM13" i="75"/>
  <c r="BQ12" i="75"/>
  <c r="BS13" i="75"/>
  <c r="BW12" i="75"/>
  <c r="BY13" i="75"/>
  <c r="CB12" i="75"/>
  <c r="CC12" i="75" s="1"/>
  <c r="AS17" i="75"/>
  <c r="AV17" i="75"/>
  <c r="AY17" i="75"/>
  <c r="BB17" i="75"/>
  <c r="BE17" i="75"/>
  <c r="BH17" i="75"/>
  <c r="BK17" i="75"/>
  <c r="BN17" i="75"/>
  <c r="BQ17" i="75"/>
  <c r="BT17" i="75"/>
  <c r="BW17" i="75"/>
  <c r="BZ17" i="75"/>
  <c r="CC17" i="75"/>
  <c r="AS25" i="75"/>
  <c r="AV25" i="75"/>
  <c r="AY25" i="75"/>
  <c r="BB25" i="75"/>
  <c r="BE25" i="75"/>
  <c r="BH25" i="75"/>
  <c r="BK25" i="75"/>
  <c r="BN25" i="75"/>
  <c r="BQ25" i="75"/>
  <c r="BT25" i="75"/>
  <c r="BW25" i="75"/>
  <c r="BZ25" i="75"/>
  <c r="CC25" i="75"/>
  <c r="AM9" i="75"/>
  <c r="AM10" i="75" s="1"/>
  <c r="AS9" i="75"/>
  <c r="AY9" i="75"/>
  <c r="AY10" i="75" s="1"/>
  <c r="BE9" i="75"/>
  <c r="BK9" i="75"/>
  <c r="BK10" i="75" s="1"/>
  <c r="BQ9" i="75"/>
  <c r="BW9" i="75"/>
  <c r="BW10" i="75" s="1"/>
  <c r="CC9" i="75"/>
  <c r="AR10" i="75"/>
  <c r="AT10" i="75"/>
  <c r="AX10" i="75"/>
  <c r="AZ10" i="75"/>
  <c r="BD10" i="75"/>
  <c r="BF10" i="75"/>
  <c r="BJ10" i="75"/>
  <c r="BL10" i="75"/>
  <c r="BP10" i="75"/>
  <c r="BR10" i="75"/>
  <c r="BV10" i="75"/>
  <c r="BX10" i="75"/>
  <c r="CB10" i="75"/>
  <c r="AP12" i="75"/>
  <c r="AV12" i="75"/>
  <c r="AV13" i="75" s="1"/>
  <c r="BB12" i="75"/>
  <c r="BH12" i="75"/>
  <c r="BN12" i="75"/>
  <c r="BT12" i="75"/>
  <c r="BT13" i="75" s="1"/>
  <c r="BZ12" i="75"/>
  <c r="AR13" i="75"/>
  <c r="AX13" i="75"/>
  <c r="BD13" i="75"/>
  <c r="BJ13" i="75"/>
  <c r="BP13" i="75"/>
  <c r="BV13" i="75"/>
  <c r="CB13" i="75"/>
  <c r="CC10" i="75" l="1"/>
  <c r="BQ10" i="75"/>
  <c r="BE10" i="75"/>
  <c r="AS10" i="75"/>
  <c r="BH13" i="75"/>
  <c r="BZ13" i="75"/>
  <c r="BN13" i="75"/>
  <c r="BB13" i="75"/>
  <c r="AS13" i="75"/>
  <c r="BZ10" i="75"/>
  <c r="BN10" i="75"/>
  <c r="BB10" i="75"/>
  <c r="AP10" i="75"/>
  <c r="BW13" i="75"/>
  <c r="BK13" i="75"/>
  <c r="AY13" i="75"/>
  <c r="BT10" i="75"/>
  <c r="BH10" i="75"/>
  <c r="AV10" i="75"/>
  <c r="CC13" i="75"/>
  <c r="BQ13" i="75"/>
  <c r="BE13" i="75"/>
  <c r="G50" i="44" l="1"/>
  <c r="H50" i="44" s="1"/>
  <c r="I50" i="44" s="1"/>
  <c r="J50" i="44" s="1"/>
  <c r="K50" i="44" s="1"/>
  <c r="L50" i="44" s="1"/>
  <c r="M50" i="44" s="1"/>
  <c r="N50" i="44" s="1"/>
  <c r="BL6" i="43" l="1"/>
  <c r="BL3" i="75" s="1"/>
  <c r="BL23" i="43"/>
  <c r="BL64" i="43" s="1"/>
  <c r="BL30" i="43"/>
  <c r="BL63" i="43"/>
  <c r="BL292" i="43"/>
  <c r="BL143" i="43" s="1"/>
  <c r="BL306" i="43"/>
  <c r="BL66" i="43" l="1"/>
  <c r="BL124" i="43" s="1"/>
  <c r="AH244" i="43"/>
  <c r="W12" i="45" l="1"/>
  <c r="BA143" i="43" l="1"/>
  <c r="BA144" i="43"/>
  <c r="BA142" i="43"/>
  <c r="AE244" i="43"/>
  <c r="W11" i="45"/>
  <c r="U17" i="45"/>
  <c r="U16" i="45"/>
  <c r="U15" i="45"/>
  <c r="U21" i="45"/>
  <c r="X6" i="45"/>
  <c r="AX203" i="43"/>
  <c r="AX202" i="43"/>
  <c r="AX201" i="43"/>
  <c r="AX200" i="43"/>
  <c r="H98" i="44"/>
  <c r="H100" i="44"/>
  <c r="F100" i="44"/>
  <c r="G100" i="44"/>
  <c r="G102" i="44" l="1"/>
  <c r="H102" i="44"/>
  <c r="F102" i="44"/>
  <c r="AF137" i="43"/>
  <c r="AF136" i="43"/>
  <c r="AF135" i="43"/>
  <c r="AF134" i="43"/>
  <c r="D138" i="44"/>
  <c r="C136" i="44"/>
  <c r="C135" i="44"/>
  <c r="C134" i="44"/>
  <c r="D132" i="44"/>
  <c r="U19" i="45" l="1"/>
  <c r="G138" i="44"/>
  <c r="E138" i="44"/>
  <c r="C137" i="44"/>
  <c r="F98" i="44"/>
  <c r="G98" i="44"/>
  <c r="C7" i="44"/>
  <c r="C6" i="44"/>
  <c r="C5" i="44"/>
  <c r="C8" i="44" l="1"/>
  <c r="BM306" i="43" l="1"/>
  <c r="BN306" i="43" s="1"/>
  <c r="BK306" i="43"/>
  <c r="CB30" i="43" l="1"/>
  <c r="CA30" i="43"/>
  <c r="BY30" i="43"/>
  <c r="BX30" i="43"/>
  <c r="BV30" i="43"/>
  <c r="BU30" i="43"/>
  <c r="BS30" i="43"/>
  <c r="BR30" i="43"/>
  <c r="BP30" i="43"/>
  <c r="BO30" i="43"/>
  <c r="BM30" i="43"/>
  <c r="BJ30" i="43"/>
  <c r="BI30" i="43"/>
  <c r="BG30" i="43"/>
  <c r="BF30" i="43"/>
  <c r="BD30" i="43"/>
  <c r="BC30" i="43"/>
  <c r="BB30" i="43"/>
  <c r="AZ30" i="43"/>
  <c r="AY30" i="43"/>
  <c r="AT30" i="43"/>
  <c r="AS30" i="43"/>
  <c r="AQ30" i="43"/>
  <c r="AO30" i="43"/>
  <c r="AN30" i="43"/>
  <c r="AL30" i="43"/>
  <c r="AK30" i="43"/>
  <c r="AI30" i="43"/>
  <c r="AH30" i="43"/>
  <c r="AG30" i="43"/>
  <c r="AF30" i="43"/>
  <c r="AE30" i="43"/>
  <c r="BC29" i="43"/>
  <c r="BB29" i="43"/>
  <c r="BB31" i="43" s="1"/>
  <c r="BB33" i="43" s="1"/>
  <c r="AZ29" i="43"/>
  <c r="AY29" i="43"/>
  <c r="AT29" i="43"/>
  <c r="AT31" i="43" s="1"/>
  <c r="AT33" i="43" s="1"/>
  <c r="AS29" i="43"/>
  <c r="AQ29" i="43"/>
  <c r="AP29" i="43"/>
  <c r="AN29" i="43"/>
  <c r="AK29" i="43"/>
  <c r="AH29" i="43"/>
  <c r="AG29" i="43"/>
  <c r="AE29" i="43"/>
  <c r="AD30" i="43"/>
  <c r="AD29" i="43"/>
  <c r="AH31" i="43" l="1"/>
  <c r="AH33" i="43" s="1"/>
  <c r="AE31" i="43"/>
  <c r="AE33" i="43" s="1"/>
  <c r="AQ31" i="43"/>
  <c r="AQ33" i="43" s="1"/>
  <c r="AN31" i="43"/>
  <c r="AN33" i="43" s="1"/>
  <c r="AZ31" i="43"/>
  <c r="AZ33" i="43" s="1"/>
  <c r="AY31" i="43"/>
  <c r="AY33" i="43" s="1"/>
  <c r="BC31" i="43"/>
  <c r="BC33" i="43" s="1"/>
  <c r="AD31" i="43"/>
  <c r="AD33" i="43" s="1"/>
  <c r="AG31" i="43"/>
  <c r="AG33" i="43" s="1"/>
  <c r="AK31" i="43"/>
  <c r="AK33" i="43" s="1"/>
  <c r="AS31" i="43"/>
  <c r="AS33" i="43" s="1"/>
  <c r="BC147" i="15"/>
  <c r="BC50" i="43"/>
  <c r="BA213" i="43" l="1"/>
  <c r="BA242" i="43"/>
  <c r="BA241" i="43"/>
  <c r="BA240" i="43"/>
  <c r="BA239" i="43"/>
  <c r="BA231" i="43"/>
  <c r="BA230" i="43"/>
  <c r="BA229" i="43"/>
  <c r="BA228" i="43"/>
  <c r="BA224" i="43"/>
  <c r="BA223" i="43"/>
  <c r="BA222" i="43"/>
  <c r="BA221" i="43"/>
  <c r="BA211" i="43"/>
  <c r="BA208" i="43"/>
  <c r="BA207" i="43"/>
  <c r="BA203" i="43"/>
  <c r="BA200" i="43"/>
  <c r="BC69" i="43"/>
  <c r="BC80" i="43"/>
  <c r="BC79" i="43"/>
  <c r="O60" i="45" l="1"/>
  <c r="N60" i="45"/>
  <c r="O59" i="45"/>
  <c r="N59" i="45"/>
  <c r="O58" i="45"/>
  <c r="N58" i="45"/>
  <c r="O57" i="45"/>
  <c r="N57" i="45"/>
  <c r="Q55" i="45"/>
  <c r="P55" i="45"/>
  <c r="F74" i="45"/>
  <c r="E74" i="45"/>
  <c r="D74" i="45"/>
  <c r="C74" i="45"/>
  <c r="F73" i="45"/>
  <c r="E73" i="45"/>
  <c r="D73" i="45"/>
  <c r="C73" i="45"/>
  <c r="F72" i="45"/>
  <c r="E72" i="45"/>
  <c r="D72" i="45"/>
  <c r="C72" i="45"/>
  <c r="F71" i="45"/>
  <c r="E71" i="45"/>
  <c r="D71" i="45"/>
  <c r="C71" i="45"/>
  <c r="F67" i="45"/>
  <c r="E67" i="45"/>
  <c r="F66" i="45"/>
  <c r="E66" i="45"/>
  <c r="D66" i="45"/>
  <c r="C66" i="45"/>
  <c r="F65" i="45"/>
  <c r="E65" i="45"/>
  <c r="D65" i="45"/>
  <c r="C65" i="45"/>
  <c r="F64" i="45"/>
  <c r="E64" i="45"/>
  <c r="D64" i="45"/>
  <c r="C64" i="45"/>
  <c r="F62" i="45"/>
  <c r="E62" i="45"/>
  <c r="D62" i="45"/>
  <c r="C62" i="45"/>
  <c r="F61" i="45"/>
  <c r="E61" i="45"/>
  <c r="D61" i="45"/>
  <c r="C61" i="45"/>
  <c r="F60" i="45"/>
  <c r="E60" i="45"/>
  <c r="D60" i="45"/>
  <c r="C60" i="45"/>
  <c r="F59" i="45"/>
  <c r="E59" i="45"/>
  <c r="D59" i="45"/>
  <c r="C59" i="45"/>
  <c r="F58" i="45"/>
  <c r="E58" i="45"/>
  <c r="D58" i="45"/>
  <c r="C58" i="45"/>
  <c r="F55" i="45"/>
  <c r="E55" i="45"/>
  <c r="D55" i="45"/>
  <c r="C55" i="45"/>
  <c r="F54" i="45"/>
  <c r="E54" i="45"/>
  <c r="D54" i="45"/>
  <c r="C54" i="45"/>
  <c r="F53" i="45"/>
  <c r="E53" i="45"/>
  <c r="D53" i="45"/>
  <c r="C53" i="45"/>
  <c r="F52" i="45"/>
  <c r="E52" i="45"/>
  <c r="D52" i="45"/>
  <c r="C52" i="45"/>
  <c r="F51" i="45"/>
  <c r="E51" i="45"/>
  <c r="D51" i="45"/>
  <c r="C51" i="45"/>
  <c r="F49" i="45"/>
  <c r="E49" i="45"/>
  <c r="D49" i="45"/>
  <c r="C49" i="45"/>
  <c r="F48" i="45"/>
  <c r="E48" i="45"/>
  <c r="D48" i="45"/>
  <c r="C48" i="45"/>
  <c r="F47" i="45"/>
  <c r="E47" i="45"/>
  <c r="D47" i="45"/>
  <c r="C47" i="45"/>
  <c r="F46" i="45"/>
  <c r="F50" i="45" s="1"/>
  <c r="E46" i="45"/>
  <c r="E50" i="45" s="1"/>
  <c r="D46" i="45"/>
  <c r="D50" i="45" s="1"/>
  <c r="C46" i="45"/>
  <c r="C50" i="45" s="1"/>
  <c r="F41" i="45"/>
  <c r="D41" i="45"/>
  <c r="C41" i="45"/>
  <c r="F40" i="45"/>
  <c r="E40" i="45"/>
  <c r="F39" i="45"/>
  <c r="E39" i="45"/>
  <c r="D39" i="45"/>
  <c r="C39" i="45"/>
  <c r="F38" i="45"/>
  <c r="E38" i="45"/>
  <c r="D38" i="45"/>
  <c r="C38" i="45"/>
  <c r="D36" i="45"/>
  <c r="C36" i="45"/>
  <c r="D35" i="45"/>
  <c r="C35" i="45"/>
  <c r="F34" i="45"/>
  <c r="E34" i="45"/>
  <c r="F31" i="45"/>
  <c r="E31" i="45"/>
  <c r="D31" i="45"/>
  <c r="C31" i="45"/>
  <c r="F30" i="45"/>
  <c r="E30" i="45"/>
  <c r="I22" i="45"/>
  <c r="I28" i="45" s="1"/>
  <c r="I45" i="45" s="1"/>
  <c r="H22" i="45"/>
  <c r="H28" i="45" s="1"/>
  <c r="H45" i="45" s="1"/>
  <c r="G22" i="45"/>
  <c r="G28" i="45" s="1"/>
  <c r="G45" i="45" s="1"/>
  <c r="F22" i="45"/>
  <c r="F28" i="45" s="1"/>
  <c r="F45" i="45" s="1"/>
  <c r="Q39" i="45" s="1"/>
  <c r="Q46" i="45" s="1"/>
  <c r="E22" i="45"/>
  <c r="T26" i="45"/>
  <c r="T55" i="45" s="1"/>
  <c r="S26" i="45"/>
  <c r="S31" i="45" s="1"/>
  <c r="R26" i="45"/>
  <c r="R31" i="45" s="1"/>
  <c r="Q26" i="45"/>
  <c r="Q31" i="45" s="1"/>
  <c r="P26" i="45"/>
  <c r="E28" i="45" s="1"/>
  <c r="E45" i="45" s="1"/>
  <c r="P39" i="45" s="1"/>
  <c r="P46" i="45" s="1"/>
  <c r="D16" i="45"/>
  <c r="C16" i="45"/>
  <c r="F13" i="45"/>
  <c r="E13" i="45"/>
  <c r="D13" i="45"/>
  <c r="C13" i="45"/>
  <c r="F7" i="45"/>
  <c r="E7" i="45"/>
  <c r="B123" i="44"/>
  <c r="D42" i="44"/>
  <c r="D39" i="44"/>
  <c r="D35" i="44"/>
  <c r="D31" i="44"/>
  <c r="D32" i="44" s="1"/>
  <c r="D18" i="44"/>
  <c r="D21" i="44" s="1"/>
  <c r="AE324" i="15"/>
  <c r="AE329" i="15" s="1"/>
  <c r="AE300" i="15"/>
  <c r="AM208" i="15"/>
  <c r="AM207" i="15"/>
  <c r="AP205" i="15"/>
  <c r="AM205" i="15"/>
  <c r="AM204" i="15"/>
  <c r="AM216" i="15" s="1"/>
  <c r="AM202" i="15"/>
  <c r="AM212" i="15" s="1"/>
  <c r="BA193" i="15"/>
  <c r="AW193" i="15"/>
  <c r="AX193" i="15" s="1"/>
  <c r="AV193" i="15"/>
  <c r="AV40" i="43" s="1"/>
  <c r="AR193" i="15"/>
  <c r="AO193" i="15"/>
  <c r="AO40" i="43" s="1"/>
  <c r="AL193" i="15"/>
  <c r="AM193" i="15" s="1"/>
  <c r="AM40" i="43" s="1"/>
  <c r="AI193" i="15"/>
  <c r="AJ193" i="15" s="1"/>
  <c r="AJ40" i="43" s="1"/>
  <c r="AF193" i="15"/>
  <c r="BF193" i="15"/>
  <c r="BI193" i="15" s="1"/>
  <c r="BL193" i="15" s="1"/>
  <c r="BB192" i="15"/>
  <c r="BB194" i="15" s="1"/>
  <c r="AZ192" i="15"/>
  <c r="AZ194" i="15" s="1"/>
  <c r="AY192" i="15"/>
  <c r="AY194" i="15" s="1"/>
  <c r="AT192" i="15"/>
  <c r="AT194" i="15" s="1"/>
  <c r="AS192" i="15"/>
  <c r="AS194" i="15" s="1"/>
  <c r="AQ192" i="15"/>
  <c r="AQ194" i="15" s="1"/>
  <c r="AP192" i="15"/>
  <c r="AP194" i="15" s="1"/>
  <c r="AN192" i="15"/>
  <c r="AN194" i="15" s="1"/>
  <c r="AK192" i="15"/>
  <c r="AK194" i="15" s="1"/>
  <c r="AH192" i="15"/>
  <c r="AH194" i="15" s="1"/>
  <c r="AG192" i="15"/>
  <c r="AE192" i="15"/>
  <c r="AE194" i="15" s="1"/>
  <c r="AD192" i="15"/>
  <c r="AD194" i="15" s="1"/>
  <c r="BA188" i="15"/>
  <c r="BA50" i="43" s="1"/>
  <c r="AY188" i="15"/>
  <c r="AW188" i="15"/>
  <c r="AT188" i="15"/>
  <c r="AU188" i="15" s="1"/>
  <c r="AU50" i="43" s="1"/>
  <c r="AQ188" i="15"/>
  <c r="AR188" i="15" s="1"/>
  <c r="AR50" i="43" s="1"/>
  <c r="AO188" i="15"/>
  <c r="AO50" i="43" s="1"/>
  <c r="AL188" i="15"/>
  <c r="AM188" i="15" s="1"/>
  <c r="AM50" i="43" s="1"/>
  <c r="AI188" i="15"/>
  <c r="AJ188" i="15" s="1"/>
  <c r="AF188" i="15"/>
  <c r="AF50" i="43" s="1"/>
  <c r="BC187" i="15"/>
  <c r="BC189" i="15" s="1"/>
  <c r="AZ187" i="15"/>
  <c r="AZ189" i="15" s="1"/>
  <c r="AQ187" i="15"/>
  <c r="AQ189" i="15" s="1"/>
  <c r="AQ11" i="15" s="1"/>
  <c r="AN187" i="15"/>
  <c r="AN189" i="15" s="1"/>
  <c r="AK187" i="15"/>
  <c r="AK189" i="15" s="1"/>
  <c r="AK11" i="15" s="1"/>
  <c r="AH187" i="15"/>
  <c r="AH189" i="15" s="1"/>
  <c r="AH11" i="15" s="1"/>
  <c r="AG187" i="15"/>
  <c r="AG189" i="15" s="1"/>
  <c r="AG11" i="15" s="1"/>
  <c r="AE187" i="15"/>
  <c r="AE189" i="15" s="1"/>
  <c r="AD187" i="15"/>
  <c r="AD189" i="15" s="1"/>
  <c r="BA184" i="15"/>
  <c r="AW184" i="15"/>
  <c r="AX184" i="15" s="1"/>
  <c r="AV184" i="15"/>
  <c r="AU184" i="15" s="1"/>
  <c r="AR184" i="15"/>
  <c r="AO184" i="15"/>
  <c r="AL184" i="15"/>
  <c r="AM184" i="15" s="1"/>
  <c r="AI184" i="15"/>
  <c r="AJ184" i="15" s="1"/>
  <c r="AF184" i="15"/>
  <c r="BA182" i="15"/>
  <c r="BA181" i="15"/>
  <c r="AR182" i="15"/>
  <c r="AR181" i="15"/>
  <c r="AR180" i="15"/>
  <c r="AO182" i="15"/>
  <c r="AO181" i="15"/>
  <c r="AO180" i="15"/>
  <c r="AF182" i="15"/>
  <c r="AF181" i="15"/>
  <c r="AF180" i="15"/>
  <c r="AF179" i="15"/>
  <c r="BB180" i="15"/>
  <c r="BA180" i="15" s="1"/>
  <c r="BB179" i="15"/>
  <c r="AW182" i="15"/>
  <c r="AX182" i="15" s="1"/>
  <c r="AV182" i="15"/>
  <c r="AU182" i="15" s="1"/>
  <c r="AW181" i="15"/>
  <c r="AX181" i="15" s="1"/>
  <c r="AV181" i="15"/>
  <c r="AU181" i="15" s="1"/>
  <c r="AW180" i="15"/>
  <c r="AX180" i="15" s="1"/>
  <c r="AV180" i="15"/>
  <c r="AU180" i="15" s="1"/>
  <c r="AL182" i="15"/>
  <c r="AM182" i="15" s="1"/>
  <c r="AL181" i="15"/>
  <c r="AM181" i="15" s="1"/>
  <c r="AL180" i="15"/>
  <c r="AM180" i="15" s="1"/>
  <c r="AI182" i="15"/>
  <c r="AJ182" i="15" s="1"/>
  <c r="AI181" i="15"/>
  <c r="AJ181" i="15" s="1"/>
  <c r="AI180" i="15"/>
  <c r="AJ180" i="15" s="1"/>
  <c r="BC179" i="15"/>
  <c r="BF182" i="15"/>
  <c r="BG182" i="15" s="1"/>
  <c r="BI182" i="15" s="1"/>
  <c r="BJ182" i="15" s="1"/>
  <c r="AZ179" i="15"/>
  <c r="AY179" i="15"/>
  <c r="AT179" i="15"/>
  <c r="AS179" i="15"/>
  <c r="AQ179" i="15"/>
  <c r="AP179" i="15"/>
  <c r="AN179" i="15"/>
  <c r="AK179" i="15"/>
  <c r="AI179" i="15"/>
  <c r="AJ179" i="15" s="1"/>
  <c r="AG178" i="15"/>
  <c r="AG185" i="15" s="1"/>
  <c r="AG8" i="15" s="1"/>
  <c r="AE178" i="15"/>
  <c r="AE185" i="15" s="1"/>
  <c r="AE8" i="15" s="1"/>
  <c r="AD178" i="15"/>
  <c r="AD185" i="15" s="1"/>
  <c r="AD8" i="15" s="1"/>
  <c r="BD176" i="15"/>
  <c r="BG176" i="15" s="1"/>
  <c r="BC176" i="15"/>
  <c r="BF176" i="15" s="1"/>
  <c r="BF17" i="43" s="1"/>
  <c r="AW176" i="15"/>
  <c r="AW17" i="43" s="1"/>
  <c r="AV176" i="15"/>
  <c r="AV17" i="43" s="1"/>
  <c r="AU176" i="15"/>
  <c r="AT176" i="15"/>
  <c r="AT17" i="43" s="1"/>
  <c r="AR176" i="15"/>
  <c r="AO176" i="15"/>
  <c r="AO17" i="43" s="1"/>
  <c r="AL176" i="15"/>
  <c r="AM176" i="15" s="1"/>
  <c r="AM17" i="43" s="1"/>
  <c r="AI176" i="15"/>
  <c r="AJ176" i="15" s="1"/>
  <c r="AF176" i="15"/>
  <c r="AG173" i="15"/>
  <c r="AD173" i="15"/>
  <c r="BC169" i="15"/>
  <c r="AZ169" i="15"/>
  <c r="AT169" i="15"/>
  <c r="AQ169" i="15"/>
  <c r="AN169" i="15"/>
  <c r="AK169" i="15"/>
  <c r="AH169" i="15"/>
  <c r="AG169" i="15"/>
  <c r="AG170" i="15" s="1"/>
  <c r="AE169" i="15"/>
  <c r="AE170" i="15" s="1"/>
  <c r="AD169" i="15"/>
  <c r="AD170" i="15" s="1"/>
  <c r="BA168" i="15"/>
  <c r="BA39" i="43" s="1"/>
  <c r="AW168" i="15"/>
  <c r="AX168" i="15" s="1"/>
  <c r="AX39" i="43" s="1"/>
  <c r="AV168" i="15"/>
  <c r="AV39" i="43" s="1"/>
  <c r="AR168" i="15"/>
  <c r="AO168" i="15"/>
  <c r="AO39" i="43" s="1"/>
  <c r="AL168" i="15"/>
  <c r="AM168" i="15" s="1"/>
  <c r="AM39" i="43" s="1"/>
  <c r="AI168" i="15"/>
  <c r="AI169" i="15" s="1"/>
  <c r="AF168" i="15"/>
  <c r="AF39" i="43" s="1"/>
  <c r="BC166" i="15"/>
  <c r="BB166" i="15"/>
  <c r="AT166" i="15"/>
  <c r="AS166" i="15"/>
  <c r="AQ166" i="15"/>
  <c r="AN166" i="15"/>
  <c r="AK166" i="15"/>
  <c r="AH166" i="15"/>
  <c r="AG166" i="15"/>
  <c r="AR165" i="15"/>
  <c r="AG165" i="15"/>
  <c r="AE165" i="15"/>
  <c r="AD165" i="15"/>
  <c r="BA164" i="15"/>
  <c r="BA49" i="43" s="1"/>
  <c r="AW164" i="15"/>
  <c r="AW166" i="15" s="1"/>
  <c r="AV164" i="15"/>
  <c r="AV49" i="43" s="1"/>
  <c r="AR164" i="15"/>
  <c r="AR49" i="43" s="1"/>
  <c r="AO164" i="15"/>
  <c r="AO49" i="43" s="1"/>
  <c r="AL164" i="15"/>
  <c r="AM164" i="15" s="1"/>
  <c r="AJ164" i="15"/>
  <c r="AJ49" i="43" s="1"/>
  <c r="AF164" i="15"/>
  <c r="AF187" i="15" s="1"/>
  <c r="BC162" i="15"/>
  <c r="BC170" i="15" s="1"/>
  <c r="AZ162" i="15"/>
  <c r="AZ178" i="15" s="1"/>
  <c r="AZ185" i="15" s="1"/>
  <c r="AT162" i="15"/>
  <c r="AT178" i="15" s="1"/>
  <c r="AQ162" i="15"/>
  <c r="AN162" i="15"/>
  <c r="AN165" i="15" s="1"/>
  <c r="AK162" i="15"/>
  <c r="AK165" i="15" s="1"/>
  <c r="AI162" i="15"/>
  <c r="AH162" i="15"/>
  <c r="AH178" i="15" s="1"/>
  <c r="AH185" i="15" s="1"/>
  <c r="AF162" i="15"/>
  <c r="CC161" i="15"/>
  <c r="CC30" i="43" s="1"/>
  <c r="CC157" i="15"/>
  <c r="BZ161" i="15"/>
  <c r="BZ30" i="43" s="1"/>
  <c r="BZ157" i="15"/>
  <c r="BW161" i="15"/>
  <c r="BW30" i="43" s="1"/>
  <c r="BW157" i="15"/>
  <c r="BT161" i="15"/>
  <c r="BT30" i="43" s="1"/>
  <c r="BT157" i="15"/>
  <c r="BQ161" i="15"/>
  <c r="BQ30" i="43" s="1"/>
  <c r="BQ157" i="15"/>
  <c r="BN161" i="15"/>
  <c r="BN30" i="43" s="1"/>
  <c r="BN157" i="15"/>
  <c r="BK161" i="15"/>
  <c r="BK30" i="43" s="1"/>
  <c r="BK157" i="15"/>
  <c r="BH161" i="15"/>
  <c r="BH30" i="43" s="1"/>
  <c r="BH157" i="15"/>
  <c r="BE30" i="43"/>
  <c r="BA161" i="15"/>
  <c r="BA30" i="43" s="1"/>
  <c r="AW161" i="15"/>
  <c r="AW30" i="43" s="1"/>
  <c r="AV161" i="15"/>
  <c r="AV30" i="43" s="1"/>
  <c r="AR161" i="15"/>
  <c r="AR30" i="43" s="1"/>
  <c r="AP161" i="15"/>
  <c r="AP30" i="43" s="1"/>
  <c r="AP31" i="43" s="1"/>
  <c r="AP33" i="43" s="1"/>
  <c r="AP160" i="15"/>
  <c r="AP157" i="15"/>
  <c r="AM161" i="15"/>
  <c r="AM30" i="43" s="1"/>
  <c r="AM160" i="15"/>
  <c r="AM157" i="15"/>
  <c r="AJ161" i="15"/>
  <c r="AJ30" i="43" s="1"/>
  <c r="AJ160" i="15"/>
  <c r="AJ157" i="15"/>
  <c r="BB160" i="15"/>
  <c r="AT160" i="15"/>
  <c r="AS160" i="15"/>
  <c r="AQ160" i="15"/>
  <c r="AH160" i="15"/>
  <c r="BB157" i="15"/>
  <c r="AL158" i="15"/>
  <c r="AL160" i="15" s="1"/>
  <c r="AK158" i="15"/>
  <c r="AI158" i="15"/>
  <c r="AJ158" i="15" s="1"/>
  <c r="AY157" i="15"/>
  <c r="AV157" i="15"/>
  <c r="AV156" i="15"/>
  <c r="AS157" i="15"/>
  <c r="BA156" i="15"/>
  <c r="BA16" i="43" s="1"/>
  <c r="AW156" i="15"/>
  <c r="AZ160" i="15" s="1"/>
  <c r="AU156" i="15"/>
  <c r="AU16" i="43" s="1"/>
  <c r="AR156" i="15"/>
  <c r="AO156" i="15"/>
  <c r="AO162" i="15" s="1"/>
  <c r="AL156" i="15"/>
  <c r="AL162" i="15" s="1"/>
  <c r="AH148" i="15"/>
  <c r="AG148" i="15"/>
  <c r="AD148" i="15"/>
  <c r="BA147" i="15"/>
  <c r="BA48" i="43" s="1"/>
  <c r="AW147" i="15"/>
  <c r="AX147" i="15" s="1"/>
  <c r="AX48" i="43" s="1"/>
  <c r="AV147" i="15"/>
  <c r="AT147" i="15"/>
  <c r="AT187" i="15" s="1"/>
  <c r="AT189" i="15" s="1"/>
  <c r="AT11" i="15" s="1"/>
  <c r="AR147" i="15"/>
  <c r="AR48" i="43" s="1"/>
  <c r="AO147" i="15"/>
  <c r="AL147" i="15"/>
  <c r="AM147" i="15" s="1"/>
  <c r="AM48" i="43" s="1"/>
  <c r="AI147" i="15"/>
  <c r="AI187" i="15" s="1"/>
  <c r="BB145" i="15"/>
  <c r="BB108" i="43" s="1"/>
  <c r="AY145" i="15"/>
  <c r="AV145" i="15"/>
  <c r="AS145" i="15"/>
  <c r="AS114" i="15" s="1"/>
  <c r="AP145" i="15"/>
  <c r="AP108" i="43" s="1"/>
  <c r="AN145" i="15"/>
  <c r="AN108" i="43" s="1"/>
  <c r="AK145" i="15"/>
  <c r="AK108" i="43" s="1"/>
  <c r="AH145" i="15"/>
  <c r="AG145" i="15"/>
  <c r="AG108" i="43" s="1"/>
  <c r="AE145" i="15"/>
  <c r="AE108" i="43" s="1"/>
  <c r="AD145" i="15"/>
  <c r="AD108" i="43" s="1"/>
  <c r="BC144" i="15"/>
  <c r="BC145" i="15" s="1"/>
  <c r="AZ144" i="15"/>
  <c r="AZ145" i="15" s="1"/>
  <c r="AZ114" i="15" s="1"/>
  <c r="BC122" i="15" s="1"/>
  <c r="AT144" i="15"/>
  <c r="AQ144" i="15"/>
  <c r="AR144" i="15" s="1"/>
  <c r="AO144" i="15"/>
  <c r="AO143" i="15"/>
  <c r="AO142" i="15"/>
  <c r="AF144" i="15"/>
  <c r="AF143" i="15"/>
  <c r="AF142" i="15"/>
  <c r="BA143" i="15"/>
  <c r="BA142" i="15"/>
  <c r="AU143" i="15"/>
  <c r="AU142" i="15"/>
  <c r="AR143" i="15"/>
  <c r="AR142" i="15"/>
  <c r="AW144" i="15"/>
  <c r="AX144" i="15" s="1"/>
  <c r="AW143" i="15"/>
  <c r="AX143" i="15" s="1"/>
  <c r="AW142" i="15"/>
  <c r="AL144" i="15"/>
  <c r="AM144" i="15" s="1"/>
  <c r="AL143" i="15"/>
  <c r="AM143" i="15" s="1"/>
  <c r="AL142" i="15"/>
  <c r="AI144" i="15"/>
  <c r="AJ144" i="15" s="1"/>
  <c r="AI143" i="15"/>
  <c r="AJ143" i="15" s="1"/>
  <c r="AI142" i="15"/>
  <c r="AJ142" i="15" s="1"/>
  <c r="BC137" i="15"/>
  <c r="BA137" i="15"/>
  <c r="AW137" i="15"/>
  <c r="AX137" i="15" s="1"/>
  <c r="AX38" i="43" s="1"/>
  <c r="AV137" i="15"/>
  <c r="AU137" i="15" s="1"/>
  <c r="AR137" i="15"/>
  <c r="AR38" i="43" s="1"/>
  <c r="AO137" i="15"/>
  <c r="AO38" i="43" s="1"/>
  <c r="AL137" i="15"/>
  <c r="AM137" i="15" s="1"/>
  <c r="AM38" i="43" s="1"/>
  <c r="AI137" i="15"/>
  <c r="AJ137" i="15" s="1"/>
  <c r="AJ192" i="15" s="1"/>
  <c r="AJ15" i="15" s="1"/>
  <c r="AF137" i="15"/>
  <c r="BD129" i="15"/>
  <c r="BF129" i="15" s="1"/>
  <c r="BG129" i="15" s="1"/>
  <c r="BI129" i="15" s="1"/>
  <c r="BJ129" i="15" s="1"/>
  <c r="BL129" i="15" s="1"/>
  <c r="BM129" i="15" s="1"/>
  <c r="BO129" i="15" s="1"/>
  <c r="BP129" i="15" s="1"/>
  <c r="BR129" i="15" s="1"/>
  <c r="BS129" i="15" s="1"/>
  <c r="BU129" i="15" s="1"/>
  <c r="BV129" i="15" s="1"/>
  <c r="BX129" i="15" s="1"/>
  <c r="BY129" i="15" s="1"/>
  <c r="CA129" i="15" s="1"/>
  <c r="CB129" i="15" s="1"/>
  <c r="BF121" i="15"/>
  <c r="BG121" i="15" s="1"/>
  <c r="BJ121" i="15" s="1"/>
  <c r="BM121" i="15" s="1"/>
  <c r="BO121" i="15" s="1"/>
  <c r="BP121" i="15" s="1"/>
  <c r="BR121" i="15" s="1"/>
  <c r="BS121" i="15" s="1"/>
  <c r="BU121" i="15" s="1"/>
  <c r="BV121" i="15" s="1"/>
  <c r="BX121" i="15" s="1"/>
  <c r="BY121" i="15" s="1"/>
  <c r="CA121" i="15" s="1"/>
  <c r="CB121" i="15" s="1"/>
  <c r="AN114" i="15"/>
  <c r="AN138" i="15" s="1"/>
  <c r="AK114" i="15"/>
  <c r="AK138" i="15" s="1"/>
  <c r="AH114" i="15"/>
  <c r="AH138" i="15" s="1"/>
  <c r="AH139" i="15" s="1"/>
  <c r="AG114" i="15"/>
  <c r="AE114" i="15"/>
  <c r="AD114" i="15"/>
  <c r="AD152" i="15" s="1"/>
  <c r="AY114" i="15"/>
  <c r="AZ112" i="15"/>
  <c r="AZ148" i="15" s="1"/>
  <c r="AT112" i="15"/>
  <c r="AQ112" i="15"/>
  <c r="AQ148" i="15" s="1"/>
  <c r="AI111" i="15"/>
  <c r="AE112" i="15"/>
  <c r="AE148" i="15" s="1"/>
  <c r="BA111" i="15"/>
  <c r="AW111" i="15"/>
  <c r="AX111" i="15" s="1"/>
  <c r="AV111" i="15"/>
  <c r="AR111" i="15"/>
  <c r="AO111" i="15"/>
  <c r="AL111" i="15"/>
  <c r="AF111" i="15"/>
  <c r="AF29" i="43" s="1"/>
  <c r="AF31" i="43" s="1"/>
  <c r="BB109" i="15"/>
  <c r="AT109" i="15"/>
  <c r="AS109" i="15"/>
  <c r="AP109" i="15"/>
  <c r="AH109" i="15"/>
  <c r="AG109" i="15"/>
  <c r="AW108" i="15"/>
  <c r="AW102" i="15" s="1"/>
  <c r="AV108" i="15"/>
  <c r="AY109" i="15" s="1"/>
  <c r="AN108" i="15"/>
  <c r="AK108" i="15"/>
  <c r="AK109" i="15" s="1"/>
  <c r="AI108" i="15"/>
  <c r="AI112" i="15" s="1"/>
  <c r="AF108" i="15"/>
  <c r="AM106" i="15"/>
  <c r="AJ106" i="15"/>
  <c r="AH106" i="15"/>
  <c r="AG106" i="15"/>
  <c r="BC105" i="15"/>
  <c r="AL105" i="15"/>
  <c r="AJ103" i="15"/>
  <c r="AL104" i="15"/>
  <c r="AL106" i="15" s="1"/>
  <c r="AI104" i="15"/>
  <c r="AI106" i="15" s="1"/>
  <c r="BD103" i="15"/>
  <c r="BE103" i="15" s="1"/>
  <c r="BB103" i="15"/>
  <c r="AY103" i="15"/>
  <c r="AY102" i="15"/>
  <c r="AY14" i="43" s="1"/>
  <c r="AV103" i="15"/>
  <c r="AS103" i="15"/>
  <c r="AS102" i="15"/>
  <c r="AS14" i="43" s="1"/>
  <c r="AP103" i="15"/>
  <c r="AP102" i="15"/>
  <c r="AP106" i="15" s="1"/>
  <c r="AM103" i="15"/>
  <c r="AQ102" i="15"/>
  <c r="AQ106" i="15" s="1"/>
  <c r="CB100" i="15"/>
  <c r="CA100" i="15"/>
  <c r="BY100" i="15"/>
  <c r="BX100" i="15"/>
  <c r="BV100" i="15"/>
  <c r="BU100" i="15"/>
  <c r="BS100" i="15"/>
  <c r="BR100" i="15"/>
  <c r="BP100" i="15"/>
  <c r="BO100" i="15"/>
  <c r="BM100" i="15"/>
  <c r="BL100" i="15"/>
  <c r="BJ100" i="15"/>
  <c r="BI100" i="15"/>
  <c r="BG100" i="15"/>
  <c r="BF100" i="15"/>
  <c r="BC100" i="15"/>
  <c r="AN100" i="15"/>
  <c r="AM100" i="15"/>
  <c r="AL100" i="15"/>
  <c r="AK100" i="15"/>
  <c r="AJ100" i="15"/>
  <c r="AH100" i="15"/>
  <c r="AG100" i="15"/>
  <c r="CC98" i="15"/>
  <c r="CC97" i="15"/>
  <c r="BZ98" i="15"/>
  <c r="BZ97" i="15"/>
  <c r="BW98" i="15"/>
  <c r="BW97" i="15"/>
  <c r="BT98" i="15"/>
  <c r="BT97" i="15"/>
  <c r="BQ98" i="15"/>
  <c r="BQ97" i="15"/>
  <c r="BN98" i="15"/>
  <c r="BN97" i="15"/>
  <c r="BK98" i="15"/>
  <c r="BK97" i="15"/>
  <c r="BH98" i="15"/>
  <c r="BH97" i="15"/>
  <c r="BE98" i="15"/>
  <c r="AM98" i="15"/>
  <c r="AM97" i="15"/>
  <c r="AM203" i="15" s="1"/>
  <c r="AJ97" i="15"/>
  <c r="BB98" i="15"/>
  <c r="BB97" i="15"/>
  <c r="BB96" i="15"/>
  <c r="AY98" i="15"/>
  <c r="AY97" i="15"/>
  <c r="AY203" i="15" s="1"/>
  <c r="AY96" i="15"/>
  <c r="AY13" i="43" s="1"/>
  <c r="AV98" i="15"/>
  <c r="AV97" i="15"/>
  <c r="AV203" i="15" s="1"/>
  <c r="AS98" i="15"/>
  <c r="AS97" i="15"/>
  <c r="AS203" i="15" s="1"/>
  <c r="AS96" i="15"/>
  <c r="AS13" i="43" s="1"/>
  <c r="AP98" i="15"/>
  <c r="AP97" i="15"/>
  <c r="AP203" i="15" s="1"/>
  <c r="AP96" i="15"/>
  <c r="AP204" i="15" s="1"/>
  <c r="AP216" i="15" s="1"/>
  <c r="AI98" i="15"/>
  <c r="BD97" i="15"/>
  <c r="BD100" i="15" s="1"/>
  <c r="AZ96" i="15"/>
  <c r="AW96" i="15"/>
  <c r="AW13" i="43" s="1"/>
  <c r="AQ96" i="15"/>
  <c r="AQ100" i="15" s="1"/>
  <c r="AQ99" i="15" s="1"/>
  <c r="AO96" i="15"/>
  <c r="AO100" i="15" s="1"/>
  <c r="AO99" i="15" s="1"/>
  <c r="BC94" i="15"/>
  <c r="AT94" i="15"/>
  <c r="AM94" i="15"/>
  <c r="AJ94" i="15"/>
  <c r="AH94" i="15"/>
  <c r="AG94" i="15"/>
  <c r="BH91" i="15"/>
  <c r="BH103" i="15" s="1"/>
  <c r="BI103" i="15" s="1"/>
  <c r="BE91" i="15"/>
  <c r="AL93" i="15"/>
  <c r="AJ91" i="15"/>
  <c r="AL92" i="15"/>
  <c r="AK92" i="15"/>
  <c r="AK94" i="15" s="1"/>
  <c r="AI92" i="15"/>
  <c r="AJ92" i="15" s="1"/>
  <c r="BB91" i="15"/>
  <c r="BB90" i="15"/>
  <c r="AY91" i="15"/>
  <c r="AY201" i="15" s="1"/>
  <c r="AY90" i="15"/>
  <c r="AV91" i="15"/>
  <c r="AV201" i="15" s="1"/>
  <c r="AS91" i="15"/>
  <c r="AS201" i="15" s="1"/>
  <c r="AS90" i="15"/>
  <c r="AS12" i="43" s="1"/>
  <c r="AO91" i="15"/>
  <c r="AP91" i="15" s="1"/>
  <c r="AP201" i="15" s="1"/>
  <c r="AM91" i="15"/>
  <c r="AM201" i="15" s="1"/>
  <c r="AZ90" i="15"/>
  <c r="AZ12" i="43" s="1"/>
  <c r="AQ90" i="15"/>
  <c r="AQ94" i="15" s="1"/>
  <c r="AP90" i="15"/>
  <c r="AP202" i="15" s="1"/>
  <c r="AP212" i="15" s="1"/>
  <c r="AP63" i="15"/>
  <c r="BE57" i="15"/>
  <c r="BE60" i="15" s="1"/>
  <c r="BB57" i="15"/>
  <c r="BB60" i="15" s="1"/>
  <c r="AY57" i="15"/>
  <c r="AY60" i="15" s="1"/>
  <c r="AV57" i="15"/>
  <c r="AV60" i="15" s="1"/>
  <c r="AS57" i="15"/>
  <c r="AS60" i="15" s="1"/>
  <c r="AP57" i="15"/>
  <c r="AP60" i="15" s="1"/>
  <c r="AP208" i="15"/>
  <c r="AN39" i="15"/>
  <c r="N56" i="45"/>
  <c r="BD30" i="15"/>
  <c r="BA30" i="15"/>
  <c r="AX30" i="15"/>
  <c r="BB27" i="15"/>
  <c r="BA27" i="15" s="1"/>
  <c r="AX27" i="15"/>
  <c r="CB24" i="15"/>
  <c r="CB27" i="15" s="1"/>
  <c r="CA24" i="15"/>
  <c r="CA27" i="15" s="1"/>
  <c r="CA30" i="15" s="1"/>
  <c r="BY24" i="15"/>
  <c r="BY27" i="15" s="1"/>
  <c r="BX24" i="15"/>
  <c r="BX27" i="15" s="1"/>
  <c r="BX30" i="15" s="1"/>
  <c r="BV24" i="15"/>
  <c r="BV27" i="15" s="1"/>
  <c r="BU24" i="15"/>
  <c r="BU27" i="15" s="1"/>
  <c r="BU30" i="15" s="1"/>
  <c r="BS24" i="15"/>
  <c r="BS27" i="15" s="1"/>
  <c r="BR24" i="15"/>
  <c r="BR27" i="15" s="1"/>
  <c r="BR30" i="15" s="1"/>
  <c r="BP24" i="15"/>
  <c r="BP27" i="15" s="1"/>
  <c r="BO24" i="15"/>
  <c r="BO27" i="15" s="1"/>
  <c r="BO30" i="15" s="1"/>
  <c r="BM24" i="15"/>
  <c r="BM27" i="15" s="1"/>
  <c r="BL24" i="15"/>
  <c r="BL27" i="15" s="1"/>
  <c r="BL30" i="15" s="1"/>
  <c r="BJ24" i="15"/>
  <c r="BJ27" i="15" s="1"/>
  <c r="BI24" i="15"/>
  <c r="BI27" i="15" s="1"/>
  <c r="BI30" i="15" s="1"/>
  <c r="BG24" i="15"/>
  <c r="BG27" i="15" s="1"/>
  <c r="BF24" i="15"/>
  <c r="BF27" i="15" s="1"/>
  <c r="BF30" i="15" s="1"/>
  <c r="BA24" i="15"/>
  <c r="AX24" i="15"/>
  <c r="AG19" i="15"/>
  <c r="AD19" i="15"/>
  <c r="BB15" i="15"/>
  <c r="AZ15" i="15"/>
  <c r="AY15" i="15"/>
  <c r="AT15" i="15"/>
  <c r="AS15" i="15"/>
  <c r="AQ15" i="15"/>
  <c r="AP15" i="15"/>
  <c r="AN15" i="15"/>
  <c r="AK15" i="15"/>
  <c r="AG15" i="15"/>
  <c r="AZ11" i="15"/>
  <c r="AN11" i="15"/>
  <c r="AE11" i="15"/>
  <c r="AD11" i="15"/>
  <c r="AZ8" i="15"/>
  <c r="AH8" i="15"/>
  <c r="A2" i="15"/>
  <c r="AE346" i="43"/>
  <c r="AF341" i="43" s="1"/>
  <c r="AD346" i="43"/>
  <c r="AG341" i="43" s="1"/>
  <c r="BC344" i="43"/>
  <c r="BB344" i="43"/>
  <c r="AZ344" i="43"/>
  <c r="AY344" i="43"/>
  <c r="AT344" i="43"/>
  <c r="AS344" i="43"/>
  <c r="AQ344" i="43"/>
  <c r="AP344" i="43"/>
  <c r="AH344" i="43"/>
  <c r="AG344" i="43"/>
  <c r="AE344" i="43"/>
  <c r="AD344" i="43"/>
  <c r="BC342" i="43"/>
  <c r="BB342" i="43"/>
  <c r="AZ342" i="43"/>
  <c r="AT342" i="43"/>
  <c r="AS342" i="43"/>
  <c r="AQ342" i="43"/>
  <c r="AP342" i="43"/>
  <c r="AN342" i="43"/>
  <c r="AH342" i="43"/>
  <c r="AG342" i="43"/>
  <c r="AE342" i="43"/>
  <c r="AD342" i="43"/>
  <c r="AE341" i="43"/>
  <c r="AD341" i="43"/>
  <c r="AH329" i="43"/>
  <c r="AG329" i="43"/>
  <c r="AE329" i="43"/>
  <c r="CC328" i="43"/>
  <c r="BZ328" i="43"/>
  <c r="BW328" i="43"/>
  <c r="BT328" i="43"/>
  <c r="BQ328" i="43"/>
  <c r="BN328" i="43"/>
  <c r="BK328" i="43"/>
  <c r="BH328" i="43"/>
  <c r="BE328" i="43"/>
  <c r="BE329" i="43" s="1"/>
  <c r="BB328" i="43"/>
  <c r="AY328" i="43"/>
  <c r="AV328" i="43"/>
  <c r="AS328" i="43"/>
  <c r="AP328" i="43"/>
  <c r="AM328" i="43"/>
  <c r="AI327" i="43"/>
  <c r="AE327" i="43"/>
  <c r="AX324" i="43"/>
  <c r="AG324" i="43"/>
  <c r="AD320" i="43"/>
  <c r="C20" i="45" s="1"/>
  <c r="AE318" i="43"/>
  <c r="AE320" i="43" s="1"/>
  <c r="BC307" i="43"/>
  <c r="BA307" i="43"/>
  <c r="AZ307" i="43"/>
  <c r="AU307" i="43"/>
  <c r="AT307" i="43"/>
  <c r="AQ307" i="43"/>
  <c r="AO307" i="43"/>
  <c r="AN307" i="43"/>
  <c r="AK307" i="43"/>
  <c r="AI307" i="43"/>
  <c r="AH307" i="43"/>
  <c r="AF307" i="43"/>
  <c r="AE307" i="43"/>
  <c r="AD307" i="43"/>
  <c r="BH306" i="43"/>
  <c r="BE306" i="43"/>
  <c r="BB306" i="43"/>
  <c r="BB305" i="43"/>
  <c r="AW306" i="43"/>
  <c r="AW305" i="43"/>
  <c r="AX305" i="43" s="1"/>
  <c r="AX323" i="43" s="1"/>
  <c r="AX325" i="43" s="1"/>
  <c r="AZ327" i="43" s="1"/>
  <c r="AZ329" i="43" s="1"/>
  <c r="AR306" i="43"/>
  <c r="AR307" i="43" s="1"/>
  <c r="AP306" i="43"/>
  <c r="AP305" i="43"/>
  <c r="AM306" i="43"/>
  <c r="AM307" i="43" s="1"/>
  <c r="AJ306" i="43"/>
  <c r="AJ305" i="43"/>
  <c r="AV305" i="43"/>
  <c r="AS305" i="43"/>
  <c r="AS307" i="43" s="1"/>
  <c r="AL305" i="43"/>
  <c r="AL307" i="43" s="1"/>
  <c r="AG305" i="43"/>
  <c r="CC292" i="43"/>
  <c r="CB292" i="43"/>
  <c r="CB143" i="43" s="1"/>
  <c r="CA292" i="43"/>
  <c r="BZ292" i="43"/>
  <c r="BY292" i="43"/>
  <c r="BY143" i="43" s="1"/>
  <c r="BX292" i="43"/>
  <c r="BW292" i="43"/>
  <c r="BV292" i="43"/>
  <c r="BV143" i="43" s="1"/>
  <c r="BU292" i="43"/>
  <c r="BU143" i="43" s="1"/>
  <c r="BT292" i="43"/>
  <c r="BS292" i="43"/>
  <c r="BR292" i="43"/>
  <c r="BQ292" i="43"/>
  <c r="BP292" i="43"/>
  <c r="BP143" i="43" s="1"/>
  <c r="BO292" i="43"/>
  <c r="BN292" i="43"/>
  <c r="BM292" i="43"/>
  <c r="BM143" i="43" s="1"/>
  <c r="BK292" i="43"/>
  <c r="BJ292" i="43"/>
  <c r="BJ143" i="43" s="1"/>
  <c r="BI292" i="43"/>
  <c r="BH292" i="43"/>
  <c r="BG292" i="43"/>
  <c r="BF292" i="43"/>
  <c r="BF143" i="43" s="1"/>
  <c r="BC292" i="43"/>
  <c r="BB292" i="43"/>
  <c r="BA292" i="43"/>
  <c r="AZ292" i="43"/>
  <c r="AY292" i="43"/>
  <c r="AX292" i="43"/>
  <c r="AW292" i="43"/>
  <c r="AV292" i="43"/>
  <c r="AU292" i="43"/>
  <c r="AT292" i="43"/>
  <c r="AS292" i="43"/>
  <c r="AR292" i="43"/>
  <c r="AQ292" i="43"/>
  <c r="AP292" i="43"/>
  <c r="AO292" i="43"/>
  <c r="AN292" i="43"/>
  <c r="AM292" i="43"/>
  <c r="AL292" i="43"/>
  <c r="AK292" i="43"/>
  <c r="AJ292" i="43"/>
  <c r="AJ143" i="43" s="1"/>
  <c r="AJ239" i="43" s="1"/>
  <c r="AI292" i="43"/>
  <c r="BB287" i="43"/>
  <c r="AZ287" i="43"/>
  <c r="AY287" i="43"/>
  <c r="AW287" i="43"/>
  <c r="AS287" i="43"/>
  <c r="AP287" i="43"/>
  <c r="AM287" i="43"/>
  <c r="AJ287" i="43"/>
  <c r="AG287" i="43"/>
  <c r="AD287" i="43"/>
  <c r="BA286" i="43"/>
  <c r="BA287" i="43" s="1"/>
  <c r="AX286" i="43"/>
  <c r="AX287" i="43" s="1"/>
  <c r="AX281" i="43"/>
  <c r="AR286" i="43"/>
  <c r="AR287" i="43" s="1"/>
  <c r="AL286" i="43"/>
  <c r="AL287" i="43" s="1"/>
  <c r="BB284" i="43"/>
  <c r="AY284" i="43"/>
  <c r="AX284" i="43" s="1"/>
  <c r="AV286" i="43"/>
  <c r="AU286" i="43"/>
  <c r="AU287" i="43" s="1"/>
  <c r="AO286" i="43"/>
  <c r="AO287" i="43" s="1"/>
  <c r="AO284" i="43"/>
  <c r="AF286" i="43"/>
  <c r="AF287" i="43" s="1"/>
  <c r="AF284" i="43"/>
  <c r="AF324" i="43" s="1"/>
  <c r="AW282" i="43"/>
  <c r="AX282" i="43" s="1"/>
  <c r="CC282" i="43"/>
  <c r="BZ282" i="43"/>
  <c r="BW282" i="43"/>
  <c r="BT282" i="43"/>
  <c r="BQ282" i="43"/>
  <c r="BN282" i="43"/>
  <c r="BK282" i="43"/>
  <c r="BH282" i="43"/>
  <c r="BE282" i="43"/>
  <c r="AS282" i="43"/>
  <c r="AS281" i="43"/>
  <c r="AS284" i="43" s="1"/>
  <c r="AM282" i="43"/>
  <c r="AJ282" i="43"/>
  <c r="AJ281" i="43"/>
  <c r="AG282" i="43"/>
  <c r="AG281" i="43"/>
  <c r="AQ281" i="43"/>
  <c r="AQ284" i="43" s="1"/>
  <c r="AR324" i="43" s="1"/>
  <c r="AH281" i="43"/>
  <c r="AH284" i="43" s="1"/>
  <c r="AE281" i="43"/>
  <c r="BC260" i="43"/>
  <c r="BB260" i="43"/>
  <c r="AZ260" i="43"/>
  <c r="AY260" i="43"/>
  <c r="AT260" i="43"/>
  <c r="AS260" i="43"/>
  <c r="AQ260" i="43"/>
  <c r="AP260" i="43"/>
  <c r="AN260" i="43"/>
  <c r="AM260" i="43"/>
  <c r="AK260" i="43"/>
  <c r="AJ260" i="43"/>
  <c r="AH260" i="43"/>
  <c r="AG260" i="43"/>
  <c r="AE260" i="43"/>
  <c r="AD260" i="43"/>
  <c r="BC259" i="43"/>
  <c r="BB259" i="43"/>
  <c r="AZ259" i="43"/>
  <c r="AY259" i="43"/>
  <c r="AT259" i="43"/>
  <c r="AS259" i="43"/>
  <c r="AQ259" i="43"/>
  <c r="AP259" i="43"/>
  <c r="AN259" i="43"/>
  <c r="AM259" i="43"/>
  <c r="AK259" i="43"/>
  <c r="AJ259" i="43"/>
  <c r="AH259" i="43"/>
  <c r="AG259" i="43"/>
  <c r="AE259" i="43"/>
  <c r="AD259" i="43"/>
  <c r="BC258" i="43"/>
  <c r="BB258" i="43"/>
  <c r="AZ258" i="43"/>
  <c r="AZ261" i="43" s="1"/>
  <c r="AY258" i="43"/>
  <c r="AY261" i="43" s="1"/>
  <c r="AT258" i="43"/>
  <c r="AT261" i="43" s="1"/>
  <c r="AS258" i="43"/>
  <c r="AS261" i="43" s="1"/>
  <c r="AQ258" i="43"/>
  <c r="AQ261" i="43" s="1"/>
  <c r="AP258" i="43"/>
  <c r="AP261" i="43" s="1"/>
  <c r="AN258" i="43"/>
  <c r="AM258" i="43"/>
  <c r="AK258" i="43"/>
  <c r="AK261" i="43" s="1"/>
  <c r="AJ258" i="43"/>
  <c r="AH258" i="43"/>
  <c r="AH261" i="43" s="1"/>
  <c r="AG258" i="43"/>
  <c r="AG261" i="43" s="1"/>
  <c r="AE258" i="43"/>
  <c r="AD258" i="43"/>
  <c r="AD261" i="43" s="1"/>
  <c r="AD244" i="43"/>
  <c r="BC244" i="43"/>
  <c r="BB244" i="43"/>
  <c r="AZ244" i="43"/>
  <c r="AY244" i="43"/>
  <c r="AT244" i="43"/>
  <c r="AS244" i="43"/>
  <c r="AQ244" i="43"/>
  <c r="AP244" i="43"/>
  <c r="AN244" i="43"/>
  <c r="AM244" i="43"/>
  <c r="AK244" i="43"/>
  <c r="AG244" i="43"/>
  <c r="AR242" i="43"/>
  <c r="AR241" i="43"/>
  <c r="AR240" i="43"/>
  <c r="AR239" i="43"/>
  <c r="AR342" i="43" s="1"/>
  <c r="AO242" i="43"/>
  <c r="AO241" i="43"/>
  <c r="AO240" i="43"/>
  <c r="AO239" i="43"/>
  <c r="AO342" i="43" s="1"/>
  <c r="AL242" i="43"/>
  <c r="AL241" i="43"/>
  <c r="AL240" i="43"/>
  <c r="AL239" i="43"/>
  <c r="AL342" i="43" s="1"/>
  <c r="AJ242" i="43"/>
  <c r="AF242" i="43"/>
  <c r="AF241" i="43"/>
  <c r="AF240" i="43"/>
  <c r="AF239" i="43"/>
  <c r="AI240" i="43"/>
  <c r="AJ240" i="43" s="1"/>
  <c r="G72" i="45"/>
  <c r="AX242" i="43"/>
  <c r="AW242" i="43"/>
  <c r="AV242" i="43"/>
  <c r="AU242" i="43" s="1"/>
  <c r="AX241" i="43"/>
  <c r="AW241" i="43"/>
  <c r="AV241" i="43"/>
  <c r="AU241" i="43" s="1"/>
  <c r="AX240" i="43"/>
  <c r="AW240" i="43"/>
  <c r="AV240" i="43"/>
  <c r="AU240" i="43" s="1"/>
  <c r="AX239" i="43"/>
  <c r="AW239" i="43"/>
  <c r="AV239" i="43"/>
  <c r="AV244" i="43" s="1"/>
  <c r="BC232" i="43"/>
  <c r="BB232" i="43"/>
  <c r="AY232" i="43"/>
  <c r="AZ231" i="43"/>
  <c r="AZ232" i="43" s="1"/>
  <c r="AW231" i="43"/>
  <c r="AV231" i="43"/>
  <c r="AT231" i="43"/>
  <c r="AT232" i="43" s="1"/>
  <c r="AS231" i="43"/>
  <c r="AS232" i="43" s="1"/>
  <c r="AQ231" i="43"/>
  <c r="AQ232" i="43" s="1"/>
  <c r="AP231" i="43"/>
  <c r="AP232" i="43" s="1"/>
  <c r="AN231" i="43"/>
  <c r="AM231" i="43"/>
  <c r="AK231" i="43"/>
  <c r="AK232" i="43" s="1"/>
  <c r="AJ231" i="43"/>
  <c r="AH231" i="43"/>
  <c r="AH232" i="43" s="1"/>
  <c r="AG231" i="43"/>
  <c r="D67" i="45" s="1"/>
  <c r="AE231" i="43"/>
  <c r="AE232" i="43" s="1"/>
  <c r="AD231" i="43"/>
  <c r="AD232" i="43" s="1"/>
  <c r="AR230" i="43"/>
  <c r="AR229" i="43"/>
  <c r="AR228" i="43"/>
  <c r="AO230" i="43"/>
  <c r="AO229" i="43"/>
  <c r="AO228" i="43"/>
  <c r="AL230" i="43"/>
  <c r="AL229" i="43"/>
  <c r="AJ230" i="43"/>
  <c r="AJ229" i="43"/>
  <c r="AF230" i="43"/>
  <c r="AF229" i="43"/>
  <c r="AF228" i="43"/>
  <c r="G66" i="45"/>
  <c r="G65" i="45"/>
  <c r="AW230" i="43"/>
  <c r="AX230" i="43" s="1"/>
  <c r="AV230" i="43"/>
  <c r="AU230" i="43" s="1"/>
  <c r="AW229" i="43"/>
  <c r="AX229" i="43" s="1"/>
  <c r="AV229" i="43"/>
  <c r="AU229" i="43" s="1"/>
  <c r="AW228" i="43"/>
  <c r="AV228" i="43"/>
  <c r="AU228" i="43" s="1"/>
  <c r="BC225" i="43"/>
  <c r="BB225" i="43"/>
  <c r="AZ225" i="43"/>
  <c r="AY225" i="43"/>
  <c r="AN225" i="43"/>
  <c r="AM225" i="43"/>
  <c r="AH225" i="43"/>
  <c r="AG225" i="43"/>
  <c r="AD225" i="43"/>
  <c r="BA220" i="43"/>
  <c r="AR224" i="43"/>
  <c r="AR223" i="43"/>
  <c r="AR221" i="43"/>
  <c r="AR220" i="43"/>
  <c r="AP224" i="43"/>
  <c r="AP225" i="43" s="1"/>
  <c r="AL224" i="43"/>
  <c r="AK224" i="43"/>
  <c r="AK225" i="43" s="1"/>
  <c r="AJ224" i="43"/>
  <c r="AF224" i="43"/>
  <c r="AE224" i="43"/>
  <c r="AE225" i="43" s="1"/>
  <c r="AO223" i="43"/>
  <c r="AO222" i="43"/>
  <c r="AO221" i="43"/>
  <c r="AO157" i="43" s="1"/>
  <c r="AO220" i="43"/>
  <c r="AL223" i="43"/>
  <c r="AL222" i="43"/>
  <c r="AL221" i="43"/>
  <c r="AL220" i="43"/>
  <c r="AJ223" i="43"/>
  <c r="AJ222" i="43"/>
  <c r="AJ221" i="43"/>
  <c r="AF223" i="43"/>
  <c r="AF222" i="43"/>
  <c r="AF221" i="43"/>
  <c r="AF220" i="43"/>
  <c r="AT222" i="43"/>
  <c r="AT225" i="43" s="1"/>
  <c r="AS222" i="43"/>
  <c r="AS225" i="43" s="1"/>
  <c r="AQ222" i="43"/>
  <c r="AQ225" i="43" s="1"/>
  <c r="G62" i="45"/>
  <c r="G61" i="45"/>
  <c r="G59" i="45"/>
  <c r="AX224" i="43"/>
  <c r="AW224" i="43"/>
  <c r="AV224" i="43"/>
  <c r="AU224" i="43" s="1"/>
  <c r="AX223" i="43"/>
  <c r="AW223" i="43"/>
  <c r="AV223" i="43"/>
  <c r="AU223" i="43" s="1"/>
  <c r="AX222" i="43"/>
  <c r="AW222" i="43"/>
  <c r="AV222" i="43"/>
  <c r="AU222" i="43" s="1"/>
  <c r="AX221" i="43"/>
  <c r="AW221" i="43"/>
  <c r="AV221" i="43"/>
  <c r="AU221" i="43" s="1"/>
  <c r="AX220" i="43"/>
  <c r="AW220" i="43"/>
  <c r="AV220" i="43"/>
  <c r="AU220" i="43" s="1"/>
  <c r="AI220" i="43"/>
  <c r="AI225" i="43" s="1"/>
  <c r="BC215" i="43"/>
  <c r="BB215" i="43"/>
  <c r="AZ215" i="43"/>
  <c r="AY215" i="43"/>
  <c r="AT215" i="43"/>
  <c r="AS215" i="43"/>
  <c r="AQ215" i="43"/>
  <c r="AP215" i="43"/>
  <c r="AN215" i="43"/>
  <c r="AM215" i="43"/>
  <c r="AK215" i="43"/>
  <c r="AH215" i="43"/>
  <c r="AG215" i="43"/>
  <c r="AF215" i="43" s="1"/>
  <c r="AE215" i="43"/>
  <c r="AD215" i="43"/>
  <c r="G55" i="45"/>
  <c r="AX213" i="43"/>
  <c r="AU213" i="43"/>
  <c r="AU212" i="43"/>
  <c r="AR213" i="43"/>
  <c r="AR212" i="43"/>
  <c r="AR211" i="43"/>
  <c r="AR210" i="43"/>
  <c r="AO213" i="43"/>
  <c r="AL213" i="43"/>
  <c r="AF213" i="43"/>
  <c r="AF212" i="43"/>
  <c r="AF211" i="43"/>
  <c r="AF210" i="43"/>
  <c r="CC212" i="43"/>
  <c r="BZ212" i="43"/>
  <c r="BW212" i="43"/>
  <c r="BT212" i="43"/>
  <c r="BQ212" i="43"/>
  <c r="BN212" i="43"/>
  <c r="BK212" i="43"/>
  <c r="BH212" i="43"/>
  <c r="AW212" i="43"/>
  <c r="AW211" i="43"/>
  <c r="AW210" i="43"/>
  <c r="AW191" i="43" s="1"/>
  <c r="G54" i="45"/>
  <c r="BA210" i="43"/>
  <c r="BA191" i="43" s="1"/>
  <c r="AX211" i="43"/>
  <c r="AX210" i="43"/>
  <c r="AV211" i="43"/>
  <c r="AU211" i="43" s="1"/>
  <c r="AV210" i="43"/>
  <c r="AU210" i="43" s="1"/>
  <c r="AO211" i="43"/>
  <c r="AO210" i="43"/>
  <c r="AL211" i="43"/>
  <c r="AL210" i="43"/>
  <c r="AJ211" i="43"/>
  <c r="AR208" i="43"/>
  <c r="AR207" i="43"/>
  <c r="AO208" i="43"/>
  <c r="AO207" i="43"/>
  <c r="AL208" i="43"/>
  <c r="AL207" i="43"/>
  <c r="AJ208" i="43"/>
  <c r="AJ207" i="43"/>
  <c r="AF208" i="43"/>
  <c r="AF207" i="43"/>
  <c r="G52" i="45"/>
  <c r="AX208" i="43"/>
  <c r="AW208" i="43"/>
  <c r="AV208" i="43"/>
  <c r="AU208" i="43" s="1"/>
  <c r="AX207" i="43"/>
  <c r="AW207" i="43"/>
  <c r="AV207" i="43"/>
  <c r="AU207" i="43" s="1"/>
  <c r="BC204" i="43"/>
  <c r="BB204" i="43"/>
  <c r="AZ204" i="43"/>
  <c r="AY204" i="43"/>
  <c r="AN204" i="43"/>
  <c r="AK204" i="43"/>
  <c r="AG204" i="43"/>
  <c r="AD204" i="43"/>
  <c r="BA202" i="43"/>
  <c r="BA201" i="43"/>
  <c r="AW203" i="43"/>
  <c r="AV203" i="43"/>
  <c r="AU203" i="43" s="1"/>
  <c r="AT203" i="43"/>
  <c r="AT204" i="43" s="1"/>
  <c r="AS203" i="43"/>
  <c r="AS204" i="43" s="1"/>
  <c r="AQ203" i="43"/>
  <c r="AQ204" i="43" s="1"/>
  <c r="AP203" i="43"/>
  <c r="AP204" i="43" s="1"/>
  <c r="AL203" i="43"/>
  <c r="AM203" i="43" s="1"/>
  <c r="AM204" i="43" s="1"/>
  <c r="AI203" i="43"/>
  <c r="AH203" i="43"/>
  <c r="AH204" i="43" s="1"/>
  <c r="AF203" i="43"/>
  <c r="AE203" i="43"/>
  <c r="AE204" i="43" s="1"/>
  <c r="AR202" i="43"/>
  <c r="AR201" i="43"/>
  <c r="AO202" i="43"/>
  <c r="AO201" i="43"/>
  <c r="AO200" i="43"/>
  <c r="AL202" i="43"/>
  <c r="AL201" i="43"/>
  <c r="AL200" i="43"/>
  <c r="AI202" i="43"/>
  <c r="AI201" i="43"/>
  <c r="AF202" i="43"/>
  <c r="AF201" i="43"/>
  <c r="AF200" i="43"/>
  <c r="G49" i="45"/>
  <c r="AW202" i="43"/>
  <c r="AV202" i="43"/>
  <c r="AW201" i="43"/>
  <c r="AV201" i="43"/>
  <c r="AX204" i="43"/>
  <c r="AW200" i="43"/>
  <c r="AV200" i="43"/>
  <c r="AU200" i="43" s="1"/>
  <c r="BC191" i="43"/>
  <c r="BB191" i="43"/>
  <c r="AZ191" i="43"/>
  <c r="AY191" i="43"/>
  <c r="AK191" i="43"/>
  <c r="AH191" i="43"/>
  <c r="AG191" i="43"/>
  <c r="AD191" i="43"/>
  <c r="CC189" i="43"/>
  <c r="CC188" i="43"/>
  <c r="BZ189" i="43"/>
  <c r="BZ188" i="43"/>
  <c r="BW189" i="43"/>
  <c r="BW188" i="43"/>
  <c r="BT189" i="43"/>
  <c r="BT188" i="43"/>
  <c r="BQ189" i="43"/>
  <c r="BQ188" i="43"/>
  <c r="BN189" i="43"/>
  <c r="BN188" i="43"/>
  <c r="BK189" i="43"/>
  <c r="BK188" i="43"/>
  <c r="BH189" i="43"/>
  <c r="BH188" i="43"/>
  <c r="BB189" i="43"/>
  <c r="AY189" i="43"/>
  <c r="AV189" i="43"/>
  <c r="AV188" i="43"/>
  <c r="AS189" i="43"/>
  <c r="AS188" i="43"/>
  <c r="AP189" i="43"/>
  <c r="AP188" i="43"/>
  <c r="AH188" i="43"/>
  <c r="AJ188" i="43" s="1"/>
  <c r="BC188" i="43"/>
  <c r="AK188" i="43"/>
  <c r="AM188" i="43" s="1"/>
  <c r="AZ188" i="43"/>
  <c r="AQ187" i="43"/>
  <c r="AN187" i="43"/>
  <c r="AG188" i="43"/>
  <c r="AE188" i="43"/>
  <c r="AD188" i="43"/>
  <c r="AS182" i="43"/>
  <c r="AR182" i="43"/>
  <c r="AQ182" i="43"/>
  <c r="AO182" i="43"/>
  <c r="AN182" i="43"/>
  <c r="AH182" i="43"/>
  <c r="AG182" i="43"/>
  <c r="AF182" i="43"/>
  <c r="AE182" i="43"/>
  <c r="AD182" i="43"/>
  <c r="AP180" i="43"/>
  <c r="AP182" i="43" s="1"/>
  <c r="AP177" i="43"/>
  <c r="AP176" i="43"/>
  <c r="AK180" i="43"/>
  <c r="AK182" i="43" s="1"/>
  <c r="AI180" i="43"/>
  <c r="AJ180" i="43" s="1"/>
  <c r="AJ182" i="43" s="1"/>
  <c r="AZ180" i="43"/>
  <c r="AZ182" i="43" s="1"/>
  <c r="AY180" i="43"/>
  <c r="AY182" i="43" s="1"/>
  <c r="AT180" i="43"/>
  <c r="AT182" i="43" s="1"/>
  <c r="BC177" i="43"/>
  <c r="BB177" i="43"/>
  <c r="AZ177" i="43"/>
  <c r="AY177" i="43"/>
  <c r="AW177" i="43"/>
  <c r="AV177" i="43"/>
  <c r="AT177" i="43"/>
  <c r="BC176" i="43"/>
  <c r="BB176" i="43"/>
  <c r="BA176" i="43"/>
  <c r="AZ176" i="43"/>
  <c r="AZ178" i="43" s="1"/>
  <c r="AY176" i="43"/>
  <c r="AY178" i="43" s="1"/>
  <c r="AX176" i="43"/>
  <c r="AW176" i="43"/>
  <c r="AV176" i="43"/>
  <c r="AU176" i="43"/>
  <c r="AT176" i="43"/>
  <c r="AT178" i="43" s="1"/>
  <c r="AS177" i="43"/>
  <c r="AQ177" i="43"/>
  <c r="AS176" i="43"/>
  <c r="AS178" i="43" s="1"/>
  <c r="AS179" i="43" s="1"/>
  <c r="AR176" i="43"/>
  <c r="AQ176" i="43"/>
  <c r="AN177" i="43"/>
  <c r="AM177" i="43"/>
  <c r="AK177" i="43"/>
  <c r="AH177" i="43"/>
  <c r="AG177" i="43"/>
  <c r="AE177" i="43"/>
  <c r="AO176" i="43"/>
  <c r="AN176" i="43"/>
  <c r="AL176" i="43"/>
  <c r="AJ176" i="43"/>
  <c r="AI176" i="43"/>
  <c r="AH176" i="43"/>
  <c r="AH178" i="43" s="1"/>
  <c r="AH179" i="43" s="1"/>
  <c r="AG176" i="43"/>
  <c r="AF176" i="43"/>
  <c r="AE176" i="43"/>
  <c r="BC171" i="43"/>
  <c r="BC173" i="43" s="1"/>
  <c r="BB171" i="43"/>
  <c r="BB173" i="43" s="1"/>
  <c r="AZ171" i="43"/>
  <c r="AZ173" i="43" s="1"/>
  <c r="AT171" i="43"/>
  <c r="AT173" i="43" s="1"/>
  <c r="AS171" i="43"/>
  <c r="AS173" i="43" s="1"/>
  <c r="AQ171" i="43"/>
  <c r="AQ173" i="43" s="1"/>
  <c r="AP171" i="43"/>
  <c r="AP173" i="43" s="1"/>
  <c r="AN171" i="43"/>
  <c r="AN173" i="43" s="1"/>
  <c r="AM171" i="43"/>
  <c r="AK171" i="43"/>
  <c r="AK173" i="43" s="1"/>
  <c r="AH171" i="43"/>
  <c r="AH173" i="43" s="1"/>
  <c r="AG171" i="43"/>
  <c r="AG173" i="43" s="1"/>
  <c r="AE171" i="43"/>
  <c r="AE173" i="43" s="1"/>
  <c r="AD171" i="43"/>
  <c r="AD173" i="43" s="1"/>
  <c r="BC157" i="43"/>
  <c r="BC167" i="43" s="1"/>
  <c r="BB157" i="43"/>
  <c r="BB167" i="43" s="1"/>
  <c r="BC166" i="43" s="1"/>
  <c r="AZ157" i="43"/>
  <c r="AY157" i="43"/>
  <c r="AW157" i="43"/>
  <c r="AW167" i="43" s="1"/>
  <c r="AT157" i="43"/>
  <c r="AT167" i="43" s="1"/>
  <c r="AS157" i="43"/>
  <c r="AQ157" i="43"/>
  <c r="AP157" i="43"/>
  <c r="AM157" i="43"/>
  <c r="AK157" i="43"/>
  <c r="AK167" i="43" s="1"/>
  <c r="AH157" i="43"/>
  <c r="AH167" i="43" s="1"/>
  <c r="AI166" i="43" s="1"/>
  <c r="AG157" i="43"/>
  <c r="AG167" i="43" s="1"/>
  <c r="AF157" i="43"/>
  <c r="AE157" i="43"/>
  <c r="AD157" i="43"/>
  <c r="AD167" i="43" s="1"/>
  <c r="AD169" i="43" s="1"/>
  <c r="AD170" i="43" s="1"/>
  <c r="BC156" i="43"/>
  <c r="BB156" i="43"/>
  <c r="BA156" i="43" s="1"/>
  <c r="BA177" i="43" s="1"/>
  <c r="AZ156" i="43"/>
  <c r="AY156" i="43"/>
  <c r="AX156" i="43" s="1"/>
  <c r="AX177" i="43" s="1"/>
  <c r="AW156" i="43"/>
  <c r="AV156" i="43"/>
  <c r="AU156" i="43" s="1"/>
  <c r="AU177" i="43" s="1"/>
  <c r="AT156" i="43"/>
  <c r="AS156" i="43"/>
  <c r="AR156" i="43" s="1"/>
  <c r="AR177" i="43" s="1"/>
  <c r="AQ156" i="43"/>
  <c r="AP156" i="43"/>
  <c r="AN156" i="43"/>
  <c r="AM156" i="43"/>
  <c r="AK156" i="43"/>
  <c r="AH156" i="43"/>
  <c r="AG156" i="43"/>
  <c r="AF156" i="43"/>
  <c r="AF177" i="43" s="1"/>
  <c r="AF178" i="43" s="1"/>
  <c r="AF179" i="43" s="1"/>
  <c r="AE156" i="43"/>
  <c r="AD156" i="43"/>
  <c r="AQ151" i="43"/>
  <c r="AN151" i="43"/>
  <c r="AM151" i="43"/>
  <c r="AK151" i="43"/>
  <c r="AH151" i="43"/>
  <c r="AG151" i="43"/>
  <c r="AE151" i="43"/>
  <c r="CC148" i="43"/>
  <c r="BZ148" i="43"/>
  <c r="BW148" i="43"/>
  <c r="BT148" i="43"/>
  <c r="BQ148" i="43"/>
  <c r="BN148" i="43"/>
  <c r="BK148" i="43"/>
  <c r="BH148" i="43"/>
  <c r="BC148" i="43"/>
  <c r="BA148" i="43"/>
  <c r="AW148" i="43"/>
  <c r="AX148" i="43" s="1"/>
  <c r="AR148" i="43"/>
  <c r="AP148" i="43"/>
  <c r="AM148" i="43"/>
  <c r="AJ148" i="43"/>
  <c r="BC146" i="43"/>
  <c r="BB146" i="43"/>
  <c r="AZ146" i="43"/>
  <c r="AT146" i="43"/>
  <c r="AS146" i="43"/>
  <c r="AQ146" i="43"/>
  <c r="AP146" i="43"/>
  <c r="CC145" i="43"/>
  <c r="BZ145" i="43"/>
  <c r="BW145" i="43"/>
  <c r="BT145" i="43"/>
  <c r="BQ145" i="43"/>
  <c r="BN145" i="43"/>
  <c r="BK145" i="43"/>
  <c r="I41" i="45" s="1"/>
  <c r="BH145" i="43"/>
  <c r="H41" i="45" s="1"/>
  <c r="G41" i="45"/>
  <c r="AY145" i="43"/>
  <c r="AV145" i="43"/>
  <c r="AV144" i="43"/>
  <c r="AU144" i="43" s="1"/>
  <c r="AV143" i="43"/>
  <c r="AU143" i="43" s="1"/>
  <c r="AV142" i="43"/>
  <c r="AV344" i="43" s="1"/>
  <c r="AM145" i="43"/>
  <c r="AJ145" i="43"/>
  <c r="AF145" i="43"/>
  <c r="AF143" i="43"/>
  <c r="AF142" i="43"/>
  <c r="AR144" i="43"/>
  <c r="AR143" i="43"/>
  <c r="AR142" i="43"/>
  <c r="AR344" i="43" s="1"/>
  <c r="AN144" i="43"/>
  <c r="AN228" i="43" s="1"/>
  <c r="AH144" i="43"/>
  <c r="AH146" i="43" s="1"/>
  <c r="AG144" i="43"/>
  <c r="D40" i="45" s="1"/>
  <c r="AE144" i="43"/>
  <c r="AD144" i="43"/>
  <c r="AO143" i="43"/>
  <c r="AK144" i="43"/>
  <c r="AK143" i="43"/>
  <c r="AL143" i="43" s="1"/>
  <c r="AI143" i="43"/>
  <c r="CA143" i="43"/>
  <c r="BX143" i="43"/>
  <c r="BS143" i="43"/>
  <c r="BR143" i="43"/>
  <c r="BO143" i="43"/>
  <c r="BI143" i="43"/>
  <c r="BG143" i="43"/>
  <c r="AW144" i="43"/>
  <c r="AX144" i="43" s="1"/>
  <c r="AW143" i="43"/>
  <c r="AX143" i="43" s="1"/>
  <c r="AX142" i="43"/>
  <c r="AX344" i="43" s="1"/>
  <c r="AW142" i="43"/>
  <c r="AW344" i="43" s="1"/>
  <c r="AM142" i="43"/>
  <c r="AK142" i="43"/>
  <c r="AK344" i="43" s="1"/>
  <c r="AQ138" i="43"/>
  <c r="AM138" i="43"/>
  <c r="AH138" i="43"/>
  <c r="AG138" i="43"/>
  <c r="AE138" i="43"/>
  <c r="AD138" i="43"/>
  <c r="CC137" i="43"/>
  <c r="CC136" i="43"/>
  <c r="CC135" i="43"/>
  <c r="CC133" i="43"/>
  <c r="BZ137" i="43"/>
  <c r="BZ136" i="43"/>
  <c r="BZ135" i="43"/>
  <c r="BZ133" i="43"/>
  <c r="BW137" i="43"/>
  <c r="BW136" i="43"/>
  <c r="BW135" i="43"/>
  <c r="BW133" i="43"/>
  <c r="BT137" i="43"/>
  <c r="BT136" i="43"/>
  <c r="BT135" i="43"/>
  <c r="BT133" i="43"/>
  <c r="BQ137" i="43"/>
  <c r="BQ136" i="43"/>
  <c r="BQ135" i="43"/>
  <c r="BQ133" i="43"/>
  <c r="BN137" i="43"/>
  <c r="BN136" i="43"/>
  <c r="BN135" i="43"/>
  <c r="BN133" i="43"/>
  <c r="BK137" i="43"/>
  <c r="BK136" i="43"/>
  <c r="BK135" i="43"/>
  <c r="BK133" i="43"/>
  <c r="BH137" i="43"/>
  <c r="BH136" i="43"/>
  <c r="BH135" i="43"/>
  <c r="BC137" i="43"/>
  <c r="BB137" i="43"/>
  <c r="F36" i="45" s="1"/>
  <c r="AZ137" i="43"/>
  <c r="BA137" i="43" s="1"/>
  <c r="AY137" i="43"/>
  <c r="AW137" i="43"/>
  <c r="AV137" i="43"/>
  <c r="AU137" i="43" s="1"/>
  <c r="AS137" i="43"/>
  <c r="AR137" i="43" s="1"/>
  <c r="AN137" i="43"/>
  <c r="AN138" i="43" s="1"/>
  <c r="AK137" i="43"/>
  <c r="AK138" i="43" s="1"/>
  <c r="AI137" i="43"/>
  <c r="AJ137" i="43" s="1"/>
  <c r="AF188" i="43"/>
  <c r="BA136" i="43"/>
  <c r="BA188" i="43" s="1"/>
  <c r="BB188" i="43" s="1"/>
  <c r="BA135" i="43"/>
  <c r="BA132" i="43"/>
  <c r="AR136" i="43"/>
  <c r="AR132" i="43"/>
  <c r="AO136" i="43"/>
  <c r="AO135" i="43"/>
  <c r="AO133" i="43"/>
  <c r="AL136" i="43"/>
  <c r="AL135" i="43"/>
  <c r="AL134" i="43"/>
  <c r="AI136" i="43"/>
  <c r="AJ136" i="43" s="1"/>
  <c r="BC135" i="43"/>
  <c r="BC134" i="43"/>
  <c r="AW136" i="43"/>
  <c r="AW188" i="43" s="1"/>
  <c r="AV136" i="43"/>
  <c r="AU136" i="43" s="1"/>
  <c r="AW135" i="43"/>
  <c r="AX135" i="43" s="1"/>
  <c r="AV135" i="43"/>
  <c r="AU135" i="43" s="1"/>
  <c r="AS135" i="43"/>
  <c r="AR135" i="43" s="1"/>
  <c r="AS134" i="43"/>
  <c r="AJ135" i="43"/>
  <c r="BB133" i="43"/>
  <c r="AZ134" i="43"/>
  <c r="AZ187" i="43" s="1"/>
  <c r="AT134" i="43"/>
  <c r="AT187" i="43" s="1"/>
  <c r="AP134" i="43"/>
  <c r="AP151" i="43" s="1"/>
  <c r="AY133" i="43"/>
  <c r="AW133" i="43"/>
  <c r="AV133" i="43"/>
  <c r="AU133" i="43" s="1"/>
  <c r="AQ133" i="43"/>
  <c r="AR133" i="43" s="1"/>
  <c r="AW132" i="43"/>
  <c r="AV132" i="43"/>
  <c r="AN132" i="43"/>
  <c r="AW129" i="43"/>
  <c r="AV129" i="43"/>
  <c r="AL129" i="43"/>
  <c r="AM130" i="43" s="1"/>
  <c r="AI129" i="43"/>
  <c r="AF129" i="43"/>
  <c r="AD126" i="43"/>
  <c r="C32" i="45" s="1"/>
  <c r="BA125" i="43"/>
  <c r="AS125" i="43"/>
  <c r="AR125" i="43" s="1"/>
  <c r="AP125" i="43"/>
  <c r="AO125" i="43" s="1"/>
  <c r="AL125" i="43"/>
  <c r="AI125" i="43"/>
  <c r="AF125" i="43"/>
  <c r="AZ124" i="43"/>
  <c r="BA124" i="43" s="1"/>
  <c r="AW125" i="43"/>
  <c r="AX125" i="43" s="1"/>
  <c r="AV125" i="43"/>
  <c r="AU125" i="43" s="1"/>
  <c r="AW124" i="43"/>
  <c r="AX124" i="43" s="1"/>
  <c r="AV124" i="43"/>
  <c r="AT124" i="43"/>
  <c r="AS124" i="43"/>
  <c r="AQ124" i="43"/>
  <c r="AP124" i="43"/>
  <c r="AN124" i="43"/>
  <c r="AM124" i="43"/>
  <c r="BC125" i="43"/>
  <c r="BC124" i="43"/>
  <c r="AK124" i="43"/>
  <c r="AJ124" i="43"/>
  <c r="AH124" i="43"/>
  <c r="AG124" i="43"/>
  <c r="D30" i="45" s="1"/>
  <c r="AE124" i="43"/>
  <c r="AD124" i="43"/>
  <c r="C30" i="45" s="1"/>
  <c r="AH119" i="43"/>
  <c r="AG119" i="43"/>
  <c r="AE119" i="43"/>
  <c r="AD119" i="43"/>
  <c r="AF118" i="43"/>
  <c r="AF117" i="43"/>
  <c r="AS112" i="43"/>
  <c r="AQ112" i="43"/>
  <c r="AQ111" i="43" s="1"/>
  <c r="AP112" i="43"/>
  <c r="AN112" i="43"/>
  <c r="AK112" i="43"/>
  <c r="AL112" i="43" s="1"/>
  <c r="AI112" i="43"/>
  <c r="AI111" i="43" s="1"/>
  <c r="AF112" i="43"/>
  <c r="BC112" i="43"/>
  <c r="BB112" i="43"/>
  <c r="AZ112" i="43"/>
  <c r="AY112" i="43"/>
  <c r="AY108" i="43"/>
  <c r="AV108" i="43"/>
  <c r="AS108" i="43"/>
  <c r="AH108" i="43"/>
  <c r="CC80" i="43"/>
  <c r="CC79" i="43"/>
  <c r="BZ80" i="43"/>
  <c r="BZ79" i="43"/>
  <c r="BW80" i="43"/>
  <c r="BW79" i="43"/>
  <c r="BT80" i="43"/>
  <c r="BT79" i="43"/>
  <c r="BQ80" i="43"/>
  <c r="BQ79" i="43"/>
  <c r="BN80" i="43"/>
  <c r="BN79" i="43"/>
  <c r="BK80" i="43"/>
  <c r="BK79" i="43"/>
  <c r="I16" i="45" s="1"/>
  <c r="BH80" i="43"/>
  <c r="BH79" i="43"/>
  <c r="H16" i="45" s="1"/>
  <c r="BE79" i="43"/>
  <c r="BE80" i="43"/>
  <c r="AZ80" i="43"/>
  <c r="BA80" i="43" s="1"/>
  <c r="AW80" i="43"/>
  <c r="AX80" i="43" s="1"/>
  <c r="AV80" i="43"/>
  <c r="AT80" i="43"/>
  <c r="AR80" i="43"/>
  <c r="AR79" i="43"/>
  <c r="AO80" i="43"/>
  <c r="AO79" i="43"/>
  <c r="AL80" i="43"/>
  <c r="AL79" i="43"/>
  <c r="AI80" i="43"/>
  <c r="AI79" i="43"/>
  <c r="AF80" i="43"/>
  <c r="AF79" i="43"/>
  <c r="BA79" i="43"/>
  <c r="AY79" i="43"/>
  <c r="E16" i="45" s="1"/>
  <c r="AW79" i="43"/>
  <c r="AV79" i="43"/>
  <c r="AT79" i="43"/>
  <c r="BA76" i="43"/>
  <c r="AX76" i="43"/>
  <c r="AU76" i="43"/>
  <c r="BA70" i="43"/>
  <c r="BA69" i="43"/>
  <c r="BA112" i="43" s="1"/>
  <c r="AX70" i="43"/>
  <c r="AV70" i="43"/>
  <c r="AO70" i="43"/>
  <c r="AO69" i="43"/>
  <c r="AL70" i="43"/>
  <c r="AL69" i="43"/>
  <c r="AJ70" i="43"/>
  <c r="AF70" i="43"/>
  <c r="AF69" i="43"/>
  <c r="AR69" i="43"/>
  <c r="AW69" i="43"/>
  <c r="AV69" i="43"/>
  <c r="AL65" i="43"/>
  <c r="AL63" i="43"/>
  <c r="AL171" i="43" s="1"/>
  <c r="BC64" i="43"/>
  <c r="BB64" i="43"/>
  <c r="AZ64" i="43"/>
  <c r="AY64" i="43"/>
  <c r="AT64" i="43"/>
  <c r="AS64" i="43"/>
  <c r="AQ64" i="43"/>
  <c r="AP64" i="43"/>
  <c r="AN64" i="43"/>
  <c r="AK64" i="43"/>
  <c r="AH64" i="43"/>
  <c r="AH66" i="43" s="1"/>
  <c r="AG64" i="43"/>
  <c r="AE64" i="43"/>
  <c r="AE66" i="43" s="1"/>
  <c r="AD64" i="43"/>
  <c r="CB63" i="43"/>
  <c r="CA63" i="43"/>
  <c r="BY63" i="43"/>
  <c r="BX63" i="43"/>
  <c r="BV63" i="43"/>
  <c r="BU63" i="43"/>
  <c r="BS63" i="43"/>
  <c r="BR63" i="43"/>
  <c r="BP63" i="43"/>
  <c r="BO63" i="43"/>
  <c r="BM63" i="43"/>
  <c r="BJ63" i="43"/>
  <c r="BI63" i="43"/>
  <c r="BG63" i="43"/>
  <c r="BF63" i="43"/>
  <c r="BF171" i="43" s="1"/>
  <c r="BA63" i="43"/>
  <c r="BA171" i="43" s="1"/>
  <c r="AY63" i="43"/>
  <c r="AW63" i="43"/>
  <c r="AV63" i="43"/>
  <c r="AR63" i="43"/>
  <c r="AR171" i="43" s="1"/>
  <c r="AO63" i="43"/>
  <c r="AO171" i="43" s="1"/>
  <c r="AF63" i="43"/>
  <c r="AF171" i="43" s="1"/>
  <c r="AY56" i="43"/>
  <c r="AV56" i="43"/>
  <c r="AS56" i="43"/>
  <c r="AF56" i="43"/>
  <c r="BB50" i="43"/>
  <c r="AZ50" i="43"/>
  <c r="AY50" i="43"/>
  <c r="AW50" i="43"/>
  <c r="AV50" i="43"/>
  <c r="AT50" i="43"/>
  <c r="AS50" i="43"/>
  <c r="AP50" i="43"/>
  <c r="AN50" i="43"/>
  <c r="AK50" i="43"/>
  <c r="AJ50" i="43"/>
  <c r="AH50" i="43"/>
  <c r="AG50" i="43"/>
  <c r="D25" i="45" s="1"/>
  <c r="AE50" i="43"/>
  <c r="AD50" i="43"/>
  <c r="C25" i="45" s="1"/>
  <c r="BC49" i="43"/>
  <c r="BB49" i="43"/>
  <c r="AZ49" i="43"/>
  <c r="AY49" i="43"/>
  <c r="AW49" i="43"/>
  <c r="AT49" i="43"/>
  <c r="AS49" i="43"/>
  <c r="AQ49" i="43"/>
  <c r="AP49" i="43"/>
  <c r="AN49" i="43"/>
  <c r="AK49" i="43"/>
  <c r="AI49" i="43"/>
  <c r="AH49" i="43"/>
  <c r="AG49" i="43"/>
  <c r="D24" i="45" s="1"/>
  <c r="AF49" i="43"/>
  <c r="AE49" i="43"/>
  <c r="AD49" i="43"/>
  <c r="C24" i="45" s="1"/>
  <c r="BC48" i="43"/>
  <c r="BB48" i="43"/>
  <c r="AZ48" i="43"/>
  <c r="AY48" i="43"/>
  <c r="AT48" i="43"/>
  <c r="AS48" i="43"/>
  <c r="AQ48" i="43"/>
  <c r="AP48" i="43"/>
  <c r="AO48" i="43"/>
  <c r="AN48" i="43"/>
  <c r="AK48" i="43"/>
  <c r="AI48" i="43"/>
  <c r="AH48" i="43"/>
  <c r="AG48" i="43"/>
  <c r="D23" i="45" s="1"/>
  <c r="AF48" i="43"/>
  <c r="AE48" i="43"/>
  <c r="AD48" i="43"/>
  <c r="C23" i="45" s="1"/>
  <c r="BC40" i="43"/>
  <c r="BB40" i="43"/>
  <c r="AZ40" i="43"/>
  <c r="AY40" i="43"/>
  <c r="AT40" i="43"/>
  <c r="AS40" i="43"/>
  <c r="AR40" i="43"/>
  <c r="AQ40" i="43"/>
  <c r="AP40" i="43"/>
  <c r="AN40" i="43"/>
  <c r="AL40" i="43"/>
  <c r="AK40" i="43"/>
  <c r="AH40" i="43"/>
  <c r="AG40" i="43"/>
  <c r="AF40" i="43"/>
  <c r="AE40" i="43"/>
  <c r="AD40" i="43"/>
  <c r="BC39" i="43"/>
  <c r="BB39" i="43"/>
  <c r="AZ39" i="43"/>
  <c r="AY39" i="43"/>
  <c r="AW39" i="43"/>
  <c r="AT39" i="43"/>
  <c r="AS39" i="43"/>
  <c r="AR39" i="43"/>
  <c r="AQ39" i="43"/>
  <c r="AP39" i="43"/>
  <c r="AN39" i="43"/>
  <c r="AK39" i="43"/>
  <c r="AJ39" i="43"/>
  <c r="AH39" i="43"/>
  <c r="AG39" i="43"/>
  <c r="AE39" i="43"/>
  <c r="AD39" i="43"/>
  <c r="BC38" i="43"/>
  <c r="BB38" i="43"/>
  <c r="BA38" i="43"/>
  <c r="AZ38" i="43"/>
  <c r="AY38" i="43"/>
  <c r="AU38" i="43"/>
  <c r="AT38" i="43"/>
  <c r="AS38" i="43"/>
  <c r="AQ38" i="43"/>
  <c r="AP38" i="43"/>
  <c r="AN38" i="43"/>
  <c r="AK38" i="43"/>
  <c r="AI38" i="43"/>
  <c r="AH38" i="43"/>
  <c r="AG38" i="43"/>
  <c r="AF38" i="43"/>
  <c r="AE38" i="43"/>
  <c r="AD38" i="43"/>
  <c r="BA24" i="43"/>
  <c r="BA23" i="43"/>
  <c r="BA64" i="43" s="1"/>
  <c r="AW26" i="43"/>
  <c r="AU26" i="43"/>
  <c r="AR26" i="43"/>
  <c r="AR24" i="43"/>
  <c r="AR23" i="43"/>
  <c r="AR64" i="43" s="1"/>
  <c r="AO24" i="43"/>
  <c r="AO23" i="43"/>
  <c r="AO64" i="43" s="1"/>
  <c r="AL24" i="43"/>
  <c r="AM24" i="43" s="1"/>
  <c r="AL23" i="43"/>
  <c r="AL180" i="43" s="1"/>
  <c r="AF26" i="43"/>
  <c r="AF24" i="43"/>
  <c r="AF23" i="43"/>
  <c r="AF64" i="43" s="1"/>
  <c r="AM23" i="43"/>
  <c r="AM180" i="43" s="1"/>
  <c r="BF24" i="43"/>
  <c r="BG24" i="43" s="1"/>
  <c r="BH24" i="43" s="1"/>
  <c r="CB23" i="43"/>
  <c r="CB64" i="43" s="1"/>
  <c r="CA23" i="43"/>
  <c r="BY23" i="43"/>
  <c r="BY64" i="43" s="1"/>
  <c r="BX23" i="43"/>
  <c r="BX64" i="43" s="1"/>
  <c r="BV23" i="43"/>
  <c r="BV64" i="43" s="1"/>
  <c r="BU23" i="43"/>
  <c r="BU64" i="43" s="1"/>
  <c r="BS23" i="43"/>
  <c r="BR23" i="43"/>
  <c r="BR64" i="43" s="1"/>
  <c r="BP23" i="43"/>
  <c r="BP64" i="43" s="1"/>
  <c r="BO23" i="43"/>
  <c r="BM23" i="43"/>
  <c r="BM64" i="43" s="1"/>
  <c r="BJ23" i="43"/>
  <c r="BJ64" i="43" s="1"/>
  <c r="BI23" i="43"/>
  <c r="BI64" i="43" s="1"/>
  <c r="BG23" i="43"/>
  <c r="BF23" i="43"/>
  <c r="BF64" i="43" s="1"/>
  <c r="AW24" i="43"/>
  <c r="AV24" i="43"/>
  <c r="AW23" i="43"/>
  <c r="AV23" i="43"/>
  <c r="AV180" i="43" s="1"/>
  <c r="AI24" i="43"/>
  <c r="AJ24" i="43" s="1"/>
  <c r="AJ23" i="43"/>
  <c r="AJ64" i="43" s="1"/>
  <c r="BD17" i="43"/>
  <c r="BC17" i="43"/>
  <c r="BB17" i="43"/>
  <c r="BA17" i="43"/>
  <c r="AZ17" i="43"/>
  <c r="AU17" i="43"/>
  <c r="AS17" i="43"/>
  <c r="AR17" i="43"/>
  <c r="AQ17" i="43"/>
  <c r="AP17" i="43"/>
  <c r="AN17" i="43"/>
  <c r="AK17" i="43"/>
  <c r="AJ17" i="43"/>
  <c r="AH17" i="43"/>
  <c r="AG17" i="43"/>
  <c r="AF17" i="43"/>
  <c r="AE17" i="43"/>
  <c r="AD17" i="43"/>
  <c r="BC16" i="43"/>
  <c r="BB16" i="43"/>
  <c r="AZ16" i="43"/>
  <c r="AY16" i="43"/>
  <c r="AV16" i="43"/>
  <c r="AT16" i="43"/>
  <c r="AS16" i="43"/>
  <c r="AQ16" i="43"/>
  <c r="AP16" i="43"/>
  <c r="AO16" i="43"/>
  <c r="AN16" i="43"/>
  <c r="AM16" i="43"/>
  <c r="AK16" i="43"/>
  <c r="AJ16" i="43"/>
  <c r="AI16" i="43"/>
  <c r="AH16" i="43"/>
  <c r="AG16" i="43"/>
  <c r="AF16" i="43"/>
  <c r="AE16" i="43"/>
  <c r="AD16" i="43"/>
  <c r="AN14" i="43"/>
  <c r="AM14" i="43"/>
  <c r="AL14" i="43"/>
  <c r="AK14" i="43"/>
  <c r="AJ14" i="43"/>
  <c r="AI14" i="43"/>
  <c r="AH14" i="43"/>
  <c r="AG14" i="43"/>
  <c r="AF14" i="43"/>
  <c r="AE14" i="43"/>
  <c r="AD14" i="43"/>
  <c r="BB13" i="43"/>
  <c r="AQ13" i="43"/>
  <c r="AN13" i="43"/>
  <c r="AM13" i="43"/>
  <c r="AL13" i="43"/>
  <c r="AK13" i="43"/>
  <c r="AJ13" i="43"/>
  <c r="AI13" i="43"/>
  <c r="AH13" i="43"/>
  <c r="AG13" i="43"/>
  <c r="AF13" i="43"/>
  <c r="AE13" i="43"/>
  <c r="AD13" i="43"/>
  <c r="BB12" i="43"/>
  <c r="AY12" i="43"/>
  <c r="AQ12" i="43"/>
  <c r="AN12" i="43"/>
  <c r="AM12" i="43"/>
  <c r="AL12" i="43"/>
  <c r="AK12" i="43"/>
  <c r="AJ12" i="43"/>
  <c r="AI12" i="43"/>
  <c r="AH12" i="43"/>
  <c r="AG12" i="43"/>
  <c r="AF12" i="43"/>
  <c r="AE12" i="43"/>
  <c r="AD12" i="43"/>
  <c r="CC6" i="43"/>
  <c r="CC3" i="75" s="1"/>
  <c r="CB6" i="43"/>
  <c r="CB3" i="75" s="1"/>
  <c r="CA6" i="43"/>
  <c r="CA3" i="75" s="1"/>
  <c r="BZ6" i="43"/>
  <c r="BZ3" i="75" s="1"/>
  <c r="BY6" i="43"/>
  <c r="BY3" i="75" s="1"/>
  <c r="BX6" i="43"/>
  <c r="BX3" i="75" s="1"/>
  <c r="BW6" i="43"/>
  <c r="BW3" i="75" s="1"/>
  <c r="BV6" i="43"/>
  <c r="BV3" i="75" s="1"/>
  <c r="BU6" i="43"/>
  <c r="BU3" i="75" s="1"/>
  <c r="BT6" i="43"/>
  <c r="BT3" i="75" s="1"/>
  <c r="BS6" i="43"/>
  <c r="BS3" i="75" s="1"/>
  <c r="BR6" i="43"/>
  <c r="BR3" i="75" s="1"/>
  <c r="BQ6" i="43"/>
  <c r="BQ3" i="75" s="1"/>
  <c r="BP6" i="43"/>
  <c r="BP3" i="75" s="1"/>
  <c r="BO6" i="43"/>
  <c r="BO3" i="75" s="1"/>
  <c r="BN6" i="43"/>
  <c r="BN3" i="75" s="1"/>
  <c r="BM6" i="43"/>
  <c r="BM3" i="75" s="1"/>
  <c r="BK6" i="43"/>
  <c r="BK3" i="75" s="1"/>
  <c r="BJ6" i="43"/>
  <c r="BJ3" i="75" s="1"/>
  <c r="BI6" i="43"/>
  <c r="BI3" i="75" s="1"/>
  <c r="BH6" i="43"/>
  <c r="BH3" i="75" s="1"/>
  <c r="BG6" i="43"/>
  <c r="BG3" i="75" s="1"/>
  <c r="BF6" i="43"/>
  <c r="BF3" i="75" s="1"/>
  <c r="BE6" i="43"/>
  <c r="BE3" i="75" s="1"/>
  <c r="BD6" i="43"/>
  <c r="BD3" i="75" s="1"/>
  <c r="BC6" i="43"/>
  <c r="BC3" i="75" s="1"/>
  <c r="BB6" i="43"/>
  <c r="BB3" i="75" s="1"/>
  <c r="BA6" i="43"/>
  <c r="BA3" i="75" s="1"/>
  <c r="AZ6" i="43"/>
  <c r="AZ3" i="75" s="1"/>
  <c r="AY6" i="43"/>
  <c r="AY3" i="75" s="1"/>
  <c r="AX6" i="43"/>
  <c r="AX3" i="75" s="1"/>
  <c r="AW6" i="43"/>
  <c r="AW3" i="75" s="1"/>
  <c r="AV6" i="43"/>
  <c r="AV3" i="75" s="1"/>
  <c r="AU6" i="43"/>
  <c r="AU3" i="75" s="1"/>
  <c r="AT6" i="43"/>
  <c r="AT3" i="75" s="1"/>
  <c r="AS6" i="43"/>
  <c r="AS3" i="75" s="1"/>
  <c r="AR6" i="43"/>
  <c r="AR3" i="75" s="1"/>
  <c r="AQ6" i="43"/>
  <c r="AQ3" i="75" s="1"/>
  <c r="AP6" i="43"/>
  <c r="AP3" i="75" s="1"/>
  <c r="AO6" i="43"/>
  <c r="AO3" i="75" s="1"/>
  <c r="AN6" i="43"/>
  <c r="AN3" i="75" s="1"/>
  <c r="AM6" i="43"/>
  <c r="AM3" i="75" s="1"/>
  <c r="AL6" i="43"/>
  <c r="AL3" i="75" s="1"/>
  <c r="AK6" i="43"/>
  <c r="AK3" i="75" s="1"/>
  <c r="AJ6" i="43"/>
  <c r="AJ3" i="75" s="1"/>
  <c r="AI6" i="43"/>
  <c r="AI3" i="75" s="1"/>
  <c r="AH6" i="43"/>
  <c r="AH3" i="75" s="1"/>
  <c r="AG6" i="43"/>
  <c r="AG3" i="75" s="1"/>
  <c r="AF6" i="43"/>
  <c r="AF3" i="75" s="1"/>
  <c r="AE6" i="43"/>
  <c r="AE3" i="75" s="1"/>
  <c r="AD6" i="43"/>
  <c r="AD3" i="75" s="1"/>
  <c r="BE171" i="43" l="1"/>
  <c r="BE170" i="43" s="1"/>
  <c r="BD171" i="43"/>
  <c r="BD170" i="43" s="1"/>
  <c r="F59" i="44"/>
  <c r="AL38" i="43"/>
  <c r="BI40" i="43"/>
  <c r="AL48" i="43"/>
  <c r="AP14" i="43"/>
  <c r="AP88" i="43" s="1"/>
  <c r="AZ56" i="43"/>
  <c r="AZ108" i="43"/>
  <c r="AO13" i="43"/>
  <c r="AL17" i="43"/>
  <c r="AO91" i="43" s="1"/>
  <c r="AJ38" i="43"/>
  <c r="AJ41" i="43" s="1"/>
  <c r="AJ334" i="43" s="1"/>
  <c r="AV38" i="43"/>
  <c r="AI39" i="43"/>
  <c r="AW40" i="43"/>
  <c r="AW48" i="43"/>
  <c r="AL49" i="43"/>
  <c r="AI50" i="43"/>
  <c r="AN56" i="43"/>
  <c r="AD15" i="15"/>
  <c r="AV90" i="15"/>
  <c r="AV12" i="43" s="1"/>
  <c r="AR160" i="15"/>
  <c r="AT185" i="15"/>
  <c r="AT8" i="15" s="1"/>
  <c r="AX102" i="15"/>
  <c r="AX14" i="43" s="1"/>
  <c r="AW14" i="43"/>
  <c r="AP13" i="43"/>
  <c r="AS87" i="43" s="1"/>
  <c r="AW16" i="43"/>
  <c r="AW90" i="43" s="1"/>
  <c r="AW38" i="43"/>
  <c r="BA40" i="43"/>
  <c r="BA41" i="43" s="1"/>
  <c r="BA195" i="43" s="1"/>
  <c r="AW90" i="15"/>
  <c r="AW12" i="43" s="1"/>
  <c r="AZ86" i="43" s="1"/>
  <c r="AZ100" i="15"/>
  <c r="AZ99" i="15" s="1"/>
  <c r="AU124" i="43"/>
  <c r="AR145" i="15"/>
  <c r="AR114" i="15" s="1"/>
  <c r="AR138" i="15" s="1"/>
  <c r="AY166" i="15"/>
  <c r="AP12" i="43"/>
  <c r="AZ13" i="43"/>
  <c r="AQ14" i="43"/>
  <c r="AQ88" i="43" s="1"/>
  <c r="AL16" i="43"/>
  <c r="AR16" i="43"/>
  <c r="AU90" i="43" s="1"/>
  <c r="AI17" i="43"/>
  <c r="AL39" i="43"/>
  <c r="AI40" i="43"/>
  <c r="BF40" i="43"/>
  <c r="AV48" i="43"/>
  <c r="AL50" i="43"/>
  <c r="AQ50" i="43"/>
  <c r="AQ99" i="43" s="1"/>
  <c r="AK56" i="43"/>
  <c r="AP56" i="43"/>
  <c r="BB56" i="43"/>
  <c r="AH9" i="15"/>
  <c r="AE15" i="15"/>
  <c r="AH15" i="15"/>
  <c r="AV96" i="15"/>
  <c r="AV13" i="43" s="1"/>
  <c r="AY87" i="43" s="1"/>
  <c r="AV102" i="15"/>
  <c r="AV14" i="43" s="1"/>
  <c r="AY88" i="43" s="1"/>
  <c r="AW112" i="15"/>
  <c r="AW113" i="15" s="1"/>
  <c r="AV114" i="15"/>
  <c r="AY116" i="15" s="1"/>
  <c r="AJ194" i="15"/>
  <c r="AV160" i="15"/>
  <c r="AV245" i="15" s="1"/>
  <c r="AF189" i="15"/>
  <c r="AF11" i="15" s="1"/>
  <c r="AE195" i="15"/>
  <c r="AE16" i="15" s="1"/>
  <c r="AE17" i="15" s="1"/>
  <c r="AZ94" i="43"/>
  <c r="AW94" i="43"/>
  <c r="AR203" i="43"/>
  <c r="AO224" i="43"/>
  <c r="AV287" i="43"/>
  <c r="F24" i="45"/>
  <c r="BB102" i="15"/>
  <c r="AY204" i="15"/>
  <c r="AY216" i="15" s="1"/>
  <c r="AX225" i="43"/>
  <c r="AU94" i="43"/>
  <c r="G16" i="45"/>
  <c r="AR112" i="43"/>
  <c r="C19" i="45"/>
  <c r="AD66" i="43"/>
  <c r="C11" i="45" s="1"/>
  <c r="AG66" i="43"/>
  <c r="D11" i="45" s="1"/>
  <c r="AF204" i="43"/>
  <c r="AJ225" i="43"/>
  <c r="AR157" i="43"/>
  <c r="AD20" i="15"/>
  <c r="AX96" i="15"/>
  <c r="AX13" i="43" s="1"/>
  <c r="AV116" i="15"/>
  <c r="BO193" i="15"/>
  <c r="BL40" i="43"/>
  <c r="AU80" i="43"/>
  <c r="AF119" i="43"/>
  <c r="AL124" i="43"/>
  <c r="AO124" i="43"/>
  <c r="AW134" i="43"/>
  <c r="AX133" i="43"/>
  <c r="AT179" i="43"/>
  <c r="AZ179" i="43"/>
  <c r="BA179" i="43" s="1"/>
  <c r="AP178" i="43"/>
  <c r="AR231" i="43"/>
  <c r="AU239" i="43"/>
  <c r="AU342" i="43" s="1"/>
  <c r="AL156" i="43"/>
  <c r="AL177" i="43" s="1"/>
  <c r="AL178" i="43" s="1"/>
  <c r="AL179" i="43" s="1"/>
  <c r="AU23" i="43"/>
  <c r="AU180" i="43" s="1"/>
  <c r="AJ138" i="43"/>
  <c r="AM344" i="43"/>
  <c r="AL142" i="43"/>
  <c r="AL144" i="43"/>
  <c r="AL228" i="43" s="1"/>
  <c r="AL157" i="43" s="1"/>
  <c r="AG146" i="43"/>
  <c r="AG149" i="43" s="1"/>
  <c r="AG150" i="43" s="1"/>
  <c r="AX79" i="43"/>
  <c r="AG130" i="43"/>
  <c r="AR134" i="43"/>
  <c r="AR138" i="43" s="1"/>
  <c r="AX136" i="43"/>
  <c r="AX188" i="43" s="1"/>
  <c r="AY188" i="43" s="1"/>
  <c r="AO137" i="43"/>
  <c r="AF144" i="43"/>
  <c r="AF146" i="43" s="1"/>
  <c r="AE159" i="43"/>
  <c r="AS159" i="43"/>
  <c r="AS270" i="43" s="1"/>
  <c r="AV157" i="43"/>
  <c r="AV159" i="43" s="1"/>
  <c r="AE178" i="43"/>
  <c r="AE179" i="43" s="1"/>
  <c r="AW178" i="43"/>
  <c r="BC178" i="43"/>
  <c r="AL204" i="43"/>
  <c r="AO215" i="43"/>
  <c r="AR215" i="43"/>
  <c r="AE217" i="43"/>
  <c r="AW225" i="43"/>
  <c r="AU157" i="43"/>
  <c r="BF231" i="43"/>
  <c r="BG231" i="43" s="1"/>
  <c r="BH231" i="43" s="1"/>
  <c r="BI231" i="43" s="1"/>
  <c r="BJ231" i="43" s="1"/>
  <c r="BK231" i="43" s="1"/>
  <c r="G67" i="45"/>
  <c r="AF231" i="43"/>
  <c r="BF242" i="43"/>
  <c r="BG242" i="43" s="1"/>
  <c r="BH242" i="43" s="1"/>
  <c r="G74" i="45"/>
  <c r="AF244" i="43"/>
  <c r="AG246" i="43" s="1"/>
  <c r="AJ307" i="43"/>
  <c r="BB307" i="43"/>
  <c r="AF318" i="43"/>
  <c r="AF320" i="43" s="1"/>
  <c r="AE328" i="43"/>
  <c r="AI23" i="43"/>
  <c r="AI64" i="43" s="1"/>
  <c r="AF33" i="43"/>
  <c r="AQ66" i="43"/>
  <c r="BH143" i="43"/>
  <c r="H39" i="45" s="1"/>
  <c r="BK143" i="43"/>
  <c r="G56" i="44" s="1"/>
  <c r="BN143" i="43"/>
  <c r="H56" i="44" s="1"/>
  <c r="BQ143" i="43"/>
  <c r="I56" i="44" s="1"/>
  <c r="BT143" i="43"/>
  <c r="J56" i="44" s="1"/>
  <c r="BW143" i="43"/>
  <c r="K56" i="44" s="1"/>
  <c r="BZ143" i="43"/>
  <c r="L56" i="44" s="1"/>
  <c r="CC143" i="43"/>
  <c r="M56" i="44" s="1"/>
  <c r="AY179" i="43"/>
  <c r="AQ217" i="43"/>
  <c r="AZ217" i="43"/>
  <c r="BC217" i="43"/>
  <c r="BC66" i="43"/>
  <c r="AQ149" i="43"/>
  <c r="AZ234" i="43"/>
  <c r="AQ39" i="15"/>
  <c r="AQ92" i="15" s="1"/>
  <c r="BJ176" i="15"/>
  <c r="BJ17" i="43" s="1"/>
  <c r="BG17" i="43"/>
  <c r="AD12" i="15"/>
  <c r="AG20" i="15"/>
  <c r="AJ145" i="15"/>
  <c r="AX188" i="15"/>
  <c r="AX50" i="43" s="1"/>
  <c r="AN13" i="15"/>
  <c r="AP88" i="15"/>
  <c r="BB114" i="15"/>
  <c r="BB117" i="15" s="1"/>
  <c r="BB100" i="15"/>
  <c r="BB99" i="15" s="1"/>
  <c r="AM166" i="15"/>
  <c r="AM49" i="43"/>
  <c r="BF181" i="15"/>
  <c r="BG181" i="15" s="1"/>
  <c r="BA96" i="15"/>
  <c r="BA13" i="43" s="1"/>
  <c r="BA87" i="43" s="1"/>
  <c r="AQ145" i="15"/>
  <c r="AO166" i="15"/>
  <c r="AG12" i="15"/>
  <c r="AX156" i="15"/>
  <c r="AX16" i="43" s="1"/>
  <c r="BA90" i="43" s="1"/>
  <c r="AZ165" i="15"/>
  <c r="BC165" i="15" s="1"/>
  <c r="BF165" i="15" s="1"/>
  <c r="BI165" i="15" s="1"/>
  <c r="BL165" i="15" s="1"/>
  <c r="BO165" i="15" s="1"/>
  <c r="BR165" i="15" s="1"/>
  <c r="BU165" i="15" s="1"/>
  <c r="BX165" i="15" s="1"/>
  <c r="CA165" i="15" s="1"/>
  <c r="AH13" i="15"/>
  <c r="AF145" i="15"/>
  <c r="AW41" i="43"/>
  <c r="AW334" i="43" s="1"/>
  <c r="BC108" i="43"/>
  <c r="BC114" i="15"/>
  <c r="BC138" i="15" s="1"/>
  <c r="BC56" i="43"/>
  <c r="AL165" i="15"/>
  <c r="AM162" i="15"/>
  <c r="AM178" i="15" s="1"/>
  <c r="AI170" i="15"/>
  <c r="AJ169" i="15"/>
  <c r="AE12" i="15"/>
  <c r="AZ12" i="15"/>
  <c r="BA90" i="15"/>
  <c r="BA12" i="43" s="1"/>
  <c r="AL179" i="15"/>
  <c r="AL29" i="43"/>
  <c r="AL31" i="43" s="1"/>
  <c r="AV179" i="15"/>
  <c r="AV29" i="43"/>
  <c r="AV31" i="43" s="1"/>
  <c r="AV33" i="43" s="1"/>
  <c r="AE115" i="15"/>
  <c r="AN170" i="15"/>
  <c r="AD195" i="15"/>
  <c r="AD16" i="15" s="1"/>
  <c r="AD17" i="15" s="1"/>
  <c r="AK190" i="15"/>
  <c r="AK195" i="15"/>
  <c r="AK16" i="15" s="1"/>
  <c r="AT13" i="15"/>
  <c r="AM99" i="15"/>
  <c r="AR102" i="15"/>
  <c r="AR14" i="43" s="1"/>
  <c r="AW109" i="15"/>
  <c r="AM111" i="15"/>
  <c r="AM242" i="15" s="1"/>
  <c r="AW179" i="15"/>
  <c r="AW29" i="43"/>
  <c r="AW31" i="43" s="1"/>
  <c r="AF112" i="15"/>
  <c r="AF148" i="15" s="1"/>
  <c r="AT113" i="15"/>
  <c r="BC192" i="15"/>
  <c r="AX164" i="15"/>
  <c r="AX49" i="43" s="1"/>
  <c r="AV166" i="15"/>
  <c r="AN190" i="15"/>
  <c r="AK13" i="15"/>
  <c r="AM92" i="15"/>
  <c r="AM93" i="15" s="1"/>
  <c r="AS106" i="15"/>
  <c r="AO179" i="15"/>
  <c r="AO29" i="43"/>
  <c r="AO31" i="43" s="1"/>
  <c r="AX179" i="15"/>
  <c r="AX29" i="43"/>
  <c r="AJ111" i="15"/>
  <c r="AJ29" i="43" s="1"/>
  <c r="AJ31" i="43" s="1"/>
  <c r="AI29" i="43"/>
  <c r="AI31" i="43" s="1"/>
  <c r="AT190" i="15"/>
  <c r="AM158" i="15"/>
  <c r="AM159" i="15" s="1"/>
  <c r="AI160" i="15"/>
  <c r="AJ159" i="15"/>
  <c r="AX161" i="15"/>
  <c r="BA169" i="15"/>
  <c r="AF169" i="15"/>
  <c r="AJ93" i="15"/>
  <c r="AR179" i="15"/>
  <c r="AR29" i="43"/>
  <c r="AR31" i="43" s="1"/>
  <c r="AR33" i="43" s="1"/>
  <c r="BA179" i="15"/>
  <c r="BA29" i="43"/>
  <c r="BA31" i="43" s="1"/>
  <c r="AK112" i="15"/>
  <c r="AK113" i="15" s="1"/>
  <c r="AN116" i="15"/>
  <c r="AD138" i="15"/>
  <c r="AD139" i="15" s="1"/>
  <c r="AO145" i="15"/>
  <c r="AP162" i="15"/>
  <c r="AP165" i="15" s="1"/>
  <c r="AO160" i="15"/>
  <c r="AY160" i="15"/>
  <c r="AY245" i="15" s="1"/>
  <c r="AU161" i="15"/>
  <c r="AL169" i="15"/>
  <c r="AM169" i="15" s="1"/>
  <c r="AM170" i="15" s="1"/>
  <c r="AK170" i="15"/>
  <c r="AZ170" i="15"/>
  <c r="BF221" i="43"/>
  <c r="BG221" i="43" s="1"/>
  <c r="BH221" i="43" s="1"/>
  <c r="H59" i="45" s="1"/>
  <c r="BF223" i="43"/>
  <c r="BG223" i="43" s="1"/>
  <c r="BH223" i="43" s="1"/>
  <c r="H61" i="45" s="1"/>
  <c r="BF222" i="43"/>
  <c r="BG222" i="43" s="1"/>
  <c r="BH222" i="43" s="1"/>
  <c r="BI222" i="43" s="1"/>
  <c r="BJ222" i="43" s="1"/>
  <c r="BK222" i="43" s="1"/>
  <c r="G60" i="45"/>
  <c r="C37" i="45"/>
  <c r="O56" i="45"/>
  <c r="D36" i="44"/>
  <c r="D44" i="44" s="1"/>
  <c r="D37" i="45"/>
  <c r="BK63" i="43"/>
  <c r="BW63" i="43"/>
  <c r="BV66" i="43"/>
  <c r="BV124" i="43" s="1"/>
  <c r="R56" i="45"/>
  <c r="AO36" i="15"/>
  <c r="AO92" i="15" s="1"/>
  <c r="BA36" i="15"/>
  <c r="BD36" i="15"/>
  <c r="BP36" i="15"/>
  <c r="BP92" i="15" s="1"/>
  <c r="BV36" i="15"/>
  <c r="BV92" i="15" s="1"/>
  <c r="CB36" i="15"/>
  <c r="AS39" i="15"/>
  <c r="AS205" i="15" s="1"/>
  <c r="BR39" i="15"/>
  <c r="BR158" i="15" s="1"/>
  <c r="BR160" i="15" s="1"/>
  <c r="BZ39" i="15"/>
  <c r="AR39" i="15"/>
  <c r="AR158" i="15" s="1"/>
  <c r="AS207" i="15"/>
  <c r="P58" i="45"/>
  <c r="Q58" i="45"/>
  <c r="R58" i="45"/>
  <c r="S58" i="45"/>
  <c r="T58" i="45"/>
  <c r="AV208" i="15"/>
  <c r="AY208" i="15"/>
  <c r="P60" i="45"/>
  <c r="T60" i="45"/>
  <c r="AT36" i="15"/>
  <c r="BX36" i="15"/>
  <c r="BX92" i="15" s="1"/>
  <c r="AZ39" i="15"/>
  <c r="AZ158" i="15" s="1"/>
  <c r="AZ159" i="15" s="1"/>
  <c r="BL39" i="15"/>
  <c r="BL104" i="15" s="1"/>
  <c r="AW36" i="15"/>
  <c r="BF36" i="15"/>
  <c r="BF92" i="15" s="1"/>
  <c r="BL36" i="15"/>
  <c r="BL92" i="15" s="1"/>
  <c r="BL94" i="15" s="1"/>
  <c r="AR36" i="15"/>
  <c r="BX39" i="15"/>
  <c r="BX158" i="15" s="1"/>
  <c r="BX160" i="15" s="1"/>
  <c r="P56" i="45"/>
  <c r="BI36" i="15"/>
  <c r="BI92" i="15" s="1"/>
  <c r="T56" i="45"/>
  <c r="BS36" i="15"/>
  <c r="BS92" i="15" s="1"/>
  <c r="BJ39" i="15"/>
  <c r="BJ158" i="15" s="1"/>
  <c r="BJ160" i="15" s="1"/>
  <c r="S59" i="45"/>
  <c r="AN36" i="15"/>
  <c r="AP36" i="15"/>
  <c r="AU36" i="15"/>
  <c r="AX36" i="15"/>
  <c r="AZ36" i="15"/>
  <c r="BG36" i="15"/>
  <c r="BG92" i="15" s="1"/>
  <c r="BJ36" i="15"/>
  <c r="BJ92" i="15" s="1"/>
  <c r="BJ94" i="15" s="1"/>
  <c r="AX39" i="15"/>
  <c r="AX158" i="15" s="1"/>
  <c r="AY39" i="15"/>
  <c r="AY205" i="15" s="1"/>
  <c r="BD39" i="15"/>
  <c r="BD16" i="43" s="1"/>
  <c r="BD90" i="43" s="1"/>
  <c r="AV207" i="15"/>
  <c r="T59" i="45"/>
  <c r="S60" i="45"/>
  <c r="BM36" i="15"/>
  <c r="BM92" i="15" s="1"/>
  <c r="BR36" i="15"/>
  <c r="BR92" i="15" s="1"/>
  <c r="BU36" i="15"/>
  <c r="BU92" i="15" s="1"/>
  <c r="BY36" i="15"/>
  <c r="BY92" i="15" s="1"/>
  <c r="BY94" i="15" s="1"/>
  <c r="AQ158" i="15"/>
  <c r="AQ159" i="15" s="1"/>
  <c r="AT39" i="15"/>
  <c r="AT158" i="15" s="1"/>
  <c r="AT159" i="15" s="1"/>
  <c r="AW39" i="15"/>
  <c r="AW158" i="15" s="1"/>
  <c r="AY158" i="15" s="1"/>
  <c r="BA39" i="15"/>
  <c r="BA158" i="15" s="1"/>
  <c r="BC39" i="15"/>
  <c r="BC158" i="15" s="1"/>
  <c r="BC160" i="15" s="1"/>
  <c r="BF39" i="15"/>
  <c r="BF158" i="15" s="1"/>
  <c r="BF160" i="15" s="1"/>
  <c r="BF156" i="15" s="1"/>
  <c r="BI39" i="15"/>
  <c r="BI158" i="15" s="1"/>
  <c r="BI160" i="15" s="1"/>
  <c r="BM39" i="15"/>
  <c r="BM158" i="15" s="1"/>
  <c r="BM160" i="15" s="1"/>
  <c r="BO39" i="15"/>
  <c r="BO158" i="15" s="1"/>
  <c r="BO160" i="15" s="1"/>
  <c r="BU39" i="15"/>
  <c r="BU158" i="15" s="1"/>
  <c r="BU160" i="15" s="1"/>
  <c r="BY39" i="15"/>
  <c r="BY158" i="15" s="1"/>
  <c r="BY160" i="15" s="1"/>
  <c r="CA39" i="15"/>
  <c r="CA158" i="15" s="1"/>
  <c r="CA160" i="15" s="1"/>
  <c r="AO158" i="15"/>
  <c r="AO159" i="15" s="1"/>
  <c r="Q60" i="45"/>
  <c r="R60" i="45"/>
  <c r="AF217" i="43"/>
  <c r="AU24" i="43"/>
  <c r="AX24" i="43"/>
  <c r="AZ41" i="43"/>
  <c r="AU40" i="43"/>
  <c r="AZ51" i="43"/>
  <c r="AZ54" i="43" s="1"/>
  <c r="AY171" i="43"/>
  <c r="AN66" i="43"/>
  <c r="AT66" i="43"/>
  <c r="AZ66" i="43"/>
  <c r="AY66" i="43"/>
  <c r="AU69" i="43"/>
  <c r="AI69" i="43"/>
  <c r="AR124" i="43"/>
  <c r="AF124" i="43"/>
  <c r="BB134" i="43"/>
  <c r="AS138" i="43"/>
  <c r="AX137" i="43"/>
  <c r="E36" i="45"/>
  <c r="H36" i="45"/>
  <c r="I36" i="45"/>
  <c r="AH149" i="43"/>
  <c r="AD146" i="43"/>
  <c r="AD149" i="43" s="1"/>
  <c r="C40" i="45"/>
  <c r="C42" i="45" s="1"/>
  <c r="AI144" i="43"/>
  <c r="AI228" i="43" s="1"/>
  <c r="AI232" i="43" s="1"/>
  <c r="AI234" i="43" s="1"/>
  <c r="AO156" i="43"/>
  <c r="AO177" i="43" s="1"/>
  <c r="AO178" i="43" s="1"/>
  <c r="AO179" i="43" s="1"/>
  <c r="AR178" i="43"/>
  <c r="AR179" i="43" s="1"/>
  <c r="BA178" i="43"/>
  <c r="AF159" i="43"/>
  <c r="AM167" i="43"/>
  <c r="AL167" i="43" s="1"/>
  <c r="AP167" i="43"/>
  <c r="AO167" i="43" s="1"/>
  <c r="AY159" i="43"/>
  <c r="P40" i="45" s="1"/>
  <c r="AF167" i="43"/>
  <c r="AV167" i="43"/>
  <c r="AW166" i="43" s="1"/>
  <c r="AW169" i="43" s="1"/>
  <c r="AI171" i="43"/>
  <c r="AI173" i="43" s="1"/>
  <c r="AN178" i="43"/>
  <c r="AN179" i="43" s="1"/>
  <c r="AQ178" i="43"/>
  <c r="AQ179" i="43" s="1"/>
  <c r="AV178" i="43"/>
  <c r="AV179" i="43" s="1"/>
  <c r="BB178" i="43"/>
  <c r="AW204" i="43"/>
  <c r="AU201" i="43"/>
  <c r="AU259" i="43" s="1"/>
  <c r="AU202" i="43"/>
  <c r="AU258" i="43" s="1"/>
  <c r="AO203" i="43"/>
  <c r="AO204" i="43" s="1"/>
  <c r="AV215" i="43"/>
  <c r="AX215" i="43"/>
  <c r="BF208" i="43"/>
  <c r="BG208" i="43" s="1"/>
  <c r="BH208" i="43" s="1"/>
  <c r="BF211" i="43"/>
  <c r="BG211" i="43" s="1"/>
  <c r="BH211" i="43" s="1"/>
  <c r="BF213" i="43"/>
  <c r="BG213" i="43" s="1"/>
  <c r="BH213" i="43" s="1"/>
  <c r="AD217" i="43"/>
  <c r="AH217" i="43"/>
  <c r="AY217" i="43"/>
  <c r="BB217" i="43"/>
  <c r="BI221" i="43"/>
  <c r="BJ221" i="43" s="1"/>
  <c r="BK221" i="43" s="1"/>
  <c r="BL221" i="43" s="1"/>
  <c r="AW33" i="43"/>
  <c r="AW171" i="43"/>
  <c r="AW173" i="43" s="1"/>
  <c r="AK66" i="43"/>
  <c r="AP66" i="43"/>
  <c r="AS66" i="43"/>
  <c r="BB66" i="43"/>
  <c r="AW112" i="43"/>
  <c r="BA133" i="43"/>
  <c r="AN232" i="43"/>
  <c r="AN234" i="43" s="1"/>
  <c r="AY146" i="43"/>
  <c r="E41" i="45"/>
  <c r="AQ159" i="43"/>
  <c r="AQ268" i="43" s="1"/>
  <c r="AZ159" i="43"/>
  <c r="AZ269" i="43" s="1"/>
  <c r="AQ167" i="43"/>
  <c r="AR166" i="43" s="1"/>
  <c r="AZ167" i="43"/>
  <c r="BA166" i="43" s="1"/>
  <c r="AG178" i="43"/>
  <c r="AG179" i="43" s="1"/>
  <c r="AV204" i="43"/>
  <c r="BF203" i="43"/>
  <c r="BG203" i="43" s="1"/>
  <c r="BH203" i="43" s="1"/>
  <c r="AG217" i="43"/>
  <c r="AK217" i="43"/>
  <c r="AN217" i="43"/>
  <c r="AT217" i="43"/>
  <c r="AM217" i="43"/>
  <c r="AV225" i="43"/>
  <c r="BF224" i="43"/>
  <c r="BG224" i="43" s="1"/>
  <c r="BH224" i="43" s="1"/>
  <c r="AK234" i="43"/>
  <c r="AR222" i="43"/>
  <c r="AR225" i="43" s="1"/>
  <c r="BF229" i="43"/>
  <c r="BG229" i="43" s="1"/>
  <c r="BH229" i="43" s="1"/>
  <c r="AH324" i="43"/>
  <c r="AI281" i="43"/>
  <c r="AI284" i="43" s="1"/>
  <c r="F19" i="45"/>
  <c r="AW232" i="43"/>
  <c r="AW234" i="43" s="1"/>
  <c r="BF230" i="43"/>
  <c r="BG230" i="43" s="1"/>
  <c r="BH230" i="43" s="1"/>
  <c r="AR232" i="43"/>
  <c r="AO231" i="43"/>
  <c r="AO232" i="43" s="1"/>
  <c r="AV232" i="43"/>
  <c r="AG232" i="43"/>
  <c r="AF232" i="43" s="1"/>
  <c r="BC234" i="43"/>
  <c r="AL244" i="43"/>
  <c r="AM246" i="43" s="1"/>
  <c r="AM261" i="43"/>
  <c r="AP263" i="43" s="1"/>
  <c r="AP126" i="43" s="1"/>
  <c r="BB261" i="43"/>
  <c r="AH286" i="43"/>
  <c r="AH287" i="43" s="1"/>
  <c r="AO309" i="43"/>
  <c r="AK309" i="43"/>
  <c r="C67" i="45"/>
  <c r="C68" i="45" s="1"/>
  <c r="H74" i="45"/>
  <c r="AD234" i="43"/>
  <c r="AH234" i="43"/>
  <c r="AS234" i="43"/>
  <c r="AY234" i="43"/>
  <c r="AU244" i="43"/>
  <c r="AV246" i="43" s="1"/>
  <c r="AE261" i="43"/>
  <c r="BC261" i="43"/>
  <c r="BA284" i="43"/>
  <c r="BC324" i="43" s="1"/>
  <c r="AQ309" i="43"/>
  <c r="AX307" i="43"/>
  <c r="BA309" i="43" s="1"/>
  <c r="AE15" i="43"/>
  <c r="AE19" i="43" s="1"/>
  <c r="AE252" i="43" s="1"/>
  <c r="AI86" i="43"/>
  <c r="AM86" i="43"/>
  <c r="BB86" i="43"/>
  <c r="AH87" i="43"/>
  <c r="AL87" i="43"/>
  <c r="AP87" i="43"/>
  <c r="AI88" i="43"/>
  <c r="AM88" i="43"/>
  <c r="AI90" i="43"/>
  <c r="AO90" i="43"/>
  <c r="AQ90" i="43"/>
  <c r="BC90" i="43"/>
  <c r="AN91" i="43"/>
  <c r="AE41" i="43"/>
  <c r="AE195" i="43" s="1"/>
  <c r="AG41" i="43"/>
  <c r="AG334" i="43" s="1"/>
  <c r="AK41" i="43"/>
  <c r="AO41" i="43"/>
  <c r="AO334" i="43" s="1"/>
  <c r="AQ41" i="43"/>
  <c r="AS41" i="43"/>
  <c r="AD41" i="43"/>
  <c r="AD132" i="43" s="1"/>
  <c r="AH41" i="43"/>
  <c r="AH334" i="43" s="1"/>
  <c r="AL41" i="43"/>
  <c r="AL334" i="43" s="1"/>
  <c r="AN41" i="43"/>
  <c r="AN334" i="43" s="1"/>
  <c r="AP41" i="43"/>
  <c r="AT41" i="43"/>
  <c r="AN51" i="43"/>
  <c r="D42" i="45"/>
  <c r="F42" i="45"/>
  <c r="D56" i="45"/>
  <c r="D57" i="45" s="1"/>
  <c r="F56" i="45"/>
  <c r="F57" i="45" s="1"/>
  <c r="F63" i="45"/>
  <c r="D68" i="45"/>
  <c r="F68" i="45"/>
  <c r="BD91" i="43"/>
  <c r="E56" i="45"/>
  <c r="E57" i="45" s="1"/>
  <c r="C75" i="45"/>
  <c r="E75" i="45"/>
  <c r="AD15" i="43"/>
  <c r="AD19" i="43" s="1"/>
  <c r="AD251" i="43" s="1"/>
  <c r="AF15" i="43"/>
  <c r="AF19" i="43" s="1"/>
  <c r="AF21" i="43" s="1"/>
  <c r="AF255" i="43" s="1"/>
  <c r="AP86" i="43"/>
  <c r="AM90" i="43"/>
  <c r="AS90" i="43"/>
  <c r="AY90" i="43"/>
  <c r="AJ91" i="43"/>
  <c r="AV91" i="43"/>
  <c r="AY41" i="43"/>
  <c r="AX40" i="43"/>
  <c r="AX41" i="43" s="1"/>
  <c r="AX334" i="43" s="1"/>
  <c r="F23" i="45"/>
  <c r="E25" i="45"/>
  <c r="E42" i="45"/>
  <c r="C56" i="45"/>
  <c r="C57" i="45" s="1"/>
  <c r="C63" i="45"/>
  <c r="E63" i="45"/>
  <c r="E68" i="45"/>
  <c r="D75" i="45"/>
  <c r="F75" i="45"/>
  <c r="AH86" i="43"/>
  <c r="AL86" i="43"/>
  <c r="AQ86" i="43"/>
  <c r="AY86" i="43"/>
  <c r="AI87" i="43"/>
  <c r="AM87" i="43"/>
  <c r="AQ87" i="43"/>
  <c r="BB87" i="43"/>
  <c r="AH88" i="43"/>
  <c r="AL88" i="43"/>
  <c r="AH90" i="43"/>
  <c r="AG91" i="43"/>
  <c r="AK91" i="43"/>
  <c r="AS91" i="43"/>
  <c r="BB41" i="43"/>
  <c r="AZ98" i="43"/>
  <c r="E23" i="45"/>
  <c r="E24" i="45"/>
  <c r="F25" i="45"/>
  <c r="D63" i="45"/>
  <c r="BW64" i="43"/>
  <c r="BK23" i="43"/>
  <c r="BJ66" i="43"/>
  <c r="BJ124" i="43" s="1"/>
  <c r="AU159" i="43"/>
  <c r="AU269" i="43" s="1"/>
  <c r="AX178" i="43"/>
  <c r="AP179" i="43"/>
  <c r="CB66" i="43"/>
  <c r="CB124" i="43" s="1"/>
  <c r="BW23" i="43"/>
  <c r="AI182" i="43"/>
  <c r="BC190" i="15"/>
  <c r="BC11" i="15"/>
  <c r="D24" i="44"/>
  <c r="C310" i="43"/>
  <c r="AL310" i="43" s="1"/>
  <c r="P31" i="45"/>
  <c r="T31" i="45"/>
  <c r="R39" i="45"/>
  <c r="R46" i="45"/>
  <c r="R50" i="45" s="1"/>
  <c r="R55" i="45"/>
  <c r="S39" i="45"/>
  <c r="S46" i="45"/>
  <c r="S55" i="45"/>
  <c r="T39" i="45"/>
  <c r="T46" i="45"/>
  <c r="AW91" i="43"/>
  <c r="AF41" i="43"/>
  <c r="AF334" i="43" s="1"/>
  <c r="AR41" i="43"/>
  <c r="AR334" i="43" s="1"/>
  <c r="BK27" i="15"/>
  <c r="BJ30" i="15"/>
  <c r="BK30" i="15" s="1"/>
  <c r="BQ27" i="15"/>
  <c r="BP30" i="15"/>
  <c r="BQ30" i="15" s="1"/>
  <c r="BW27" i="15"/>
  <c r="BV30" i="15"/>
  <c r="BW30" i="15" s="1"/>
  <c r="CC27" i="15"/>
  <c r="CB30" i="15"/>
  <c r="CC30" i="15" s="1"/>
  <c r="AP61" i="15"/>
  <c r="AP62" i="15" s="1"/>
  <c r="AS63" i="15"/>
  <c r="BH27" i="15"/>
  <c r="BM30" i="15"/>
  <c r="BN30" i="15" s="1"/>
  <c r="BN27" i="15"/>
  <c r="BY30" i="15"/>
  <c r="BZ30" i="15" s="1"/>
  <c r="BZ27" i="15"/>
  <c r="BT27" i="15"/>
  <c r="AR91" i="43"/>
  <c r="AZ91" i="43"/>
  <c r="AI41" i="43"/>
  <c r="AI334" i="43" s="1"/>
  <c r="AM41" i="43"/>
  <c r="AQ13" i="15"/>
  <c r="BC13" i="15"/>
  <c r="AQ36" i="15"/>
  <c r="BC36" i="15"/>
  <c r="BO36" i="15"/>
  <c r="BO92" i="15" s="1"/>
  <c r="CA36" i="15"/>
  <c r="CA92" i="15" s="1"/>
  <c r="AU39" i="15"/>
  <c r="AU158" i="15" s="1"/>
  <c r="AU160" i="15" s="1"/>
  <c r="BG39" i="15"/>
  <c r="BG158" i="15" s="1"/>
  <c r="BG160" i="15" s="1"/>
  <c r="AN158" i="15"/>
  <c r="AN104" i="15"/>
  <c r="AN92" i="15"/>
  <c r="AO90" i="15"/>
  <c r="AT90" i="15"/>
  <c r="AZ94" i="15"/>
  <c r="AZ102" i="15"/>
  <c r="AL94" i="15"/>
  <c r="AG9" i="15"/>
  <c r="BG30" i="15"/>
  <c r="BH30" i="15" s="1"/>
  <c r="BS30" i="15"/>
  <c r="BT30" i="15" s="1"/>
  <c r="AV202" i="15"/>
  <c r="AV212" i="15" s="1"/>
  <c r="BB106" i="15"/>
  <c r="AH12" i="15"/>
  <c r="AT12" i="15"/>
  <c r="AG13" i="15"/>
  <c r="BT36" i="15"/>
  <c r="AP207" i="15"/>
  <c r="AS208" i="15"/>
  <c r="R59" i="45"/>
  <c r="AI94" i="15"/>
  <c r="AP94" i="15"/>
  <c r="BB94" i="15"/>
  <c r="BB93" i="15" s="1"/>
  <c r="AI100" i="15"/>
  <c r="AJ98" i="15"/>
  <c r="AJ99" i="15" s="1"/>
  <c r="AS204" i="15"/>
  <c r="AS216" i="15" s="1"/>
  <c r="AR96" i="15"/>
  <c r="AS100" i="15"/>
  <c r="AS99" i="15" s="1"/>
  <c r="Q59" i="45"/>
  <c r="AR90" i="15"/>
  <c r="AS202" i="15"/>
  <c r="AS212" i="15" s="1"/>
  <c r="AS94" i="15"/>
  <c r="AY202" i="15"/>
  <c r="AY212" i="15" s="1"/>
  <c r="AI148" i="15"/>
  <c r="AJ112" i="15"/>
  <c r="AJ113" i="15" s="1"/>
  <c r="AN112" i="15"/>
  <c r="AQ113" i="15" s="1"/>
  <c r="AQ109" i="15"/>
  <c r="AK148" i="15"/>
  <c r="AP178" i="15"/>
  <c r="AP185" i="15" s="1"/>
  <c r="AP8" i="15" s="1"/>
  <c r="BE97" i="15"/>
  <c r="AP100" i="15"/>
  <c r="AP99" i="15" s="1"/>
  <c r="AO102" i="15"/>
  <c r="AJ104" i="15"/>
  <c r="AJ105" i="15" s="1"/>
  <c r="AJ108" i="15"/>
  <c r="AI109" i="15"/>
  <c r="AN109" i="15"/>
  <c r="AZ109" i="15"/>
  <c r="AM104" i="15"/>
  <c r="AM105" i="15" s="1"/>
  <c r="AZ115" i="15"/>
  <c r="AN139" i="15"/>
  <c r="AE138" i="15"/>
  <c r="AE139" i="15" s="1"/>
  <c r="AZ138" i="15"/>
  <c r="AZ139" i="15" s="1"/>
  <c r="AL108" i="15"/>
  <c r="AL178" i="15" s="1"/>
  <c r="AV109" i="15"/>
  <c r="AU111" i="15"/>
  <c r="AI145" i="15"/>
  <c r="AG152" i="15"/>
  <c r="AG138" i="15"/>
  <c r="AK139" i="15"/>
  <c r="AG115" i="15"/>
  <c r="AK115" i="15"/>
  <c r="AG116" i="15"/>
  <c r="AK116" i="15"/>
  <c r="AD115" i="15"/>
  <c r="AH115" i="15"/>
  <c r="AH116" i="15"/>
  <c r="AW145" i="15"/>
  <c r="AX142" i="15"/>
  <c r="AX145" i="15" s="1"/>
  <c r="AL145" i="15"/>
  <c r="AU144" i="15"/>
  <c r="AT145" i="15"/>
  <c r="AM142" i="15"/>
  <c r="AM145" i="15" s="1"/>
  <c r="BA144" i="15"/>
  <c r="BA145" i="15" s="1"/>
  <c r="AJ187" i="15"/>
  <c r="AJ189" i="15" s="1"/>
  <c r="AI189" i="15"/>
  <c r="AI11" i="15" s="1"/>
  <c r="AK160" i="15"/>
  <c r="BA162" i="15"/>
  <c r="BA170" i="15" s="1"/>
  <c r="AI165" i="15"/>
  <c r="AJ162" i="15"/>
  <c r="AJ170" i="15" s="1"/>
  <c r="AX187" i="15"/>
  <c r="AT165" i="15"/>
  <c r="BA166" i="15"/>
  <c r="AL170" i="15"/>
  <c r="AV192" i="15"/>
  <c r="AU168" i="15"/>
  <c r="AV235" i="15"/>
  <c r="AW160" i="15"/>
  <c r="AW162" i="15"/>
  <c r="AW178" i="15" s="1"/>
  <c r="AW185" i="15" s="1"/>
  <c r="AW8" i="15" s="1"/>
  <c r="AJ166" i="15"/>
  <c r="AR187" i="15"/>
  <c r="AR169" i="15"/>
  <c r="AR166" i="15"/>
  <c r="AM192" i="15"/>
  <c r="AH170" i="15"/>
  <c r="AT148" i="15"/>
  <c r="AS245" i="15"/>
  <c r="AS235" i="15"/>
  <c r="AS223" i="15"/>
  <c r="AR162" i="15"/>
  <c r="AQ178" i="15"/>
  <c r="AQ185" i="15" s="1"/>
  <c r="AQ8" i="15" s="1"/>
  <c r="AQ12" i="15" s="1"/>
  <c r="AQ165" i="15"/>
  <c r="AQ170" i="15"/>
  <c r="AU147" i="15"/>
  <c r="AY235" i="15"/>
  <c r="AH165" i="15"/>
  <c r="BB169" i="15"/>
  <c r="BK182" i="15"/>
  <c r="BL182" i="15"/>
  <c r="BM182" i="15" s="1"/>
  <c r="AM245" i="15"/>
  <c r="AM235" i="15"/>
  <c r="AM223" i="15"/>
  <c r="AL187" i="15"/>
  <c r="AU164" i="15"/>
  <c r="BA187" i="15"/>
  <c r="AM165" i="15"/>
  <c r="AL166" i="15"/>
  <c r="AP166" i="15"/>
  <c r="AO192" i="15"/>
  <c r="AW192" i="15"/>
  <c r="AO169" i="15"/>
  <c r="AW169" i="15"/>
  <c r="AX176" i="15"/>
  <c r="BE176" i="15"/>
  <c r="AN178" i="15"/>
  <c r="AN185" i="15" s="1"/>
  <c r="AN8" i="15" s="1"/>
  <c r="BH182" i="15"/>
  <c r="AP245" i="15"/>
  <c r="AP235" i="15"/>
  <c r="AP223" i="15"/>
  <c r="AK178" i="15"/>
  <c r="AK185" i="15" s="1"/>
  <c r="AK8" i="15" s="1"/>
  <c r="AF165" i="15"/>
  <c r="AI166" i="15"/>
  <c r="AI192" i="15"/>
  <c r="AR192" i="15"/>
  <c r="AX192" i="15"/>
  <c r="AT170" i="15"/>
  <c r="AX169" i="15"/>
  <c r="AF178" i="15"/>
  <c r="AF185" i="15" s="1"/>
  <c r="AF8" i="15" s="1"/>
  <c r="AI178" i="15"/>
  <c r="AI185" i="15" s="1"/>
  <c r="AO187" i="15"/>
  <c r="AW187" i="15"/>
  <c r="AW189" i="15" s="1"/>
  <c r="AZ190" i="15" s="1"/>
  <c r="AO165" i="15"/>
  <c r="AW165" i="15"/>
  <c r="AZ166" i="15"/>
  <c r="AL192" i="15"/>
  <c r="BA192" i="15"/>
  <c r="BI176" i="15"/>
  <c r="BH176" i="15"/>
  <c r="BI181" i="15"/>
  <c r="BJ181" i="15" s="1"/>
  <c r="BH181" i="15"/>
  <c r="AF192" i="15"/>
  <c r="AF15" i="15" s="1"/>
  <c r="AG194" i="15"/>
  <c r="AQ190" i="15"/>
  <c r="AH195" i="15"/>
  <c r="AH16" i="15" s="1"/>
  <c r="AH17" i="15" s="1"/>
  <c r="AT195" i="15"/>
  <c r="AT16" i="15" s="1"/>
  <c r="AT17" i="15" s="1"/>
  <c r="AN195" i="15"/>
  <c r="AN16" i="15" s="1"/>
  <c r="AN17" i="15" s="1"/>
  <c r="AQ195" i="15"/>
  <c r="AQ16" i="15" s="1"/>
  <c r="AZ195" i="15"/>
  <c r="AZ16" i="15" s="1"/>
  <c r="AZ17" i="15" s="1"/>
  <c r="AE302" i="15"/>
  <c r="AE315" i="15" s="1"/>
  <c r="AE325" i="15" s="1"/>
  <c r="AD252" i="43"/>
  <c r="AJ86" i="43"/>
  <c r="AN86" i="43"/>
  <c r="AV86" i="43"/>
  <c r="AJ87" i="43"/>
  <c r="AN87" i="43"/>
  <c r="AZ87" i="43"/>
  <c r="AJ88" i="43"/>
  <c r="AN88" i="43"/>
  <c r="AJ15" i="43"/>
  <c r="AN15" i="43"/>
  <c r="AN97" i="43" s="1"/>
  <c r="AV15" i="43"/>
  <c r="AJ90" i="43"/>
  <c r="AN90" i="43"/>
  <c r="AV90" i="43"/>
  <c r="AH91" i="43"/>
  <c r="AP91" i="43"/>
  <c r="AT91" i="43"/>
  <c r="BF91" i="43"/>
  <c r="BH23" i="43"/>
  <c r="BG64" i="43"/>
  <c r="BH64" i="43" s="1"/>
  <c r="BN64" i="43"/>
  <c r="BR66" i="43"/>
  <c r="BI24" i="43"/>
  <c r="BJ24" i="43" s="1"/>
  <c r="BL24" i="43" s="1"/>
  <c r="AG132" i="43"/>
  <c r="BU66" i="43"/>
  <c r="BY66" i="43"/>
  <c r="BY124" i="43" s="1"/>
  <c r="AG86" i="43"/>
  <c r="AK86" i="43"/>
  <c r="AS86" i="43"/>
  <c r="AG87" i="43"/>
  <c r="AK87" i="43"/>
  <c r="AO87" i="43"/>
  <c r="AG88" i="43"/>
  <c r="AK88" i="43"/>
  <c r="AS88" i="43"/>
  <c r="AG15" i="43"/>
  <c r="AG97" i="43" s="1"/>
  <c r="AK15" i="43"/>
  <c r="AK97" i="43" s="1"/>
  <c r="AS15" i="43"/>
  <c r="AS97" i="43" s="1"/>
  <c r="AW15" i="43"/>
  <c r="AG90" i="43"/>
  <c r="AK90" i="43"/>
  <c r="AM91" i="43"/>
  <c r="AQ91" i="43"/>
  <c r="AU91" i="43"/>
  <c r="BC91" i="43"/>
  <c r="BG91" i="43"/>
  <c r="BK64" i="43"/>
  <c r="BT23" i="43"/>
  <c r="BS64" i="43"/>
  <c r="BT64" i="43" s="1"/>
  <c r="BZ64" i="43"/>
  <c r="AD334" i="43"/>
  <c r="AT334" i="43"/>
  <c r="BP66" i="43"/>
  <c r="BP124" i="43" s="1"/>
  <c r="AH15" i="43"/>
  <c r="AH97" i="43" s="1"/>
  <c r="AL15" i="43"/>
  <c r="AL97" i="43" s="1"/>
  <c r="AW180" i="43"/>
  <c r="AW64" i="43"/>
  <c r="AX23" i="43"/>
  <c r="BQ23" i="43"/>
  <c r="BO64" i="43"/>
  <c r="BQ64" i="43" s="1"/>
  <c r="AF98" i="43"/>
  <c r="AJ98" i="43"/>
  <c r="AN98" i="43"/>
  <c r="AV98" i="43"/>
  <c r="AI15" i="43"/>
  <c r="AI97" i="43" s="1"/>
  <c r="AM15" i="43"/>
  <c r="AY15" i="43"/>
  <c r="AY97" i="43" s="1"/>
  <c r="BF66" i="43"/>
  <c r="CC23" i="43"/>
  <c r="CA64" i="43"/>
  <c r="CC64" i="43" s="1"/>
  <c r="AF99" i="43"/>
  <c r="AJ99" i="43"/>
  <c r="AN99" i="43"/>
  <c r="AR99" i="43"/>
  <c r="AV99" i="43"/>
  <c r="AZ99" i="43"/>
  <c r="BI66" i="43"/>
  <c r="BM66" i="43"/>
  <c r="BM124" i="43" s="1"/>
  <c r="BX66" i="43"/>
  <c r="AL90" i="43"/>
  <c r="AP90" i="43"/>
  <c r="AT90" i="43"/>
  <c r="BB90" i="43"/>
  <c r="AV182" i="43"/>
  <c r="BN23" i="43"/>
  <c r="BZ23" i="43"/>
  <c r="AD98" i="43"/>
  <c r="AH98" i="43"/>
  <c r="AP98" i="43"/>
  <c r="AT98" i="43"/>
  <c r="BB98" i="43"/>
  <c r="AD99" i="43"/>
  <c r="AH99" i="43"/>
  <c r="AL99" i="43"/>
  <c r="AP99" i="43"/>
  <c r="AT99" i="43"/>
  <c r="BB99" i="43"/>
  <c r="AD51" i="43"/>
  <c r="AH51" i="43"/>
  <c r="AH52" i="43" s="1"/>
  <c r="AL51" i="43"/>
  <c r="AP51" i="43"/>
  <c r="AT51" i="43"/>
  <c r="BB51" i="43"/>
  <c r="BB52" i="43" s="1"/>
  <c r="AU63" i="43"/>
  <c r="AY173" i="43"/>
  <c r="BN63" i="43"/>
  <c r="BZ63" i="43"/>
  <c r="AM64" i="43"/>
  <c r="AU64" i="43"/>
  <c r="AL64" i="43"/>
  <c r="AL66" i="43" s="1"/>
  <c r="AF66" i="43"/>
  <c r="AR66" i="43"/>
  <c r="AU79" i="43"/>
  <c r="BC41" i="43"/>
  <c r="AE98" i="43"/>
  <c r="AI98" i="43"/>
  <c r="AM98" i="43"/>
  <c r="AQ98" i="43"/>
  <c r="AY98" i="43"/>
  <c r="BC98" i="43"/>
  <c r="AE99" i="43"/>
  <c r="AM99" i="43"/>
  <c r="AU99" i="43"/>
  <c r="BC99" i="43"/>
  <c r="AE51" i="43"/>
  <c r="AE52" i="43" s="1"/>
  <c r="AM51" i="43"/>
  <c r="AY51" i="43"/>
  <c r="AY52" i="43" s="1"/>
  <c r="BC51" i="43"/>
  <c r="BA173" i="43"/>
  <c r="AV64" i="43"/>
  <c r="BE64" i="43"/>
  <c r="AO66" i="43"/>
  <c r="BA66" i="43"/>
  <c r="AM182" i="43"/>
  <c r="AL182" i="43"/>
  <c r="AU182" i="43"/>
  <c r="AF51" i="43"/>
  <c r="AF52" i="43" s="1"/>
  <c r="AR51" i="43"/>
  <c r="AR52" i="43" s="1"/>
  <c r="AV51" i="43"/>
  <c r="AO173" i="43"/>
  <c r="BH63" i="43"/>
  <c r="BT63" i="43"/>
  <c r="AX69" i="43"/>
  <c r="AG98" i="43"/>
  <c r="AK98" i="43"/>
  <c r="AO98" i="43"/>
  <c r="AS98" i="43"/>
  <c r="BA98" i="43"/>
  <c r="AG99" i="43"/>
  <c r="AK99" i="43"/>
  <c r="AO99" i="43"/>
  <c r="AS99" i="43"/>
  <c r="AW99" i="43"/>
  <c r="BA99" i="43"/>
  <c r="AG51" i="43"/>
  <c r="AK51" i="43"/>
  <c r="AO51" i="43"/>
  <c r="AS51" i="43"/>
  <c r="BA51" i="43"/>
  <c r="AF173" i="43"/>
  <c r="AR173" i="43"/>
  <c r="AX63" i="43"/>
  <c r="BQ63" i="43"/>
  <c r="CC63" i="43"/>
  <c r="AL173" i="43"/>
  <c r="AR187" i="43"/>
  <c r="AS187" i="43" s="1"/>
  <c r="AL151" i="43"/>
  <c r="AP166" i="43"/>
  <c r="AP169" i="43" s="1"/>
  <c r="AP170" i="43" s="1"/>
  <c r="AR159" i="43"/>
  <c r="AJ112" i="43"/>
  <c r="AJ69" i="43" s="1"/>
  <c r="AO112" i="43"/>
  <c r="AI124" i="43"/>
  <c r="AH166" i="43"/>
  <c r="AH169" i="43" s="1"/>
  <c r="AH170" i="43" s="1"/>
  <c r="AJ166" i="43"/>
  <c r="AS269" i="43"/>
  <c r="AX166" i="43"/>
  <c r="BC169" i="43"/>
  <c r="BC170" i="43" s="1"/>
  <c r="BC179" i="43"/>
  <c r="BA180" i="43"/>
  <c r="AV134" i="43"/>
  <c r="AU132" i="43"/>
  <c r="AY134" i="43"/>
  <c r="BC187" i="43"/>
  <c r="BC151" i="43"/>
  <c r="BC138" i="43"/>
  <c r="BC149" i="43" s="1"/>
  <c r="AY268" i="43"/>
  <c r="AW187" i="43"/>
  <c r="AW138" i="43"/>
  <c r="AE269" i="43"/>
  <c r="AE268" i="43"/>
  <c r="AL166" i="43"/>
  <c r="AZ268" i="43"/>
  <c r="AX132" i="43"/>
  <c r="AL137" i="43"/>
  <c r="AL138" i="43" s="1"/>
  <c r="AM139" i="43" s="1"/>
  <c r="AP138" i="43"/>
  <c r="AP149" i="43" s="1"/>
  <c r="AP150" i="43" s="1"/>
  <c r="AT138" i="43"/>
  <c r="BB138" i="43"/>
  <c r="AO144" i="43"/>
  <c r="AU142" i="43"/>
  <c r="BA342" i="43"/>
  <c r="AE146" i="43"/>
  <c r="AM146" i="43"/>
  <c r="AZ151" i="43"/>
  <c r="AN157" i="43"/>
  <c r="AG166" i="43"/>
  <c r="AG169" i="43" s="1"/>
  <c r="AG170" i="43" s="1"/>
  <c r="AS167" i="43"/>
  <c r="AY167" i="43"/>
  <c r="AM173" i="43"/>
  <c r="AU178" i="43"/>
  <c r="AU179" i="43" s="1"/>
  <c r="AF344" i="43"/>
  <c r="AF329" i="43"/>
  <c r="AR146" i="43"/>
  <c r="AS147" i="43" s="1"/>
  <c r="AV146" i="43"/>
  <c r="AS151" i="43"/>
  <c r="AW151" i="43"/>
  <c r="AG159" i="43"/>
  <c r="O40" i="45" s="1"/>
  <c r="AK159" i="43"/>
  <c r="AW159" i="43"/>
  <c r="AZ160" i="43" s="1"/>
  <c r="AE167" i="43"/>
  <c r="AU215" i="43"/>
  <c r="AZ138" i="43"/>
  <c r="AK342" i="43"/>
  <c r="AM342" i="43"/>
  <c r="AJ342" i="43"/>
  <c r="AI239" i="43"/>
  <c r="AK146" i="43"/>
  <c r="AK149" i="43" s="1"/>
  <c r="AW146" i="43"/>
  <c r="AT151" i="43"/>
  <c r="AD159" i="43"/>
  <c r="N40" i="45" s="1"/>
  <c r="AH159" i="43"/>
  <c r="AP159" i="43"/>
  <c r="AT159" i="43"/>
  <c r="BB159" i="43"/>
  <c r="AE166" i="43"/>
  <c r="AU166" i="43"/>
  <c r="BA167" i="43"/>
  <c r="AO132" i="43"/>
  <c r="BA134" i="43"/>
  <c r="BD342" i="43"/>
  <c r="G71" i="45"/>
  <c r="AJ144" i="43"/>
  <c r="AJ228" i="43" s="1"/>
  <c r="AX146" i="43"/>
  <c r="AI157" i="43"/>
  <c r="AM159" i="43"/>
  <c r="BC159" i="43"/>
  <c r="AW215" i="43"/>
  <c r="AL215" i="43"/>
  <c r="AP217" i="43"/>
  <c r="AF225" i="43"/>
  <c r="AL259" i="43"/>
  <c r="AO258" i="43"/>
  <c r="AX217" i="43"/>
  <c r="AY218" i="43" s="1"/>
  <c r="AU260" i="43"/>
  <c r="AU225" i="43"/>
  <c r="AX259" i="43"/>
  <c r="AX258" i="43"/>
  <c r="G51" i="45"/>
  <c r="BA215" i="43"/>
  <c r="AS217" i="43"/>
  <c r="AS236" i="43" s="1"/>
  <c r="AL260" i="43"/>
  <c r="AL225" i="43"/>
  <c r="AO260" i="43"/>
  <c r="AO225" i="43"/>
  <c r="BA260" i="43"/>
  <c r="BA225" i="43"/>
  <c r="AV234" i="43"/>
  <c r="AW259" i="43"/>
  <c r="AW258" i="43"/>
  <c r="AF258" i="43"/>
  <c r="AO259" i="43"/>
  <c r="AR258" i="43"/>
  <c r="AI260" i="43"/>
  <c r="AX260" i="43"/>
  <c r="AR260" i="43"/>
  <c r="AX228" i="43"/>
  <c r="AM232" i="43"/>
  <c r="AM234" i="43" s="1"/>
  <c r="AL231" i="43"/>
  <c r="AQ234" i="43"/>
  <c r="AU231" i="43"/>
  <c r="AU232" i="43" s="1"/>
  <c r="BB234" i="43"/>
  <c r="AH263" i="43"/>
  <c r="AH126" i="43" s="1"/>
  <c r="AT263" i="43"/>
  <c r="AT126" i="43" s="1"/>
  <c r="BF240" i="43"/>
  <c r="AI259" i="43"/>
  <c r="AL258" i="43"/>
  <c r="BA259" i="43"/>
  <c r="AV260" i="43"/>
  <c r="AF260" i="43"/>
  <c r="AE234" i="43"/>
  <c r="AE236" i="43" s="1"/>
  <c r="AT234" i="43"/>
  <c r="AW342" i="43"/>
  <c r="AW244" i="43"/>
  <c r="AQ263" i="43"/>
  <c r="AQ126" i="43" s="1"/>
  <c r="AZ263" i="43"/>
  <c r="AZ126" i="43" s="1"/>
  <c r="AV259" i="43"/>
  <c r="AV258" i="43"/>
  <c r="AF259" i="43"/>
  <c r="AI258" i="43"/>
  <c r="AR259" i="43"/>
  <c r="BA258" i="43"/>
  <c r="AW260" i="43"/>
  <c r="AP234" i="43"/>
  <c r="AX342" i="43"/>
  <c r="AX244" i="43"/>
  <c r="AY246" i="43" s="1"/>
  <c r="AV342" i="43"/>
  <c r="AY342" i="43"/>
  <c r="AO244" i="43"/>
  <c r="AP246" i="43" s="1"/>
  <c r="AJ261" i="43"/>
  <c r="AK263" i="43" s="1"/>
  <c r="AK126" i="43" s="1"/>
  <c r="AN261" i="43"/>
  <c r="AS263" i="43"/>
  <c r="AS126" i="43" s="1"/>
  <c r="AG263" i="43"/>
  <c r="AG126" i="43" s="1"/>
  <c r="D32" i="45" s="1"/>
  <c r="AF346" i="43"/>
  <c r="AF342" i="43"/>
  <c r="AT281" i="43"/>
  <c r="AR284" i="43"/>
  <c r="AV281" i="43"/>
  <c r="AV284" i="43" s="1"/>
  <c r="AR244" i="43"/>
  <c r="AS246" i="43" s="1"/>
  <c r="BB281" i="43"/>
  <c r="AJ284" i="43"/>
  <c r="AP307" i="43"/>
  <c r="AY306" i="43"/>
  <c r="BC323" i="43"/>
  <c r="AZ323" i="43"/>
  <c r="AZ324" i="43"/>
  <c r="AR323" i="43"/>
  <c r="AR325" i="43" s="1"/>
  <c r="AT327" i="43" s="1"/>
  <c r="AT329" i="43" s="1"/>
  <c r="AR281" i="43"/>
  <c r="AZ281" i="43"/>
  <c r="AZ284" i="43" s="1"/>
  <c r="AI324" i="43"/>
  <c r="AJ324" i="43" s="1"/>
  <c r="AI323" i="43"/>
  <c r="AI309" i="43"/>
  <c r="AL309" i="43"/>
  <c r="AE284" i="43"/>
  <c r="AE323" i="43" s="1"/>
  <c r="AQ324" i="43"/>
  <c r="AS324" i="43" s="1"/>
  <c r="AQ323" i="43"/>
  <c r="BE281" i="43"/>
  <c r="BC281" i="43"/>
  <c r="AM309" i="43"/>
  <c r="AH309" i="43"/>
  <c r="AD323" i="43"/>
  <c r="AD325" i="43" s="1"/>
  <c r="AH323" i="43"/>
  <c r="AW307" i="43"/>
  <c r="AT309" i="43"/>
  <c r="AV307" i="43"/>
  <c r="BC309" i="43"/>
  <c r="AR309" i="43"/>
  <c r="AG307" i="43"/>
  <c r="AU309" i="43"/>
  <c r="AN309" i="43"/>
  <c r="AI329" i="43"/>
  <c r="AI142" i="43" s="1"/>
  <c r="AF323" i="43"/>
  <c r="AF325" i="43" s="1"/>
  <c r="AH327" i="43" s="1"/>
  <c r="AH328" i="43" s="1"/>
  <c r="AJ328" i="43" s="1"/>
  <c r="BI242" i="43" l="1"/>
  <c r="BJ242" i="43" s="1"/>
  <c r="BK242" i="43" s="1"/>
  <c r="BL242" i="43" s="1"/>
  <c r="BM242" i="43" s="1"/>
  <c r="BN242" i="43" s="1"/>
  <c r="D79" i="44"/>
  <c r="E69" i="45"/>
  <c r="AS184" i="43"/>
  <c r="AP246" i="15"/>
  <c r="AW170" i="15"/>
  <c r="AY223" i="15"/>
  <c r="BM176" i="15"/>
  <c r="AW148" i="15"/>
  <c r="AV100" i="15"/>
  <c r="AV99" i="15" s="1"/>
  <c r="AY100" i="15"/>
  <c r="AY99" i="15" s="1"/>
  <c r="AY94" i="15"/>
  <c r="AV94" i="15"/>
  <c r="AV41" i="43"/>
  <c r="AY159" i="15"/>
  <c r="AL98" i="43"/>
  <c r="AL91" i="43"/>
  <c r="AI99" i="43"/>
  <c r="AW51" i="43"/>
  <c r="AQ51" i="43"/>
  <c r="AI51" i="43"/>
  <c r="AP15" i="43"/>
  <c r="AI91" i="43"/>
  <c r="AV88" i="43"/>
  <c r="AF256" i="43"/>
  <c r="AV223" i="15"/>
  <c r="AY106" i="15"/>
  <c r="AY242" i="15" s="1"/>
  <c r="AX90" i="15"/>
  <c r="BA94" i="15" s="1"/>
  <c r="AM232" i="15"/>
  <c r="AW94" i="15"/>
  <c r="AR159" i="15"/>
  <c r="AV106" i="15"/>
  <c r="AV242" i="15" s="1"/>
  <c r="AW98" i="43"/>
  <c r="AE97" i="43"/>
  <c r="AQ15" i="43"/>
  <c r="AQ97" i="43" s="1"/>
  <c r="AR98" i="43"/>
  <c r="AH195" i="43"/>
  <c r="BA334" i="43"/>
  <c r="AZ90" i="43"/>
  <c r="AR90" i="43"/>
  <c r="AV87" i="43"/>
  <c r="AE21" i="43"/>
  <c r="AK17" i="15"/>
  <c r="AJ195" i="15"/>
  <c r="AJ16" i="15" s="1"/>
  <c r="BC116" i="15"/>
  <c r="AL185" i="15"/>
  <c r="AL8" i="15" s="1"/>
  <c r="BB116" i="15"/>
  <c r="AZ113" i="15"/>
  <c r="BA100" i="15"/>
  <c r="BA99" i="15" s="1"/>
  <c r="AM220" i="15"/>
  <c r="AV204" i="15"/>
  <c r="AV216" i="15" s="1"/>
  <c r="AX160" i="15"/>
  <c r="AX159" i="15" s="1"/>
  <c r="AR108" i="43"/>
  <c r="AR56" i="43"/>
  <c r="BB14" i="43"/>
  <c r="AJ165" i="15"/>
  <c r="AS52" i="43"/>
  <c r="AK52" i="43"/>
  <c r="BC52" i="43"/>
  <c r="AQ52" i="43"/>
  <c r="AP52" i="43"/>
  <c r="AV184" i="43"/>
  <c r="AY334" i="43"/>
  <c r="AN52" i="43"/>
  <c r="AZ52" i="43"/>
  <c r="AW52" i="43"/>
  <c r="AG52" i="43"/>
  <c r="AV52" i="43"/>
  <c r="AM52" i="43"/>
  <c r="AT52" i="43"/>
  <c r="AD52" i="43"/>
  <c r="AD100" i="43" s="1"/>
  <c r="BB334" i="43"/>
  <c r="N56" i="44"/>
  <c r="AJ195" i="43"/>
  <c r="AI195" i="43" s="1"/>
  <c r="C9" i="45"/>
  <c r="D9" i="45"/>
  <c r="D19" i="45"/>
  <c r="AR92" i="15"/>
  <c r="AS92" i="15" s="1"/>
  <c r="AS93" i="15" s="1"/>
  <c r="AO104" i="15"/>
  <c r="AP104" i="15" s="1"/>
  <c r="AP105" i="15" s="1"/>
  <c r="AQ104" i="15"/>
  <c r="AQ105" i="15" s="1"/>
  <c r="BG156" i="15"/>
  <c r="BH156" i="15" s="1"/>
  <c r="BC104" i="15"/>
  <c r="AS158" i="15"/>
  <c r="AS159" i="15" s="1"/>
  <c r="BB158" i="15"/>
  <c r="BB159" i="15" s="1"/>
  <c r="AR104" i="15"/>
  <c r="BK158" i="15"/>
  <c r="AZ92" i="15"/>
  <c r="AZ93" i="15" s="1"/>
  <c r="AV39" i="15"/>
  <c r="AV205" i="15" s="1"/>
  <c r="BE16" i="43"/>
  <c r="AT104" i="15"/>
  <c r="AT106" i="15" s="1"/>
  <c r="AT102" i="15" s="1"/>
  <c r="AT96" i="15" s="1"/>
  <c r="BA104" i="15"/>
  <c r="AV36" i="15"/>
  <c r="AZ104" i="15"/>
  <c r="BB104" i="15" s="1"/>
  <c r="BB105" i="15" s="1"/>
  <c r="BQ92" i="15"/>
  <c r="BA160" i="15"/>
  <c r="BA159" i="15" s="1"/>
  <c r="BR193" i="15"/>
  <c r="BO40" i="43"/>
  <c r="BT92" i="15"/>
  <c r="BJ91" i="43"/>
  <c r="AG318" i="43"/>
  <c r="AF251" i="43"/>
  <c r="AT236" i="43"/>
  <c r="AF250" i="43"/>
  <c r="AN184" i="43"/>
  <c r="AQ269" i="43"/>
  <c r="AS268" i="43"/>
  <c r="AF268" i="43"/>
  <c r="AM97" i="43"/>
  <c r="AY184" i="43"/>
  <c r="P53" i="45" s="1"/>
  <c r="BB184" i="43"/>
  <c r="Q53" i="45" s="1"/>
  <c r="AT184" i="43"/>
  <c r="AD195" i="43"/>
  <c r="AS334" i="43"/>
  <c r="AG195" i="43"/>
  <c r="BC263" i="43"/>
  <c r="BC126" i="43" s="1"/>
  <c r="AR234" i="43"/>
  <c r="AS235" i="43" s="1"/>
  <c r="AN236" i="43"/>
  <c r="I39" i="45"/>
  <c r="BI223" i="43"/>
  <c r="BJ223" i="43" s="1"/>
  <c r="BK223" i="43" s="1"/>
  <c r="BL223" i="43" s="1"/>
  <c r="AO217" i="43"/>
  <c r="BL222" i="43"/>
  <c r="BM222" i="43" s="1"/>
  <c r="BN222" i="43" s="1"/>
  <c r="BL231" i="43"/>
  <c r="BM231" i="43" s="1"/>
  <c r="BN231" i="43" s="1"/>
  <c r="AL159" i="43"/>
  <c r="AV270" i="43"/>
  <c r="AV160" i="43"/>
  <c r="AU261" i="43"/>
  <c r="AL232" i="43"/>
  <c r="AL234" i="43" s="1"/>
  <c r="AI325" i="43"/>
  <c r="AK327" i="43" s="1"/>
  <c r="AK329" i="43" s="1"/>
  <c r="AF252" i="43"/>
  <c r="BB236" i="43"/>
  <c r="BB267" i="43" s="1"/>
  <c r="AQ236" i="43"/>
  <c r="AM236" i="43"/>
  <c r="AM267" i="43" s="1"/>
  <c r="AG234" i="43"/>
  <c r="AG236" i="43" s="1"/>
  <c r="AL217" i="43"/>
  <c r="AM218" i="43" s="1"/>
  <c r="AW184" i="43"/>
  <c r="AU167" i="43"/>
  <c r="AU169" i="43" s="1"/>
  <c r="AY166" i="43"/>
  <c r="AY169" i="43" s="1"/>
  <c r="AY170" i="43" s="1"/>
  <c r="AZ270" i="43"/>
  <c r="AE270" i="43"/>
  <c r="AY160" i="43"/>
  <c r="AO159" i="43"/>
  <c r="AO270" i="43" s="1"/>
  <c r="AZ195" i="43"/>
  <c r="AZ194" i="43" s="1"/>
  <c r="AZ190" i="43" s="1"/>
  <c r="AQ334" i="43"/>
  <c r="AF97" i="43"/>
  <c r="AF254" i="43"/>
  <c r="AE251" i="43"/>
  <c r="AJ310" i="43"/>
  <c r="H67" i="45"/>
  <c r="I67" i="45"/>
  <c r="AS166" i="43"/>
  <c r="AS169" i="43" s="1"/>
  <c r="AS170" i="43" s="1"/>
  <c r="AU270" i="43"/>
  <c r="AQ270" i="43"/>
  <c r="AV268" i="43"/>
  <c r="AN166" i="43"/>
  <c r="AF270" i="43"/>
  <c r="BB263" i="43"/>
  <c r="BB126" i="43" s="1"/>
  <c r="AU234" i="43"/>
  <c r="AV235" i="43" s="1"/>
  <c r="AF234" i="43"/>
  <c r="AF236" i="43" s="1"/>
  <c r="AW217" i="43"/>
  <c r="AW236" i="43" s="1"/>
  <c r="AW267" i="43" s="1"/>
  <c r="BA169" i="43"/>
  <c r="BA170" i="43" s="1"/>
  <c r="AY269" i="43"/>
  <c r="P42" i="45" s="1"/>
  <c r="AY270" i="43"/>
  <c r="P41" i="45" s="1"/>
  <c r="AX98" i="43"/>
  <c r="AD97" i="43"/>
  <c r="AX90" i="43"/>
  <c r="AZ184" i="43"/>
  <c r="AZ334" i="43"/>
  <c r="AE132" i="43"/>
  <c r="AF132" i="43" s="1"/>
  <c r="AE250" i="43"/>
  <c r="D69" i="45"/>
  <c r="BC236" i="43"/>
  <c r="BC245" i="43" s="1"/>
  <c r="AK236" i="43"/>
  <c r="AX51" i="43"/>
  <c r="AW66" i="43"/>
  <c r="BS66" i="43"/>
  <c r="BS124" i="43" s="1"/>
  <c r="AM334" i="43"/>
  <c r="F56" i="44"/>
  <c r="AS139" i="43"/>
  <c r="AG218" i="43"/>
  <c r="AU310" i="43"/>
  <c r="AV311" i="43"/>
  <c r="AY311" i="43"/>
  <c r="AX309" i="43"/>
  <c r="AI310" i="43"/>
  <c r="AE263" i="43"/>
  <c r="AE126" i="43" s="1"/>
  <c r="AM235" i="43"/>
  <c r="AQ166" i="43"/>
  <c r="AQ169" i="43" s="1"/>
  <c r="AQ170" i="43" s="1"/>
  <c r="AY147" i="43"/>
  <c r="AZ149" i="43"/>
  <c r="BA184" i="43"/>
  <c r="AW170" i="43"/>
  <c r="AE149" i="43"/>
  <c r="AG147" i="43"/>
  <c r="AT149" i="43"/>
  <c r="AU268" i="43"/>
  <c r="AV269" i="43"/>
  <c r="AE334" i="43"/>
  <c r="AN54" i="43"/>
  <c r="AN57" i="43" s="1"/>
  <c r="AP334" i="43"/>
  <c r="AK195" i="43"/>
  <c r="AE264" i="43"/>
  <c r="AD250" i="43"/>
  <c r="I60" i="45"/>
  <c r="H60" i="45"/>
  <c r="AO234" i="43"/>
  <c r="AP235" i="43" s="1"/>
  <c r="AV217" i="43"/>
  <c r="AV236" i="43" s="1"/>
  <c r="AP218" i="43"/>
  <c r="AZ236" i="43"/>
  <c r="AW159" i="15"/>
  <c r="BZ158" i="15"/>
  <c r="AW92" i="15"/>
  <c r="AW93" i="15" s="1"/>
  <c r="AX104" i="15"/>
  <c r="AW104" i="15"/>
  <c r="AX92" i="15"/>
  <c r="AM36" i="15"/>
  <c r="AJ108" i="43"/>
  <c r="AJ56" i="43"/>
  <c r="AJ178" i="15"/>
  <c r="AJ185" i="15" s="1"/>
  <c r="AJ8" i="15" s="1"/>
  <c r="AJ9" i="15" s="1"/>
  <c r="AQ108" i="43"/>
  <c r="AQ114" i="15"/>
  <c r="AQ56" i="43"/>
  <c r="AF114" i="15"/>
  <c r="AF108" i="43"/>
  <c r="AY207" i="15"/>
  <c r="AE318" i="15"/>
  <c r="AM246" i="15"/>
  <c r="AU179" i="15"/>
  <c r="AU29" i="43"/>
  <c r="BL158" i="15"/>
  <c r="BN158" i="15" s="1"/>
  <c r="AU162" i="15"/>
  <c r="AV162" i="15" s="1"/>
  <c r="AU30" i="43"/>
  <c r="AO56" i="43"/>
  <c r="AO108" i="43"/>
  <c r="AX162" i="15"/>
  <c r="AX170" i="15" s="1"/>
  <c r="AX30" i="43"/>
  <c r="AX31" i="43" s="1"/>
  <c r="BH137" i="15"/>
  <c r="BD38" i="43"/>
  <c r="BW92" i="15"/>
  <c r="P59" i="45"/>
  <c r="BC194" i="15"/>
  <c r="BC195" i="15" s="1"/>
  <c r="BC16" i="15" s="1"/>
  <c r="BC15" i="15"/>
  <c r="BD27" i="15"/>
  <c r="BD24" i="15"/>
  <c r="AF170" i="15"/>
  <c r="AM179" i="15"/>
  <c r="AM185" i="15" s="1"/>
  <c r="AM8" i="15" s="1"/>
  <c r="AM29" i="43"/>
  <c r="AM31" i="43" s="1"/>
  <c r="AM33" i="43" s="1"/>
  <c r="AQ17" i="15"/>
  <c r="AF12" i="15"/>
  <c r="BQ36" i="15"/>
  <c r="BN39" i="15"/>
  <c r="BE39" i="15"/>
  <c r="AG235" i="43"/>
  <c r="AW97" i="43"/>
  <c r="F69" i="45"/>
  <c r="F70" i="45" s="1"/>
  <c r="BK92" i="15"/>
  <c r="N61" i="44"/>
  <c r="M61" i="44"/>
  <c r="J61" i="44"/>
  <c r="K61" i="44"/>
  <c r="L61" i="44"/>
  <c r="F61" i="44"/>
  <c r="I61" i="44"/>
  <c r="G61" i="44"/>
  <c r="H61" i="44"/>
  <c r="E70" i="45"/>
  <c r="C69" i="45"/>
  <c r="C70" i="45" s="1"/>
  <c r="BF104" i="15"/>
  <c r="BF106" i="15" s="1"/>
  <c r="BD104" i="15"/>
  <c r="BD106" i="15" s="1"/>
  <c r="BI104" i="15"/>
  <c r="BI106" i="15" s="1"/>
  <c r="BR104" i="15"/>
  <c r="BR106" i="15" s="1"/>
  <c r="BD94" i="15"/>
  <c r="BN92" i="15"/>
  <c r="BK39" i="15"/>
  <c r="CA104" i="15"/>
  <c r="CA106" i="15" s="1"/>
  <c r="BO104" i="15"/>
  <c r="BO106" i="15" s="1"/>
  <c r="BY104" i="15"/>
  <c r="BY106" i="15" s="1"/>
  <c r="BX104" i="15"/>
  <c r="BX106" i="15" s="1"/>
  <c r="BU104" i="15"/>
  <c r="BU106" i="15" s="1"/>
  <c r="CB92" i="15"/>
  <c r="CC92" i="15" s="1"/>
  <c r="BM104" i="15"/>
  <c r="BM106" i="15" s="1"/>
  <c r="BJ104" i="15"/>
  <c r="BG104" i="15"/>
  <c r="BG106" i="15" s="1"/>
  <c r="CC36" i="15"/>
  <c r="BZ92" i="15"/>
  <c r="BH39" i="15"/>
  <c r="AU104" i="15"/>
  <c r="BA92" i="15"/>
  <c r="BA93" i="15" s="1"/>
  <c r="BM94" i="15"/>
  <c r="AU92" i="15"/>
  <c r="AV92" i="15" s="1"/>
  <c r="AV93" i="15" s="1"/>
  <c r="BN36" i="15"/>
  <c r="BZ36" i="15"/>
  <c r="BF94" i="15"/>
  <c r="BH36" i="15"/>
  <c r="S57" i="45" s="1"/>
  <c r="S56" i="45"/>
  <c r="BG94" i="15"/>
  <c r="BB36" i="15"/>
  <c r="Q57" i="45" s="1"/>
  <c r="Q56" i="45"/>
  <c r="BB39" i="15"/>
  <c r="BE36" i="15"/>
  <c r="R57" i="45" s="1"/>
  <c r="AS36" i="15"/>
  <c r="E35" i="45"/>
  <c r="E37" i="45" s="1"/>
  <c r="AV138" i="43"/>
  <c r="AM66" i="43"/>
  <c r="BI230" i="43"/>
  <c r="BJ230" i="43" s="1"/>
  <c r="BK230" i="43" s="1"/>
  <c r="BL230" i="43" s="1"/>
  <c r="H66" i="45"/>
  <c r="BI229" i="43"/>
  <c r="BJ229" i="43" s="1"/>
  <c r="BK229" i="43" s="1"/>
  <c r="BL229" i="43" s="1"/>
  <c r="H65" i="45"/>
  <c r="BI203" i="43"/>
  <c r="BJ203" i="43" s="1"/>
  <c r="BK203" i="43" s="1"/>
  <c r="BL203" i="43" s="1"/>
  <c r="H49" i="45"/>
  <c r="F11" i="45"/>
  <c r="BM223" i="43"/>
  <c r="BN223" i="43" s="1"/>
  <c r="I61" i="45"/>
  <c r="BM221" i="43"/>
  <c r="BN221" i="43" s="1"/>
  <c r="I59" i="45"/>
  <c r="AY236" i="43"/>
  <c r="AD236" i="43"/>
  <c r="BI213" i="43"/>
  <c r="BJ213" i="43" s="1"/>
  <c r="BK213" i="43" s="1"/>
  <c r="BL213" i="43" s="1"/>
  <c r="H55" i="45"/>
  <c r="BI211" i="43"/>
  <c r="BJ211" i="43" s="1"/>
  <c r="BK211" i="43" s="1"/>
  <c r="BL211" i="43" s="1"/>
  <c r="H54" i="45"/>
  <c r="BI208" i="43"/>
  <c r="BJ208" i="43" s="1"/>
  <c r="BK208" i="43" s="1"/>
  <c r="BL208" i="43" s="1"/>
  <c r="H52" i="45"/>
  <c r="AJ171" i="43"/>
  <c r="AI63" i="43"/>
  <c r="AI66" i="43" s="1"/>
  <c r="AJ309" i="43"/>
  <c r="AS309" i="43"/>
  <c r="F32" i="45"/>
  <c r="AL261" i="43"/>
  <c r="AL263" i="43" s="1"/>
  <c r="AL126" i="43" s="1"/>
  <c r="AW149" i="43"/>
  <c r="AV66" i="43"/>
  <c r="BI224" i="43"/>
  <c r="BJ224" i="43" s="1"/>
  <c r="BK224" i="43" s="1"/>
  <c r="BL224" i="43" s="1"/>
  <c r="H62" i="45"/>
  <c r="AH236" i="43"/>
  <c r="BB151" i="43"/>
  <c r="F35" i="45"/>
  <c r="F37" i="45" s="1"/>
  <c r="E11" i="45"/>
  <c r="AU204" i="43"/>
  <c r="AU217" i="43" s="1"/>
  <c r="AW311" i="43"/>
  <c r="AO310" i="43"/>
  <c r="AQ311" i="43"/>
  <c r="AX311" i="43"/>
  <c r="AQ184" i="43"/>
  <c r="BB195" i="43"/>
  <c r="BB194" i="43" s="1"/>
  <c r="BB193" i="43" s="1"/>
  <c r="BC193" i="43" s="1"/>
  <c r="AP184" i="43"/>
  <c r="AH132" i="43"/>
  <c r="AH184" i="43" s="1"/>
  <c r="AK132" i="43"/>
  <c r="AK184" i="43" s="1"/>
  <c r="AK334" i="43"/>
  <c r="AD21" i="43"/>
  <c r="C7" i="45" s="1"/>
  <c r="E26" i="45"/>
  <c r="E10" i="45"/>
  <c r="AL311" i="43"/>
  <c r="AT310" i="43"/>
  <c r="AK310" i="43"/>
  <c r="AM311" i="43"/>
  <c r="AU311" i="43"/>
  <c r="BC311" i="43"/>
  <c r="AQ310" i="43"/>
  <c r="BA310" i="43"/>
  <c r="AH310" i="43"/>
  <c r="AD310" i="43"/>
  <c r="N35" i="45" s="1"/>
  <c r="BB310" i="43"/>
  <c r="Q35" i="45" s="1"/>
  <c r="AS310" i="43"/>
  <c r="AP311" i="43"/>
  <c r="AR184" i="43"/>
  <c r="D26" i="45"/>
  <c r="D10" i="45"/>
  <c r="F26" i="45"/>
  <c r="F10" i="45"/>
  <c r="C26" i="45"/>
  <c r="C10" i="45"/>
  <c r="AP97" i="43"/>
  <c r="AM132" i="43"/>
  <c r="AV97" i="43"/>
  <c r="AV334" i="43"/>
  <c r="F9" i="45"/>
  <c r="E9" i="45"/>
  <c r="BG66" i="43"/>
  <c r="BG124" i="43" s="1"/>
  <c r="CA66" i="43"/>
  <c r="CC66" i="43" s="1"/>
  <c r="Q40" i="45"/>
  <c r="AE310" i="43"/>
  <c r="D70" i="45"/>
  <c r="BB311" i="43"/>
  <c r="AS311" i="43"/>
  <c r="AK311" i="43"/>
  <c r="AX310" i="43"/>
  <c r="BA311" i="43"/>
  <c r="AR311" i="43"/>
  <c r="AJ311" i="43"/>
  <c r="AR310" i="43"/>
  <c r="AF310" i="43"/>
  <c r="AZ311" i="43"/>
  <c r="AO311" i="43"/>
  <c r="BC310" i="43"/>
  <c r="AN310" i="43"/>
  <c r="AT311" i="43"/>
  <c r="AN311" i="43"/>
  <c r="AZ310" i="43"/>
  <c r="AM310" i="43"/>
  <c r="BA114" i="15"/>
  <c r="BA108" i="43"/>
  <c r="BA56" i="43"/>
  <c r="BH17" i="43"/>
  <c r="AO189" i="15"/>
  <c r="AP187" i="15"/>
  <c r="AP189" i="15" s="1"/>
  <c r="AY169" i="15"/>
  <c r="AR194" i="15"/>
  <c r="AR15" i="15"/>
  <c r="AO194" i="15"/>
  <c r="AO15" i="15"/>
  <c r="BA189" i="15"/>
  <c r="BB187" i="15"/>
  <c r="BB189" i="15" s="1"/>
  <c r="BP176" i="15"/>
  <c r="BM17" i="43"/>
  <c r="BM91" i="43" s="1"/>
  <c r="AY187" i="15"/>
  <c r="AY189" i="15" s="1"/>
  <c r="AX189" i="15"/>
  <c r="AM108" i="43"/>
  <c r="AM56" i="43"/>
  <c r="AL114" i="15"/>
  <c r="AL108" i="43"/>
  <c r="AL56" i="43"/>
  <c r="AI114" i="15"/>
  <c r="AI108" i="43"/>
  <c r="AI56" i="43"/>
  <c r="AO106" i="15"/>
  <c r="AO14" i="43"/>
  <c r="CA94" i="15"/>
  <c r="AS242" i="15"/>
  <c r="AS232" i="15"/>
  <c r="AS220" i="15"/>
  <c r="AR108" i="15"/>
  <c r="AR178" i="15" s="1"/>
  <c r="AR185" i="15" s="1"/>
  <c r="AR8" i="15" s="1"/>
  <c r="AR94" i="15"/>
  <c r="AR12" i="43"/>
  <c r="BX94" i="15"/>
  <c r="BQ39" i="15"/>
  <c r="BP39" i="15"/>
  <c r="BP104" i="15" s="1"/>
  <c r="BO94" i="15"/>
  <c r="AV232" i="15"/>
  <c r="BL106" i="15"/>
  <c r="AZ106" i="15"/>
  <c r="AZ14" i="43"/>
  <c r="BK36" i="15"/>
  <c r="T57" i="45" s="1"/>
  <c r="BH92" i="15"/>
  <c r="BH158" i="15"/>
  <c r="AG195" i="15"/>
  <c r="AF194" i="15"/>
  <c r="BL176" i="15"/>
  <c r="BL17" i="43" s="1"/>
  <c r="BI17" i="43"/>
  <c r="AI8" i="15"/>
  <c r="AI12" i="15" s="1"/>
  <c r="AI26" i="43"/>
  <c r="AI94" i="43" s="1"/>
  <c r="AI194" i="15"/>
  <c r="AI195" i="15" s="1"/>
  <c r="AI16" i="15" s="1"/>
  <c r="AI15" i="15"/>
  <c r="AK12" i="15"/>
  <c r="AK9" i="15"/>
  <c r="BE17" i="43"/>
  <c r="AP169" i="15"/>
  <c r="AP170" i="15" s="1"/>
  <c r="AO170" i="15"/>
  <c r="AU187" i="15"/>
  <c r="AU166" i="15"/>
  <c r="AU49" i="43"/>
  <c r="AU98" i="43" s="1"/>
  <c r="AQ9" i="15"/>
  <c r="AU192" i="15"/>
  <c r="AU169" i="15"/>
  <c r="AU39" i="43"/>
  <c r="AU41" i="43" s="1"/>
  <c r="AU334" i="43" s="1"/>
  <c r="AI13" i="15"/>
  <c r="AG139" i="15"/>
  <c r="AF138" i="15"/>
  <c r="AF139" i="15" s="1"/>
  <c r="AJ109" i="15"/>
  <c r="AM109" i="15"/>
  <c r="AR106" i="15"/>
  <c r="BR94" i="15"/>
  <c r="AR100" i="15"/>
  <c r="AR99" i="15" s="1"/>
  <c r="AR13" i="43"/>
  <c r="AR87" i="43" s="1"/>
  <c r="AN94" i="15"/>
  <c r="AP92" i="15"/>
  <c r="AP93" i="15" s="1"/>
  <c r="BF162" i="15"/>
  <c r="BI156" i="15"/>
  <c r="BF16" i="43"/>
  <c r="BW36" i="15"/>
  <c r="AE326" i="15"/>
  <c r="AE320" i="15"/>
  <c r="AE316" i="15"/>
  <c r="AE319" i="15"/>
  <c r="AE321" i="15"/>
  <c r="BA194" i="15"/>
  <c r="BA15" i="15"/>
  <c r="AP236" i="15"/>
  <c r="AP224" i="15"/>
  <c r="AL189" i="15"/>
  <c r="AM187" i="15"/>
  <c r="AM189" i="15" s="1"/>
  <c r="AU48" i="43"/>
  <c r="AS162" i="15"/>
  <c r="BK176" i="15"/>
  <c r="AR170" i="15"/>
  <c r="AS169" i="15"/>
  <c r="AW9" i="15"/>
  <c r="AZ9" i="15"/>
  <c r="AV194" i="15"/>
  <c r="AV15" i="15"/>
  <c r="AJ190" i="15"/>
  <c r="AJ11" i="15"/>
  <c r="AU145" i="15"/>
  <c r="AU114" i="15" s="1"/>
  <c r="AT114" i="15"/>
  <c r="AT108" i="43"/>
  <c r="AT56" i="43"/>
  <c r="AX114" i="15"/>
  <c r="AX56" i="43"/>
  <c r="AX108" i="43"/>
  <c r="AY232" i="15"/>
  <c r="AP242" i="15"/>
  <c r="AP232" i="15"/>
  <c r="AP220" i="15"/>
  <c r="BI94" i="15"/>
  <c r="BA102" i="15"/>
  <c r="AU90" i="15"/>
  <c r="AX94" i="15" s="1"/>
  <c r="AT12" i="43"/>
  <c r="AN106" i="15"/>
  <c r="AQ93" i="15"/>
  <c r="AY36" i="15"/>
  <c r="P57" i="45" s="1"/>
  <c r="AE317" i="15"/>
  <c r="AE327" i="15" s="1"/>
  <c r="BL181" i="15"/>
  <c r="BM181" i="15" s="1"/>
  <c r="BK181" i="15"/>
  <c r="AL194" i="15"/>
  <c r="AL15" i="15"/>
  <c r="AW190" i="15"/>
  <c r="AW11" i="15"/>
  <c r="AX194" i="15"/>
  <c r="AX15" i="15"/>
  <c r="AN12" i="15"/>
  <c r="AN9" i="15"/>
  <c r="AY176" i="15"/>
  <c r="AX17" i="43"/>
  <c r="AW194" i="15"/>
  <c r="AW195" i="15" s="1"/>
  <c r="AW16" i="15" s="1"/>
  <c r="AW17" i="15" s="1"/>
  <c r="AW15" i="15"/>
  <c r="AM236" i="15"/>
  <c r="AM224" i="15"/>
  <c r="BO182" i="15"/>
  <c r="BP182" i="15" s="1"/>
  <c r="BN182" i="15"/>
  <c r="AM194" i="15"/>
  <c r="AM15" i="15"/>
  <c r="AR189" i="15"/>
  <c r="AS187" i="15"/>
  <c r="AS189" i="15" s="1"/>
  <c r="AX166" i="15"/>
  <c r="BA165" i="15"/>
  <c r="BG165" i="15" s="1"/>
  <c r="BJ165" i="15" s="1"/>
  <c r="BM165" i="15" s="1"/>
  <c r="BP165" i="15" s="1"/>
  <c r="BS165" i="15" s="1"/>
  <c r="BV165" i="15" s="1"/>
  <c r="BY165" i="15" s="1"/>
  <c r="CB165" i="15" s="1"/>
  <c r="BB162" i="15"/>
  <c r="BB170" i="15" s="1"/>
  <c r="AW114" i="15"/>
  <c r="AW108" i="43"/>
  <c r="AW56" i="43"/>
  <c r="AL109" i="15"/>
  <c r="AL112" i="15"/>
  <c r="AP9" i="15"/>
  <c r="AN148" i="15"/>
  <c r="AN113" i="15"/>
  <c r="AN115" i="15"/>
  <c r="AX108" i="15"/>
  <c r="AX12" i="43"/>
  <c r="CC39" i="15"/>
  <c r="CB39" i="15"/>
  <c r="CB104" i="15" s="1"/>
  <c r="AO94" i="15"/>
  <c r="AO93" i="15" s="1"/>
  <c r="AO108" i="15"/>
  <c r="AO12" i="43"/>
  <c r="AN160" i="15"/>
  <c r="AP158" i="15"/>
  <c r="AP159" i="15" s="1"/>
  <c r="BU94" i="15"/>
  <c r="AV158" i="15"/>
  <c r="AV159" i="15" s="1"/>
  <c r="AT9" i="15"/>
  <c r="AS61" i="15"/>
  <c r="AS62" i="15" s="1"/>
  <c r="AV63" i="15"/>
  <c r="AE245" i="43"/>
  <c r="AQ245" i="43"/>
  <c r="BB245" i="43"/>
  <c r="AM245" i="43"/>
  <c r="AV310" i="43"/>
  <c r="AV309" i="43"/>
  <c r="BC284" i="43"/>
  <c r="AK324" i="43"/>
  <c r="AK323" i="43"/>
  <c r="BA324" i="43"/>
  <c r="BB324" i="43" s="1"/>
  <c r="BA323" i="43"/>
  <c r="BB323" i="43" s="1"/>
  <c r="BA281" i="43"/>
  <c r="AY307" i="43"/>
  <c r="AT323" i="43"/>
  <c r="AT324" i="43"/>
  <c r="AN263" i="43"/>
  <c r="AN126" i="43" s="1"/>
  <c r="AU263" i="43"/>
  <c r="AU126" i="43" s="1"/>
  <c r="AW261" i="43"/>
  <c r="AG267" i="43"/>
  <c r="AG245" i="43"/>
  <c r="AH270" i="43"/>
  <c r="AH269" i="43"/>
  <c r="AH268" i="43"/>
  <c r="AH160" i="43"/>
  <c r="AF166" i="43"/>
  <c r="AF169" i="43" s="1"/>
  <c r="AF170" i="43" s="1"/>
  <c r="AE169" i="43"/>
  <c r="AE170" i="43" s="1"/>
  <c r="AK270" i="43"/>
  <c r="AK269" i="43"/>
  <c r="AK268" i="43"/>
  <c r="AK160" i="43"/>
  <c r="AT166" i="43"/>
  <c r="AT169" i="43" s="1"/>
  <c r="AT170" i="43" s="1"/>
  <c r="AR167" i="43"/>
  <c r="AR169" i="43" s="1"/>
  <c r="AR170" i="43" s="1"/>
  <c r="AV166" i="43"/>
  <c r="AV169" i="43" s="1"/>
  <c r="AN167" i="43"/>
  <c r="AN159" i="43"/>
  <c r="AX184" i="43"/>
  <c r="AX134" i="43"/>
  <c r="AO268" i="43"/>
  <c r="AL270" i="43"/>
  <c r="AL269" i="43"/>
  <c r="AL268" i="43"/>
  <c r="AL160" i="43"/>
  <c r="AX171" i="43"/>
  <c r="AO54" i="43"/>
  <c r="AY54" i="43"/>
  <c r="AI54" i="43"/>
  <c r="AU171" i="43"/>
  <c r="AU66" i="43"/>
  <c r="AP54" i="43"/>
  <c r="AM89" i="43"/>
  <c r="AM19" i="43"/>
  <c r="AE194" i="43"/>
  <c r="AE190" i="43" s="1"/>
  <c r="AW182" i="43"/>
  <c r="AW179" i="43"/>
  <c r="AW19" i="43"/>
  <c r="AG89" i="43"/>
  <c r="AG19" i="43"/>
  <c r="AG187" i="43"/>
  <c r="AG193" i="43" s="1"/>
  <c r="AG184" i="43"/>
  <c r="AG133" i="43"/>
  <c r="AJ89" i="43"/>
  <c r="AJ19" i="43"/>
  <c r="AE324" i="43"/>
  <c r="AE325" i="43" s="1"/>
  <c r="AF327" i="43" s="1"/>
  <c r="AF281" i="43"/>
  <c r="AZ325" i="43"/>
  <c r="BA327" i="43" s="1"/>
  <c r="AP310" i="43"/>
  <c r="AP309" i="43"/>
  <c r="AT284" i="43"/>
  <c r="AJ263" i="43"/>
  <c r="AJ126" i="43" s="1"/>
  <c r="AX157" i="43"/>
  <c r="AX159" i="43" s="1"/>
  <c r="AF261" i="43"/>
  <c r="AX261" i="43"/>
  <c r="AX231" i="43"/>
  <c r="AX232" i="43" s="1"/>
  <c r="AX234" i="43" s="1"/>
  <c r="AT245" i="43"/>
  <c r="BC269" i="43"/>
  <c r="BC268" i="43"/>
  <c r="BC270" i="43"/>
  <c r="BC160" i="43"/>
  <c r="AJ232" i="43"/>
  <c r="AJ234" i="43" s="1"/>
  <c r="AJ235" i="43" s="1"/>
  <c r="AJ157" i="43"/>
  <c r="BA187" i="43"/>
  <c r="BA138" i="43"/>
  <c r="BB139" i="43" s="1"/>
  <c r="AV245" i="43"/>
  <c r="AV267" i="43"/>
  <c r="BB270" i="43"/>
  <c r="Q41" i="45" s="1"/>
  <c r="BB269" i="43"/>
  <c r="Q42" i="45" s="1"/>
  <c r="BB268" i="43"/>
  <c r="BB160" i="43"/>
  <c r="AD270" i="43"/>
  <c r="N41" i="45" s="1"/>
  <c r="AD269" i="43"/>
  <c r="N42" i="45" s="1"/>
  <c r="AD268" i="43"/>
  <c r="AI342" i="43"/>
  <c r="AG270" i="43"/>
  <c r="O41" i="45" s="1"/>
  <c r="AG269" i="43"/>
  <c r="O42" i="45" s="1"/>
  <c r="AG268" i="43"/>
  <c r="AG160" i="43"/>
  <c r="AU344" i="43"/>
  <c r="AU146" i="43"/>
  <c r="AV147" i="43" s="1"/>
  <c r="BA182" i="43"/>
  <c r="BB180" i="43"/>
  <c r="AF269" i="43"/>
  <c r="BA54" i="43"/>
  <c r="AK54" i="43"/>
  <c r="AV54" i="43"/>
  <c r="AE54" i="43"/>
  <c r="AE100" i="43"/>
  <c r="BC334" i="43"/>
  <c r="BC195" i="43"/>
  <c r="BC194" i="43" s="1"/>
  <c r="BC190" i="43" s="1"/>
  <c r="BC184" i="43"/>
  <c r="BB54" i="43"/>
  <c r="AL54" i="43"/>
  <c r="BI124" i="43"/>
  <c r="BK124" i="43" s="1"/>
  <c r="I30" i="45" s="1"/>
  <c r="BK66" i="43"/>
  <c r="AY89" i="43"/>
  <c r="AI89" i="43"/>
  <c r="AI19" i="43"/>
  <c r="AM184" i="43"/>
  <c r="AP89" i="43"/>
  <c r="AP19" i="43"/>
  <c r="AZ44" i="43"/>
  <c r="AZ60" i="43"/>
  <c r="AN44" i="43"/>
  <c r="AD187" i="43"/>
  <c r="AD193" i="43" s="1"/>
  <c r="AD184" i="43"/>
  <c r="AD133" i="43"/>
  <c r="AS89" i="43"/>
  <c r="AS19" i="43"/>
  <c r="AS100" i="43" s="1"/>
  <c r="BU124" i="43"/>
  <c r="BW124" i="43" s="1"/>
  <c r="BW66" i="43"/>
  <c r="AF195" i="43"/>
  <c r="AG194" i="43"/>
  <c r="AG190" i="43" s="1"/>
  <c r="BR124" i="43"/>
  <c r="AV89" i="43"/>
  <c r="AV19" i="43"/>
  <c r="AJ327" i="43"/>
  <c r="AJ329" i="43" s="1"/>
  <c r="AJ142" i="43" s="1"/>
  <c r="AH325" i="43"/>
  <c r="AJ323" i="43"/>
  <c r="AJ325" i="43" s="1"/>
  <c r="AQ325" i="43"/>
  <c r="AR327" i="43" s="1"/>
  <c r="AS323" i="43"/>
  <c r="AS325" i="43" s="1"/>
  <c r="AI286" i="43"/>
  <c r="AI287" i="43" s="1"/>
  <c r="AM281" i="43"/>
  <c r="AM284" i="43" s="1"/>
  <c r="AK281" i="43"/>
  <c r="BG240" i="43"/>
  <c r="AR261" i="43"/>
  <c r="AW245" i="43"/>
  <c r="AN245" i="43"/>
  <c r="AM269" i="43"/>
  <c r="AM270" i="43"/>
  <c r="AM268" i="43"/>
  <c r="BE342" i="43"/>
  <c r="BF239" i="43"/>
  <c r="AO184" i="43"/>
  <c r="AO134" i="43"/>
  <c r="AT270" i="43"/>
  <c r="AT269" i="43"/>
  <c r="AT268" i="43"/>
  <c r="AT160" i="43"/>
  <c r="AU160" i="43"/>
  <c r="AY151" i="43"/>
  <c r="AY138" i="43"/>
  <c r="AV151" i="43"/>
  <c r="BC180" i="43"/>
  <c r="AW54" i="43"/>
  <c r="AG54" i="43"/>
  <c r="AR54" i="43"/>
  <c r="AQ54" i="43"/>
  <c r="AX54" i="43"/>
  <c r="AH54" i="43"/>
  <c r="BX124" i="43"/>
  <c r="BZ124" i="43" s="1"/>
  <c r="BZ66" i="43"/>
  <c r="BF124" i="43"/>
  <c r="BN66" i="43"/>
  <c r="AX180" i="43"/>
  <c r="AX64" i="43"/>
  <c r="AX66" i="43" s="1"/>
  <c r="AL89" i="43"/>
  <c r="AL19" i="43"/>
  <c r="AH187" i="43"/>
  <c r="AD194" i="43"/>
  <c r="AD190" i="43" s="1"/>
  <c r="BO66" i="43"/>
  <c r="AK194" i="43"/>
  <c r="AK190" i="43" s="1"/>
  <c r="AE254" i="43"/>
  <c r="AE255" i="43"/>
  <c r="AE256" i="43"/>
  <c r="AE25" i="43"/>
  <c r="AI344" i="43"/>
  <c r="AI146" i="43"/>
  <c r="AG310" i="43"/>
  <c r="O35" i="45" s="1"/>
  <c r="AG309" i="43"/>
  <c r="AG323" i="43"/>
  <c r="AG325" i="43" s="1"/>
  <c r="AW310" i="43"/>
  <c r="AW309" i="43"/>
  <c r="AZ309" i="43"/>
  <c r="AH318" i="43"/>
  <c r="AG320" i="43"/>
  <c r="D20" i="45" s="1"/>
  <c r="AE286" i="43"/>
  <c r="AE287" i="43" s="1"/>
  <c r="BC325" i="43"/>
  <c r="AU284" i="43"/>
  <c r="AY281" i="43"/>
  <c r="AY283" i="43" s="1"/>
  <c r="AW281" i="43"/>
  <c r="AW283" i="43" s="1"/>
  <c r="AM263" i="43"/>
  <c r="AM126" i="43" s="1"/>
  <c r="BA261" i="43"/>
  <c r="AI261" i="43"/>
  <c r="AV261" i="43"/>
  <c r="AS267" i="43"/>
  <c r="AS245" i="43"/>
  <c r="BF207" i="43"/>
  <c r="AK245" i="43"/>
  <c r="AO261" i="43"/>
  <c r="AP236" i="43"/>
  <c r="AP270" i="43"/>
  <c r="AP269" i="43"/>
  <c r="AP268" i="43"/>
  <c r="AP160" i="43"/>
  <c r="AW270" i="43"/>
  <c r="AW269" i="43"/>
  <c r="AW268" i="43"/>
  <c r="AW160" i="43"/>
  <c r="AX167" i="43"/>
  <c r="AX169" i="43" s="1"/>
  <c r="BB166" i="43"/>
  <c r="BB169" i="43" s="1"/>
  <c r="BB170" i="43" s="1"/>
  <c r="AZ166" i="43"/>
  <c r="AZ169" i="43" s="1"/>
  <c r="AZ170" i="43" s="1"/>
  <c r="AU134" i="43"/>
  <c r="AS160" i="43"/>
  <c r="AR269" i="43"/>
  <c r="AR270" i="43"/>
  <c r="AR268" i="43"/>
  <c r="AR160" i="43"/>
  <c r="AL169" i="43"/>
  <c r="AL170" i="43" s="1"/>
  <c r="AS54" i="43"/>
  <c r="AF54" i="43"/>
  <c r="AF100" i="43"/>
  <c r="BC54" i="43"/>
  <c r="AM54" i="43"/>
  <c r="AT54" i="43"/>
  <c r="AD54" i="43"/>
  <c r="AJ194" i="43"/>
  <c r="AQ89" i="43"/>
  <c r="BN124" i="43"/>
  <c r="J30" i="45" s="1"/>
  <c r="AE133" i="43"/>
  <c r="AH89" i="43"/>
  <c r="AH19" i="43"/>
  <c r="AH194" i="43"/>
  <c r="AH190" i="43" s="1"/>
  <c r="AK89" i="43"/>
  <c r="AK19" i="43"/>
  <c r="BK24" i="43"/>
  <c r="BM24" i="43"/>
  <c r="AN89" i="43"/>
  <c r="AN19" i="43"/>
  <c r="BD284" i="43" l="1"/>
  <c r="D25" i="44"/>
  <c r="J11" i="45"/>
  <c r="BO242" i="43"/>
  <c r="BP242" i="43" s="1"/>
  <c r="BQ242" i="43" s="1"/>
  <c r="BR242" i="43" s="1"/>
  <c r="BS242" i="43" s="1"/>
  <c r="BT242" i="43" s="1"/>
  <c r="BU242" i="43" s="1"/>
  <c r="BV242" i="43" s="1"/>
  <c r="BW242" i="43" s="1"/>
  <c r="BX242" i="43" s="1"/>
  <c r="BY242" i="43" s="1"/>
  <c r="BZ242" i="43" s="1"/>
  <c r="CA242" i="43" s="1"/>
  <c r="CB242" i="43" s="1"/>
  <c r="CC242" i="43" s="1"/>
  <c r="J74" i="45"/>
  <c r="I74" i="45"/>
  <c r="BO231" i="43"/>
  <c r="BP231" i="43" s="1"/>
  <c r="BQ231" i="43" s="1"/>
  <c r="BR231" i="43" s="1"/>
  <c r="BS231" i="43" s="1"/>
  <c r="BT231" i="43" s="1"/>
  <c r="BU231" i="43" s="1"/>
  <c r="BV231" i="43" s="1"/>
  <c r="BW231" i="43" s="1"/>
  <c r="BX231" i="43" s="1"/>
  <c r="BY231" i="43" s="1"/>
  <c r="BZ231" i="43" s="1"/>
  <c r="CA231" i="43" s="1"/>
  <c r="CB231" i="43" s="1"/>
  <c r="CC231" i="43" s="1"/>
  <c r="J67" i="45"/>
  <c r="BO222" i="43"/>
  <c r="BP222" i="43" s="1"/>
  <c r="BQ222" i="43" s="1"/>
  <c r="BR222" i="43" s="1"/>
  <c r="BS222" i="43" s="1"/>
  <c r="BT222" i="43" s="1"/>
  <c r="BU222" i="43" s="1"/>
  <c r="BV222" i="43" s="1"/>
  <c r="BW222" i="43" s="1"/>
  <c r="BX222" i="43" s="1"/>
  <c r="BY222" i="43" s="1"/>
  <c r="BZ222" i="43" s="1"/>
  <c r="CA222" i="43" s="1"/>
  <c r="CB222" i="43" s="1"/>
  <c r="CC222" i="43" s="1"/>
  <c r="J60" i="45"/>
  <c r="BO223" i="43"/>
  <c r="BP223" i="43" s="1"/>
  <c r="BQ223" i="43" s="1"/>
  <c r="BR223" i="43" s="1"/>
  <c r="BS223" i="43" s="1"/>
  <c r="BT223" i="43" s="1"/>
  <c r="BU223" i="43" s="1"/>
  <c r="BV223" i="43" s="1"/>
  <c r="BW223" i="43" s="1"/>
  <c r="BX223" i="43" s="1"/>
  <c r="BY223" i="43" s="1"/>
  <c r="BZ223" i="43" s="1"/>
  <c r="CA223" i="43" s="1"/>
  <c r="CB223" i="43" s="1"/>
  <c r="CC223" i="43" s="1"/>
  <c r="J61" i="45"/>
  <c r="BO221" i="43"/>
  <c r="BP221" i="43" s="1"/>
  <c r="J59" i="45"/>
  <c r="AE184" i="43"/>
  <c r="AE187" i="43"/>
  <c r="AQ19" i="43"/>
  <c r="AQ251" i="43" s="1"/>
  <c r="AK133" i="43"/>
  <c r="AN60" i="43"/>
  <c r="AN274" i="43" s="1"/>
  <c r="AG100" i="43"/>
  <c r="AW100" i="43"/>
  <c r="AM100" i="43"/>
  <c r="AJ17" i="15"/>
  <c r="AM195" i="15"/>
  <c r="AM16" i="15" s="1"/>
  <c r="AM17" i="15" s="1"/>
  <c r="AY220" i="15"/>
  <c r="AV220" i="15"/>
  <c r="AF184" i="43"/>
  <c r="AF187" i="43"/>
  <c r="BB88" i="43"/>
  <c r="BB15" i="43"/>
  <c r="AI52" i="43"/>
  <c r="AI100" i="43" s="1"/>
  <c r="BE90" i="43"/>
  <c r="F43" i="45"/>
  <c r="Q34" i="45"/>
  <c r="E43" i="45"/>
  <c r="P34" i="45"/>
  <c r="AO269" i="43"/>
  <c r="AO160" i="43"/>
  <c r="BT66" i="43"/>
  <c r="CA124" i="43"/>
  <c r="CC124" i="43" s="1"/>
  <c r="AO105" i="15"/>
  <c r="BG16" i="43"/>
  <c r="BG90" i="43" s="1"/>
  <c r="AR93" i="15"/>
  <c r="AV104" i="15"/>
  <c r="AV105" i="15" s="1"/>
  <c r="BJ156" i="15"/>
  <c r="BJ162" i="15" s="1"/>
  <c r="AS104" i="15"/>
  <c r="AS105" i="15" s="1"/>
  <c r="AR105" i="15"/>
  <c r="AZ105" i="15"/>
  <c r="BG162" i="15"/>
  <c r="BH162" i="15" s="1"/>
  <c r="AY104" i="15"/>
  <c r="AY105" i="15" s="1"/>
  <c r="AY92" i="15"/>
  <c r="AY93" i="15" s="1"/>
  <c r="BU193" i="15"/>
  <c r="BR40" i="43"/>
  <c r="AL9" i="15"/>
  <c r="BI91" i="43"/>
  <c r="BL91" i="43"/>
  <c r="AL236" i="43"/>
  <c r="AL245" i="43" s="1"/>
  <c r="BC286" i="43"/>
  <c r="BT124" i="43"/>
  <c r="AF245" i="43"/>
  <c r="AF267" i="43"/>
  <c r="AZ245" i="43"/>
  <c r="AZ267" i="43"/>
  <c r="AH133" i="43"/>
  <c r="AJ133" i="43" s="1"/>
  <c r="AJ132" i="43" s="1"/>
  <c r="BH124" i="43"/>
  <c r="H30" i="45" s="1"/>
  <c r="AO236" i="43"/>
  <c r="AO245" i="43" s="1"/>
  <c r="AM133" i="43"/>
  <c r="AL133" i="43" s="1"/>
  <c r="AU236" i="43"/>
  <c r="AU245" i="43" s="1"/>
  <c r="AV218" i="43"/>
  <c r="AX93" i="15"/>
  <c r="BE104" i="15"/>
  <c r="AM9" i="15"/>
  <c r="BL160" i="15"/>
  <c r="BL156" i="15" s="1"/>
  <c r="BL16" i="43" s="1"/>
  <c r="AF115" i="15"/>
  <c r="AQ138" i="15"/>
  <c r="AQ115" i="15"/>
  <c r="AQ116" i="15"/>
  <c r="BH104" i="15"/>
  <c r="AL132" i="43"/>
  <c r="AL187" i="43" s="1"/>
  <c r="BE38" i="43"/>
  <c r="AX165" i="15"/>
  <c r="AY162" i="15"/>
  <c r="AY165" i="15" s="1"/>
  <c r="AV165" i="15"/>
  <c r="AV178" i="15"/>
  <c r="AV185" i="15" s="1"/>
  <c r="AV8" i="15" s="1"/>
  <c r="AK187" i="43"/>
  <c r="AS170" i="15"/>
  <c r="BA195" i="15"/>
  <c r="BA16" i="15" s="1"/>
  <c r="BF137" i="15"/>
  <c r="BK137" i="15"/>
  <c r="BE100" i="15"/>
  <c r="BE99" i="15" s="1"/>
  <c r="AX195" i="15"/>
  <c r="AX16" i="15" s="1"/>
  <c r="AL195" i="15"/>
  <c r="AL16" i="15" s="1"/>
  <c r="AL17" i="15" s="1"/>
  <c r="AI9" i="15"/>
  <c r="AO195" i="15"/>
  <c r="AO16" i="15" s="1"/>
  <c r="AE332" i="15"/>
  <c r="AE330" i="15" s="1"/>
  <c r="AE333" i="15" s="1"/>
  <c r="AU165" i="15"/>
  <c r="AU31" i="43"/>
  <c r="AU33" i="43" s="1"/>
  <c r="AD25" i="43"/>
  <c r="AF133" i="43"/>
  <c r="AU184" i="43"/>
  <c r="AH189" i="43"/>
  <c r="AJ189" i="43" s="1"/>
  <c r="AX236" i="43"/>
  <c r="AY235" i="43"/>
  <c r="BZ104" i="15"/>
  <c r="BH66" i="43"/>
  <c r="BK104" i="15"/>
  <c r="BJ106" i="15"/>
  <c r="BQ104" i="15"/>
  <c r="CC104" i="15"/>
  <c r="BN104" i="15"/>
  <c r="BH160" i="15"/>
  <c r="BH159" i="15" s="1"/>
  <c r="BE94" i="15"/>
  <c r="BE93" i="15" s="1"/>
  <c r="AX283" i="43"/>
  <c r="AD264" i="43"/>
  <c r="AH267" i="43"/>
  <c r="AH245" i="43"/>
  <c r="AD267" i="43"/>
  <c r="AD245" i="43"/>
  <c r="BM203" i="43"/>
  <c r="BN203" i="43" s="1"/>
  <c r="I49" i="45"/>
  <c r="BM229" i="43"/>
  <c r="BN229" i="43" s="1"/>
  <c r="I65" i="45"/>
  <c r="BM230" i="43"/>
  <c r="BN230" i="43" s="1"/>
  <c r="I66" i="45"/>
  <c r="E19" i="45"/>
  <c r="AJ26" i="43"/>
  <c r="AI33" i="43"/>
  <c r="BM224" i="43"/>
  <c r="BN224" i="43" s="1"/>
  <c r="I62" i="45"/>
  <c r="AJ63" i="43"/>
  <c r="AJ173" i="43"/>
  <c r="BM208" i="43"/>
  <c r="BN208" i="43" s="1"/>
  <c r="I52" i="45"/>
  <c r="BM211" i="43"/>
  <c r="BN211" i="43" s="1"/>
  <c r="I54" i="45"/>
  <c r="BM213" i="43"/>
  <c r="BN213" i="43" s="1"/>
  <c r="I55" i="45"/>
  <c r="AY267" i="43"/>
  <c r="AY245" i="43"/>
  <c r="BE91" i="43"/>
  <c r="I11" i="45"/>
  <c r="AE191" i="43"/>
  <c r="AF193" i="43" s="1"/>
  <c r="F62" i="44"/>
  <c r="G59" i="44"/>
  <c r="AU116" i="15"/>
  <c r="AU138" i="15"/>
  <c r="AO112" i="15"/>
  <c r="AO109" i="15"/>
  <c r="AO178" i="15"/>
  <c r="AO185" i="15" s="1"/>
  <c r="AO8" i="15" s="1"/>
  <c r="AO9" i="15" s="1"/>
  <c r="AR190" i="15"/>
  <c r="AR11" i="15"/>
  <c r="BR182" i="15"/>
  <c r="BS182" i="15" s="1"/>
  <c r="BQ182" i="15"/>
  <c r="AW13" i="15"/>
  <c r="AZ13" i="15"/>
  <c r="AW12" i="15"/>
  <c r="AT86" i="43"/>
  <c r="AW86" i="43"/>
  <c r="BK17" i="43"/>
  <c r="AL190" i="15"/>
  <c r="AL11" i="15"/>
  <c r="BI162" i="15"/>
  <c r="BI16" i="43"/>
  <c r="BO176" i="15"/>
  <c r="BQ176" i="15" s="1"/>
  <c r="AL116" i="15"/>
  <c r="AL115" i="15"/>
  <c r="AL138" i="15"/>
  <c r="AM114" i="15"/>
  <c r="AY11" i="15"/>
  <c r="AY195" i="15"/>
  <c r="AY16" i="15" s="1"/>
  <c r="BS176" i="15"/>
  <c r="BP17" i="43"/>
  <c r="BP91" i="43" s="1"/>
  <c r="BH91" i="43"/>
  <c r="CB158" i="15"/>
  <c r="AX112" i="15"/>
  <c r="AX115" i="15" s="1"/>
  <c r="AW138" i="15"/>
  <c r="AW139" i="15" s="1"/>
  <c r="AW116" i="15"/>
  <c r="AW115" i="15"/>
  <c r="AZ116" i="15"/>
  <c r="AX91" i="43"/>
  <c r="BA91" i="43"/>
  <c r="AX99" i="43"/>
  <c r="BO181" i="15"/>
  <c r="BP181" i="15" s="1"/>
  <c r="BN181" i="15"/>
  <c r="AU94" i="15"/>
  <c r="AU93" i="15" s="1"/>
  <c r="AU12" i="43"/>
  <c r="AX86" i="43" s="1"/>
  <c r="BA106" i="15"/>
  <c r="BA105" i="15" s="1"/>
  <c r="BA14" i="43"/>
  <c r="BA108" i="15"/>
  <c r="AT138" i="15"/>
  <c r="AT139" i="15" s="1"/>
  <c r="AT116" i="15"/>
  <c r="AT115" i="15"/>
  <c r="AS178" i="15"/>
  <c r="AS185" i="15" s="1"/>
  <c r="AS8" i="15" s="1"/>
  <c r="AS165" i="15"/>
  <c r="BF164" i="15"/>
  <c r="AZ88" i="43"/>
  <c r="AZ15" i="43"/>
  <c r="AR112" i="15"/>
  <c r="AR109" i="15"/>
  <c r="AR139" i="15"/>
  <c r="AI138" i="15"/>
  <c r="AJ114" i="15"/>
  <c r="AI116" i="15"/>
  <c r="AI115" i="15"/>
  <c r="BB190" i="15"/>
  <c r="BB11" i="15"/>
  <c r="BB195" i="15"/>
  <c r="BB16" i="15" s="1"/>
  <c r="AX178" i="15"/>
  <c r="AX185" i="15" s="1"/>
  <c r="AX8" i="15" s="1"/>
  <c r="AX17" i="15" s="1"/>
  <c r="AT100" i="15"/>
  <c r="AT99" i="15" s="1"/>
  <c r="AW100" i="15"/>
  <c r="AW99" i="15" s="1"/>
  <c r="AU96" i="15"/>
  <c r="AT13" i="43"/>
  <c r="AX138" i="15"/>
  <c r="AX116" i="15"/>
  <c r="AU108" i="43"/>
  <c r="AU56" i="43"/>
  <c r="AT14" i="43"/>
  <c r="AU102" i="15"/>
  <c r="AW106" i="15"/>
  <c r="AW105" i="15" s="1"/>
  <c r="AV169" i="15"/>
  <c r="AV170" i="15" s="1"/>
  <c r="AU170" i="15"/>
  <c r="AF195" i="15"/>
  <c r="AF16" i="15" s="1"/>
  <c r="AF17" i="15" s="1"/>
  <c r="AG16" i="15"/>
  <c r="AG17" i="15" s="1"/>
  <c r="BS39" i="15"/>
  <c r="BS104" i="15" s="1"/>
  <c r="BT104" i="15" s="1"/>
  <c r="BV39" i="15"/>
  <c r="BV104" i="15" s="1"/>
  <c r="BW104" i="15" s="1"/>
  <c r="AR88" i="43"/>
  <c r="AO88" i="43"/>
  <c r="BA190" i="15"/>
  <c r="BA11" i="15"/>
  <c r="AP190" i="15"/>
  <c r="AP11" i="15"/>
  <c r="AP195" i="15"/>
  <c r="AP16" i="15" s="1"/>
  <c r="AP17" i="15" s="1"/>
  <c r="BK156" i="15"/>
  <c r="AV61" i="15"/>
  <c r="AV62" i="15" s="1"/>
  <c r="AY63" i="15"/>
  <c r="AO86" i="43"/>
  <c r="AO15" i="43"/>
  <c r="AX15" i="43"/>
  <c r="BA86" i="43"/>
  <c r="AL113" i="15"/>
  <c r="AM112" i="15"/>
  <c r="AL148" i="15"/>
  <c r="BB178" i="15"/>
  <c r="BB185" i="15" s="1"/>
  <c r="BB8" i="15" s="1"/>
  <c r="BB165" i="15"/>
  <c r="AS190" i="15"/>
  <c r="AS11" i="15"/>
  <c r="AS195" i="15"/>
  <c r="AS16" i="15" s="1"/>
  <c r="AY17" i="43"/>
  <c r="AJ13" i="15"/>
  <c r="AJ12" i="15"/>
  <c r="AU51" i="43"/>
  <c r="AM190" i="15"/>
  <c r="AM11" i="15"/>
  <c r="BF90" i="43"/>
  <c r="AU194" i="15"/>
  <c r="AU15" i="15"/>
  <c r="AU189" i="15"/>
  <c r="AX190" i="15" s="1"/>
  <c r="AV187" i="15"/>
  <c r="AV189" i="15" s="1"/>
  <c r="AI17" i="15"/>
  <c r="BP158" i="15"/>
  <c r="AR86" i="43"/>
  <c r="AR15" i="43"/>
  <c r="AX11" i="15"/>
  <c r="BN176" i="15"/>
  <c r="AR195" i="15"/>
  <c r="AR16" i="15" s="1"/>
  <c r="AR17" i="15" s="1"/>
  <c r="AO190" i="15"/>
  <c r="AO11" i="15"/>
  <c r="BA138" i="15"/>
  <c r="BA117" i="15"/>
  <c r="BA116" i="15"/>
  <c r="AX267" i="43"/>
  <c r="AX245" i="43"/>
  <c r="AH252" i="43"/>
  <c r="AH251" i="43"/>
  <c r="AH250" i="43"/>
  <c r="AH93" i="43"/>
  <c r="AH21" i="43"/>
  <c r="AQ252" i="43"/>
  <c r="AQ250" i="43"/>
  <c r="AQ21" i="43"/>
  <c r="BA263" i="43"/>
  <c r="BA126" i="43" s="1"/>
  <c r="AW324" i="43"/>
  <c r="AY324" i="43" s="1"/>
  <c r="AW323" i="43"/>
  <c r="AH101" i="43"/>
  <c r="AH60" i="43"/>
  <c r="AH57" i="43"/>
  <c r="AH44" i="43"/>
  <c r="AR57" i="43"/>
  <c r="AR44" i="43"/>
  <c r="AR60" i="43"/>
  <c r="AG101" i="43"/>
  <c r="AG57" i="43"/>
  <c r="AG44" i="43"/>
  <c r="AG60" i="43"/>
  <c r="BC182" i="43"/>
  <c r="BF342" i="43"/>
  <c r="BG239" i="43"/>
  <c r="AO267" i="43"/>
  <c r="AJ344" i="43"/>
  <c r="AJ146" i="43"/>
  <c r="AJ147" i="43" s="1"/>
  <c r="AS251" i="43"/>
  <c r="AS250" i="43"/>
  <c r="AS252" i="43"/>
  <c r="AS21" i="43"/>
  <c r="AS93" i="43"/>
  <c r="AP252" i="43"/>
  <c r="AP251" i="43"/>
  <c r="AP250" i="43"/>
  <c r="AP93" i="43"/>
  <c r="AP21" i="43"/>
  <c r="AI93" i="43"/>
  <c r="AI21" i="43"/>
  <c r="AI264" i="43" s="1"/>
  <c r="AI252" i="43"/>
  <c r="AI251" i="43"/>
  <c r="AI250" i="43"/>
  <c r="BB60" i="43"/>
  <c r="BB44" i="43"/>
  <c r="AV101" i="43"/>
  <c r="AV57" i="43"/>
  <c r="AV44" i="43"/>
  <c r="AV60" i="43"/>
  <c r="AK101" i="43"/>
  <c r="AK57" i="43"/>
  <c r="AK44" i="43"/>
  <c r="AK60" i="43"/>
  <c r="BB187" i="43"/>
  <c r="AX270" i="43"/>
  <c r="AX269" i="43"/>
  <c r="AX268" i="43"/>
  <c r="AX160" i="43"/>
  <c r="AU324" i="43"/>
  <c r="AU323" i="43"/>
  <c r="AU281" i="43"/>
  <c r="AE193" i="43"/>
  <c r="AP101" i="43"/>
  <c r="AP60" i="43"/>
  <c r="AP57" i="43"/>
  <c r="AP44" i="43"/>
  <c r="AV171" i="43"/>
  <c r="AU170" i="43"/>
  <c r="AU173" i="43"/>
  <c r="AY60" i="43"/>
  <c r="AY57" i="43"/>
  <c r="AY44" i="43"/>
  <c r="AV324" i="43"/>
  <c r="AK325" i="43"/>
  <c r="AL327" i="43" s="1"/>
  <c r="AN251" i="43"/>
  <c r="AN250" i="43"/>
  <c r="AN252" i="43"/>
  <c r="AN93" i="43"/>
  <c r="AN21" i="43"/>
  <c r="AN100" i="43"/>
  <c r="AK252" i="43"/>
  <c r="AK251" i="43"/>
  <c r="AK250" i="43"/>
  <c r="AK93" i="43"/>
  <c r="AK21" i="43"/>
  <c r="AI194" i="43"/>
  <c r="AI190" i="43" s="1"/>
  <c r="AD101" i="43"/>
  <c r="AD60" i="43"/>
  <c r="AD57" i="43"/>
  <c r="AD44" i="43"/>
  <c r="BC60" i="43"/>
  <c r="BC44" i="43"/>
  <c r="BC123" i="43" s="1"/>
  <c r="AF101" i="43"/>
  <c r="AF57" i="43"/>
  <c r="AF44" i="43"/>
  <c r="AF60" i="43"/>
  <c r="AU187" i="43"/>
  <c r="AV187" i="43" s="1"/>
  <c r="AU138" i="43"/>
  <c r="AV139" i="43" s="1"/>
  <c r="AP267" i="43"/>
  <c r="AP245" i="43"/>
  <c r="AH320" i="43"/>
  <c r="AI318" i="43"/>
  <c r="BO124" i="43"/>
  <c r="BQ124" i="43" s="1"/>
  <c r="BQ66" i="43"/>
  <c r="AX182" i="43"/>
  <c r="AX179" i="43"/>
  <c r="BE66" i="43"/>
  <c r="AR263" i="43"/>
  <c r="AR126" i="43" s="1"/>
  <c r="AK284" i="43"/>
  <c r="AR329" i="43"/>
  <c r="AN162" i="43"/>
  <c r="AN68" i="43"/>
  <c r="AZ275" i="43"/>
  <c r="AZ274" i="43"/>
  <c r="AZ162" i="43"/>
  <c r="AZ43" i="43"/>
  <c r="AZ68" i="43"/>
  <c r="AL184" i="43"/>
  <c r="BQ221" i="43"/>
  <c r="AU267" i="43"/>
  <c r="AJ167" i="43"/>
  <c r="AX263" i="43"/>
  <c r="AX126" i="43" s="1"/>
  <c r="AT286" i="43"/>
  <c r="BB325" i="43"/>
  <c r="AJ252" i="43"/>
  <c r="AJ251" i="43"/>
  <c r="AJ250" i="43"/>
  <c r="AJ93" i="43"/>
  <c r="AJ21" i="43"/>
  <c r="AW21" i="43"/>
  <c r="AW264" i="43" s="1"/>
  <c r="AW250" i="43"/>
  <c r="AW251" i="43"/>
  <c r="AW252" i="43"/>
  <c r="AM252" i="43"/>
  <c r="AM251" i="43"/>
  <c r="AM250" i="43"/>
  <c r="AM93" i="43"/>
  <c r="AM21" i="43"/>
  <c r="AN270" i="43"/>
  <c r="AN268" i="43"/>
  <c r="AN269" i="43"/>
  <c r="AN160" i="43"/>
  <c r="AQ160" i="43"/>
  <c r="AW263" i="43"/>
  <c r="AW126" i="43" s="1"/>
  <c r="AT325" i="43"/>
  <c r="AU327" i="43" s="1"/>
  <c r="AO263" i="43"/>
  <c r="AO126" i="43" s="1"/>
  <c r="BG207" i="43"/>
  <c r="AV263" i="43"/>
  <c r="AV126" i="43" s="1"/>
  <c r="AY263" i="43"/>
  <c r="AY126" i="43" s="1"/>
  <c r="E32" i="45" s="1"/>
  <c r="AI132" i="43"/>
  <c r="AL93" i="43"/>
  <c r="AL21" i="43"/>
  <c r="AL251" i="43"/>
  <c r="AL250" i="43"/>
  <c r="AL252" i="43"/>
  <c r="AX60" i="43"/>
  <c r="AX57" i="43"/>
  <c r="AX44" i="43"/>
  <c r="AQ100" i="43"/>
  <c r="AW101" i="43"/>
  <c r="AW57" i="43"/>
  <c r="AW44" i="43"/>
  <c r="AW60" i="43"/>
  <c r="AO187" i="43"/>
  <c r="AP187" i="43" s="1"/>
  <c r="AO138" i="43"/>
  <c r="AP139" i="43" s="1"/>
  <c r="AN281" i="43"/>
  <c r="AP281" i="43"/>
  <c r="AP282" i="43" s="1"/>
  <c r="AO282" i="43" s="1"/>
  <c r="AV93" i="43"/>
  <c r="AV21" i="43"/>
  <c r="AV250" i="43"/>
  <c r="AV252" i="43"/>
  <c r="AV251" i="43"/>
  <c r="AF194" i="43"/>
  <c r="AF190" i="43" s="1"/>
  <c r="AN101" i="43"/>
  <c r="AL101" i="43"/>
  <c r="AL60" i="43"/>
  <c r="AL57" i="43"/>
  <c r="AL44" i="43"/>
  <c r="BA44" i="43"/>
  <c r="BA60" i="43"/>
  <c r="BB182" i="43"/>
  <c r="BB179" i="43"/>
  <c r="AL267" i="43"/>
  <c r="BA329" i="43"/>
  <c r="BB327" i="43"/>
  <c r="BB329" i="43" s="1"/>
  <c r="BF281" i="43"/>
  <c r="BF324" i="43"/>
  <c r="BH281" i="43"/>
  <c r="AI101" i="43"/>
  <c r="AI60" i="43"/>
  <c r="AI57" i="43"/>
  <c r="AI44" i="43"/>
  <c r="AO57" i="43"/>
  <c r="AO44" i="43"/>
  <c r="AO60" i="43"/>
  <c r="AX170" i="43"/>
  <c r="AX173" i="43"/>
  <c r="AN169" i="43"/>
  <c r="AN170" i="43" s="1"/>
  <c r="AO166" i="43"/>
  <c r="AO169" i="43" s="1"/>
  <c r="AO170" i="43" s="1"/>
  <c r="BA325" i="43"/>
  <c r="BC327" i="43" s="1"/>
  <c r="BC329" i="43" s="1"/>
  <c r="BO24" i="43"/>
  <c r="BP24" i="43" s="1"/>
  <c r="BN24" i="43"/>
  <c r="AT60" i="43"/>
  <c r="AT57" i="43"/>
  <c r="AT44" i="43"/>
  <c r="AM101" i="43"/>
  <c r="AM60" i="43"/>
  <c r="AM57" i="43"/>
  <c r="AM44" i="43"/>
  <c r="AS101" i="43"/>
  <c r="AS57" i="43"/>
  <c r="AS44" i="43"/>
  <c r="AS60" i="43"/>
  <c r="AI263" i="43"/>
  <c r="AI126" i="43" s="1"/>
  <c r="AH100" i="43"/>
  <c r="AQ60" i="43"/>
  <c r="AQ57" i="43"/>
  <c r="AQ44" i="43"/>
  <c r="BD182" i="43"/>
  <c r="BF179" i="43"/>
  <c r="BH240" i="43"/>
  <c r="H72" i="45" s="1"/>
  <c r="AN123" i="43"/>
  <c r="AN104" i="43"/>
  <c r="AN45" i="43"/>
  <c r="AN163" i="43" s="1"/>
  <c r="AZ123" i="43"/>
  <c r="AZ45" i="43"/>
  <c r="AZ163" i="43" s="1"/>
  <c r="Q52" i="45"/>
  <c r="AE101" i="43"/>
  <c r="AE60" i="43"/>
  <c r="AE57" i="43"/>
  <c r="AE44" i="43"/>
  <c r="AK100" i="43"/>
  <c r="AF264" i="43"/>
  <c r="AF263" i="43"/>
  <c r="AF126" i="43" s="1"/>
  <c r="AG327" i="43"/>
  <c r="AG328" i="43" s="1"/>
  <c r="AF328" i="43"/>
  <c r="AG252" i="43"/>
  <c r="AG251" i="43"/>
  <c r="AG250" i="43"/>
  <c r="AG21" i="43"/>
  <c r="D7" i="45" s="1"/>
  <c r="AG93" i="43"/>
  <c r="AP100" i="43"/>
  <c r="AX187" i="43"/>
  <c r="AX138" i="43"/>
  <c r="AY139" i="43" s="1"/>
  <c r="AY309" i="43"/>
  <c r="AY310" i="43"/>
  <c r="P35" i="45" s="1"/>
  <c r="BB309" i="43"/>
  <c r="BC287" i="43"/>
  <c r="BC267" i="43"/>
  <c r="AE267" i="43"/>
  <c r="H11" i="45" l="1"/>
  <c r="BD286" i="43"/>
  <c r="BE267" i="43"/>
  <c r="BO230" i="43"/>
  <c r="BP230" i="43" s="1"/>
  <c r="BQ230" i="43" s="1"/>
  <c r="BR230" i="43" s="1"/>
  <c r="BS230" i="43" s="1"/>
  <c r="BT230" i="43" s="1"/>
  <c r="BU230" i="43" s="1"/>
  <c r="BV230" i="43" s="1"/>
  <c r="BW230" i="43" s="1"/>
  <c r="BX230" i="43" s="1"/>
  <c r="BY230" i="43" s="1"/>
  <c r="BZ230" i="43" s="1"/>
  <c r="CA230" i="43" s="1"/>
  <c r="CB230" i="43" s="1"/>
  <c r="CC230" i="43" s="1"/>
  <c r="J66" i="45"/>
  <c r="BO229" i="43"/>
  <c r="BP229" i="43" s="1"/>
  <c r="BQ229" i="43" s="1"/>
  <c r="BR229" i="43" s="1"/>
  <c r="BS229" i="43" s="1"/>
  <c r="BT229" i="43" s="1"/>
  <c r="BU229" i="43" s="1"/>
  <c r="BV229" i="43" s="1"/>
  <c r="BW229" i="43" s="1"/>
  <c r="BX229" i="43" s="1"/>
  <c r="BY229" i="43" s="1"/>
  <c r="BZ229" i="43" s="1"/>
  <c r="CA229" i="43" s="1"/>
  <c r="CB229" i="43" s="1"/>
  <c r="CC229" i="43" s="1"/>
  <c r="J65" i="45"/>
  <c r="BO211" i="43"/>
  <c r="BP211" i="43" s="1"/>
  <c r="BQ211" i="43" s="1"/>
  <c r="BR211" i="43" s="1"/>
  <c r="BS211" i="43" s="1"/>
  <c r="BT211" i="43" s="1"/>
  <c r="BU211" i="43" s="1"/>
  <c r="BV211" i="43" s="1"/>
  <c r="BW211" i="43" s="1"/>
  <c r="BX211" i="43" s="1"/>
  <c r="BY211" i="43" s="1"/>
  <c r="BZ211" i="43" s="1"/>
  <c r="CA211" i="43" s="1"/>
  <c r="CB211" i="43" s="1"/>
  <c r="CC211" i="43" s="1"/>
  <c r="J54" i="45"/>
  <c r="BO224" i="43"/>
  <c r="BP224" i="43" s="1"/>
  <c r="BQ224" i="43" s="1"/>
  <c r="BR224" i="43" s="1"/>
  <c r="BS224" i="43" s="1"/>
  <c r="BT224" i="43" s="1"/>
  <c r="BU224" i="43" s="1"/>
  <c r="BV224" i="43" s="1"/>
  <c r="BW224" i="43" s="1"/>
  <c r="BX224" i="43" s="1"/>
  <c r="BY224" i="43" s="1"/>
  <c r="BZ224" i="43" s="1"/>
  <c r="CA224" i="43" s="1"/>
  <c r="CB224" i="43" s="1"/>
  <c r="CC224" i="43" s="1"/>
  <c r="J62" i="45"/>
  <c r="BO213" i="43"/>
  <c r="BP213" i="43" s="1"/>
  <c r="BQ213" i="43" s="1"/>
  <c r="BR213" i="43" s="1"/>
  <c r="BS213" i="43" s="1"/>
  <c r="BT213" i="43" s="1"/>
  <c r="BU213" i="43" s="1"/>
  <c r="BV213" i="43" s="1"/>
  <c r="BW213" i="43" s="1"/>
  <c r="BX213" i="43" s="1"/>
  <c r="BY213" i="43" s="1"/>
  <c r="BZ213" i="43" s="1"/>
  <c r="CA213" i="43" s="1"/>
  <c r="CB213" i="43" s="1"/>
  <c r="CC213" i="43" s="1"/>
  <c r="J55" i="45"/>
  <c r="BO208" i="43"/>
  <c r="BP208" i="43" s="1"/>
  <c r="BQ208" i="43" s="1"/>
  <c r="BR208" i="43" s="1"/>
  <c r="BS208" i="43" s="1"/>
  <c r="BT208" i="43" s="1"/>
  <c r="BU208" i="43" s="1"/>
  <c r="BV208" i="43" s="1"/>
  <c r="BW208" i="43" s="1"/>
  <c r="BX208" i="43" s="1"/>
  <c r="BY208" i="43" s="1"/>
  <c r="BZ208" i="43" s="1"/>
  <c r="CA208" i="43" s="1"/>
  <c r="CB208" i="43" s="1"/>
  <c r="CC208" i="43" s="1"/>
  <c r="J52" i="45"/>
  <c r="BO203" i="43"/>
  <c r="BP203" i="43" s="1"/>
  <c r="BQ203" i="43" s="1"/>
  <c r="BR203" i="43" s="1"/>
  <c r="BS203" i="43" s="1"/>
  <c r="BT203" i="43" s="1"/>
  <c r="BU203" i="43" s="1"/>
  <c r="BV203" i="43" s="1"/>
  <c r="BW203" i="43" s="1"/>
  <c r="BX203" i="43" s="1"/>
  <c r="BY203" i="43" s="1"/>
  <c r="BZ203" i="43" s="1"/>
  <c r="J49" i="45"/>
  <c r="AQ101" i="43"/>
  <c r="AN275" i="43"/>
  <c r="AN43" i="43"/>
  <c r="AQ93" i="43"/>
  <c r="AY178" i="15"/>
  <c r="AY185" i="15" s="1"/>
  <c r="AY8" i="15" s="1"/>
  <c r="AY9" i="15" s="1"/>
  <c r="BB97" i="43"/>
  <c r="BB19" i="43"/>
  <c r="BB89" i="43"/>
  <c r="AU54" i="43"/>
  <c r="AU60" i="43" s="1"/>
  <c r="AU52" i="43"/>
  <c r="AM94" i="43"/>
  <c r="AJ94" i="43"/>
  <c r="G11" i="45"/>
  <c r="BH16" i="43"/>
  <c r="BJ16" i="43"/>
  <c r="BJ90" i="43" s="1"/>
  <c r="AJ33" i="43"/>
  <c r="BM156" i="15"/>
  <c r="BN156" i="15" s="1"/>
  <c r="BG164" i="15"/>
  <c r="AJ66" i="43"/>
  <c r="AF191" i="43"/>
  <c r="AR9" i="15"/>
  <c r="BX193" i="15"/>
  <c r="BU40" i="43"/>
  <c r="BL90" i="43"/>
  <c r="AU325" i="43"/>
  <c r="AW327" i="43" s="1"/>
  <c r="AW329" i="43" s="1"/>
  <c r="D88" i="44"/>
  <c r="D26" i="44"/>
  <c r="AH193" i="43"/>
  <c r="AJ184" i="43"/>
  <c r="AQ139" i="15"/>
  <c r="AS138" i="15"/>
  <c r="AS139" i="15" s="1"/>
  <c r="AS17" i="15"/>
  <c r="AO17" i="15"/>
  <c r="AY236" i="15"/>
  <c r="AY224" i="15"/>
  <c r="AY246" i="15"/>
  <c r="AY170" i="15"/>
  <c r="BI137" i="15"/>
  <c r="BN137" i="15"/>
  <c r="BF38" i="43"/>
  <c r="BG137" i="15"/>
  <c r="AV224" i="15"/>
  <c r="AV246" i="15"/>
  <c r="AV236" i="15"/>
  <c r="AU44" i="43"/>
  <c r="AU45" i="43" s="1"/>
  <c r="AU163" i="43" s="1"/>
  <c r="BK160" i="15"/>
  <c r="BK159" i="15" s="1"/>
  <c r="BB100" i="43"/>
  <c r="AV100" i="43"/>
  <c r="BK91" i="43"/>
  <c r="BH90" i="43"/>
  <c r="H59" i="44"/>
  <c r="G62" i="44"/>
  <c r="BN17" i="43"/>
  <c r="BP106" i="15"/>
  <c r="AV190" i="15"/>
  <c r="AV11" i="15"/>
  <c r="AY13" i="15" s="1"/>
  <c r="AS209" i="15"/>
  <c r="AS13" i="15"/>
  <c r="AS12" i="15"/>
  <c r="AO97" i="43"/>
  <c r="AO89" i="43"/>
  <c r="AO19" i="43"/>
  <c r="AO104" i="43" s="1"/>
  <c r="BJ164" i="15"/>
  <c r="BK162" i="15"/>
  <c r="AP209" i="15"/>
  <c r="AP13" i="15"/>
  <c r="AP12" i="15"/>
  <c r="BS158" i="15"/>
  <c r="AT87" i="43"/>
  <c r="AW87" i="43"/>
  <c r="AI139" i="15"/>
  <c r="AJ138" i="15"/>
  <c r="AJ139" i="15" s="1"/>
  <c r="BF166" i="15"/>
  <c r="BF49" i="43"/>
  <c r="BA88" i="43"/>
  <c r="BA15" i="43"/>
  <c r="CB94" i="15"/>
  <c r="BV176" i="15"/>
  <c r="BS17" i="43"/>
  <c r="BS91" i="43" s="1"/>
  <c r="AY17" i="15"/>
  <c r="AM138" i="15"/>
  <c r="AM139" i="15" s="1"/>
  <c r="AL139" i="15"/>
  <c r="AR13" i="15"/>
  <c r="AR12" i="15"/>
  <c r="BA139" i="15"/>
  <c r="BB138" i="15"/>
  <c r="BB139" i="15" s="1"/>
  <c r="AO13" i="15"/>
  <c r="AO12" i="15"/>
  <c r="AR97" i="43"/>
  <c r="AR89" i="43"/>
  <c r="AR19" i="43"/>
  <c r="AR104" i="43" s="1"/>
  <c r="BP160" i="15"/>
  <c r="BQ158" i="15"/>
  <c r="AU190" i="15"/>
  <c r="AU11" i="15"/>
  <c r="AX13" i="15" s="1"/>
  <c r="BB91" i="43"/>
  <c r="AY91" i="43"/>
  <c r="AY99" i="43"/>
  <c r="AY19" i="43"/>
  <c r="AY104" i="43" s="1"/>
  <c r="AM113" i="15"/>
  <c r="AM148" i="15"/>
  <c r="BT39" i="15"/>
  <c r="BW39" i="15"/>
  <c r="AU100" i="15"/>
  <c r="AU99" i="15" s="1"/>
  <c r="AU13" i="43"/>
  <c r="AX100" i="15"/>
  <c r="AX99" i="15" s="1"/>
  <c r="BG166" i="15"/>
  <c r="BD49" i="43"/>
  <c r="AS224" i="15"/>
  <c r="AS246" i="15"/>
  <c r="AS236" i="15"/>
  <c r="AU108" i="15"/>
  <c r="AU139" i="15" s="1"/>
  <c r="CB160" i="15"/>
  <c r="CC158" i="15"/>
  <c r="AY209" i="15"/>
  <c r="AY12" i="15"/>
  <c r="BI90" i="43"/>
  <c r="AT15" i="43"/>
  <c r="AV138" i="15"/>
  <c r="AV139" i="15" s="1"/>
  <c r="AX12" i="15"/>
  <c r="AX97" i="43"/>
  <c r="AX19" i="43"/>
  <c r="AX104" i="43" s="1"/>
  <c r="AY61" i="15"/>
  <c r="AY62" i="15" s="1"/>
  <c r="BB63" i="15"/>
  <c r="BM162" i="15"/>
  <c r="BA13" i="15"/>
  <c r="AU106" i="15"/>
  <c r="AU105" i="15" s="1"/>
  <c r="AU14" i="43"/>
  <c r="AX106" i="15"/>
  <c r="AX105" i="15" s="1"/>
  <c r="AV195" i="15"/>
  <c r="AV16" i="15" s="1"/>
  <c r="AV17" i="15" s="1"/>
  <c r="BB17" i="15"/>
  <c r="AZ97" i="43"/>
  <c r="AZ19" i="43"/>
  <c r="AZ103" i="43" s="1"/>
  <c r="AZ89" i="43"/>
  <c r="AS9" i="15"/>
  <c r="AV9" i="15"/>
  <c r="AY112" i="15"/>
  <c r="AX148" i="15"/>
  <c r="BQ17" i="43"/>
  <c r="AY190" i="15"/>
  <c r="BL162" i="15"/>
  <c r="BO156" i="15"/>
  <c r="AP112" i="15"/>
  <c r="AO114" i="15"/>
  <c r="AO113" i="15"/>
  <c r="AO148" i="15"/>
  <c r="BP94" i="15"/>
  <c r="AU195" i="15"/>
  <c r="AU16" i="15" s="1"/>
  <c r="AM209" i="15"/>
  <c r="AM12" i="15"/>
  <c r="AM13" i="15"/>
  <c r="BB9" i="15"/>
  <c r="BV158" i="15"/>
  <c r="AT88" i="43"/>
  <c r="AW88" i="43"/>
  <c r="AY138" i="15"/>
  <c r="AY139" i="15" s="1"/>
  <c r="AX139" i="15"/>
  <c r="BB13" i="15"/>
  <c r="BB12" i="15"/>
  <c r="AJ116" i="15"/>
  <c r="AJ115" i="15"/>
  <c r="AJ147" i="15"/>
  <c r="AS112" i="15"/>
  <c r="AR113" i="15"/>
  <c r="AR115" i="15"/>
  <c r="AR148" i="15"/>
  <c r="BA112" i="15"/>
  <c r="BD122" i="15"/>
  <c r="BE122" i="15" s="1"/>
  <c r="BA109" i="15"/>
  <c r="BA178" i="15"/>
  <c r="BA185" i="15" s="1"/>
  <c r="BA8" i="15" s="1"/>
  <c r="BA12" i="15" s="1"/>
  <c r="AU86" i="43"/>
  <c r="BQ181" i="15"/>
  <c r="BR181" i="15"/>
  <c r="BS181" i="15" s="1"/>
  <c r="CB106" i="15"/>
  <c r="AM116" i="15"/>
  <c r="AM115" i="15"/>
  <c r="BR176" i="15"/>
  <c r="BO17" i="43"/>
  <c r="BO91" i="43" s="1"/>
  <c r="BI164" i="15"/>
  <c r="AL13" i="15"/>
  <c r="AL12" i="15"/>
  <c r="BU182" i="15"/>
  <c r="BV182" i="15" s="1"/>
  <c r="BT182" i="15"/>
  <c r="AU329" i="43"/>
  <c r="AV327" i="43"/>
  <c r="AV329" i="43" s="1"/>
  <c r="AZ107" i="43"/>
  <c r="AZ72" i="43"/>
  <c r="AL324" i="43"/>
  <c r="AM324" i="43" s="1"/>
  <c r="AL281" i="43"/>
  <c r="AL284" i="43" s="1"/>
  <c r="AL323" i="43"/>
  <c r="AY123" i="43"/>
  <c r="E29" i="45" s="1"/>
  <c r="E33" i="45" s="1"/>
  <c r="AY45" i="43"/>
  <c r="AY163" i="43" s="1"/>
  <c r="AV275" i="43"/>
  <c r="AV274" i="43"/>
  <c r="AV162" i="43"/>
  <c r="AV68" i="43"/>
  <c r="AV43" i="43"/>
  <c r="AV61" i="43"/>
  <c r="AS256" i="43"/>
  <c r="AS254" i="43"/>
  <c r="AS255" i="43"/>
  <c r="AS25" i="43"/>
  <c r="AS264" i="43"/>
  <c r="BG342" i="43"/>
  <c r="BH239" i="43"/>
  <c r="H71" i="45" s="1"/>
  <c r="AN333" i="43"/>
  <c r="AN128" i="43"/>
  <c r="AS104" i="43"/>
  <c r="AS45" i="43"/>
  <c r="AS163" i="43" s="1"/>
  <c r="AM162" i="43"/>
  <c r="AM68" i="43"/>
  <c r="AM43" i="43"/>
  <c r="AT274" i="43"/>
  <c r="AT275" i="43"/>
  <c r="AT162" i="43"/>
  <c r="AT61" i="43"/>
  <c r="AT68" i="43"/>
  <c r="AT43" i="43"/>
  <c r="BR24" i="43"/>
  <c r="BQ24" i="43"/>
  <c r="AO274" i="43"/>
  <c r="AO275" i="43"/>
  <c r="AO162" i="43"/>
  <c r="AO43" i="43"/>
  <c r="AO68" i="43"/>
  <c r="AO72" i="43" s="1"/>
  <c r="AO61" i="43"/>
  <c r="AI123" i="43"/>
  <c r="AI104" i="43"/>
  <c r="AI45" i="43"/>
  <c r="BH284" i="43"/>
  <c r="BH286" i="43" s="1"/>
  <c r="BA344" i="43"/>
  <c r="AL123" i="43"/>
  <c r="AL333" i="43" s="1"/>
  <c r="AL104" i="43"/>
  <c r="AL45" i="43"/>
  <c r="AL163" i="43" s="1"/>
  <c r="AW274" i="43"/>
  <c r="AW275" i="43"/>
  <c r="AW162" i="43"/>
  <c r="AW68" i="43"/>
  <c r="AW43" i="43"/>
  <c r="AW61" i="43"/>
  <c r="AX123" i="43"/>
  <c r="AX45" i="43"/>
  <c r="AX163" i="43" s="1"/>
  <c r="AL255" i="43"/>
  <c r="AL256" i="43"/>
  <c r="AL254" i="43"/>
  <c r="AL264" i="43"/>
  <c r="BH207" i="43"/>
  <c r="H51" i="45" s="1"/>
  <c r="AJ255" i="43"/>
  <c r="AJ254" i="43"/>
  <c r="AJ256" i="43"/>
  <c r="AJ264" i="43"/>
  <c r="AZ61" i="43"/>
  <c r="AK286" i="43"/>
  <c r="BC275" i="43"/>
  <c r="BC274" i="43"/>
  <c r="BC162" i="43"/>
  <c r="BC68" i="43"/>
  <c r="BC72" i="43" s="1"/>
  <c r="BC43" i="43"/>
  <c r="BC61" i="43"/>
  <c r="AN255" i="43"/>
  <c r="AN256" i="43"/>
  <c r="AN254" i="43"/>
  <c r="AN25" i="43"/>
  <c r="AN264" i="43"/>
  <c r="AM327" i="43"/>
  <c r="AM329" i="43" s="1"/>
  <c r="AL329" i="43"/>
  <c r="AP274" i="43"/>
  <c r="AP275" i="43"/>
  <c r="AP162" i="43"/>
  <c r="AP61" i="43"/>
  <c r="AP68" i="43"/>
  <c r="AP43" i="43"/>
  <c r="AK123" i="43"/>
  <c r="AK104" i="43"/>
  <c r="AK45" i="43"/>
  <c r="AK163" i="43" s="1"/>
  <c r="AV123" i="43"/>
  <c r="AV104" i="43"/>
  <c r="AV45" i="43"/>
  <c r="AV163" i="43" s="1"/>
  <c r="BB274" i="43"/>
  <c r="Q47" i="45" s="1"/>
  <c r="BB275" i="43"/>
  <c r="BB162" i="43"/>
  <c r="BB61" i="43"/>
  <c r="BB68" i="43"/>
  <c r="F12" i="45" s="1"/>
  <c r="BB43" i="43"/>
  <c r="AP255" i="43"/>
  <c r="AP256" i="43"/>
  <c r="AP254" i="43"/>
  <c r="AP25" i="43"/>
  <c r="AP264" i="43"/>
  <c r="AG274" i="43"/>
  <c r="O47" i="45" s="1"/>
  <c r="AG275" i="43"/>
  <c r="AG162" i="43"/>
  <c r="O43" i="45" s="1"/>
  <c r="AG43" i="43"/>
  <c r="D8" i="45" s="1"/>
  <c r="AG61" i="43"/>
  <c r="AG68" i="43"/>
  <c r="D12" i="45" s="1"/>
  <c r="AR275" i="43"/>
  <c r="AR162" i="43"/>
  <c r="AR68" i="43"/>
  <c r="AR43" i="43"/>
  <c r="AR61" i="43"/>
  <c r="AR70" i="43" s="1"/>
  <c r="AS70" i="43" s="1"/>
  <c r="AH123" i="43"/>
  <c r="AH104" i="43"/>
  <c r="AH45" i="43"/>
  <c r="AH163" i="43" s="1"/>
  <c r="AY187" i="43"/>
  <c r="AG256" i="43"/>
  <c r="AG255" i="43"/>
  <c r="AG254" i="43"/>
  <c r="O32" i="45"/>
  <c r="AG25" i="43"/>
  <c r="AF25" i="43" s="1"/>
  <c r="AG264" i="43"/>
  <c r="BG179" i="43"/>
  <c r="AK162" i="43"/>
  <c r="AK43" i="43"/>
  <c r="AK68" i="43"/>
  <c r="AK61" i="43"/>
  <c r="BB123" i="43"/>
  <c r="F29" i="45" s="1"/>
  <c r="F33" i="45" s="1"/>
  <c r="BB104" i="43"/>
  <c r="BB45" i="43"/>
  <c r="BB163" i="43" s="1"/>
  <c r="AZ333" i="43"/>
  <c r="AZ128" i="43"/>
  <c r="AQ275" i="43"/>
  <c r="AQ274" i="43"/>
  <c r="AQ162" i="43"/>
  <c r="AQ68" i="43"/>
  <c r="AQ43" i="43"/>
  <c r="AQ61" i="43"/>
  <c r="AO123" i="43"/>
  <c r="AO45" i="43"/>
  <c r="AO163" i="43" s="1"/>
  <c r="BA162" i="43"/>
  <c r="BA43" i="43"/>
  <c r="BA61" i="43"/>
  <c r="BA68" i="43"/>
  <c r="BA72" i="43" s="1"/>
  <c r="AN284" i="43"/>
  <c r="AN286" i="43" s="1"/>
  <c r="AW123" i="43"/>
  <c r="AW104" i="43"/>
  <c r="AW45" i="43"/>
  <c r="AW163" i="43" s="1"/>
  <c r="AZ35" i="43"/>
  <c r="AN107" i="43"/>
  <c r="AN72" i="43"/>
  <c r="AJ318" i="43"/>
  <c r="AI320" i="43"/>
  <c r="AD104" i="43"/>
  <c r="AD45" i="43"/>
  <c r="AD163" i="43" s="1"/>
  <c r="N44" i="45" s="1"/>
  <c r="AK256" i="43"/>
  <c r="AK255" i="43"/>
  <c r="AK254" i="43"/>
  <c r="AK25" i="43"/>
  <c r="AK264" i="43"/>
  <c r="AY275" i="43"/>
  <c r="AY274" i="43"/>
  <c r="P47" i="45" s="1"/>
  <c r="AY162" i="43"/>
  <c r="AY68" i="43"/>
  <c r="E12" i="45" s="1"/>
  <c r="AY43" i="43"/>
  <c r="AY61" i="43"/>
  <c r="AV173" i="43"/>
  <c r="AV170" i="43"/>
  <c r="AG104" i="43"/>
  <c r="AG45" i="43"/>
  <c r="AG163" i="43" s="1"/>
  <c r="O44" i="45" s="1"/>
  <c r="AR45" i="43"/>
  <c r="AR163" i="43" s="1"/>
  <c r="AH256" i="43"/>
  <c r="AH254" i="43"/>
  <c r="AH255" i="43"/>
  <c r="AH25" i="43"/>
  <c r="AH264" i="43"/>
  <c r="AQ123" i="43"/>
  <c r="AQ104" i="43"/>
  <c r="AQ45" i="43"/>
  <c r="AQ163" i="43" s="1"/>
  <c r="AS274" i="43"/>
  <c r="AS275" i="43"/>
  <c r="AS162" i="43"/>
  <c r="AS68" i="43"/>
  <c r="AS43" i="43"/>
  <c r="AS61" i="43"/>
  <c r="AM254" i="43"/>
  <c r="AM256" i="43"/>
  <c r="AM255" i="43"/>
  <c r="AM25" i="43"/>
  <c r="AL25" i="43" s="1"/>
  <c r="AL26" i="43" s="1"/>
  <c r="AM264" i="43"/>
  <c r="AU275" i="43"/>
  <c r="AU274" i="43"/>
  <c r="AU162" i="43"/>
  <c r="AU68" i="43"/>
  <c r="AU43" i="43"/>
  <c r="AU61" i="43"/>
  <c r="AU70" i="43" s="1"/>
  <c r="AN103" i="43"/>
  <c r="AN35" i="43"/>
  <c r="AF104" i="43"/>
  <c r="AF45" i="43"/>
  <c r="AF163" i="43" s="1"/>
  <c r="AD162" i="43"/>
  <c r="N43" i="45" s="1"/>
  <c r="AD68" i="43"/>
  <c r="C12" i="45" s="1"/>
  <c r="AD43" i="43"/>
  <c r="C8" i="45" s="1"/>
  <c r="CA203" i="43"/>
  <c r="AE104" i="43"/>
  <c r="AE45" i="43"/>
  <c r="AE163" i="43" s="1"/>
  <c r="BI240" i="43"/>
  <c r="AE275" i="43"/>
  <c r="AE274" i="43"/>
  <c r="AE162" i="43"/>
  <c r="AE68" i="43"/>
  <c r="AE43" i="43"/>
  <c r="AM123" i="43"/>
  <c r="AM104" i="43"/>
  <c r="AM45" i="43"/>
  <c r="AM163" i="43" s="1"/>
  <c r="AT123" i="43"/>
  <c r="AT45" i="43"/>
  <c r="AT163" i="43" s="1"/>
  <c r="AI162" i="43"/>
  <c r="AI68" i="43"/>
  <c r="AI43" i="43"/>
  <c r="AI61" i="43"/>
  <c r="BF284" i="43"/>
  <c r="BF286" i="43" s="1"/>
  <c r="BF287" i="43" s="1"/>
  <c r="BA123" i="43"/>
  <c r="BA45" i="43"/>
  <c r="AL274" i="43"/>
  <c r="AL275" i="43"/>
  <c r="AL162" i="43"/>
  <c r="AL68" i="43"/>
  <c r="AL72" i="43" s="1"/>
  <c r="AL61" i="43"/>
  <c r="AL43" i="43"/>
  <c r="AV255" i="43"/>
  <c r="AV256" i="43"/>
  <c r="AV254" i="43"/>
  <c r="AV25" i="43"/>
  <c r="AX274" i="43"/>
  <c r="AX275" i="43"/>
  <c r="AX162" i="43"/>
  <c r="AX61" i="43"/>
  <c r="AX68" i="43"/>
  <c r="AX72" i="43" s="1"/>
  <c r="AX43" i="43"/>
  <c r="AI187" i="43"/>
  <c r="AI191" i="43" s="1"/>
  <c r="AI184" i="43"/>
  <c r="AI134" i="43"/>
  <c r="AV264" i="43"/>
  <c r="AV323" i="43"/>
  <c r="AV325" i="43" s="1"/>
  <c r="AW256" i="43"/>
  <c r="AW255" i="43"/>
  <c r="AW254" i="43"/>
  <c r="AW25" i="43"/>
  <c r="AT287" i="43"/>
  <c r="AT267" i="43"/>
  <c r="AK166" i="43"/>
  <c r="AK169" i="43" s="1"/>
  <c r="AK170" i="43" s="1"/>
  <c r="AJ169" i="43"/>
  <c r="AJ170" i="43" s="1"/>
  <c r="AI167" i="43"/>
  <c r="AI169" i="43" s="1"/>
  <c r="AI170" i="43" s="1"/>
  <c r="AM166" i="43"/>
  <c r="AM169" i="43" s="1"/>
  <c r="AM170" i="43" s="1"/>
  <c r="BR221" i="43"/>
  <c r="AM187" i="43"/>
  <c r="AN61" i="43"/>
  <c r="AF275" i="43"/>
  <c r="AF274" i="43"/>
  <c r="AF162" i="43"/>
  <c r="AF68" i="43"/>
  <c r="BC45" i="43"/>
  <c r="AJ190" i="43"/>
  <c r="AP104" i="43"/>
  <c r="AP123" i="43"/>
  <c r="AP45" i="43"/>
  <c r="AP163" i="43" s="1"/>
  <c r="AI254" i="43"/>
  <c r="AI256" i="43"/>
  <c r="AI255" i="43"/>
  <c r="AI25" i="43"/>
  <c r="BE182" i="43"/>
  <c r="AH274" i="43"/>
  <c r="AH275" i="43"/>
  <c r="AH162" i="43"/>
  <c r="AH61" i="43"/>
  <c r="AH68" i="43"/>
  <c r="AH43" i="43"/>
  <c r="AY323" i="43"/>
  <c r="AY325" i="43" s="1"/>
  <c r="AW325" i="43"/>
  <c r="AX327" i="43" s="1"/>
  <c r="AQ254" i="43"/>
  <c r="AQ255" i="43"/>
  <c r="AQ256" i="43"/>
  <c r="AQ25" i="43"/>
  <c r="AQ264" i="43"/>
  <c r="BD267" i="43" l="1"/>
  <c r="BD287" i="43"/>
  <c r="BK16" i="43"/>
  <c r="AU57" i="43"/>
  <c r="BP156" i="15"/>
  <c r="BB252" i="43"/>
  <c r="BB250" i="43"/>
  <c r="BB101" i="43"/>
  <c r="BB251" i="43"/>
  <c r="BB21" i="43"/>
  <c r="AL33" i="43"/>
  <c r="AL94" i="43"/>
  <c r="AL52" i="43"/>
  <c r="AL100" i="43" s="1"/>
  <c r="BM16" i="43"/>
  <c r="BM90" i="43" s="1"/>
  <c r="BG49" i="43"/>
  <c r="BG98" i="43" s="1"/>
  <c r="BH164" i="15"/>
  <c r="C120" i="44" s="1"/>
  <c r="CA193" i="15"/>
  <c r="CA40" i="43" s="1"/>
  <c r="BX40" i="43"/>
  <c r="U11" i="45"/>
  <c r="U12" i="45" s="1"/>
  <c r="E75" i="44"/>
  <c r="E79" i="44"/>
  <c r="E80" i="44"/>
  <c r="E84" i="44"/>
  <c r="AX103" i="43"/>
  <c r="AR103" i="43"/>
  <c r="AU123" i="43"/>
  <c r="AU333" i="43" s="1"/>
  <c r="BG38" i="43"/>
  <c r="BI38" i="43"/>
  <c r="BJ137" i="15"/>
  <c r="BJ38" i="43" s="1"/>
  <c r="BL137" i="15"/>
  <c r="BL38" i="43" s="1"/>
  <c r="BQ137" i="15"/>
  <c r="AO25" i="43"/>
  <c r="E8" i="45"/>
  <c r="P51" i="45"/>
  <c r="F8" i="45"/>
  <c r="Q51" i="45"/>
  <c r="AU15" i="43"/>
  <c r="AX89" i="43" s="1"/>
  <c r="BN160" i="15"/>
  <c r="BN159" i="15" s="1"/>
  <c r="AJ25" i="43"/>
  <c r="AR123" i="43"/>
  <c r="AR333" i="43" s="1"/>
  <c r="AI103" i="43"/>
  <c r="BK90" i="43"/>
  <c r="AL103" i="43"/>
  <c r="P43" i="45"/>
  <c r="AS123" i="43"/>
  <c r="AS333" i="43" s="1"/>
  <c r="Q43" i="45"/>
  <c r="AO103" i="43"/>
  <c r="BQ91" i="43"/>
  <c r="BN91" i="43"/>
  <c r="BE106" i="15"/>
  <c r="BE105" i="15" s="1"/>
  <c r="Q44" i="45"/>
  <c r="P44" i="45"/>
  <c r="I59" i="44"/>
  <c r="H62" i="44"/>
  <c r="AO138" i="15"/>
  <c r="AP114" i="15"/>
  <c r="AO116" i="15"/>
  <c r="AR116" i="15"/>
  <c r="BL164" i="15"/>
  <c r="BL49" i="43" s="1"/>
  <c r="BL98" i="43" s="1"/>
  <c r="BP162" i="15"/>
  <c r="BQ156" i="15"/>
  <c r="BP16" i="43"/>
  <c r="BP90" i="43" s="1"/>
  <c r="BD98" i="43"/>
  <c r="BE49" i="43"/>
  <c r="AU13" i="15"/>
  <c r="AR101" i="43"/>
  <c r="AR250" i="43"/>
  <c r="AU250" i="43" s="1"/>
  <c r="AR93" i="43"/>
  <c r="AR251" i="43"/>
  <c r="AU251" i="43" s="1"/>
  <c r="AR21" i="43"/>
  <c r="AR100" i="43"/>
  <c r="AR252" i="43"/>
  <c r="AU252" i="43" s="1"/>
  <c r="BS160" i="15"/>
  <c r="BS156" i="15" s="1"/>
  <c r="BT158" i="15"/>
  <c r="AV209" i="15"/>
  <c r="AV13" i="15"/>
  <c r="AV12" i="15"/>
  <c r="BW182" i="15"/>
  <c r="BX182" i="15"/>
  <c r="BY182" i="15" s="1"/>
  <c r="BI166" i="15"/>
  <c r="BI49" i="43"/>
  <c r="BB112" i="15"/>
  <c r="BA113" i="15"/>
  <c r="BA148" i="15"/>
  <c r="BA115" i="15"/>
  <c r="BV94" i="15"/>
  <c r="AP148" i="15"/>
  <c r="AP113" i="15"/>
  <c r="AY148" i="15"/>
  <c r="AY115" i="15"/>
  <c r="AT97" i="43"/>
  <c r="AT89" i="43"/>
  <c r="AT19" i="43"/>
  <c r="AT103" i="43" s="1"/>
  <c r="AW89" i="43"/>
  <c r="BC100" i="43"/>
  <c r="AU72" i="43"/>
  <c r="AU276" i="43" s="1"/>
  <c r="AM221" i="15"/>
  <c r="AM222" i="15" s="1"/>
  <c r="AM225" i="15" s="1"/>
  <c r="AM226" i="15" s="1"/>
  <c r="AM227" i="15" s="1"/>
  <c r="AM233" i="15"/>
  <c r="AM234" i="15" s="1"/>
  <c r="AM237" i="15" s="1"/>
  <c r="AM238" i="15" s="1"/>
  <c r="AM239" i="15" s="1"/>
  <c r="AM243" i="15"/>
  <c r="AM244" i="15" s="1"/>
  <c r="AM247" i="15" s="1"/>
  <c r="AM248" i="15" s="1"/>
  <c r="AM249" i="15" s="1"/>
  <c r="BU181" i="15"/>
  <c r="BV181" i="15" s="1"/>
  <c r="BT181" i="15"/>
  <c r="BA9" i="15"/>
  <c r="BA17" i="15"/>
  <c r="AS148" i="15"/>
  <c r="AS113" i="15"/>
  <c r="AS115" i="15"/>
  <c r="BV106" i="15"/>
  <c r="BN16" i="43"/>
  <c r="BM164" i="15"/>
  <c r="BN162" i="15"/>
  <c r="AU109" i="15"/>
  <c r="AU112" i="15"/>
  <c r="AU178" i="15"/>
  <c r="AU185" i="15" s="1"/>
  <c r="AU8" i="15" s="1"/>
  <c r="AU12" i="15" s="1"/>
  <c r="AX109" i="15"/>
  <c r="BY176" i="15"/>
  <c r="BV17" i="43"/>
  <c r="BV91" i="43" s="1"/>
  <c r="BF98" i="43"/>
  <c r="BS106" i="15"/>
  <c r="BJ166" i="15"/>
  <c r="BK164" i="15"/>
  <c r="BJ49" i="43"/>
  <c r="BJ98" i="43" s="1"/>
  <c r="AO250" i="43"/>
  <c r="AO21" i="43"/>
  <c r="AO252" i="43"/>
  <c r="AO93" i="43"/>
  <c r="AO101" i="43"/>
  <c r="AO251" i="43"/>
  <c r="AR72" i="43"/>
  <c r="AR276" i="43" s="1"/>
  <c r="BU176" i="15"/>
  <c r="BR17" i="43"/>
  <c r="BR91" i="43" s="1"/>
  <c r="AJ148" i="15"/>
  <c r="AJ48" i="43"/>
  <c r="BV160" i="15"/>
  <c r="BW158" i="15"/>
  <c r="AM217" i="15"/>
  <c r="AM213" i="15"/>
  <c r="BO162" i="15"/>
  <c r="BR156" i="15"/>
  <c r="BO16" i="43"/>
  <c r="AZ101" i="43"/>
  <c r="AZ251" i="43"/>
  <c r="AZ100" i="43"/>
  <c r="AZ250" i="43"/>
  <c r="AZ93" i="43"/>
  <c r="AZ104" i="43"/>
  <c r="AZ252" i="43"/>
  <c r="AZ21" i="43"/>
  <c r="AU88" i="43"/>
  <c r="AX88" i="43"/>
  <c r="BB61" i="15"/>
  <c r="BB62" i="15" s="1"/>
  <c r="BE63" i="15"/>
  <c r="AX250" i="43"/>
  <c r="AX252" i="43"/>
  <c r="AX101" i="43"/>
  <c r="AX251" i="43"/>
  <c r="AX21" i="43"/>
  <c r="AY217" i="15"/>
  <c r="AY213" i="15"/>
  <c r="AU87" i="43"/>
  <c r="AX87" i="43"/>
  <c r="AY251" i="43"/>
  <c r="P52" i="45"/>
  <c r="AY101" i="43"/>
  <c r="AY250" i="43"/>
  <c r="BB93" i="43"/>
  <c r="AY93" i="43"/>
  <c r="AY252" i="43"/>
  <c r="AY21" i="43"/>
  <c r="BT176" i="15"/>
  <c r="BA97" i="43"/>
  <c r="BA89" i="43"/>
  <c r="BA19" i="43"/>
  <c r="BS94" i="15"/>
  <c r="AP217" i="15"/>
  <c r="AP213" i="15"/>
  <c r="AS213" i="15"/>
  <c r="AS217" i="15"/>
  <c r="AS128" i="43"/>
  <c r="AH103" i="43"/>
  <c r="AH35" i="43"/>
  <c r="AM333" i="43"/>
  <c r="AM128" i="43"/>
  <c r="BJ240" i="43"/>
  <c r="AD123" i="43"/>
  <c r="C29" i="45" s="1"/>
  <c r="AD103" i="43"/>
  <c r="AD35" i="43"/>
  <c r="AS107" i="43"/>
  <c r="AS72" i="43"/>
  <c r="AY103" i="43"/>
  <c r="AY35" i="43"/>
  <c r="AJ320" i="43"/>
  <c r="AK318" i="43"/>
  <c r="AN276" i="43"/>
  <c r="AN81" i="43"/>
  <c r="AN73" i="43"/>
  <c r="AK107" i="43"/>
  <c r="AK109" i="43" s="1"/>
  <c r="AK110" i="43" s="1"/>
  <c r="AK111" i="43" s="1"/>
  <c r="AK72" i="43"/>
  <c r="AG123" i="43"/>
  <c r="D29" i="45" s="1"/>
  <c r="AG103" i="43"/>
  <c r="AG35" i="43"/>
  <c r="AF43" i="43"/>
  <c r="AK333" i="43"/>
  <c r="AK128" i="43"/>
  <c r="AP107" i="43"/>
  <c r="AP72" i="43"/>
  <c r="BC107" i="43"/>
  <c r="AK287" i="43"/>
  <c r="AK267" i="43"/>
  <c r="AX333" i="43"/>
  <c r="BG286" i="43"/>
  <c r="BG287" i="43" s="1"/>
  <c r="BH287" i="43"/>
  <c r="AT107" i="43"/>
  <c r="AT109" i="43" s="1"/>
  <c r="AT111" i="43" s="1"/>
  <c r="AT112" i="43" s="1"/>
  <c r="AT113" i="43" s="1"/>
  <c r="AT72" i="43"/>
  <c r="AV107" i="43"/>
  <c r="AV72" i="43"/>
  <c r="AY327" i="43"/>
  <c r="AY329" i="43" s="1"/>
  <c r="AX329" i="43"/>
  <c r="AH107" i="43"/>
  <c r="AH109" i="43" s="1"/>
  <c r="AH110" i="43" s="1"/>
  <c r="AH111" i="43" s="1"/>
  <c r="AJ111" i="43" s="1"/>
  <c r="AH72" i="43"/>
  <c r="BC333" i="43"/>
  <c r="BC128" i="43"/>
  <c r="AI138" i="43"/>
  <c r="AI151" i="43"/>
  <c r="AL276" i="43"/>
  <c r="AL81" i="43"/>
  <c r="AL73" i="43"/>
  <c r="BA333" i="43"/>
  <c r="AT333" i="43"/>
  <c r="AT128" i="43"/>
  <c r="AE123" i="43"/>
  <c r="AE103" i="43"/>
  <c r="AE35" i="43"/>
  <c r="CB203" i="43"/>
  <c r="CC203" i="43" s="1"/>
  <c r="AD107" i="43"/>
  <c r="AD109" i="43" s="1"/>
  <c r="AD110" i="43" s="1"/>
  <c r="N37" i="45" s="1"/>
  <c r="AD72" i="43"/>
  <c r="C14" i="45" s="1"/>
  <c r="C17" i="45" s="1"/>
  <c r="AY107" i="43"/>
  <c r="AY72" i="43"/>
  <c r="AN109" i="43"/>
  <c r="AN110" i="43" s="1"/>
  <c r="AN111" i="43" s="1"/>
  <c r="AN113" i="43"/>
  <c r="AW333" i="43"/>
  <c r="AW128" i="43"/>
  <c r="BA81" i="43"/>
  <c r="BA73" i="43"/>
  <c r="AQ103" i="43"/>
  <c r="AQ35" i="43"/>
  <c r="AK103" i="43"/>
  <c r="AK35" i="43"/>
  <c r="BB103" i="43"/>
  <c r="BB35" i="43"/>
  <c r="BA35" i="43" s="1"/>
  <c r="AV333" i="43"/>
  <c r="AV128" i="43"/>
  <c r="AL344" i="43"/>
  <c r="AL146" i="43"/>
  <c r="BI207" i="43"/>
  <c r="AW103" i="43"/>
  <c r="AW35" i="43"/>
  <c r="AO276" i="43"/>
  <c r="AO81" i="43"/>
  <c r="AO73" i="43"/>
  <c r="AR25" i="43"/>
  <c r="AZ276" i="43"/>
  <c r="AZ81" i="43"/>
  <c r="AZ73" i="43"/>
  <c r="AP333" i="43"/>
  <c r="AP128" i="43"/>
  <c r="AO128" i="43" s="1"/>
  <c r="AO129" i="43" s="1"/>
  <c r="BS221" i="43"/>
  <c r="AI107" i="43"/>
  <c r="AI109" i="43" s="1"/>
  <c r="AI72" i="43"/>
  <c r="AE107" i="43"/>
  <c r="AE109" i="43" s="1"/>
  <c r="AE110" i="43" s="1"/>
  <c r="AE111" i="43" s="1"/>
  <c r="AE72" i="43"/>
  <c r="AQ333" i="43"/>
  <c r="AQ128" i="43"/>
  <c r="AN287" i="43"/>
  <c r="AN267" i="43"/>
  <c r="AQ107" i="43"/>
  <c r="AQ72" i="43"/>
  <c r="BB333" i="43"/>
  <c r="BB128" i="43"/>
  <c r="BA128" i="43" s="1"/>
  <c r="BA129" i="43" s="1"/>
  <c r="BB130" i="43" s="1"/>
  <c r="BI179" i="43"/>
  <c r="AG107" i="43"/>
  <c r="AG109" i="43" s="1"/>
  <c r="AG110" i="43" s="1"/>
  <c r="O37" i="45" s="1"/>
  <c r="AG72" i="43"/>
  <c r="D14" i="45" s="1"/>
  <c r="D17" i="45" s="1"/>
  <c r="BB107" i="43"/>
  <c r="BB72" i="43"/>
  <c r="F14" i="45" s="1"/>
  <c r="BC35" i="43"/>
  <c r="AW107" i="43"/>
  <c r="AW72" i="43"/>
  <c r="BS24" i="43"/>
  <c r="AM103" i="43"/>
  <c r="AM35" i="43"/>
  <c r="BH342" i="43"/>
  <c r="BI239" i="43"/>
  <c r="BK239" i="43"/>
  <c r="AL325" i="43"/>
  <c r="AN327" i="43" s="1"/>
  <c r="AN329" i="43" s="1"/>
  <c r="AN142" i="43" s="1"/>
  <c r="AM323" i="43"/>
  <c r="AM325" i="43" s="1"/>
  <c r="AZ109" i="43"/>
  <c r="AZ110" i="43" s="1"/>
  <c r="AZ111" i="43" s="1"/>
  <c r="AZ113" i="43"/>
  <c r="AX276" i="43"/>
  <c r="AX81" i="43"/>
  <c r="AX73" i="43"/>
  <c r="BC163" i="43"/>
  <c r="AF107" i="43"/>
  <c r="AF109" i="43" s="1"/>
  <c r="AF110" i="43" s="1"/>
  <c r="AF111" i="43" s="1"/>
  <c r="AF72" i="43"/>
  <c r="AF276" i="43" s="1"/>
  <c r="AJ187" i="43"/>
  <c r="AJ193" i="43" s="1"/>
  <c r="AI193" i="43"/>
  <c r="BG324" i="43"/>
  <c r="BH324" i="43" s="1"/>
  <c r="BG281" i="43"/>
  <c r="AS103" i="43"/>
  <c r="AS35" i="43"/>
  <c r="AO324" i="43"/>
  <c r="AO323" i="43"/>
  <c r="AO281" i="43"/>
  <c r="AO333" i="43"/>
  <c r="AH333" i="43"/>
  <c r="AH128" i="43"/>
  <c r="AH120" i="43"/>
  <c r="AP103" i="43"/>
  <c r="AP35" i="43"/>
  <c r="AO35" i="43" s="1"/>
  <c r="BG284" i="43"/>
  <c r="BI324" i="43" s="1"/>
  <c r="BK281" i="43"/>
  <c r="BI281" i="43"/>
  <c r="AI333" i="43"/>
  <c r="AI128" i="43"/>
  <c r="AJ128" i="43" s="1"/>
  <c r="AT35" i="43"/>
  <c r="AM107" i="43"/>
  <c r="AM72" i="43"/>
  <c r="AV103" i="43"/>
  <c r="AV35" i="43"/>
  <c r="AY333" i="43"/>
  <c r="AY128" i="43"/>
  <c r="AN323" i="43"/>
  <c r="AN324" i="43"/>
  <c r="BB256" i="43" l="1"/>
  <c r="BB25" i="43"/>
  <c r="BB255" i="43"/>
  <c r="BB254" i="43"/>
  <c r="BB264" i="43"/>
  <c r="F17" i="45"/>
  <c r="G24" i="45"/>
  <c r="AU97" i="43"/>
  <c r="BH49" i="43"/>
  <c r="BH166" i="15"/>
  <c r="BH165" i="15"/>
  <c r="AP324" i="43"/>
  <c r="I71" i="45"/>
  <c r="BL239" i="43"/>
  <c r="AL149" i="43"/>
  <c r="AM149" i="43" s="1"/>
  <c r="AM147" i="43"/>
  <c r="AU128" i="43"/>
  <c r="AU129" i="43" s="1"/>
  <c r="AU81" i="43"/>
  <c r="AU295" i="43" s="1"/>
  <c r="AU299" i="43" s="1"/>
  <c r="AR81" i="43"/>
  <c r="AR343" i="43" s="1"/>
  <c r="AR345" i="43" s="1"/>
  <c r="AX128" i="43"/>
  <c r="AX129" i="43" s="1"/>
  <c r="AY130" i="43" s="1"/>
  <c r="BH38" i="43"/>
  <c r="BK38" i="43"/>
  <c r="BT137" i="15"/>
  <c r="BO137" i="15"/>
  <c r="BO38" i="43" s="1"/>
  <c r="AM229" i="15"/>
  <c r="BM137" i="15"/>
  <c r="BM38" i="43" s="1"/>
  <c r="AP130" i="43"/>
  <c r="AU19" i="43"/>
  <c r="AU103" i="43" s="1"/>
  <c r="AI149" i="43"/>
  <c r="AJ139" i="43"/>
  <c r="AU89" i="43"/>
  <c r="E120" i="44"/>
  <c r="J59" i="44"/>
  <c r="BD29" i="43"/>
  <c r="BD31" i="43" s="1"/>
  <c r="BQ160" i="15"/>
  <c r="BQ159" i="15" s="1"/>
  <c r="AO325" i="43"/>
  <c r="AQ327" i="43" s="1"/>
  <c r="AQ329" i="43" s="1"/>
  <c r="AR73" i="43"/>
  <c r="AR74" i="43" s="1"/>
  <c r="AU73" i="43"/>
  <c r="AX74" i="43" s="1"/>
  <c r="AR35" i="43"/>
  <c r="AL35" i="43"/>
  <c r="AS252" i="15"/>
  <c r="AY100" i="43"/>
  <c r="BN90" i="43"/>
  <c r="AY252" i="15"/>
  <c r="E14" i="45"/>
  <c r="E17" i="45" s="1"/>
  <c r="AV252" i="15"/>
  <c r="AJ191" i="43"/>
  <c r="AK189" i="43" s="1"/>
  <c r="AM189" i="43" s="1"/>
  <c r="I62" i="44"/>
  <c r="BT156" i="15"/>
  <c r="BV156" i="15"/>
  <c r="BS162" i="15"/>
  <c r="BS16" i="43"/>
  <c r="BS90" i="43" s="1"/>
  <c r="AY254" i="43"/>
  <c r="AY25" i="43"/>
  <c r="Q32" i="45"/>
  <c r="AY256" i="43"/>
  <c r="AY264" i="43"/>
  <c r="AY255" i="43"/>
  <c r="P32" i="45"/>
  <c r="BE61" i="15"/>
  <c r="BE62" i="15" s="1"/>
  <c r="BR162" i="15"/>
  <c r="BU156" i="15"/>
  <c r="BR16" i="43"/>
  <c r="BX176" i="15"/>
  <c r="BZ176" i="15" s="1"/>
  <c r="BU17" i="43"/>
  <c r="BU91" i="43" s="1"/>
  <c r="AO264" i="43"/>
  <c r="AO256" i="43"/>
  <c r="AO26" i="43"/>
  <c r="AO254" i="43"/>
  <c r="AO255" i="43"/>
  <c r="BK166" i="15"/>
  <c r="BK165" i="15"/>
  <c r="BW176" i="15"/>
  <c r="AV112" i="15"/>
  <c r="AU113" i="15"/>
  <c r="AU148" i="15"/>
  <c r="AU115" i="15"/>
  <c r="AX113" i="15"/>
  <c r="AT100" i="43"/>
  <c r="AT250" i="43"/>
  <c r="AT101" i="43"/>
  <c r="AT93" i="43"/>
  <c r="AT252" i="43"/>
  <c r="AT21" i="43"/>
  <c r="AW93" i="43"/>
  <c r="AT251" i="43"/>
  <c r="AT104" i="43"/>
  <c r="BL166" i="15"/>
  <c r="AO139" i="15"/>
  <c r="AP138" i="15"/>
  <c r="AP139" i="15" s="1"/>
  <c r="BT17" i="43"/>
  <c r="BT91" i="43" s="1"/>
  <c r="AX254" i="43"/>
  <c r="AX264" i="43"/>
  <c r="AX255" i="43"/>
  <c r="AX256" i="43"/>
  <c r="AZ254" i="43"/>
  <c r="AZ264" i="43"/>
  <c r="AZ256" i="43"/>
  <c r="AZ255" i="43"/>
  <c r="AZ25" i="43"/>
  <c r="BA25" i="43" s="1"/>
  <c r="BO164" i="15"/>
  <c r="BX181" i="15"/>
  <c r="BY181" i="15" s="1"/>
  <c r="BW181" i="15"/>
  <c r="AY243" i="15"/>
  <c r="AY244" i="15" s="1"/>
  <c r="AY247" i="15" s="1"/>
  <c r="AY248" i="15" s="1"/>
  <c r="AY221" i="15"/>
  <c r="AY222" i="15" s="1"/>
  <c r="AY225" i="15" s="1"/>
  <c r="AY226" i="15" s="1"/>
  <c r="AY227" i="15" s="1"/>
  <c r="AY233" i="15"/>
  <c r="AY234" i="15" s="1"/>
  <c r="AY237" i="15" s="1"/>
  <c r="AY238" i="15" s="1"/>
  <c r="BE98" i="43"/>
  <c r="BA101" i="43"/>
  <c r="BA21" i="43"/>
  <c r="BA251" i="43"/>
  <c r="BA250" i="43"/>
  <c r="BA93" i="43"/>
  <c r="BA252" i="43"/>
  <c r="BA104" i="43"/>
  <c r="AJ51" i="43"/>
  <c r="AJ97" i="43"/>
  <c r="CB176" i="15"/>
  <c r="BY17" i="43"/>
  <c r="BY91" i="43" s="1"/>
  <c r="BM166" i="15"/>
  <c r="BN164" i="15"/>
  <c r="BM49" i="43"/>
  <c r="BM98" i="43" s="1"/>
  <c r="BB148" i="15"/>
  <c r="BB113" i="15"/>
  <c r="BB115" i="15"/>
  <c r="CA182" i="15"/>
  <c r="CB182" i="15" s="1"/>
  <c r="CC182" i="15" s="1"/>
  <c r="BZ182" i="15"/>
  <c r="AR255" i="43"/>
  <c r="AR256" i="43"/>
  <c r="AR264" i="43"/>
  <c r="AR254" i="43"/>
  <c r="BA103" i="43"/>
  <c r="BE109" i="15"/>
  <c r="BO90" i="43"/>
  <c r="BQ16" i="43"/>
  <c r="AU9" i="15"/>
  <c r="AX9" i="15"/>
  <c r="AS233" i="15"/>
  <c r="AS234" i="15" s="1"/>
  <c r="AS237" i="15" s="1"/>
  <c r="AS238" i="15" s="1"/>
  <c r="AS243" i="15"/>
  <c r="AS244" i="15" s="1"/>
  <c r="AS247" i="15" s="1"/>
  <c r="AS248" i="15" s="1"/>
  <c r="AS221" i="15"/>
  <c r="AS222" i="15" s="1"/>
  <c r="AS225" i="15" s="1"/>
  <c r="AS226" i="15" s="1"/>
  <c r="AS227" i="15" s="1"/>
  <c r="AS229" i="15" s="1"/>
  <c r="BK49" i="43"/>
  <c r="BI98" i="43"/>
  <c r="AV217" i="15"/>
  <c r="AV213" i="15"/>
  <c r="BP164" i="15"/>
  <c r="BQ162" i="15"/>
  <c r="AP116" i="15"/>
  <c r="AP115" i="15"/>
  <c r="AS116" i="15"/>
  <c r="AU17" i="15"/>
  <c r="BA151" i="43"/>
  <c r="AO151" i="43"/>
  <c r="AX343" i="43"/>
  <c r="AX345" i="43" s="1"/>
  <c r="AX295" i="43"/>
  <c r="AX299" i="43" s="1"/>
  <c r="BI342" i="43"/>
  <c r="BJ239" i="43"/>
  <c r="AW109" i="43"/>
  <c r="AW110" i="43" s="1"/>
  <c r="AW111" i="43" s="1"/>
  <c r="AW113" i="43"/>
  <c r="AI81" i="43"/>
  <c r="AI73" i="43"/>
  <c r="AL74" i="43" s="1"/>
  <c r="AE333" i="43"/>
  <c r="AE128" i="43"/>
  <c r="AE120" i="43"/>
  <c r="AT276" i="43"/>
  <c r="AT81" i="43"/>
  <c r="AT73" i="43"/>
  <c r="AN344" i="43"/>
  <c r="AN146" i="43"/>
  <c r="AO142" i="43"/>
  <c r="AJ109" i="43"/>
  <c r="AJ110" i="43" s="1"/>
  <c r="AI110" i="43"/>
  <c r="AZ343" i="43"/>
  <c r="AZ345" i="43" s="1"/>
  <c r="AZ295" i="43"/>
  <c r="AZ299" i="43" s="1"/>
  <c r="AL343" i="43"/>
  <c r="AL345" i="43" s="1"/>
  <c r="AL295" i="43"/>
  <c r="AL299" i="43" s="1"/>
  <c r="AV276" i="43"/>
  <c r="AV81" i="43"/>
  <c r="AV73" i="43"/>
  <c r="AP109" i="43"/>
  <c r="AP110" i="43" s="1"/>
  <c r="AO107" i="43"/>
  <c r="AP113" i="43"/>
  <c r="AF35" i="43"/>
  <c r="AN343" i="43"/>
  <c r="AN295" i="43"/>
  <c r="AN299" i="43" s="1"/>
  <c r="AS276" i="43"/>
  <c r="AS81" i="43"/>
  <c r="AS73" i="43"/>
  <c r="BK240" i="43"/>
  <c r="BB109" i="43"/>
  <c r="BB110" i="43" s="1"/>
  <c r="Q37" i="45" s="1"/>
  <c r="BA107" i="43"/>
  <c r="BB113" i="43"/>
  <c r="AH276" i="43"/>
  <c r="AH81" i="43"/>
  <c r="AH73" i="43"/>
  <c r="AP276" i="43"/>
  <c r="AP81" i="43"/>
  <c r="AP73" i="43"/>
  <c r="AN77" i="43"/>
  <c r="AN296" i="43" s="1"/>
  <c r="AN300" i="43" s="1"/>
  <c r="AN325" i="43"/>
  <c r="AO327" i="43" s="1"/>
  <c r="AP323" i="43"/>
  <c r="AP325" i="43" s="1"/>
  <c r="BT24" i="43"/>
  <c r="BU24" i="43"/>
  <c r="AG276" i="43"/>
  <c r="O48" i="45" s="1"/>
  <c r="AG81" i="43"/>
  <c r="AG73" i="43"/>
  <c r="AQ276" i="43"/>
  <c r="AQ81" i="43"/>
  <c r="AQ73" i="43"/>
  <c r="AE276" i="43"/>
  <c r="AE81" i="43"/>
  <c r="AE73" i="43"/>
  <c r="AE77" i="43" s="1"/>
  <c r="AE296" i="43" s="1"/>
  <c r="AE300" i="43" s="1"/>
  <c r="AO74" i="43"/>
  <c r="BA74" i="43"/>
  <c r="AY276" i="43"/>
  <c r="P48" i="45" s="1"/>
  <c r="AY81" i="43"/>
  <c r="AY73" i="43"/>
  <c r="AD81" i="43"/>
  <c r="AD73" i="43"/>
  <c r="AD77" i="43" s="1"/>
  <c r="AD296" i="43" s="1"/>
  <c r="AD300" i="43" s="1"/>
  <c r="AV109" i="43"/>
  <c r="AV110" i="43" s="1"/>
  <c r="AV253" i="15" s="1"/>
  <c r="AV113" i="43"/>
  <c r="AU107" i="43"/>
  <c r="AU109" i="43" s="1"/>
  <c r="AU111" i="43" s="1"/>
  <c r="BC276" i="43"/>
  <c r="BC81" i="43"/>
  <c r="BC73" i="43"/>
  <c r="AK81" i="43"/>
  <c r="AK73" i="43"/>
  <c r="AX35" i="43"/>
  <c r="AR107" i="43"/>
  <c r="AS109" i="43"/>
  <c r="AS110" i="43" s="1"/>
  <c r="AS253" i="15" s="1"/>
  <c r="AS113" i="43"/>
  <c r="AD333" i="43"/>
  <c r="AD128" i="43"/>
  <c r="C33" i="45" s="1"/>
  <c r="C34" i="45" s="1"/>
  <c r="C43" i="45" s="1"/>
  <c r="AD120" i="43"/>
  <c r="AS327" i="43"/>
  <c r="AS329" i="43" s="1"/>
  <c r="AZ77" i="43"/>
  <c r="AZ296" i="43" s="1"/>
  <c r="AZ300" i="43" s="1"/>
  <c r="AF123" i="43"/>
  <c r="AF103" i="43"/>
  <c r="AU35" i="43"/>
  <c r="AM81" i="43"/>
  <c r="AM73" i="43"/>
  <c r="BI284" i="43"/>
  <c r="AM109" i="43"/>
  <c r="AM110" i="43" s="1"/>
  <c r="AL107" i="43"/>
  <c r="AL109" i="43" s="1"/>
  <c r="BK284" i="43"/>
  <c r="BL281" i="43" s="1"/>
  <c r="BL284" i="43" s="1"/>
  <c r="BL286" i="43" s="1"/>
  <c r="BL287" i="43" s="1"/>
  <c r="BK342" i="43"/>
  <c r="BN239" i="43"/>
  <c r="J71" i="45" s="1"/>
  <c r="AW276" i="43"/>
  <c r="AW81" i="43"/>
  <c r="AW73" i="43"/>
  <c r="BB276" i="43"/>
  <c r="Q48" i="45" s="1"/>
  <c r="BB81" i="43"/>
  <c r="BB73" i="43"/>
  <c r="AG111" i="43"/>
  <c r="BJ179" i="43"/>
  <c r="BL179" i="43" s="1"/>
  <c r="AQ109" i="43"/>
  <c r="AQ110" i="43" s="1"/>
  <c r="AQ113" i="43"/>
  <c r="BT221" i="43"/>
  <c r="AO343" i="43"/>
  <c r="AO295" i="43"/>
  <c r="AO299" i="43" s="1"/>
  <c r="BJ207" i="43"/>
  <c r="AL150" i="43"/>
  <c r="BA343" i="43"/>
  <c r="BA295" i="43"/>
  <c r="BA299" i="43" s="1"/>
  <c r="AY109" i="43"/>
  <c r="AX107" i="43"/>
  <c r="AX109" i="43" s="1"/>
  <c r="AY113" i="43"/>
  <c r="AU343" i="43"/>
  <c r="AU345" i="43" s="1"/>
  <c r="AD111" i="43"/>
  <c r="BC109" i="43"/>
  <c r="BC113" i="43"/>
  <c r="AG333" i="43"/>
  <c r="AG120" i="43"/>
  <c r="AG128" i="43"/>
  <c r="D33" i="45" s="1"/>
  <c r="D34" i="45" s="1"/>
  <c r="D43" i="45" s="1"/>
  <c r="AL318" i="43"/>
  <c r="AK320" i="43"/>
  <c r="AL128" i="43"/>
  <c r="AR128" i="43"/>
  <c r="AR129" i="43" s="1"/>
  <c r="AR295" i="43" l="1"/>
  <c r="AR299" i="43" s="1"/>
  <c r="BT160" i="15"/>
  <c r="BT159" i="15" s="1"/>
  <c r="BK286" i="43"/>
  <c r="AJ52" i="43"/>
  <c r="AJ100" i="43" s="1"/>
  <c r="AO33" i="43"/>
  <c r="AO94" i="43"/>
  <c r="AR94" i="43"/>
  <c r="AO52" i="43"/>
  <c r="AO100" i="43" s="1"/>
  <c r="H24" i="45"/>
  <c r="BH98" i="43"/>
  <c r="AX151" i="43"/>
  <c r="BP137" i="15"/>
  <c r="BP38" i="43" s="1"/>
  <c r="BQ38" i="43" s="1"/>
  <c r="BL342" i="43"/>
  <c r="AU151" i="43"/>
  <c r="I72" i="45"/>
  <c r="BL240" i="43"/>
  <c r="AU104" i="43"/>
  <c r="AN345" i="43"/>
  <c r="AV130" i="43"/>
  <c r="AU149" i="43"/>
  <c r="AV149" i="43" s="1"/>
  <c r="AV150" i="43" s="1"/>
  <c r="AN149" i="43"/>
  <c r="AN150" i="43" s="1"/>
  <c r="AX149" i="43"/>
  <c r="AY149" i="43" s="1"/>
  <c r="AY150" i="43" s="1"/>
  <c r="AU21" i="43"/>
  <c r="AU255" i="43" s="1"/>
  <c r="AU100" i="43"/>
  <c r="BN38" i="43"/>
  <c r="AJ210" i="43"/>
  <c r="AI210" i="43" s="1"/>
  <c r="AI215" i="43" s="1"/>
  <c r="AU93" i="43"/>
  <c r="AU101" i="43"/>
  <c r="BW137" i="15"/>
  <c r="BR137" i="15"/>
  <c r="AY229" i="15"/>
  <c r="AS130" i="43"/>
  <c r="AU301" i="43"/>
  <c r="AO301" i="43"/>
  <c r="AX93" i="43"/>
  <c r="K59" i="44"/>
  <c r="J62" i="44"/>
  <c r="BE29" i="43"/>
  <c r="BE31" i="43" s="1"/>
  <c r="AU74" i="43"/>
  <c r="BA301" i="43"/>
  <c r="N29" i="45"/>
  <c r="C15" i="45"/>
  <c r="BQ90" i="43"/>
  <c r="AX25" i="43"/>
  <c r="AX26" i="43" s="1"/>
  <c r="I24" i="45"/>
  <c r="AU264" i="43"/>
  <c r="BN166" i="15"/>
  <c r="BN165" i="15"/>
  <c r="BZ17" i="43"/>
  <c r="AY239" i="15"/>
  <c r="AT255" i="43"/>
  <c r="AT256" i="43"/>
  <c r="AT25" i="43"/>
  <c r="AT254" i="43"/>
  <c r="AT264" i="43"/>
  <c r="AV113" i="15"/>
  <c r="AV115" i="15"/>
  <c r="AV148" i="15"/>
  <c r="AY113" i="15"/>
  <c r="BU162" i="15"/>
  <c r="BX156" i="15"/>
  <c r="BU16" i="43"/>
  <c r="AV256" i="15"/>
  <c r="AV257" i="15" s="1"/>
  <c r="AV260" i="15"/>
  <c r="AV261" i="15" s="1"/>
  <c r="AP243" i="15"/>
  <c r="AP244" i="15" s="1"/>
  <c r="AP247" i="15" s="1"/>
  <c r="AP248" i="15" s="1"/>
  <c r="AP249" i="15" s="1"/>
  <c r="AP221" i="15"/>
  <c r="AP222" i="15" s="1"/>
  <c r="AP225" i="15" s="1"/>
  <c r="AP226" i="15" s="1"/>
  <c r="AP227" i="15" s="1"/>
  <c r="AP233" i="15"/>
  <c r="AP234" i="15" s="1"/>
  <c r="AP237" i="15" s="1"/>
  <c r="AP238" i="15" s="1"/>
  <c r="AP239" i="15" s="1"/>
  <c r="AS249" i="15"/>
  <c r="AS272" i="15"/>
  <c r="AS273" i="15" s="1"/>
  <c r="BO166" i="15"/>
  <c r="BO49" i="43"/>
  <c r="BR164" i="15"/>
  <c r="AS260" i="15"/>
  <c r="AS261" i="15" s="1"/>
  <c r="AS264" i="15"/>
  <c r="AS265" i="15" s="1"/>
  <c r="AS256" i="15"/>
  <c r="AS257" i="15" s="1"/>
  <c r="BP166" i="15"/>
  <c r="BQ164" i="15"/>
  <c r="BP49" i="43"/>
  <c r="BP98" i="43" s="1"/>
  <c r="AS268" i="15"/>
  <c r="AS269" i="15" s="1"/>
  <c r="AS239" i="15"/>
  <c r="CB17" i="43"/>
  <c r="CB91" i="43" s="1"/>
  <c r="AJ54" i="43"/>
  <c r="BA255" i="43"/>
  <c r="BA254" i="43"/>
  <c r="BA256" i="43"/>
  <c r="BA264" i="43"/>
  <c r="AY249" i="15"/>
  <c r="CA181" i="15"/>
  <c r="CB181" i="15" s="1"/>
  <c r="CC181" i="15" s="1"/>
  <c r="BZ181" i="15"/>
  <c r="BA26" i="43"/>
  <c r="BN49" i="43"/>
  <c r="BW17" i="43"/>
  <c r="BW91" i="43" s="1"/>
  <c r="CA176" i="15"/>
  <c r="CC176" i="15" s="1"/>
  <c r="BX17" i="43"/>
  <c r="BX91" i="43" s="1"/>
  <c r="BS164" i="15"/>
  <c r="BT162" i="15"/>
  <c r="AK193" i="43"/>
  <c r="AL193" i="43" s="1"/>
  <c r="AL194" i="43" s="1"/>
  <c r="AM194" i="43" s="1"/>
  <c r="BK98" i="43"/>
  <c r="BT16" i="43"/>
  <c r="BT90" i="43" s="1"/>
  <c r="BR90" i="43"/>
  <c r="BV162" i="15"/>
  <c r="BW156" i="15"/>
  <c r="BY156" i="15"/>
  <c r="BV16" i="43"/>
  <c r="BV90" i="43" s="1"/>
  <c r="BC110" i="43"/>
  <c r="BC111" i="43" s="1"/>
  <c r="AY110" i="43"/>
  <c r="P37" i="45" s="1"/>
  <c r="BK207" i="43"/>
  <c r="AW77" i="43"/>
  <c r="AW296" i="43" s="1"/>
  <c r="AW300" i="43" s="1"/>
  <c r="AZ302" i="43" s="1"/>
  <c r="AW74" i="43"/>
  <c r="BN342" i="43"/>
  <c r="BQ239" i="43"/>
  <c r="BO239" i="43"/>
  <c r="BN281" i="43"/>
  <c r="BJ284" i="43"/>
  <c r="BL324" i="43" s="1"/>
  <c r="AL110" i="43"/>
  <c r="AL111" i="43" s="1"/>
  <c r="AM111" i="43" s="1"/>
  <c r="AM343" i="43"/>
  <c r="AM295" i="43"/>
  <c r="AM299" i="43" s="1"/>
  <c r="AF333" i="43"/>
  <c r="AF120" i="43"/>
  <c r="AF128" i="43"/>
  <c r="AR109" i="43"/>
  <c r="AR113" i="43"/>
  <c r="AK77" i="43"/>
  <c r="AK296" i="43" s="1"/>
  <c r="AK300" i="43" s="1"/>
  <c r="AK74" i="43"/>
  <c r="AE314" i="43"/>
  <c r="AE315" i="43"/>
  <c r="AG343" i="43"/>
  <c r="AG295" i="43"/>
  <c r="AG299" i="43" s="1"/>
  <c r="D18" i="45" s="1"/>
  <c r="AF81" i="43"/>
  <c r="AO329" i="43"/>
  <c r="AP327" i="43"/>
  <c r="AP329" i="43" s="1"/>
  <c r="AP343" i="43"/>
  <c r="AP345" i="43" s="1"/>
  <c r="AP295" i="43"/>
  <c r="AP299" i="43" s="1"/>
  <c r="AH74" i="43"/>
  <c r="AH77" i="43"/>
  <c r="AH296" i="43" s="1"/>
  <c r="AH300" i="43" s="1"/>
  <c r="AQ301" i="43"/>
  <c r="AO109" i="43"/>
  <c r="AO113" i="43"/>
  <c r="AO344" i="43"/>
  <c r="AO146" i="43"/>
  <c r="AO149" i="43" s="1"/>
  <c r="AO150" i="43" s="1"/>
  <c r="AI343" i="43"/>
  <c r="AI295" i="43"/>
  <c r="AI299" i="43" s="1"/>
  <c r="AI241" i="43"/>
  <c r="BJ342" i="43"/>
  <c r="BA244" i="43"/>
  <c r="BB246" i="43" s="1"/>
  <c r="BA345" i="43"/>
  <c r="BA276" i="43"/>
  <c r="BU221" i="43"/>
  <c r="BB74" i="43"/>
  <c r="BB77" i="43"/>
  <c r="AW343" i="43"/>
  <c r="AW345" i="43" s="1"/>
  <c r="AW295" i="43"/>
  <c r="AW299" i="43" s="1"/>
  <c r="AZ301" i="43" s="1"/>
  <c r="BK287" i="43"/>
  <c r="BJ286" i="43"/>
  <c r="BJ287" i="43" s="1"/>
  <c r="BJ324" i="43"/>
  <c r="BK324" i="43" s="1"/>
  <c r="BJ281" i="43"/>
  <c r="AK343" i="43"/>
  <c r="AK295" i="43"/>
  <c r="AK299" i="43" s="1"/>
  <c r="AE343" i="43"/>
  <c r="AE345" i="43" s="1"/>
  <c r="AE295" i="43"/>
  <c r="AE299" i="43" s="1"/>
  <c r="AE313" i="43" s="1"/>
  <c r="AQ77" i="43"/>
  <c r="AQ296" i="43" s="1"/>
  <c r="AQ74" i="43"/>
  <c r="BV24" i="43"/>
  <c r="AN313" i="43"/>
  <c r="AN314" i="43"/>
  <c r="AN315" i="43"/>
  <c r="AH343" i="43"/>
  <c r="AH345" i="43" s="1"/>
  <c r="AH295" i="43"/>
  <c r="AH299" i="43" s="1"/>
  <c r="AS77" i="43"/>
  <c r="AS74" i="43"/>
  <c r="AR301" i="43"/>
  <c r="AR149" i="43"/>
  <c r="AR151" i="43"/>
  <c r="BB343" i="43"/>
  <c r="BB345" i="43" s="1"/>
  <c r="BB295" i="43"/>
  <c r="BB299" i="43" s="1"/>
  <c r="F18" i="45" s="1"/>
  <c r="BM239" i="43"/>
  <c r="BI286" i="43"/>
  <c r="BI287" i="43" s="1"/>
  <c r="AZ313" i="43"/>
  <c r="AZ315" i="43"/>
  <c r="AZ314" i="43"/>
  <c r="BC77" i="43"/>
  <c r="BC74" i="43"/>
  <c r="AU112" i="43"/>
  <c r="AU113" i="43" s="1"/>
  <c r="AV111" i="43"/>
  <c r="AD315" i="43"/>
  <c r="N36" i="45" s="1"/>
  <c r="AD314" i="43"/>
  <c r="AY77" i="43"/>
  <c r="AY74" i="43"/>
  <c r="AQ343" i="43"/>
  <c r="AQ345" i="43" s="1"/>
  <c r="AQ295" i="43"/>
  <c r="AQ286" i="43" s="1"/>
  <c r="AN74" i="43"/>
  <c r="BA109" i="43"/>
  <c r="BA113" i="43"/>
  <c r="AS343" i="43"/>
  <c r="AS345" i="43" s="1"/>
  <c r="AS295" i="43"/>
  <c r="AS299" i="43" s="1"/>
  <c r="AV74" i="43"/>
  <c r="AV77" i="43"/>
  <c r="AT74" i="43"/>
  <c r="AT77" i="43"/>
  <c r="AT296" i="43" s="1"/>
  <c r="AT300" i="43" s="1"/>
  <c r="BA146" i="43"/>
  <c r="AL320" i="43"/>
  <c r="AM318" i="43"/>
  <c r="AO345" i="43"/>
  <c r="AM77" i="43"/>
  <c r="AZ74" i="43"/>
  <c r="BC343" i="43"/>
  <c r="BC345" i="43" s="1"/>
  <c r="BC295" i="43"/>
  <c r="BC299" i="43" s="1"/>
  <c r="BC301" i="43" s="1"/>
  <c r="AD343" i="43"/>
  <c r="AD345" i="43" s="1"/>
  <c r="AD295" i="43"/>
  <c r="AD299" i="43" s="1"/>
  <c r="C18" i="45" s="1"/>
  <c r="AY343" i="43"/>
  <c r="AY345" i="43" s="1"/>
  <c r="AY295" i="43"/>
  <c r="AY299" i="43" s="1"/>
  <c r="E18" i="45" s="1"/>
  <c r="AG77" i="43"/>
  <c r="AG296" i="43" s="1"/>
  <c r="AG300" i="43" s="1"/>
  <c r="AG74" i="43"/>
  <c r="AF73" i="43"/>
  <c r="AF77" i="43" s="1"/>
  <c r="AF296" i="43" s="1"/>
  <c r="AF300" i="43" s="1"/>
  <c r="AP74" i="43"/>
  <c r="AP77" i="43"/>
  <c r="AV343" i="43"/>
  <c r="AV345" i="43" s="1"/>
  <c r="AV295" i="43"/>
  <c r="AV299" i="43" s="1"/>
  <c r="AT343" i="43"/>
  <c r="AT345" i="43" s="1"/>
  <c r="AT295" i="43"/>
  <c r="AT299" i="43" s="1"/>
  <c r="AT301" i="43" s="1"/>
  <c r="AI77" i="43"/>
  <c r="AI296" i="43" s="1"/>
  <c r="AI300" i="43" s="1"/>
  <c r="AX301" i="43"/>
  <c r="AX150" i="43"/>
  <c r="J24" i="45" l="1"/>
  <c r="AJ215" i="43"/>
  <c r="BW160" i="15"/>
  <c r="BW159" i="15" s="1"/>
  <c r="BA33" i="43"/>
  <c r="BA94" i="43"/>
  <c r="BA52" i="43"/>
  <c r="BA100" i="43" s="1"/>
  <c r="AX33" i="43"/>
  <c r="AX94" i="43"/>
  <c r="AX52" i="43"/>
  <c r="AX100" i="43" s="1"/>
  <c r="AU256" i="43"/>
  <c r="AV301" i="43"/>
  <c r="I51" i="45"/>
  <c r="BL207" i="43"/>
  <c r="AU254" i="43"/>
  <c r="AP147" i="43"/>
  <c r="AN302" i="43"/>
  <c r="BR38" i="43"/>
  <c r="BS137" i="15"/>
  <c r="BS38" i="43" s="1"/>
  <c r="AP229" i="15"/>
  <c r="BU137" i="15"/>
  <c r="BU38" i="43" s="1"/>
  <c r="BZ137" i="15"/>
  <c r="BA149" i="43"/>
  <c r="BB147" i="43"/>
  <c r="L59" i="44"/>
  <c r="K62" i="44"/>
  <c r="AI74" i="43"/>
  <c r="AS301" i="43"/>
  <c r="D15" i="45"/>
  <c r="O29" i="45"/>
  <c r="AK301" i="43"/>
  <c r="BN98" i="43"/>
  <c r="AU25" i="43"/>
  <c r="AL195" i="43"/>
  <c r="AL190" i="43"/>
  <c r="AM190" i="43" s="1"/>
  <c r="AM191" i="43" s="1"/>
  <c r="CC17" i="43"/>
  <c r="CC91" i="43" s="1"/>
  <c r="AP301" i="43"/>
  <c r="BV164" i="15"/>
  <c r="BW162" i="15"/>
  <c r="BO98" i="43"/>
  <c r="BQ49" i="43"/>
  <c r="BX162" i="15"/>
  <c r="CA156" i="15"/>
  <c r="BX16" i="43"/>
  <c r="AV233" i="15"/>
  <c r="AV234" i="15" s="1"/>
  <c r="AV237" i="15" s="1"/>
  <c r="AV238" i="15" s="1"/>
  <c r="AV243" i="15"/>
  <c r="AV244" i="15" s="1"/>
  <c r="AV247" i="15" s="1"/>
  <c r="AV248" i="15" s="1"/>
  <c r="AV221" i="15"/>
  <c r="AV222" i="15" s="1"/>
  <c r="AV225" i="15" s="1"/>
  <c r="AV226" i="15" s="1"/>
  <c r="AY253" i="15"/>
  <c r="BS166" i="15"/>
  <c r="BT164" i="15"/>
  <c r="BS49" i="43"/>
  <c r="BS98" i="43" s="1"/>
  <c r="AJ101" i="43"/>
  <c r="AJ60" i="43"/>
  <c r="AJ57" i="43"/>
  <c r="AJ44" i="43"/>
  <c r="BU164" i="15"/>
  <c r="BZ91" i="43"/>
  <c r="BY162" i="15"/>
  <c r="BZ156" i="15"/>
  <c r="CB156" i="15"/>
  <c r="BY16" i="43"/>
  <c r="BY90" i="43" s="1"/>
  <c r="BQ165" i="15"/>
  <c r="BQ166" i="15"/>
  <c r="BR166" i="15"/>
  <c r="BR49" i="43"/>
  <c r="G47" i="45"/>
  <c r="CA17" i="43"/>
  <c r="CA91" i="43" s="1"/>
  <c r="BU90" i="43"/>
  <c r="BW16" i="43"/>
  <c r="BW90" i="43" s="1"/>
  <c r="G48" i="45"/>
  <c r="AG314" i="43"/>
  <c r="AG302" i="43"/>
  <c r="O33" i="45" s="1"/>
  <c r="AG315" i="43"/>
  <c r="O36" i="45" s="1"/>
  <c r="BA157" i="43"/>
  <c r="BA159" i="43" s="1"/>
  <c r="AT314" i="43"/>
  <c r="AT313" i="43"/>
  <c r="AT315" i="43"/>
  <c r="AV296" i="43"/>
  <c r="AV300" i="43" s="1"/>
  <c r="AU77" i="43"/>
  <c r="AU296" i="43" s="1"/>
  <c r="AU300" i="43" s="1"/>
  <c r="BB301" i="43"/>
  <c r="AS296" i="43"/>
  <c r="AS300" i="43" s="1"/>
  <c r="AR77" i="43"/>
  <c r="AR296" i="43" s="1"/>
  <c r="AR300" i="43" s="1"/>
  <c r="BW24" i="43"/>
  <c r="BX24" i="43"/>
  <c r="AW301" i="43"/>
  <c r="AI345" i="43"/>
  <c r="AI244" i="43"/>
  <c r="AI276" i="43"/>
  <c r="AH314" i="43"/>
  <c r="AH302" i="43"/>
  <c r="AH315" i="43"/>
  <c r="AM195" i="43"/>
  <c r="AG345" i="43"/>
  <c r="AG346" i="43" s="1"/>
  <c r="BN284" i="43"/>
  <c r="BM240" i="43"/>
  <c r="AD313" i="43"/>
  <c r="AY296" i="43"/>
  <c r="AY300" i="43" s="1"/>
  <c r="AX77" i="43"/>
  <c r="AX296" i="43" s="1"/>
  <c r="AX300" i="43" s="1"/>
  <c r="BM342" i="43"/>
  <c r="AR200" i="43"/>
  <c r="AR204" i="43" s="1"/>
  <c r="AR217" i="43" s="1"/>
  <c r="AS218" i="43" s="1"/>
  <c r="AS149" i="43"/>
  <c r="AS150" i="43" s="1"/>
  <c r="AH301" i="43"/>
  <c r="AH313" i="43"/>
  <c r="AQ300" i="43"/>
  <c r="BM179" i="43"/>
  <c r="AI313" i="43"/>
  <c r="AJ313" i="43" s="1"/>
  <c r="AO110" i="43"/>
  <c r="AO111" i="43" s="1"/>
  <c r="AP111" i="43" s="1"/>
  <c r="AK314" i="43"/>
  <c r="AK313" i="43"/>
  <c r="AK302" i="43"/>
  <c r="AK315" i="43"/>
  <c r="BO342" i="43"/>
  <c r="BP239" i="43"/>
  <c r="AP296" i="43"/>
  <c r="AP300" i="43" s="1"/>
  <c r="AO77" i="43"/>
  <c r="AO296" i="43" s="1"/>
  <c r="AO300" i="43" s="1"/>
  <c r="AF314" i="43"/>
  <c r="AF315" i="43"/>
  <c r="AM296" i="43"/>
  <c r="AM300" i="43" s="1"/>
  <c r="AL77" i="43"/>
  <c r="AL296" i="43" s="1"/>
  <c r="AL300" i="43" s="1"/>
  <c r="BA110" i="43"/>
  <c r="BA111" i="43" s="1"/>
  <c r="BB111" i="43" s="1"/>
  <c r="AQ287" i="43"/>
  <c r="AQ267" i="43"/>
  <c r="BC296" i="43"/>
  <c r="BC300" i="43" s="1"/>
  <c r="BB296" i="43"/>
  <c r="BB300" i="43" s="1"/>
  <c r="BA77" i="43"/>
  <c r="BA296" i="43" s="1"/>
  <c r="BA300" i="43" s="1"/>
  <c r="AF343" i="43"/>
  <c r="AF345" i="43" s="1"/>
  <c r="AF295" i="43"/>
  <c r="BQ342" i="43"/>
  <c r="BT239" i="43"/>
  <c r="BR239" i="43"/>
  <c r="AW302" i="43"/>
  <c r="AW314" i="43"/>
  <c r="AW313" i="43"/>
  <c r="AW315" i="43"/>
  <c r="AY111" i="43"/>
  <c r="AX111" i="43" s="1"/>
  <c r="AX112" i="43" s="1"/>
  <c r="AI314" i="43"/>
  <c r="AI302" i="43"/>
  <c r="AI315" i="43"/>
  <c r="AY301" i="43"/>
  <c r="AM320" i="43"/>
  <c r="AN318" i="43"/>
  <c r="BA204" i="43"/>
  <c r="BA217" i="43" s="1"/>
  <c r="BB218" i="43" s="1"/>
  <c r="BB149" i="43"/>
  <c r="BV221" i="43"/>
  <c r="AL301" i="43"/>
  <c r="AN301" i="43"/>
  <c r="AG301" i="43"/>
  <c r="AF299" i="43"/>
  <c r="AF313" i="43" s="1"/>
  <c r="AG313" i="43"/>
  <c r="AR110" i="43"/>
  <c r="AR111" i="43" s="1"/>
  <c r="AS111" i="43" s="1"/>
  <c r="BZ160" i="15" l="1"/>
  <c r="BZ159" i="15" s="1"/>
  <c r="AL191" i="43"/>
  <c r="BT38" i="43"/>
  <c r="CC137" i="15"/>
  <c r="CA137" i="15" s="1"/>
  <c r="CA38" i="43" s="1"/>
  <c r="BX137" i="15"/>
  <c r="BV137" i="15"/>
  <c r="BV38" i="43" s="1"/>
  <c r="BW38" i="43" s="1"/>
  <c r="M59" i="44"/>
  <c r="L62" i="44"/>
  <c r="F15" i="45"/>
  <c r="Q29" i="45"/>
  <c r="BQ98" i="43"/>
  <c r="E15" i="45"/>
  <c r="P29" i="45"/>
  <c r="CB162" i="15"/>
  <c r="CC156" i="15"/>
  <c r="CB16" i="43"/>
  <c r="CB90" i="43" s="1"/>
  <c r="AJ123" i="43"/>
  <c r="AJ104" i="43"/>
  <c r="AJ45" i="43"/>
  <c r="AV272" i="15"/>
  <c r="AV273" i="15" s="1"/>
  <c r="AV249" i="15"/>
  <c r="BX164" i="15"/>
  <c r="AV239" i="15"/>
  <c r="AV268" i="15"/>
  <c r="AV269" i="15" s="1"/>
  <c r="BY164" i="15"/>
  <c r="BZ162" i="15"/>
  <c r="AJ43" i="43"/>
  <c r="AJ68" i="43"/>
  <c r="AJ162" i="43"/>
  <c r="AM61" i="43"/>
  <c r="AJ61" i="43"/>
  <c r="AY260" i="15"/>
  <c r="AY261" i="15" s="1"/>
  <c r="AY264" i="15"/>
  <c r="AY265" i="15" s="1"/>
  <c r="AY256" i="15"/>
  <c r="AY257" i="15" s="1"/>
  <c r="AY268" i="15"/>
  <c r="AY269" i="15" s="1"/>
  <c r="AY272" i="15"/>
  <c r="AY273" i="15" s="1"/>
  <c r="BZ16" i="43"/>
  <c r="BZ90" i="43" s="1"/>
  <c r="BX90" i="43"/>
  <c r="BV166" i="15"/>
  <c r="BW164" i="15"/>
  <c r="BV49" i="43"/>
  <c r="BV98" i="43" s="1"/>
  <c r="BR98" i="43"/>
  <c r="BT49" i="43"/>
  <c r="BT98" i="43" s="1"/>
  <c r="BU166" i="15"/>
  <c r="BU49" i="43"/>
  <c r="BT166" i="15"/>
  <c r="BT165" i="15"/>
  <c r="AV227" i="15"/>
  <c r="AV264" i="15"/>
  <c r="AV265" i="15" s="1"/>
  <c r="CA162" i="15"/>
  <c r="CA16" i="43"/>
  <c r="BM207" i="43"/>
  <c r="BA232" i="43"/>
  <c r="BA234" i="43" s="1"/>
  <c r="BA274" i="43"/>
  <c r="BC314" i="43"/>
  <c r="BC302" i="43"/>
  <c r="BC313" i="43"/>
  <c r="BC315" i="43"/>
  <c r="AM314" i="43"/>
  <c r="AM313" i="43"/>
  <c r="AM315" i="43"/>
  <c r="BP342" i="43"/>
  <c r="BO179" i="43"/>
  <c r="AQ314" i="43"/>
  <c r="AQ313" i="43"/>
  <c r="AQ315" i="43"/>
  <c r="AQ302" i="43"/>
  <c r="AY302" i="43"/>
  <c r="P33" i="45" s="1"/>
  <c r="AY313" i="43"/>
  <c r="AY314" i="43"/>
  <c r="AY315" i="43"/>
  <c r="P36" i="45" s="1"/>
  <c r="BA270" i="43"/>
  <c r="BA269" i="43"/>
  <c r="BA268" i="43"/>
  <c r="BA275" i="43" s="1"/>
  <c r="BA163" i="43"/>
  <c r="BA160" i="43"/>
  <c r="AO318" i="43"/>
  <c r="AN320" i="43"/>
  <c r="BT342" i="43"/>
  <c r="BU239" i="43"/>
  <c r="BW239" i="43"/>
  <c r="BA314" i="43"/>
  <c r="BA313" i="43"/>
  <c r="BA302" i="43"/>
  <c r="BA315" i="43"/>
  <c r="AO314" i="43"/>
  <c r="AO302" i="43"/>
  <c r="AO313" i="43"/>
  <c r="AO315" i="43"/>
  <c r="BQ281" i="43"/>
  <c r="BO281" i="43"/>
  <c r="BM284" i="43"/>
  <c r="BO324" i="43" s="1"/>
  <c r="AH341" i="43"/>
  <c r="AH346" i="43" s="1"/>
  <c r="AI341" i="43" s="1"/>
  <c r="AI346" i="43" s="1"/>
  <c r="AJ341" i="43"/>
  <c r="AR313" i="43"/>
  <c r="AR302" i="43"/>
  <c r="AR314" i="43"/>
  <c r="AR315" i="43"/>
  <c r="AX113" i="43"/>
  <c r="AX110" i="43"/>
  <c r="BB313" i="43"/>
  <c r="BB302" i="43"/>
  <c r="Q33" i="45" s="1"/>
  <c r="BB315" i="43"/>
  <c r="Q36" i="45" s="1"/>
  <c r="BB314" i="43"/>
  <c r="AP302" i="43"/>
  <c r="AP314" i="43"/>
  <c r="AP313" i="43"/>
  <c r="AP315" i="43"/>
  <c r="AR236" i="43"/>
  <c r="AR274" i="43"/>
  <c r="BN286" i="43"/>
  <c r="AS314" i="43"/>
  <c r="AS302" i="43"/>
  <c r="AS313" i="43"/>
  <c r="AS315" i="43"/>
  <c r="AU314" i="43"/>
  <c r="AU313" i="43"/>
  <c r="AU302" i="43"/>
  <c r="AU315" i="43"/>
  <c r="AT302" i="43"/>
  <c r="BW221" i="43"/>
  <c r="BR342" i="43"/>
  <c r="BS239" i="43"/>
  <c r="BM324" i="43"/>
  <c r="BN324" i="43" s="1"/>
  <c r="BM281" i="43"/>
  <c r="AL314" i="43"/>
  <c r="AL302" i="43"/>
  <c r="AL315" i="43"/>
  <c r="AL313" i="43"/>
  <c r="AI301" i="43"/>
  <c r="AX302" i="43"/>
  <c r="AX314" i="43"/>
  <c r="AX313" i="43"/>
  <c r="AX315" i="43"/>
  <c r="BN240" i="43"/>
  <c r="J72" i="45" s="1"/>
  <c r="AM193" i="43"/>
  <c r="AN193" i="43" s="1"/>
  <c r="AO193" i="43" s="1"/>
  <c r="BY24" i="43"/>
  <c r="AV314" i="43"/>
  <c r="AV302" i="43"/>
  <c r="AV313" i="43"/>
  <c r="AV315" i="43"/>
  <c r="CC160" i="15" l="1"/>
  <c r="CC159" i="15" s="1"/>
  <c r="G7" i="45"/>
  <c r="BE94" i="43"/>
  <c r="R32" i="45" s="1"/>
  <c r="BA236" i="43"/>
  <c r="BA267" i="43" s="1"/>
  <c r="BB235" i="43"/>
  <c r="CB137" i="15"/>
  <c r="CB38" i="43" s="1"/>
  <c r="CC38" i="43" s="1"/>
  <c r="BX38" i="43"/>
  <c r="BY137" i="15"/>
  <c r="BY38" i="43" s="1"/>
  <c r="G32" i="45"/>
  <c r="G58" i="45"/>
  <c r="G63" i="45" s="1"/>
  <c r="N59" i="44"/>
  <c r="N62" i="44" s="1"/>
  <c r="M62" i="44"/>
  <c r="AV229" i="15"/>
  <c r="BE33" i="43"/>
  <c r="CA164" i="15"/>
  <c r="BW166" i="15"/>
  <c r="BW165" i="15"/>
  <c r="AJ35" i="43"/>
  <c r="AI35" i="43" s="1"/>
  <c r="AJ103" i="43"/>
  <c r="BX166" i="15"/>
  <c r="BX49" i="43"/>
  <c r="BW49" i="43"/>
  <c r="BW98" i="43" s="1"/>
  <c r="BU98" i="43"/>
  <c r="BZ164" i="15"/>
  <c r="BY166" i="15"/>
  <c r="BY49" i="43"/>
  <c r="BY98" i="43" s="1"/>
  <c r="AJ333" i="43"/>
  <c r="AJ129" i="43"/>
  <c r="AJ130" i="43" s="1"/>
  <c r="CA90" i="43"/>
  <c r="CC16" i="43"/>
  <c r="CC90" i="43" s="1"/>
  <c r="BE225" i="43"/>
  <c r="AJ72" i="43"/>
  <c r="AJ107" i="43"/>
  <c r="CB164" i="15"/>
  <c r="CC162" i="15"/>
  <c r="BQ284" i="43"/>
  <c r="BQ286" i="43" s="1"/>
  <c r="BO240" i="43"/>
  <c r="BN287" i="43"/>
  <c r="BM286" i="43"/>
  <c r="BM287" i="43" s="1"/>
  <c r="BW342" i="43"/>
  <c r="BX239" i="43"/>
  <c r="BZ239" i="43"/>
  <c r="AN194" i="43"/>
  <c r="CA24" i="43"/>
  <c r="BZ24" i="43"/>
  <c r="AR267" i="43"/>
  <c r="AR245" i="43"/>
  <c r="BU342" i="43"/>
  <c r="BV239" i="43"/>
  <c r="AP318" i="43"/>
  <c r="AO320" i="43"/>
  <c r="BA245" i="43"/>
  <c r="BS342" i="43"/>
  <c r="BX221" i="43"/>
  <c r="BO284" i="43"/>
  <c r="BP179" i="43"/>
  <c r="BN207" i="43"/>
  <c r="J51" i="45" s="1"/>
  <c r="BZ38" i="43" l="1"/>
  <c r="G53" i="45"/>
  <c r="G56" i="45" s="1"/>
  <c r="BX98" i="43"/>
  <c r="BZ49" i="43"/>
  <c r="BZ98" i="43" s="1"/>
  <c r="CB166" i="15"/>
  <c r="CC164" i="15"/>
  <c r="CB49" i="43"/>
  <c r="CB98" i="43" s="1"/>
  <c r="AJ149" i="43"/>
  <c r="AJ200" i="43" s="1"/>
  <c r="AJ151" i="43"/>
  <c r="CA166" i="15"/>
  <c r="CA49" i="43"/>
  <c r="AJ81" i="43"/>
  <c r="AJ73" i="43"/>
  <c r="BZ166" i="15"/>
  <c r="BZ165" i="15"/>
  <c r="BP286" i="43"/>
  <c r="BP287" i="43" s="1"/>
  <c r="BQ287" i="43"/>
  <c r="BR179" i="43"/>
  <c r="AN195" i="43"/>
  <c r="AN190" i="43"/>
  <c r="AN191" i="43" s="1"/>
  <c r="BP240" i="43"/>
  <c r="CB24" i="43"/>
  <c r="BX342" i="43"/>
  <c r="BY239" i="43"/>
  <c r="BY221" i="43"/>
  <c r="BO207" i="43"/>
  <c r="BP324" i="43"/>
  <c r="BQ324" i="43" s="1"/>
  <c r="BP281" i="43"/>
  <c r="AP320" i="43"/>
  <c r="AQ318" i="43"/>
  <c r="BZ342" i="43"/>
  <c r="CC239" i="43"/>
  <c r="CA239" i="43"/>
  <c r="BT281" i="43"/>
  <c r="BP284" i="43"/>
  <c r="BR324" i="43" s="1"/>
  <c r="BR281" i="43"/>
  <c r="BO286" i="43"/>
  <c r="BO287" i="43" s="1"/>
  <c r="BV342" i="43"/>
  <c r="BE215" i="43"/>
  <c r="AJ74" i="43" l="1"/>
  <c r="AJ77" i="43"/>
  <c r="AJ296" i="43" s="1"/>
  <c r="AJ300" i="43" s="1"/>
  <c r="AM74" i="43"/>
  <c r="AI200" i="43"/>
  <c r="AJ177" i="43"/>
  <c r="AJ178" i="43" s="1"/>
  <c r="AJ204" i="43"/>
  <c r="AM176" i="43"/>
  <c r="AM178" i="43" s="1"/>
  <c r="AM150" i="43"/>
  <c r="AK176" i="43"/>
  <c r="AK178" i="43" s="1"/>
  <c r="AK179" i="43" s="1"/>
  <c r="AJ156" i="43"/>
  <c r="AJ241" i="43"/>
  <c r="AJ343" i="43"/>
  <c r="AJ295" i="43"/>
  <c r="AJ299" i="43" s="1"/>
  <c r="CA98" i="43"/>
  <c r="CC49" i="43"/>
  <c r="CC98" i="43" s="1"/>
  <c r="CC165" i="15"/>
  <c r="CC166" i="15"/>
  <c r="CC342" i="43"/>
  <c r="BQ240" i="43"/>
  <c r="BS179" i="43"/>
  <c r="AR318" i="43"/>
  <c r="AQ320" i="43"/>
  <c r="BP207" i="43"/>
  <c r="BZ221" i="43"/>
  <c r="BT284" i="43"/>
  <c r="BT286" i="43" s="1"/>
  <c r="BY342" i="43"/>
  <c r="CC24" i="43"/>
  <c r="AO194" i="43"/>
  <c r="BR284" i="43"/>
  <c r="BR286" i="43" s="1"/>
  <c r="BR287" i="43" s="1"/>
  <c r="CA342" i="43"/>
  <c r="CB239" i="43"/>
  <c r="AJ217" i="43" l="1"/>
  <c r="AJ236" i="43" s="1"/>
  <c r="BE108" i="43"/>
  <c r="AJ179" i="43"/>
  <c r="AM179" i="43"/>
  <c r="AM276" i="43"/>
  <c r="AJ244" i="43"/>
  <c r="AJ246" i="43" s="1"/>
  <c r="AM345" i="43"/>
  <c r="AK276" i="43"/>
  <c r="AJ345" i="43"/>
  <c r="AJ346" i="43" s="1"/>
  <c r="AK345" i="43"/>
  <c r="AJ276" i="43"/>
  <c r="AJ159" i="43"/>
  <c r="AI156" i="43"/>
  <c r="AK274" i="43"/>
  <c r="AJ301" i="43"/>
  <c r="AM301" i="43"/>
  <c r="AI204" i="43"/>
  <c r="AI217" i="43" s="1"/>
  <c r="AJ218" i="43" s="1"/>
  <c r="AK150" i="43"/>
  <c r="AJ314" i="43"/>
  <c r="AJ315" i="43"/>
  <c r="AJ302" i="43"/>
  <c r="AM302" i="43"/>
  <c r="BS286" i="43"/>
  <c r="BS287" i="43" s="1"/>
  <c r="BT287" i="43"/>
  <c r="BS324" i="43"/>
  <c r="BT324" i="43" s="1"/>
  <c r="BS281" i="43"/>
  <c r="CA221" i="43"/>
  <c r="AR320" i="43"/>
  <c r="AS318" i="43"/>
  <c r="AO195" i="43"/>
  <c r="AO190" i="43"/>
  <c r="AP194" i="43"/>
  <c r="BR240" i="43"/>
  <c r="CB342" i="43"/>
  <c r="BU179" i="43"/>
  <c r="BS284" i="43"/>
  <c r="BU324" i="43" s="1"/>
  <c r="BW281" i="43"/>
  <c r="BU281" i="43"/>
  <c r="BQ207" i="43"/>
  <c r="AJ274" i="43" l="1"/>
  <c r="AM274" i="43"/>
  <c r="BD48" i="43"/>
  <c r="AJ245" i="43"/>
  <c r="AJ267" i="43"/>
  <c r="AK341" i="43"/>
  <c r="AK346" i="43" s="1"/>
  <c r="AL341" i="43" s="1"/>
  <c r="AL346" i="43" s="1"/>
  <c r="AM341" i="43"/>
  <c r="AM346" i="43" s="1"/>
  <c r="AI236" i="43"/>
  <c r="AI274" i="43"/>
  <c r="AI177" i="43"/>
  <c r="AI178" i="43" s="1"/>
  <c r="AI179" i="43" s="1"/>
  <c r="AI159" i="43"/>
  <c r="AJ269" i="43"/>
  <c r="AJ160" i="43"/>
  <c r="AJ270" i="43"/>
  <c r="AM160" i="43"/>
  <c r="AJ268" i="43"/>
  <c r="AJ163" i="43"/>
  <c r="BU284" i="43"/>
  <c r="BV179" i="43"/>
  <c r="AP195" i="43"/>
  <c r="BR207" i="43"/>
  <c r="BW284" i="43"/>
  <c r="AP190" i="43"/>
  <c r="AP191" i="43" s="1"/>
  <c r="AP193" i="43" s="1"/>
  <c r="AQ193" i="43" s="1"/>
  <c r="AR193" i="43" s="1"/>
  <c r="AO191" i="43"/>
  <c r="AT318" i="43"/>
  <c r="AS320" i="43"/>
  <c r="CB221" i="43"/>
  <c r="BS240" i="43"/>
  <c r="AP341" i="43" l="1"/>
  <c r="AP346" i="43" s="1"/>
  <c r="AN341" i="43"/>
  <c r="AN346" i="43" s="1"/>
  <c r="AO341" i="43" s="1"/>
  <c r="AO346" i="43" s="1"/>
  <c r="AJ275" i="43"/>
  <c r="AK275" i="43"/>
  <c r="AM275" i="43"/>
  <c r="AI267" i="43"/>
  <c r="AI245" i="43"/>
  <c r="BE48" i="43"/>
  <c r="AI270" i="43"/>
  <c r="AI160" i="43"/>
  <c r="AI268" i="43"/>
  <c r="AI275" i="43" s="1"/>
  <c r="AI269" i="43"/>
  <c r="AI163" i="43"/>
  <c r="BX179" i="43"/>
  <c r="BV324" i="43"/>
  <c r="BW324" i="43" s="1"/>
  <c r="BV281" i="43"/>
  <c r="CC221" i="43"/>
  <c r="BX281" i="43"/>
  <c r="BV284" i="43"/>
  <c r="BX324" i="43" s="1"/>
  <c r="BZ281" i="43"/>
  <c r="BT240" i="43"/>
  <c r="AT320" i="43"/>
  <c r="AU318" i="43"/>
  <c r="AQ194" i="43"/>
  <c r="BW286" i="43"/>
  <c r="BS207" i="43"/>
  <c r="BU286" i="43"/>
  <c r="BU287" i="43" s="1"/>
  <c r="G23" i="45" l="1"/>
  <c r="AS341" i="43"/>
  <c r="AS346" i="43" s="1"/>
  <c r="AQ341" i="43"/>
  <c r="AQ346" i="43" s="1"/>
  <c r="AR341" i="43" s="1"/>
  <c r="AR346" i="43" s="1"/>
  <c r="BX284" i="43"/>
  <c r="BT207" i="43"/>
  <c r="AQ195" i="43"/>
  <c r="AQ190" i="43"/>
  <c r="AQ191" i="43" s="1"/>
  <c r="BU240" i="43"/>
  <c r="AU320" i="43"/>
  <c r="AV318" i="43"/>
  <c r="BZ284" i="43"/>
  <c r="BZ286" i="43" s="1"/>
  <c r="BW287" i="43"/>
  <c r="BV286" i="43"/>
  <c r="BV287" i="43" s="1"/>
  <c r="BY179" i="43"/>
  <c r="AT341" i="43" l="1"/>
  <c r="AT346" i="43" s="1"/>
  <c r="AU341" i="43" s="1"/>
  <c r="AU346" i="43" s="1"/>
  <c r="AV341" i="43"/>
  <c r="AV346" i="43" s="1"/>
  <c r="BZ287" i="43"/>
  <c r="BY286" i="43"/>
  <c r="BY287" i="43" s="1"/>
  <c r="AW318" i="43"/>
  <c r="AV320" i="43"/>
  <c r="BV240" i="43"/>
  <c r="BY324" i="43"/>
  <c r="BZ324" i="43" s="1"/>
  <c r="BY281" i="43"/>
  <c r="BU207" i="43"/>
  <c r="BX286" i="43"/>
  <c r="BX287" i="43" s="1"/>
  <c r="CA179" i="43"/>
  <c r="CC281" i="43"/>
  <c r="CA281" i="43"/>
  <c r="BY284" i="43"/>
  <c r="CA324" i="43" s="1"/>
  <c r="AR194" i="43"/>
  <c r="AY341" i="43" l="1"/>
  <c r="AY346" i="43" s="1"/>
  <c r="AW341" i="43"/>
  <c r="AW346" i="43" s="1"/>
  <c r="AX341" i="43" s="1"/>
  <c r="AX346" i="43" s="1"/>
  <c r="BV207" i="43"/>
  <c r="BW240" i="43"/>
  <c r="AR195" i="43"/>
  <c r="AR190" i="43"/>
  <c r="AS194" i="43"/>
  <c r="CA284" i="43"/>
  <c r="CC284" i="43"/>
  <c r="CB284" i="43" s="1"/>
  <c r="AX318" i="43"/>
  <c r="AW320" i="43"/>
  <c r="CB179" i="43"/>
  <c r="BB341" i="43" l="1"/>
  <c r="BB346" i="43" s="1"/>
  <c r="AZ341" i="43"/>
  <c r="AZ346" i="43" s="1"/>
  <c r="BA341" i="43" s="1"/>
  <c r="BA346" i="43" s="1"/>
  <c r="AX320" i="43"/>
  <c r="AY318" i="43"/>
  <c r="AS190" i="43"/>
  <c r="AS191" i="43" s="1"/>
  <c r="AS193" i="43" s="1"/>
  <c r="AT193" i="43" s="1"/>
  <c r="AU193" i="43" s="1"/>
  <c r="AR191" i="43"/>
  <c r="CB324" i="43"/>
  <c r="CC324" i="43" s="1"/>
  <c r="CB281" i="43"/>
  <c r="BX240" i="43"/>
  <c r="CC286" i="43"/>
  <c r="CA286" i="43"/>
  <c r="CA287" i="43" s="1"/>
  <c r="AS195" i="43"/>
  <c r="BW207" i="43"/>
  <c r="BC341" i="43" l="1"/>
  <c r="BC346" i="43" s="1"/>
  <c r="BD341" i="43" s="1"/>
  <c r="BE341" i="43"/>
  <c r="BX207" i="43"/>
  <c r="BY240" i="43"/>
  <c r="CB286" i="43"/>
  <c r="CB287" i="43" s="1"/>
  <c r="CC287" i="43"/>
  <c r="AT194" i="43"/>
  <c r="AZ318" i="43"/>
  <c r="AY320" i="43"/>
  <c r="E20" i="45" s="1"/>
  <c r="BZ240" i="43" l="1"/>
  <c r="BY207" i="43"/>
  <c r="AZ320" i="43"/>
  <c r="BA318" i="43"/>
  <c r="AT190" i="43"/>
  <c r="AT191" i="43" s="1"/>
  <c r="AT195" i="43"/>
  <c r="BB318" i="43" l="1"/>
  <c r="BA320" i="43"/>
  <c r="CA240" i="43"/>
  <c r="AU194" i="43"/>
  <c r="BZ207" i="43"/>
  <c r="AV194" i="43" l="1"/>
  <c r="AU195" i="43"/>
  <c r="AU190" i="43"/>
  <c r="BB320" i="43"/>
  <c r="F20" i="45" s="1"/>
  <c r="BC318" i="43"/>
  <c r="CB240" i="43"/>
  <c r="CA207" i="43"/>
  <c r="CB207" i="43" l="1"/>
  <c r="AV195" i="43"/>
  <c r="CC240" i="43"/>
  <c r="AV190" i="43"/>
  <c r="AV191" i="43" s="1"/>
  <c r="AU191" i="43"/>
  <c r="BD318" i="43"/>
  <c r="BC320" i="43"/>
  <c r="AV193" i="43" l="1"/>
  <c r="AW193" i="43" s="1"/>
  <c r="AX193" i="43" s="1"/>
  <c r="AX194" i="43" s="1"/>
  <c r="BE318" i="43"/>
  <c r="BD320" i="43"/>
  <c r="CC207" i="43"/>
  <c r="G34" i="45" l="1"/>
  <c r="BF318" i="43"/>
  <c r="BE320" i="43"/>
  <c r="G20" i="45" s="1"/>
  <c r="AX195" i="43"/>
  <c r="AX190" i="43"/>
  <c r="AW194" i="43"/>
  <c r="AY194" i="43" s="1"/>
  <c r="BD244" i="43" l="1"/>
  <c r="AY195" i="43"/>
  <c r="AY193" i="43"/>
  <c r="AZ193" i="43" s="1"/>
  <c r="BA193" i="43" s="1"/>
  <c r="BA194" i="43" s="1"/>
  <c r="BA190" i="43" s="1"/>
  <c r="BB190" i="43" s="1"/>
  <c r="BF320" i="43"/>
  <c r="BG318" i="43"/>
  <c r="AW195" i="43"/>
  <c r="AW190" i="43"/>
  <c r="AY190" i="43" s="1"/>
  <c r="AX191" i="43"/>
  <c r="G73" i="45" l="1"/>
  <c r="G75" i="45" s="1"/>
  <c r="G64" i="45"/>
  <c r="BD234" i="43"/>
  <c r="BE244" i="43"/>
  <c r="BE246" i="43" s="1"/>
  <c r="BG320" i="43"/>
  <c r="BH318" i="43"/>
  <c r="BD217" i="43" l="1"/>
  <c r="G46" i="45"/>
  <c r="G50" i="45" s="1"/>
  <c r="G57" i="45" s="1"/>
  <c r="G68" i="45"/>
  <c r="G69" i="45" s="1"/>
  <c r="BE204" i="43"/>
  <c r="BE217" i="43" s="1"/>
  <c r="BH176" i="43"/>
  <c r="BF176" i="43"/>
  <c r="BF180" i="43" s="1"/>
  <c r="BE232" i="43"/>
  <c r="BE234" i="43" s="1"/>
  <c r="BE235" i="43" s="1"/>
  <c r="BH320" i="43"/>
  <c r="H20" i="45" s="1"/>
  <c r="BI318" i="43"/>
  <c r="BD236" i="43" l="1"/>
  <c r="BD245" i="43" s="1"/>
  <c r="BE218" i="43"/>
  <c r="G70" i="45"/>
  <c r="BF182" i="43"/>
  <c r="BE236" i="43"/>
  <c r="BJ318" i="43"/>
  <c r="BI320" i="43"/>
  <c r="BD270" i="43" l="1"/>
  <c r="BD268" i="43"/>
  <c r="BD269" i="43"/>
  <c r="BE269" i="43"/>
  <c r="BE270" i="43"/>
  <c r="BE268" i="43"/>
  <c r="R40" i="45"/>
  <c r="D27" i="44"/>
  <c r="R42" i="45"/>
  <c r="R41" i="45"/>
  <c r="BE245" i="43"/>
  <c r="BH166" i="43"/>
  <c r="BF166" i="43"/>
  <c r="BJ320" i="43"/>
  <c r="BK318" i="43"/>
  <c r="BL318" i="43" s="1"/>
  <c r="BL320" i="43" s="1"/>
  <c r="D78" i="44" l="1"/>
  <c r="D28" i="44"/>
  <c r="BD173" i="43"/>
  <c r="BE173" i="43"/>
  <c r="BK320" i="43"/>
  <c r="I20" i="45" s="1"/>
  <c r="P27" i="45" l="1"/>
  <c r="N28" i="45"/>
  <c r="N27" i="45"/>
  <c r="O27" i="45"/>
  <c r="Q28" i="45"/>
  <c r="O28" i="45"/>
  <c r="P28" i="45"/>
  <c r="Q27" i="45"/>
  <c r="D82" i="44"/>
  <c r="E78" i="44"/>
  <c r="BM318" i="43"/>
  <c r="E126" i="44" l="1"/>
  <c r="E82" i="44"/>
  <c r="BN318" i="43"/>
  <c r="BM320" i="43"/>
  <c r="BN320" i="43" l="1"/>
  <c r="BO318" i="43"/>
  <c r="BP318" i="43" l="1"/>
  <c r="BO320" i="43"/>
  <c r="BP320" i="43" l="1"/>
  <c r="BQ318" i="43"/>
  <c r="BR318" i="43" l="1"/>
  <c r="BQ320" i="43"/>
  <c r="BR320" i="43" l="1"/>
  <c r="BS318" i="43"/>
  <c r="BS320" i="43" l="1"/>
  <c r="BT318" i="43"/>
  <c r="BT320" i="43" l="1"/>
  <c r="BU318" i="43"/>
  <c r="BV318" i="43" l="1"/>
  <c r="BU320" i="43"/>
  <c r="BV320" i="43" l="1"/>
  <c r="BW318" i="43"/>
  <c r="BX318" i="43" l="1"/>
  <c r="BW320" i="43"/>
  <c r="BX320" i="43" l="1"/>
  <c r="BY318" i="43"/>
  <c r="BZ318" i="43" l="1"/>
  <c r="BY320" i="43"/>
  <c r="BZ320" i="43" l="1"/>
  <c r="CA318" i="43"/>
  <c r="CA320" i="43" l="1"/>
  <c r="CB318" i="43"/>
  <c r="CB320" i="43" l="1"/>
  <c r="CC318" i="43"/>
  <c r="CC320" i="43" s="1"/>
  <c r="D8" i="44" l="1"/>
  <c r="U18" i="45"/>
  <c r="D10" i="44" l="1"/>
  <c r="D139" i="44" s="1"/>
  <c r="U9" i="45" l="1"/>
  <c r="U10" i="45" s="1"/>
  <c r="U22" i="45"/>
  <c r="AF151" i="43" l="1"/>
  <c r="AF138" i="43"/>
  <c r="AG139" i="43" s="1"/>
  <c r="AF149" i="43" l="1"/>
  <c r="BD124" i="43" l="1"/>
  <c r="G30" i="45"/>
  <c r="BD125" i="43"/>
  <c r="G31" i="45"/>
  <c r="BD136" i="43"/>
  <c r="BD137" i="43"/>
  <c r="BD135" i="43"/>
  <c r="G36" i="45"/>
  <c r="BD132" i="43"/>
  <c r="BD133" i="43"/>
  <c r="BD134" i="43" s="1"/>
  <c r="BE134" i="43"/>
  <c r="BD138" i="43"/>
  <c r="BE138" i="43"/>
  <c r="BE139" i="43" s="1"/>
  <c r="BE151" i="43"/>
  <c r="BD190" i="43"/>
  <c r="BE190" i="43" s="1"/>
  <c r="G35" i="45"/>
  <c r="G37" i="45"/>
  <c r="R34" i="45" s="1"/>
  <c r="BD15" i="15"/>
  <c r="BD39" i="43" l="1"/>
  <c r="BF168" i="15"/>
  <c r="BE15" i="15" l="1"/>
  <c r="BE39" i="43"/>
  <c r="BF39" i="43"/>
  <c r="BG168" i="15"/>
  <c r="BF169" i="15"/>
  <c r="BF170" i="15" s="1"/>
  <c r="BF192" i="15"/>
  <c r="BG39" i="43" l="1"/>
  <c r="BH39" i="43" s="1"/>
  <c r="BI168" i="15"/>
  <c r="BG169" i="15"/>
  <c r="BG192" i="15"/>
  <c r="BH168" i="15"/>
  <c r="BH192" i="15" s="1"/>
  <c r="BF41" i="43"/>
  <c r="BF15" i="15"/>
  <c r="BF194" i="15"/>
  <c r="BG15" i="15" l="1"/>
  <c r="BG170" i="15"/>
  <c r="BH169" i="15"/>
  <c r="BH170" i="15" s="1"/>
  <c r="BF334" i="43"/>
  <c r="BI39" i="43"/>
  <c r="BJ168" i="15"/>
  <c r="BI169" i="15"/>
  <c r="BI170" i="15" s="1"/>
  <c r="BI192" i="15"/>
  <c r="BH15" i="15"/>
  <c r="BI15" i="15" l="1"/>
  <c r="BI194" i="15"/>
  <c r="BJ39" i="43"/>
  <c r="BK168" i="15"/>
  <c r="BK192" i="15" s="1"/>
  <c r="BL168" i="15"/>
  <c r="BJ169" i="15"/>
  <c r="BJ192" i="15"/>
  <c r="BI41" i="43"/>
  <c r="BI334" i="43" l="1"/>
  <c r="BK169" i="15"/>
  <c r="BK170" i="15" s="1"/>
  <c r="BJ170" i="15"/>
  <c r="BK15" i="15"/>
  <c r="BJ15" i="15"/>
  <c r="BK39" i="43"/>
  <c r="BL39" i="43"/>
  <c r="BM168" i="15"/>
  <c r="BL169" i="15"/>
  <c r="BL170" i="15" s="1"/>
  <c r="BL192" i="15"/>
  <c r="BL41" i="43" l="1"/>
  <c r="BL15" i="15"/>
  <c r="BL194" i="15"/>
  <c r="BM39" i="43"/>
  <c r="BO168" i="15"/>
  <c r="BN168" i="15"/>
  <c r="BN192" i="15" s="1"/>
  <c r="BM169" i="15"/>
  <c r="BM192" i="15"/>
  <c r="BM15" i="15" l="1"/>
  <c r="BN15" i="15"/>
  <c r="BO39" i="43"/>
  <c r="BP168" i="15"/>
  <c r="BO169" i="15"/>
  <c r="BO170" i="15" s="1"/>
  <c r="BO192" i="15"/>
  <c r="BL334" i="43"/>
  <c r="BN39" i="43"/>
  <c r="BN169" i="15"/>
  <c r="BN170" i="15" s="1"/>
  <c r="BM170" i="15"/>
  <c r="BP39" i="43" l="1"/>
  <c r="BR168" i="15"/>
  <c r="BQ168" i="15"/>
  <c r="BQ192" i="15" s="1"/>
  <c r="BP169" i="15"/>
  <c r="BP192" i="15"/>
  <c r="BO41" i="43"/>
  <c r="BO15" i="15"/>
  <c r="BO194" i="15"/>
  <c r="BQ15" i="15" l="1"/>
  <c r="BR39" i="43"/>
  <c r="BS168" i="15"/>
  <c r="BR169" i="15"/>
  <c r="BR170" i="15" s="1"/>
  <c r="BR192" i="15"/>
  <c r="BO334" i="43"/>
  <c r="BP15" i="15"/>
  <c r="BQ39" i="43"/>
  <c r="BQ169" i="15"/>
  <c r="BQ170" i="15" s="1"/>
  <c r="BP170" i="15"/>
  <c r="BS39" i="43" l="1"/>
  <c r="BT168" i="15"/>
  <c r="BT192" i="15" s="1"/>
  <c r="BU168" i="15"/>
  <c r="BS169" i="15"/>
  <c r="BS192" i="15"/>
  <c r="BR41" i="43"/>
  <c r="BR15" i="15"/>
  <c r="BR194" i="15"/>
  <c r="BT39" i="43" l="1"/>
  <c r="BR334" i="43"/>
  <c r="BS170" i="15"/>
  <c r="BT169" i="15"/>
  <c r="BT170" i="15" s="1"/>
  <c r="BU39" i="43"/>
  <c r="BV168" i="15"/>
  <c r="BU169" i="15"/>
  <c r="BU170" i="15" s="1"/>
  <c r="BU192" i="15"/>
  <c r="BT15" i="15"/>
  <c r="BS15" i="15"/>
  <c r="BV39" i="43" l="1"/>
  <c r="BW168" i="15"/>
  <c r="BW192" i="15" s="1"/>
  <c r="BV169" i="15"/>
  <c r="BV192" i="15"/>
  <c r="BX168" i="15"/>
  <c r="BW39" i="43"/>
  <c r="BU41" i="43"/>
  <c r="BU15" i="15"/>
  <c r="BU194" i="15"/>
  <c r="BW169" i="15" l="1"/>
  <c r="BW170" i="15" s="1"/>
  <c r="BV170" i="15"/>
  <c r="BU334" i="43"/>
  <c r="BW15" i="15"/>
  <c r="BX39" i="43"/>
  <c r="BY168" i="15"/>
  <c r="BX169" i="15"/>
  <c r="BX170" i="15" s="1"/>
  <c r="BX192" i="15"/>
  <c r="BV15" i="15"/>
  <c r="BY39" i="43" l="1"/>
  <c r="CA168" i="15"/>
  <c r="BZ168" i="15"/>
  <c r="BZ192" i="15" s="1"/>
  <c r="BY169" i="15"/>
  <c r="BY192" i="15"/>
  <c r="BX41" i="43"/>
  <c r="BX15" i="15"/>
  <c r="BX194" i="15"/>
  <c r="CA39" i="43" l="1"/>
  <c r="CB168" i="15"/>
  <c r="CA169" i="15"/>
  <c r="CA170" i="15" s="1"/>
  <c r="CA192" i="15"/>
  <c r="BY15" i="15"/>
  <c r="BX334" i="43"/>
  <c r="BZ169" i="15"/>
  <c r="BZ170" i="15" s="1"/>
  <c r="BY170" i="15"/>
  <c r="BZ39" i="43"/>
  <c r="BZ15" i="15"/>
  <c r="CB39" i="43" l="1"/>
  <c r="CC168" i="15"/>
  <c r="CC192" i="15" s="1"/>
  <c r="CB169" i="15"/>
  <c r="CB192" i="15"/>
  <c r="CA41" i="43"/>
  <c r="CA15" i="15"/>
  <c r="CA194" i="15"/>
  <c r="CC39" i="43" l="1"/>
  <c r="CC15" i="15"/>
  <c r="CB15" i="15"/>
  <c r="CA334" i="43"/>
  <c r="CC169" i="15"/>
  <c r="CC170" i="15" s="1"/>
  <c r="CB170" i="15"/>
  <c r="BD142" i="43" l="1"/>
  <c r="BD344" i="43"/>
  <c r="BE344" i="43"/>
  <c r="G38" i="45"/>
  <c r="BD143" i="43" l="1"/>
  <c r="G39" i="45"/>
  <c r="BD144" i="43"/>
  <c r="BD146" i="43"/>
  <c r="BE146" i="43"/>
  <c r="G40" i="45"/>
  <c r="G42" i="45"/>
  <c r="G43" i="45" s="1"/>
  <c r="BE147" i="43" l="1"/>
  <c r="BE149" i="43"/>
  <c r="BE305" i="43"/>
  <c r="BD307" i="43"/>
  <c r="BD309" i="43" s="1"/>
  <c r="BE307" i="43"/>
  <c r="BE309" i="43" s="1"/>
  <c r="BD311" i="43"/>
  <c r="BE311" i="43"/>
  <c r="BD323" i="43"/>
  <c r="BE323" i="43" s="1"/>
  <c r="BE325" i="43"/>
  <c r="BD310" i="43" l="1"/>
  <c r="G19" i="45"/>
  <c r="BD325" i="43"/>
  <c r="BF327" i="43" s="1"/>
  <c r="BF329" i="43" s="1"/>
  <c r="BF142" i="43" s="1"/>
  <c r="BF344" i="43" s="1"/>
  <c r="BE310" i="43"/>
  <c r="R35" i="45" s="1"/>
  <c r="BE112" i="43" l="1"/>
  <c r="G13" i="45"/>
  <c r="BD112" i="43" l="1"/>
  <c r="BD188" i="15"/>
  <c r="BD50" i="43" s="1"/>
  <c r="BE189" i="15"/>
  <c r="BE11" i="15" s="1"/>
  <c r="BE190" i="15" l="1"/>
  <c r="BE13" i="15"/>
  <c r="BD189" i="15"/>
  <c r="BE50" i="43"/>
  <c r="BD51" i="43"/>
  <c r="BD99" i="43"/>
  <c r="BF50" i="43" l="1"/>
  <c r="BD11" i="15"/>
  <c r="BD190" i="15"/>
  <c r="BD54" i="43"/>
  <c r="BE51" i="43"/>
  <c r="BE99" i="43"/>
  <c r="G25" i="45"/>
  <c r="BD13" i="15" l="1"/>
  <c r="BG50" i="43"/>
  <c r="BG99" i="43" s="1"/>
  <c r="BI188" i="15"/>
  <c r="BE52" i="43"/>
  <c r="G26" i="45"/>
  <c r="R28" i="45"/>
  <c r="G10" i="45"/>
  <c r="G8" i="44"/>
  <c r="BE54" i="43"/>
  <c r="BD60" i="43"/>
  <c r="BH50" i="43"/>
  <c r="BF99" i="43"/>
  <c r="BI50" i="43" l="1"/>
  <c r="BJ188" i="15"/>
  <c r="BE60" i="43"/>
  <c r="BD61" i="43"/>
  <c r="BD68" i="43"/>
  <c r="BD162" i="43"/>
  <c r="BD274" i="43"/>
  <c r="BD275" i="43"/>
  <c r="BE100" i="43"/>
  <c r="R52" i="45"/>
  <c r="BH99" i="43"/>
  <c r="H25" i="45"/>
  <c r="C121" i="44"/>
  <c r="BJ50" i="43" l="1"/>
  <c r="BJ99" i="43" s="1"/>
  <c r="BK188" i="15"/>
  <c r="BL188" i="15"/>
  <c r="BI99" i="43"/>
  <c r="BE68" i="43"/>
  <c r="BE61" i="43"/>
  <c r="BE162" i="43"/>
  <c r="R43" i="45" s="1"/>
  <c r="BE275" i="43"/>
  <c r="BE274" i="43"/>
  <c r="R47" i="45" s="1"/>
  <c r="BK50" i="43" l="1"/>
  <c r="BL50" i="43"/>
  <c r="BM188" i="15"/>
  <c r="BE107" i="43"/>
  <c r="G12" i="45"/>
  <c r="I25" i="45" l="1"/>
  <c r="BK99" i="43"/>
  <c r="BD107" i="43"/>
  <c r="BE109" i="43"/>
  <c r="BE110" i="43" s="1"/>
  <c r="R37" i="45" s="1"/>
  <c r="BE113" i="43"/>
  <c r="BL99" i="43"/>
  <c r="BM50" i="43"/>
  <c r="BM99" i="43" s="1"/>
  <c r="BN188" i="15"/>
  <c r="BO188" i="15"/>
  <c r="BD113" i="43" l="1"/>
  <c r="BN50" i="43"/>
  <c r="BO50" i="43"/>
  <c r="BP188" i="15"/>
  <c r="BN99" i="43" l="1"/>
  <c r="J25" i="45"/>
  <c r="BP50" i="43"/>
  <c r="BP99" i="43" s="1"/>
  <c r="BQ188" i="15"/>
  <c r="BR188" i="15"/>
  <c r="BO99" i="43"/>
  <c r="BQ50" i="43" l="1"/>
  <c r="BQ99" i="43" s="1"/>
  <c r="BR50" i="43"/>
  <c r="BS188" i="15"/>
  <c r="BR99" i="43" l="1"/>
  <c r="BS50" i="43"/>
  <c r="BS99" i="43" s="1"/>
  <c r="BU188" i="15"/>
  <c r="BT188" i="15"/>
  <c r="BT50" i="43" l="1"/>
  <c r="BT99" i="43" s="1"/>
  <c r="BU50" i="43"/>
  <c r="BV188" i="15"/>
  <c r="BV50" i="43" l="1"/>
  <c r="BV99" i="43" s="1"/>
  <c r="BW188" i="15"/>
  <c r="BX188" i="15"/>
  <c r="BW50" i="43"/>
  <c r="BW99" i="43" s="1"/>
  <c r="BU99" i="43"/>
  <c r="BX50" i="43" l="1"/>
  <c r="BY188" i="15"/>
  <c r="BY50" i="43" l="1"/>
  <c r="BY99" i="43" s="1"/>
  <c r="BZ188" i="15"/>
  <c r="CA188" i="15"/>
  <c r="BX99" i="43"/>
  <c r="BZ50" i="43" l="1"/>
  <c r="BZ99" i="43" s="1"/>
  <c r="CA50" i="43"/>
  <c r="CB188" i="15"/>
  <c r="CB50" i="43" l="1"/>
  <c r="CB99" i="43" s="1"/>
  <c r="CC188" i="15"/>
  <c r="CA99" i="43"/>
  <c r="CC50" i="43" l="1"/>
  <c r="CC99" i="43" s="1"/>
  <c r="BD193" i="15" l="1"/>
  <c r="BD40" i="43" s="1"/>
  <c r="BD194" i="15"/>
  <c r="BE194" i="15"/>
  <c r="BD195" i="15"/>
  <c r="BD16" i="15" s="1"/>
  <c r="BE195" i="15"/>
  <c r="BE16" i="15" s="1"/>
  <c r="BE40" i="43" l="1"/>
  <c r="BD41" i="43"/>
  <c r="BG193" i="15"/>
  <c r="BG40" i="43" l="1"/>
  <c r="BH193" i="15"/>
  <c r="BH194" i="15" s="1"/>
  <c r="BJ193" i="15"/>
  <c r="BG194" i="15"/>
  <c r="BD44" i="43"/>
  <c r="BD43" i="43"/>
  <c r="BD184" i="43"/>
  <c r="BF184" i="43" s="1"/>
  <c r="BD195" i="43"/>
  <c r="BD334" i="43"/>
  <c r="BE41" i="43"/>
  <c r="BE44" i="43" l="1"/>
  <c r="BG41" i="43"/>
  <c r="BG334" i="43" s="1"/>
  <c r="BH40" i="43"/>
  <c r="BF132" i="43"/>
  <c r="BG184" i="43"/>
  <c r="BJ40" i="43"/>
  <c r="BM193" i="15"/>
  <c r="BJ194" i="15"/>
  <c r="BK193" i="15"/>
  <c r="BK194" i="15" s="1"/>
  <c r="BE184" i="43"/>
  <c r="R53" i="45" s="1"/>
  <c r="BE195" i="43"/>
  <c r="BE194" i="43" s="1"/>
  <c r="BE193" i="43" s="1"/>
  <c r="BF193" i="43" s="1"/>
  <c r="BG193" i="43" s="1"/>
  <c r="BE334" i="43"/>
  <c r="G9" i="45"/>
  <c r="BE43" i="43"/>
  <c r="G8" i="45" l="1"/>
  <c r="R27" i="45"/>
  <c r="BF134" i="43"/>
  <c r="BK40" i="43"/>
  <c r="BJ41" i="43"/>
  <c r="BJ334" i="43" s="1"/>
  <c r="BH41" i="43"/>
  <c r="BM40" i="43"/>
  <c r="BN193" i="15"/>
  <c r="BN194" i="15" s="1"/>
  <c r="BP193" i="15"/>
  <c r="BM194" i="15"/>
  <c r="BG132" i="43"/>
  <c r="BG134" i="43" s="1"/>
  <c r="BI184" i="43"/>
  <c r="BG138" i="43" l="1"/>
  <c r="BG187" i="43"/>
  <c r="BK41" i="43"/>
  <c r="BH132" i="43"/>
  <c r="BH334" i="43"/>
  <c r="H9" i="45"/>
  <c r="F52" i="44"/>
  <c r="BF138" i="43"/>
  <c r="BF187" i="43"/>
  <c r="BP40" i="43"/>
  <c r="BS193" i="15"/>
  <c r="BP194" i="15"/>
  <c r="BQ193" i="15"/>
  <c r="BQ194" i="15" s="1"/>
  <c r="BI132" i="43"/>
  <c r="BJ184" i="43"/>
  <c r="BM41" i="43"/>
  <c r="BM334" i="43" s="1"/>
  <c r="BN40" i="43"/>
  <c r="BI134" i="43" l="1"/>
  <c r="BI138" i="43" s="1"/>
  <c r="BI187" i="43"/>
  <c r="BS40" i="43"/>
  <c r="BT193" i="15"/>
  <c r="BT194" i="15" s="1"/>
  <c r="BV193" i="15"/>
  <c r="BS194" i="15"/>
  <c r="BK334" i="43"/>
  <c r="I9" i="45"/>
  <c r="G52" i="44"/>
  <c r="BN41" i="43"/>
  <c r="BF194" i="43"/>
  <c r="BH187" i="43"/>
  <c r="BQ40" i="43"/>
  <c r="BP41" i="43"/>
  <c r="BP334" i="43" s="1"/>
  <c r="BH134" i="43"/>
  <c r="BH184" i="43"/>
  <c r="S53" i="45" s="1"/>
  <c r="F54" i="44"/>
  <c r="BJ132" i="43"/>
  <c r="BK132" i="43" s="1"/>
  <c r="BL184" i="43"/>
  <c r="BK184" i="43" l="1"/>
  <c r="T53" i="45" s="1"/>
  <c r="BK134" i="43"/>
  <c r="G54" i="44"/>
  <c r="BQ41" i="43"/>
  <c r="BS41" i="43"/>
  <c r="BS334" i="43" s="1"/>
  <c r="BT40" i="43"/>
  <c r="BL132" i="43"/>
  <c r="BM184" i="43"/>
  <c r="BH138" i="43"/>
  <c r="H35" i="45"/>
  <c r="H37" i="45" s="1"/>
  <c r="BF128" i="43"/>
  <c r="BF190" i="43"/>
  <c r="BF191" i="43" s="1"/>
  <c r="BF195" i="43"/>
  <c r="BV40" i="43"/>
  <c r="BY193" i="15"/>
  <c r="BV194" i="15"/>
  <c r="BW193" i="15"/>
  <c r="BW194" i="15" s="1"/>
  <c r="BJ134" i="43"/>
  <c r="BJ138" i="43" s="1"/>
  <c r="BJ187" i="43"/>
  <c r="BK187" i="43" s="1"/>
  <c r="BN334" i="43"/>
  <c r="J9" i="45"/>
  <c r="H52" i="44"/>
  <c r="BL134" i="43" l="1"/>
  <c r="BL138" i="43" s="1"/>
  <c r="BL187" i="43"/>
  <c r="BY40" i="43"/>
  <c r="BZ193" i="15"/>
  <c r="BZ194" i="15" s="1"/>
  <c r="CB193" i="15"/>
  <c r="BY194" i="15"/>
  <c r="BW40" i="43"/>
  <c r="BV41" i="43"/>
  <c r="BV334" i="43" s="1"/>
  <c r="BH139" i="43"/>
  <c r="BT41" i="43"/>
  <c r="BQ334" i="43"/>
  <c r="I52" i="44"/>
  <c r="BK138" i="43"/>
  <c r="I35" i="45"/>
  <c r="I37" i="45" s="1"/>
  <c r="BG194" i="43"/>
  <c r="BF210" i="43"/>
  <c r="BF215" i="43" s="1"/>
  <c r="BM132" i="43"/>
  <c r="BO184" i="43"/>
  <c r="BW41" i="43" l="1"/>
  <c r="BY41" i="43"/>
  <c r="BY334" i="43" s="1"/>
  <c r="BZ40" i="43"/>
  <c r="BG128" i="43"/>
  <c r="BH128" i="43" s="1"/>
  <c r="F55" i="44" s="1"/>
  <c r="BG190" i="43"/>
  <c r="BG195" i="43"/>
  <c r="BH194" i="43"/>
  <c r="CB40" i="43"/>
  <c r="CB194" i="15"/>
  <c r="CC193" i="15"/>
  <c r="CC194" i="15" s="1"/>
  <c r="BM134" i="43"/>
  <c r="BM138" i="43" s="1"/>
  <c r="BM187" i="43"/>
  <c r="BN187" i="43" s="1"/>
  <c r="BK139" i="43"/>
  <c r="BO132" i="43"/>
  <c r="BP184" i="43"/>
  <c r="BT334" i="43"/>
  <c r="J52" i="44"/>
  <c r="BN132" i="43"/>
  <c r="BH195" i="43" l="1"/>
  <c r="BO134" i="43"/>
  <c r="BO138" i="43" s="1"/>
  <c r="BO187" i="43"/>
  <c r="CC40" i="43"/>
  <c r="CB41" i="43"/>
  <c r="CB334" i="43" s="1"/>
  <c r="BN134" i="43"/>
  <c r="BN184" i="43"/>
  <c r="U53" i="45" s="1"/>
  <c r="H54" i="44"/>
  <c r="BP132" i="43"/>
  <c r="BR184" i="43"/>
  <c r="BH190" i="43"/>
  <c r="BH191" i="43" s="1"/>
  <c r="BH193" i="43" s="1"/>
  <c r="BI193" i="43" s="1"/>
  <c r="BJ193" i="43" s="1"/>
  <c r="BG191" i="43"/>
  <c r="BG210" i="43" s="1"/>
  <c r="BZ41" i="43"/>
  <c r="BW334" i="43"/>
  <c r="K52" i="44"/>
  <c r="BP134" i="43" l="1"/>
  <c r="BP138" i="43" s="1"/>
  <c r="BP187" i="43"/>
  <c r="BQ187" i="43" s="1"/>
  <c r="BZ334" i="43"/>
  <c r="L52" i="44"/>
  <c r="BR132" i="43"/>
  <c r="BS184" i="43"/>
  <c r="BI194" i="43"/>
  <c r="BQ132" i="43"/>
  <c r="BG215" i="43"/>
  <c r="BH210" i="43"/>
  <c r="BN138" i="43"/>
  <c r="J35" i="45"/>
  <c r="J37" i="45" s="1"/>
  <c r="CC41" i="43"/>
  <c r="CC334" i="43" l="1"/>
  <c r="M52" i="44"/>
  <c r="N52" i="44" s="1"/>
  <c r="BN139" i="43"/>
  <c r="BS132" i="43"/>
  <c r="BU184" i="43"/>
  <c r="BH215" i="43"/>
  <c r="H53" i="45"/>
  <c r="H56" i="45" s="1"/>
  <c r="BI190" i="43"/>
  <c r="BI191" i="43" s="1"/>
  <c r="BI195" i="43"/>
  <c r="BI128" i="43"/>
  <c r="BR134" i="43"/>
  <c r="BR138" i="43" s="1"/>
  <c r="BT132" i="43"/>
  <c r="BR187" i="43"/>
  <c r="BQ134" i="43"/>
  <c r="BQ138" i="43" s="1"/>
  <c r="BQ139" i="43" s="1"/>
  <c r="BQ184" i="43"/>
  <c r="I54" i="44"/>
  <c r="BU132" i="43" l="1"/>
  <c r="BV184" i="43"/>
  <c r="BT134" i="43"/>
  <c r="BT138" i="43" s="1"/>
  <c r="BT184" i="43"/>
  <c r="J54" i="44"/>
  <c r="BS134" i="43"/>
  <c r="BS138" i="43" s="1"/>
  <c r="BS187" i="43"/>
  <c r="BT187" i="43" s="1"/>
  <c r="BJ194" i="43"/>
  <c r="BI210" i="43"/>
  <c r="BI215" i="43" s="1"/>
  <c r="BT139" i="43" l="1"/>
  <c r="BJ128" i="43"/>
  <c r="BK128" i="43" s="1"/>
  <c r="G55" i="44" s="1"/>
  <c r="BJ190" i="43"/>
  <c r="BK194" i="43"/>
  <c r="BJ195" i="43"/>
  <c r="BU134" i="43"/>
  <c r="BU138" i="43" s="1"/>
  <c r="BU187" i="43"/>
  <c r="BV132" i="43"/>
  <c r="BW132" i="43" s="1"/>
  <c r="BX184" i="43"/>
  <c r="BW184" i="43" l="1"/>
  <c r="BW134" i="43"/>
  <c r="BW138" i="43" s="1"/>
  <c r="K54" i="44"/>
  <c r="BX132" i="43"/>
  <c r="BY184" i="43"/>
  <c r="BK195" i="43"/>
  <c r="BK190" i="43"/>
  <c r="BK191" i="43" s="1"/>
  <c r="BK193" i="43" s="1"/>
  <c r="BL193" i="43" s="1"/>
  <c r="BM193" i="43" s="1"/>
  <c r="BJ191" i="43"/>
  <c r="BJ210" i="43" s="1"/>
  <c r="BJ215" i="43" s="1"/>
  <c r="BV134" i="43"/>
  <c r="BV138" i="43" s="1"/>
  <c r="BV187" i="43"/>
  <c r="BW187" i="43" s="1"/>
  <c r="BW139" i="43" l="1"/>
  <c r="BX134" i="43"/>
  <c r="BX138" i="43" s="1"/>
  <c r="BX187" i="43"/>
  <c r="BK210" i="43"/>
  <c r="BL194" i="43"/>
  <c r="BY132" i="43"/>
  <c r="CA184" i="43"/>
  <c r="CA132" i="43" l="1"/>
  <c r="CB184" i="43"/>
  <c r="CB132" i="43" s="1"/>
  <c r="BK215" i="43"/>
  <c r="I53" i="45"/>
  <c r="I56" i="45" s="1"/>
  <c r="BY134" i="43"/>
  <c r="BY138" i="43" s="1"/>
  <c r="BY187" i="43"/>
  <c r="BZ187" i="43" s="1"/>
  <c r="BL128" i="43"/>
  <c r="BL190" i="43"/>
  <c r="BL191" i="43" s="1"/>
  <c r="BL195" i="43"/>
  <c r="BZ132" i="43"/>
  <c r="BM194" i="43" l="1"/>
  <c r="BL210" i="43"/>
  <c r="BL215" i="43" s="1"/>
  <c r="BZ134" i="43"/>
  <c r="BZ138" i="43" s="1"/>
  <c r="BZ139" i="43" s="1"/>
  <c r="BZ184" i="43"/>
  <c r="L54" i="44"/>
  <c r="CB134" i="43"/>
  <c r="CB138" i="43" s="1"/>
  <c r="CB187" i="43"/>
  <c r="CC132" i="43"/>
  <c r="CA187" i="43"/>
  <c r="CA134" i="43"/>
  <c r="CA138" i="43" s="1"/>
  <c r="CC134" i="43" l="1"/>
  <c r="CC138" i="43" s="1"/>
  <c r="CC139" i="43" s="1"/>
  <c r="CC184" i="43"/>
  <c r="M54" i="44"/>
  <c r="CC187" i="43"/>
  <c r="BM128" i="43"/>
  <c r="BN128" i="43" s="1"/>
  <c r="H55" i="44" s="1"/>
  <c r="BM190" i="43"/>
  <c r="BM195" i="43"/>
  <c r="BN194" i="43"/>
  <c r="BN195" i="43" l="1"/>
  <c r="N54" i="44"/>
  <c r="BN190" i="43"/>
  <c r="BN191" i="43" s="1"/>
  <c r="BM191" i="43"/>
  <c r="BN210" i="43" l="1"/>
  <c r="BN193" i="43"/>
  <c r="BO193" i="43" s="1"/>
  <c r="BP193" i="43" s="1"/>
  <c r="BO194" i="43" l="1"/>
  <c r="BN215" i="43"/>
  <c r="BM210" i="43"/>
  <c r="BM215" i="43" s="1"/>
  <c r="J53" i="45"/>
  <c r="J56" i="45" s="1"/>
  <c r="BO128" i="43"/>
  <c r="BO190" i="43"/>
  <c r="BO191" i="43" s="1"/>
  <c r="BO195" i="43"/>
  <c r="BO210" i="43" l="1"/>
  <c r="BO215" i="43" s="1"/>
  <c r="BP194" i="43"/>
  <c r="BP128" i="43" l="1"/>
  <c r="BQ128" i="43" s="1"/>
  <c r="I55" i="44" s="1"/>
  <c r="BQ194" i="43"/>
  <c r="BP195" i="43"/>
  <c r="BP190" i="43"/>
  <c r="BQ195" i="43" l="1"/>
  <c r="BQ190" i="43"/>
  <c r="BQ191" i="43" s="1"/>
  <c r="BQ193" i="43" s="1"/>
  <c r="BR193" i="43" s="1"/>
  <c r="BS193" i="43" s="1"/>
  <c r="BP191" i="43"/>
  <c r="BR194" i="43" l="1"/>
  <c r="BQ210" i="43"/>
  <c r="BR128" i="43" l="1"/>
  <c r="BR190" i="43"/>
  <c r="BR191" i="43" s="1"/>
  <c r="BR195" i="43"/>
  <c r="BP210" i="43"/>
  <c r="BP215" i="43" s="1"/>
  <c r="BQ215" i="43"/>
  <c r="BS194" i="43" l="1"/>
  <c r="BR210" i="43"/>
  <c r="BR215" i="43" s="1"/>
  <c r="BS128" i="43" l="1"/>
  <c r="BT128" i="43" s="1"/>
  <c r="J55" i="44" s="1"/>
  <c r="BS190" i="43"/>
  <c r="BS195" i="43"/>
  <c r="BT194" i="43"/>
  <c r="BT190" i="43" l="1"/>
  <c r="BT191" i="43" s="1"/>
  <c r="BS191" i="43"/>
  <c r="BT195" i="43"/>
  <c r="BT210" i="43" l="1"/>
  <c r="BT193" i="43"/>
  <c r="BU193" i="43" s="1"/>
  <c r="BV193" i="43" s="1"/>
  <c r="BU194" i="43" l="1"/>
  <c r="BS210" i="43"/>
  <c r="BS215" i="43" s="1"/>
  <c r="BT215" i="43"/>
  <c r="BU128" i="43" l="1"/>
  <c r="BU190" i="43"/>
  <c r="BU191" i="43" s="1"/>
  <c r="BU195" i="43"/>
  <c r="BU210" i="43" l="1"/>
  <c r="BU215" i="43" s="1"/>
  <c r="BV194" i="43"/>
  <c r="BV128" i="43" l="1"/>
  <c r="BW128" i="43" s="1"/>
  <c r="K55" i="44" s="1"/>
  <c r="BV190" i="43"/>
  <c r="BW194" i="43"/>
  <c r="BV195" i="43"/>
  <c r="BW195" i="43" l="1"/>
  <c r="BW190" i="43"/>
  <c r="BW191" i="43" s="1"/>
  <c r="BW193" i="43" s="1"/>
  <c r="BX193" i="43" s="1"/>
  <c r="BY193" i="43" s="1"/>
  <c r="BV191" i="43"/>
  <c r="BW210" i="43" l="1"/>
  <c r="BX194" i="43"/>
  <c r="BX128" i="43" l="1"/>
  <c r="BX190" i="43"/>
  <c r="BX191" i="43" s="1"/>
  <c r="BX195" i="43"/>
  <c r="BW215" i="43"/>
  <c r="BV210" i="43"/>
  <c r="BV215" i="43" s="1"/>
  <c r="BY194" i="43" l="1"/>
  <c r="BX210" i="43"/>
  <c r="BX215" i="43" s="1"/>
  <c r="BY190" i="43" l="1"/>
  <c r="BZ194" i="43"/>
  <c r="BY128" i="43"/>
  <c r="BZ128" i="43" s="1"/>
  <c r="L55" i="44" s="1"/>
  <c r="BY195" i="43"/>
  <c r="BZ190" i="43" l="1"/>
  <c r="BZ191" i="43" s="1"/>
  <c r="BZ193" i="43" s="1"/>
  <c r="CA193" i="43" s="1"/>
  <c r="CB193" i="43" s="1"/>
  <c r="BY191" i="43"/>
  <c r="BZ195" i="43"/>
  <c r="CA194" i="43" l="1"/>
  <c r="BZ210" i="43"/>
  <c r="BZ215" i="43" l="1"/>
  <c r="BY210" i="43"/>
  <c r="BY215" i="43" s="1"/>
  <c r="CA128" i="43"/>
  <c r="CA190" i="43"/>
  <c r="CA191" i="43" s="1"/>
  <c r="CA195" i="43"/>
  <c r="CA210" i="43" l="1"/>
  <c r="CA215" i="43" s="1"/>
  <c r="CB194" i="43"/>
  <c r="CB128" i="43" l="1"/>
  <c r="CC128" i="43" s="1"/>
  <c r="M55" i="44" s="1"/>
  <c r="CC194" i="43"/>
  <c r="CB190" i="43"/>
  <c r="CB195" i="43"/>
  <c r="N55" i="44" l="1"/>
  <c r="CC190" i="43"/>
  <c r="CC191" i="43" s="1"/>
  <c r="CC210" i="43" s="1"/>
  <c r="CB191" i="43"/>
  <c r="CC195" i="43"/>
  <c r="CB210" i="43" l="1"/>
  <c r="CB215" i="43" s="1"/>
  <c r="CC215" i="43"/>
  <c r="CC193" i="43"/>
  <c r="BE185" i="15" l="1"/>
  <c r="BE8" i="15" s="1"/>
  <c r="BE9" i="15" l="1"/>
  <c r="BE17" i="15"/>
  <c r="BE12" i="15"/>
  <c r="BD70" i="43" l="1"/>
  <c r="BD72" i="43"/>
  <c r="BE72" i="43"/>
  <c r="BD73" i="43"/>
  <c r="BE73" i="43"/>
  <c r="BD74" i="43"/>
  <c r="BE74" i="43"/>
  <c r="BD77" i="43"/>
  <c r="BE77" i="43" s="1"/>
  <c r="BD81" i="43"/>
  <c r="BE81" i="43"/>
  <c r="BD123" i="43"/>
  <c r="BE123" i="43"/>
  <c r="BD128" i="43"/>
  <c r="BD129" i="43" s="1"/>
  <c r="BE130" i="43" s="1"/>
  <c r="BE128" i="43"/>
  <c r="BD149" i="43"/>
  <c r="BD151" i="43"/>
  <c r="BD276" i="43"/>
  <c r="BE276" i="43"/>
  <c r="BD295" i="43"/>
  <c r="BE295" i="43"/>
  <c r="BD296" i="43"/>
  <c r="BE296" i="43"/>
  <c r="BD299" i="43"/>
  <c r="BE299" i="43"/>
  <c r="BD300" i="43"/>
  <c r="BD313" i="43" s="1"/>
  <c r="BE300" i="43"/>
  <c r="BE313" i="43" s="1"/>
  <c r="BD301" i="43"/>
  <c r="BE301" i="43"/>
  <c r="BD315" i="43"/>
  <c r="BD333" i="43"/>
  <c r="BE333" i="43"/>
  <c r="BD343" i="43"/>
  <c r="BE343" i="43"/>
  <c r="BD345" i="43"/>
  <c r="BE345" i="43"/>
  <c r="BE346" i="43" s="1"/>
  <c r="BD346" i="43"/>
  <c r="G14" i="45"/>
  <c r="G17" i="45"/>
  <c r="G18" i="45"/>
  <c r="G29" i="45"/>
  <c r="G33" i="45" s="1"/>
  <c r="R48" i="45"/>
  <c r="BE302" i="43" l="1"/>
  <c r="R33" i="45" s="1"/>
  <c r="R29" i="45"/>
  <c r="G15" i="45"/>
  <c r="BE314" i="43"/>
  <c r="BD302" i="43"/>
  <c r="BD314" i="43"/>
  <c r="BE315" i="43"/>
  <c r="R36" i="45" s="1"/>
  <c r="BI313" i="43"/>
  <c r="BF341" i="43"/>
  <c r="BH341" i="43"/>
  <c r="BD145" i="15" l="1"/>
  <c r="BD108" i="43" s="1"/>
  <c r="BD109" i="43" s="1"/>
  <c r="BD114" i="15"/>
  <c r="BD110" i="43" l="1"/>
  <c r="BD111" i="43" s="1"/>
  <c r="BE111" i="43" s="1"/>
  <c r="BD138" i="15"/>
  <c r="BD116" i="15"/>
  <c r="BD56" i="43"/>
  <c r="BE56" i="43" l="1"/>
  <c r="BD45" i="43"/>
  <c r="BE138" i="15"/>
  <c r="BE139" i="15" s="1"/>
  <c r="BD163" i="43" l="1"/>
  <c r="BE45" i="43"/>
  <c r="BE163" i="43" s="1"/>
  <c r="R44" i="45" s="1"/>
  <c r="BC139" i="15" l="1"/>
  <c r="BF122" i="15"/>
  <c r="BC109" i="15"/>
  <c r="BC112" i="15"/>
  <c r="BC115" i="15"/>
  <c r="BC178" i="15"/>
  <c r="BC90" i="15"/>
  <c r="BC12" i="43" l="1"/>
  <c r="BD90" i="15"/>
  <c r="BF90" i="15"/>
  <c r="BC185" i="15"/>
  <c r="BC8" i="15" s="1"/>
  <c r="BC96" i="15"/>
  <c r="BC113" i="15"/>
  <c r="BC148" i="15"/>
  <c r="BC86" i="43" l="1"/>
  <c r="BE12" i="43"/>
  <c r="BC13" i="43"/>
  <c r="BC127" i="15"/>
  <c r="BC128" i="15" s="1"/>
  <c r="BC130" i="15" s="1"/>
  <c r="BD96" i="15"/>
  <c r="BF96" i="15"/>
  <c r="BC102" i="15"/>
  <c r="BD12" i="43"/>
  <c r="BG90" i="15"/>
  <c r="BC12" i="15"/>
  <c r="BC17" i="15"/>
  <c r="BC9" i="15"/>
  <c r="BF12" i="43"/>
  <c r="BI90" i="15"/>
  <c r="BC119" i="15"/>
  <c r="BC120" i="15" s="1"/>
  <c r="BD86" i="43" l="1"/>
  <c r="BF13" i="43"/>
  <c r="BI96" i="15"/>
  <c r="BC87" i="43"/>
  <c r="BD13" i="43"/>
  <c r="BD87" i="43" s="1"/>
  <c r="BG96" i="15"/>
  <c r="BF86" i="43"/>
  <c r="BH12" i="43"/>
  <c r="BG12" i="43"/>
  <c r="BH90" i="15"/>
  <c r="BJ90" i="15"/>
  <c r="BC131" i="15"/>
  <c r="BC15" i="43"/>
  <c r="BI12" i="43"/>
  <c r="BL90" i="15"/>
  <c r="BE86" i="43"/>
  <c r="BC123" i="15"/>
  <c r="BC124" i="15" s="1"/>
  <c r="BC106" i="15"/>
  <c r="BC14" i="43"/>
  <c r="BD102" i="15"/>
  <c r="BD108" i="15" s="1"/>
  <c r="BF102" i="15"/>
  <c r="BD178" i="15" l="1"/>
  <c r="BD185" i="15" s="1"/>
  <c r="BD8" i="15" s="1"/>
  <c r="BD109" i="15"/>
  <c r="BD139" i="15"/>
  <c r="BG122" i="15"/>
  <c r="BH122" i="15" s="1"/>
  <c r="BD112" i="15"/>
  <c r="BD119" i="15"/>
  <c r="BD120" i="15" s="1"/>
  <c r="BD127" i="15"/>
  <c r="BD128" i="15" s="1"/>
  <c r="BF14" i="43"/>
  <c r="BI102" i="15"/>
  <c r="BF108" i="15"/>
  <c r="BC97" i="43"/>
  <c r="BC89" i="43"/>
  <c r="BC19" i="43"/>
  <c r="BC88" i="43"/>
  <c r="BE14" i="43"/>
  <c r="BE88" i="43" s="1"/>
  <c r="BL12" i="43"/>
  <c r="BO90" i="15"/>
  <c r="BC135" i="15"/>
  <c r="BC134" i="15" s="1"/>
  <c r="BH94" i="15"/>
  <c r="BH93" i="15" s="1"/>
  <c r="BE13" i="43"/>
  <c r="BJ12" i="43"/>
  <c r="BK90" i="15"/>
  <c r="BM90" i="15"/>
  <c r="BH96" i="15"/>
  <c r="BG13" i="43"/>
  <c r="BG87" i="43" s="1"/>
  <c r="BJ96" i="15"/>
  <c r="BF87" i="43"/>
  <c r="BD14" i="43"/>
  <c r="BD88" i="43" s="1"/>
  <c r="BG102" i="15"/>
  <c r="BH86" i="43"/>
  <c r="BI86" i="43"/>
  <c r="BK12" i="43"/>
  <c r="BG86" i="43"/>
  <c r="BI13" i="43"/>
  <c r="BL96" i="15"/>
  <c r="BD15" i="43"/>
  <c r="BL13" i="43" l="1"/>
  <c r="BO96" i="15"/>
  <c r="BD89" i="43"/>
  <c r="BD97" i="43"/>
  <c r="BD19" i="43"/>
  <c r="BK86" i="43"/>
  <c r="BM12" i="43"/>
  <c r="BN90" i="15"/>
  <c r="BP90" i="15"/>
  <c r="BJ86" i="43"/>
  <c r="BO12" i="43"/>
  <c r="BR90" i="15"/>
  <c r="BC101" i="43"/>
  <c r="BC103" i="43"/>
  <c r="BC21" i="43"/>
  <c r="BC93" i="43"/>
  <c r="BC104" i="43"/>
  <c r="BC250" i="43"/>
  <c r="BF250" i="43" s="1"/>
  <c r="BI250" i="43" s="1"/>
  <c r="BL250" i="43" s="1"/>
  <c r="BO250" i="43" s="1"/>
  <c r="BR250" i="43" s="1"/>
  <c r="BU250" i="43" s="1"/>
  <c r="BX250" i="43" s="1"/>
  <c r="CA250" i="43" s="1"/>
  <c r="BC252" i="43"/>
  <c r="BF252" i="43" s="1"/>
  <c r="BI252" i="43" s="1"/>
  <c r="BL252" i="43" s="1"/>
  <c r="BO252" i="43" s="1"/>
  <c r="BR252" i="43" s="1"/>
  <c r="BU252" i="43" s="1"/>
  <c r="BX252" i="43" s="1"/>
  <c r="CA252" i="43" s="1"/>
  <c r="BC251" i="43"/>
  <c r="BF251" i="43" s="1"/>
  <c r="BI251" i="43" s="1"/>
  <c r="BL251" i="43" s="1"/>
  <c r="BO251" i="43" s="1"/>
  <c r="BR251" i="43" s="1"/>
  <c r="BU251" i="43" s="1"/>
  <c r="BX251" i="43" s="1"/>
  <c r="CA251" i="43" s="1"/>
  <c r="BI14" i="43"/>
  <c r="BL102" i="15"/>
  <c r="BI108" i="15"/>
  <c r="BD123" i="15"/>
  <c r="BE120" i="15"/>
  <c r="BL86" i="43"/>
  <c r="BE112" i="15"/>
  <c r="BD113" i="15"/>
  <c r="BD148" i="15"/>
  <c r="BD115" i="15"/>
  <c r="BH13" i="43"/>
  <c r="BH100" i="15"/>
  <c r="BH99" i="15" s="1"/>
  <c r="BE87" i="43"/>
  <c r="BE15" i="43"/>
  <c r="BD9" i="15"/>
  <c r="BD12" i="15"/>
  <c r="BD17" i="15"/>
  <c r="BH14" i="43"/>
  <c r="BH88" i="43" s="1"/>
  <c r="BF88" i="43"/>
  <c r="BG14" i="43"/>
  <c r="BH102" i="15"/>
  <c r="BJ102" i="15"/>
  <c r="BI87" i="43"/>
  <c r="BG108" i="15"/>
  <c r="BJ13" i="43"/>
  <c r="BJ87" i="43" s="1"/>
  <c r="BK96" i="15"/>
  <c r="BM96" i="15"/>
  <c r="BK94" i="15"/>
  <c r="BK93" i="15" s="1"/>
  <c r="BF178" i="15"/>
  <c r="BF109" i="15"/>
  <c r="BF111" i="15" s="1"/>
  <c r="BF119" i="15"/>
  <c r="BF120" i="15" s="1"/>
  <c r="BF127" i="15"/>
  <c r="BF128" i="15" s="1"/>
  <c r="BF130" i="15" s="1"/>
  <c r="BE128" i="15"/>
  <c r="BD130" i="15"/>
  <c r="BF15" i="43"/>
  <c r="BF184" i="15" l="1"/>
  <c r="BF180" i="15"/>
  <c r="BI180" i="15" s="1"/>
  <c r="BM13" i="43"/>
  <c r="BM87" i="43" s="1"/>
  <c r="BN96" i="15"/>
  <c r="BP96" i="15"/>
  <c r="BI109" i="15"/>
  <c r="BI178" i="15"/>
  <c r="BI119" i="15"/>
  <c r="BI120" i="15" s="1"/>
  <c r="BI127" i="15"/>
  <c r="BI128" i="15" s="1"/>
  <c r="BI130" i="15" s="1"/>
  <c r="BQ90" i="15"/>
  <c r="BP12" i="43"/>
  <c r="BS90" i="15"/>
  <c r="BN13" i="43"/>
  <c r="BL87" i="43"/>
  <c r="BF29" i="43"/>
  <c r="BF31" i="43" s="1"/>
  <c r="BF179" i="15"/>
  <c r="BF185" i="15" s="1"/>
  <c r="BF8" i="15" s="1"/>
  <c r="BF9" i="15" s="1"/>
  <c r="BI111" i="15"/>
  <c r="BE89" i="43"/>
  <c r="BE97" i="43"/>
  <c r="BE19" i="43"/>
  <c r="BE123" i="15"/>
  <c r="BD124" i="15"/>
  <c r="BO86" i="43"/>
  <c r="BQ12" i="43"/>
  <c r="BN94" i="15"/>
  <c r="BN93" i="15" s="1"/>
  <c r="BO127" i="15"/>
  <c r="BO13" i="43"/>
  <c r="BR96" i="15"/>
  <c r="BJ14" i="43"/>
  <c r="BJ88" i="43" s="1"/>
  <c r="BK102" i="15"/>
  <c r="BM102" i="15"/>
  <c r="BJ108" i="15"/>
  <c r="BM86" i="43"/>
  <c r="BF123" i="15"/>
  <c r="BF124" i="15" s="1"/>
  <c r="BH120" i="15"/>
  <c r="BK100" i="15"/>
  <c r="BK99" i="15" s="1"/>
  <c r="BH106" i="15"/>
  <c r="BH105" i="15" s="1"/>
  <c r="BE113" i="15"/>
  <c r="BE148" i="15"/>
  <c r="BE115" i="15"/>
  <c r="BL14" i="43"/>
  <c r="BL15" i="43" s="1"/>
  <c r="BO102" i="15"/>
  <c r="BC25" i="43"/>
  <c r="BC254" i="43"/>
  <c r="BC256" i="43"/>
  <c r="BC255" i="43"/>
  <c r="BC264" i="43"/>
  <c r="BU90" i="15"/>
  <c r="BR12" i="43"/>
  <c r="BM108" i="15"/>
  <c r="BM127" i="15" s="1"/>
  <c r="BF131" i="15"/>
  <c r="BF135" i="15"/>
  <c r="BF134" i="15" s="1"/>
  <c r="BD101" i="43"/>
  <c r="BD104" i="43"/>
  <c r="BD103" i="43"/>
  <c r="BD93" i="43"/>
  <c r="BD250" i="43"/>
  <c r="BG250" i="43" s="1"/>
  <c r="BJ250" i="43" s="1"/>
  <c r="BM250" i="43" s="1"/>
  <c r="BP250" i="43" s="1"/>
  <c r="BS250" i="43" s="1"/>
  <c r="BV250" i="43" s="1"/>
  <c r="BY250" i="43" s="1"/>
  <c r="CB250" i="43" s="1"/>
  <c r="BD251" i="43"/>
  <c r="BG251" i="43" s="1"/>
  <c r="BJ251" i="43" s="1"/>
  <c r="BM251" i="43" s="1"/>
  <c r="BP251" i="43" s="1"/>
  <c r="BS251" i="43" s="1"/>
  <c r="BV251" i="43" s="1"/>
  <c r="BY251" i="43" s="1"/>
  <c r="CB251" i="43" s="1"/>
  <c r="BD252" i="43"/>
  <c r="BG252" i="43" s="1"/>
  <c r="BJ252" i="43" s="1"/>
  <c r="BM252" i="43" s="1"/>
  <c r="BP252" i="43" s="1"/>
  <c r="BS252" i="43" s="1"/>
  <c r="BV252" i="43" s="1"/>
  <c r="BY252" i="43" s="1"/>
  <c r="CB252" i="43" s="1"/>
  <c r="BD21" i="43"/>
  <c r="BF89" i="43"/>
  <c r="BF19" i="43"/>
  <c r="BH108" i="15"/>
  <c r="BG109" i="15"/>
  <c r="BG111" i="15" s="1"/>
  <c r="BG178" i="15"/>
  <c r="BG112" i="15"/>
  <c r="BG119" i="15"/>
  <c r="BG120" i="15" s="1"/>
  <c r="BG123" i="15" s="1"/>
  <c r="BG127" i="15"/>
  <c r="BG128" i="15" s="1"/>
  <c r="BH87" i="43"/>
  <c r="BH15" i="43"/>
  <c r="BE130" i="15"/>
  <c r="BD135" i="15"/>
  <c r="BD131" i="15"/>
  <c r="BF112" i="15"/>
  <c r="BK13" i="43"/>
  <c r="BG88" i="43"/>
  <c r="BG15" i="43"/>
  <c r="BL108" i="15"/>
  <c r="BN12" i="43"/>
  <c r="BK14" i="43"/>
  <c r="BK88" i="43" s="1"/>
  <c r="BI88" i="43"/>
  <c r="BI15" i="43"/>
  <c r="BO108" i="15"/>
  <c r="BJ15" i="43"/>
  <c r="BL89" i="43" l="1"/>
  <c r="BL19" i="43"/>
  <c r="BG113" i="15"/>
  <c r="BH112" i="15"/>
  <c r="BH113" i="15" s="1"/>
  <c r="BM14" i="43"/>
  <c r="BN102" i="15"/>
  <c r="BP102" i="15"/>
  <c r="BI184" i="15"/>
  <c r="BF113" i="15"/>
  <c r="BF114" i="15"/>
  <c r="BM109" i="15"/>
  <c r="BM178" i="15"/>
  <c r="BN108" i="15"/>
  <c r="BM119" i="15"/>
  <c r="BM120" i="15" s="1"/>
  <c r="BJ109" i="15"/>
  <c r="BK108" i="15"/>
  <c r="BJ178" i="15"/>
  <c r="BJ112" i="15"/>
  <c r="BM128" i="15"/>
  <c r="BJ119" i="15"/>
  <c r="BJ120" i="15" s="1"/>
  <c r="BJ127" i="15"/>
  <c r="BJ128" i="15" s="1"/>
  <c r="BI131" i="15"/>
  <c r="BN100" i="15"/>
  <c r="BN99" i="15" s="1"/>
  <c r="BO178" i="15"/>
  <c r="BO109" i="15"/>
  <c r="BO119" i="15"/>
  <c r="BO120" i="15" s="1"/>
  <c r="BN86" i="43"/>
  <c r="BH178" i="15"/>
  <c r="BH109" i="15"/>
  <c r="BD264" i="43"/>
  <c r="BD254" i="43"/>
  <c r="BD256" i="43"/>
  <c r="BD255" i="43"/>
  <c r="BR86" i="43"/>
  <c r="BT12" i="43"/>
  <c r="BI89" i="43"/>
  <c r="BI19" i="43"/>
  <c r="BK87" i="43"/>
  <c r="BK15" i="43"/>
  <c r="BE135" i="15"/>
  <c r="BD134" i="15"/>
  <c r="BH128" i="15"/>
  <c r="BG130" i="15"/>
  <c r="BO14" i="43"/>
  <c r="BR102" i="15"/>
  <c r="BK106" i="15"/>
  <c r="BK105" i="15" s="1"/>
  <c r="BR13" i="43"/>
  <c r="BU96" i="15"/>
  <c r="BQ86" i="43"/>
  <c r="BI179" i="15"/>
  <c r="BI185" i="15" s="1"/>
  <c r="BI8" i="15" s="1"/>
  <c r="BI9" i="15" s="1"/>
  <c r="BI29" i="43"/>
  <c r="BI31" i="43" s="1"/>
  <c r="BN87" i="43"/>
  <c r="BP86" i="43"/>
  <c r="BI112" i="15"/>
  <c r="BJ89" i="43"/>
  <c r="BJ19" i="43"/>
  <c r="BG89" i="43"/>
  <c r="BG19" i="43"/>
  <c r="BH89" i="43"/>
  <c r="BH19" i="43"/>
  <c r="BG179" i="15"/>
  <c r="BH111" i="15"/>
  <c r="BG29" i="43"/>
  <c r="BG31" i="43" s="1"/>
  <c r="BJ111" i="15"/>
  <c r="BL109" i="15"/>
  <c r="BL111" i="15" s="1"/>
  <c r="BO128" i="15"/>
  <c r="BO130" i="15" s="1"/>
  <c r="BL178" i="15"/>
  <c r="BL119" i="15"/>
  <c r="BL120" i="15" s="1"/>
  <c r="BL127" i="15"/>
  <c r="BL128" i="15" s="1"/>
  <c r="BL130" i="15" s="1"/>
  <c r="BG124" i="15"/>
  <c r="BH123" i="15"/>
  <c r="BG185" i="15"/>
  <c r="BG8" i="15" s="1"/>
  <c r="BG9" i="15" s="1"/>
  <c r="BG184" i="15"/>
  <c r="BG180" i="15"/>
  <c r="BF93" i="43"/>
  <c r="BF259" i="43"/>
  <c r="BF201" i="43" s="1"/>
  <c r="BF260" i="43"/>
  <c r="BF220" i="43" s="1"/>
  <c r="BF225" i="43" s="1"/>
  <c r="BF258" i="43"/>
  <c r="BF21" i="43"/>
  <c r="BX90" i="15"/>
  <c r="BU12" i="43"/>
  <c r="BL88" i="43"/>
  <c r="BO87" i="43"/>
  <c r="BE104" i="43"/>
  <c r="BE251" i="43"/>
  <c r="R51" i="45"/>
  <c r="BE252" i="43"/>
  <c r="BE101" i="43"/>
  <c r="BE250" i="43"/>
  <c r="BE103" i="43"/>
  <c r="BE93" i="43"/>
  <c r="BE21" i="43"/>
  <c r="BS12" i="43"/>
  <c r="BT90" i="15"/>
  <c r="BV90" i="15"/>
  <c r="BQ94" i="15"/>
  <c r="BQ93" i="15" s="1"/>
  <c r="BQ96" i="15"/>
  <c r="BP13" i="43"/>
  <c r="BP87" i="43" s="1"/>
  <c r="BS96" i="15"/>
  <c r="BL29" i="43" l="1"/>
  <c r="BL31" i="43" s="1"/>
  <c r="BL179" i="15"/>
  <c r="BO111" i="15"/>
  <c r="BL112" i="15"/>
  <c r="BN120" i="15"/>
  <c r="BH29" i="43"/>
  <c r="BH31" i="43" s="1"/>
  <c r="BH179" i="15"/>
  <c r="BR87" i="43"/>
  <c r="BG131" i="15"/>
  <c r="BH130" i="15"/>
  <c r="BG135" i="15"/>
  <c r="BK89" i="43"/>
  <c r="BK19" i="43"/>
  <c r="BK128" i="15"/>
  <c r="BJ130" i="15"/>
  <c r="BK112" i="15"/>
  <c r="BK113" i="15" s="1"/>
  <c r="BJ113" i="15"/>
  <c r="BF138" i="15"/>
  <c r="BF139" i="15" s="1"/>
  <c r="BF116" i="15"/>
  <c r="BI122" i="15"/>
  <c r="BI123" i="15" s="1"/>
  <c r="BN106" i="15"/>
  <c r="BN105" i="15" s="1"/>
  <c r="BQ100" i="15"/>
  <c r="BQ99" i="15" s="1"/>
  <c r="BT94" i="15"/>
  <c r="BT93" i="15" s="1"/>
  <c r="BQ13" i="43"/>
  <c r="BU86" i="43"/>
  <c r="BF256" i="43"/>
  <c r="BF255" i="43"/>
  <c r="BG258" i="43"/>
  <c r="BG259" i="43"/>
  <c r="BG21" i="43"/>
  <c r="BG93" i="43"/>
  <c r="BG260" i="43"/>
  <c r="BI113" i="15"/>
  <c r="BT86" i="43"/>
  <c r="BN109" i="15"/>
  <c r="BN178" i="15"/>
  <c r="BK120" i="15"/>
  <c r="BM88" i="43"/>
  <c r="BM15" i="43"/>
  <c r="BV12" i="43"/>
  <c r="BW12" i="43" s="1"/>
  <c r="BW90" i="15"/>
  <c r="BY90" i="15"/>
  <c r="BS86" i="43"/>
  <c r="BX12" i="43"/>
  <c r="CA90" i="15"/>
  <c r="BF202" i="43"/>
  <c r="BF254" i="43" s="1"/>
  <c r="BF261" i="43"/>
  <c r="BH180" i="15"/>
  <c r="BJ180" i="15"/>
  <c r="BJ179" i="15"/>
  <c r="BJ185" i="15" s="1"/>
  <c r="BJ8" i="15" s="1"/>
  <c r="BJ9" i="15" s="1"/>
  <c r="BK111" i="15"/>
  <c r="BJ29" i="43"/>
  <c r="BJ31" i="43" s="1"/>
  <c r="BM111" i="15"/>
  <c r="BH93" i="43"/>
  <c r="BH21" i="43"/>
  <c r="BR14" i="43"/>
  <c r="BU102" i="15"/>
  <c r="BR108" i="15"/>
  <c r="BI93" i="43"/>
  <c r="BI260" i="43"/>
  <c r="BI220" i="43" s="1"/>
  <c r="BI225" i="43" s="1"/>
  <c r="BI259" i="43"/>
  <c r="BI201" i="43" s="1"/>
  <c r="BI258" i="43"/>
  <c r="BI21" i="43"/>
  <c r="BN128" i="15"/>
  <c r="BM130" i="15"/>
  <c r="BK109" i="15"/>
  <c r="BK178" i="15"/>
  <c r="BL184" i="15"/>
  <c r="BO184" i="15" s="1"/>
  <c r="BL93" i="43"/>
  <c r="BL259" i="43"/>
  <c r="BL201" i="43" s="1"/>
  <c r="BL260" i="43"/>
  <c r="BL220" i="43" s="1"/>
  <c r="BL225" i="43" s="1"/>
  <c r="BL21" i="43"/>
  <c r="BL258" i="43"/>
  <c r="BS13" i="43"/>
  <c r="BS87" i="43" s="1"/>
  <c r="BT96" i="15"/>
  <c r="BV96" i="15"/>
  <c r="BE254" i="43"/>
  <c r="BE256" i="43"/>
  <c r="BE264" i="43"/>
  <c r="BE255" i="43"/>
  <c r="BE25" i="43"/>
  <c r="BN14" i="43"/>
  <c r="BH184" i="15"/>
  <c r="BH185" i="15" s="1"/>
  <c r="BH8" i="15" s="1"/>
  <c r="BH9" i="15" s="1"/>
  <c r="BJ184" i="15"/>
  <c r="BL131" i="15"/>
  <c r="BO131" i="15"/>
  <c r="BJ259" i="43"/>
  <c r="BJ260" i="43"/>
  <c r="BJ93" i="43"/>
  <c r="BJ258" i="43"/>
  <c r="BJ21" i="43"/>
  <c r="BX96" i="15"/>
  <c r="BU13" i="43"/>
  <c r="BO88" i="43"/>
  <c r="BL180" i="15"/>
  <c r="BO180" i="15" s="1"/>
  <c r="BP14" i="43"/>
  <c r="BP88" i="43" s="1"/>
  <c r="BQ102" i="15"/>
  <c r="BS102" i="15"/>
  <c r="BP108" i="15"/>
  <c r="BO15" i="43"/>
  <c r="BW86" i="43" l="1"/>
  <c r="BR88" i="43"/>
  <c r="BO29" i="43"/>
  <c r="BO31" i="43" s="1"/>
  <c r="BO179" i="15"/>
  <c r="BO185" i="15" s="1"/>
  <c r="BO8" i="15" s="1"/>
  <c r="BO112" i="15"/>
  <c r="BO89" i="43"/>
  <c r="BO19" i="43"/>
  <c r="BU87" i="43"/>
  <c r="BJ202" i="43"/>
  <c r="BK202" i="43" s="1"/>
  <c r="I48" i="45" s="1"/>
  <c r="BK258" i="43"/>
  <c r="BJ261" i="43"/>
  <c r="BN88" i="43"/>
  <c r="BN15" i="43"/>
  <c r="BV13" i="43"/>
  <c r="BV87" i="43" s="1"/>
  <c r="BW96" i="15"/>
  <c r="BY96" i="15"/>
  <c r="BL202" i="43"/>
  <c r="BL261" i="43"/>
  <c r="BP15" i="43"/>
  <c r="BM179" i="15"/>
  <c r="BM29" i="43"/>
  <c r="BM31" i="43" s="1"/>
  <c r="BN111" i="15"/>
  <c r="BM112" i="15"/>
  <c r="BL185" i="15"/>
  <c r="BL8" i="15" s="1"/>
  <c r="BL9" i="15" s="1"/>
  <c r="BX86" i="43"/>
  <c r="BH260" i="43"/>
  <c r="BH252" i="43" s="1"/>
  <c r="BG220" i="43"/>
  <c r="BH258" i="43"/>
  <c r="BG202" i="43"/>
  <c r="BH202" i="43" s="1"/>
  <c r="H48" i="45" s="1"/>
  <c r="BG261" i="43"/>
  <c r="BQ87" i="43"/>
  <c r="BI124" i="15"/>
  <c r="BI135" i="15"/>
  <c r="BI134" i="15" s="1"/>
  <c r="BI115" i="15" s="1"/>
  <c r="BR15" i="43"/>
  <c r="BH135" i="15"/>
  <c r="BG134" i="15"/>
  <c r="BT13" i="43"/>
  <c r="BQ106" i="15"/>
  <c r="BQ105" i="15" s="1"/>
  <c r="BK259" i="43"/>
  <c r="BK251" i="43" s="1"/>
  <c r="BJ201" i="43"/>
  <c r="BK201" i="43" s="1"/>
  <c r="I47" i="45" s="1"/>
  <c r="BZ90" i="15"/>
  <c r="BY12" i="43"/>
  <c r="CB90" i="15"/>
  <c r="BG201" i="43"/>
  <c r="BH201" i="43" s="1"/>
  <c r="H47" i="45" s="1"/>
  <c r="BH259" i="43"/>
  <c r="BH251" i="43" s="1"/>
  <c r="BX13" i="43"/>
  <c r="CA96" i="15"/>
  <c r="BL255" i="43"/>
  <c r="BN130" i="15"/>
  <c r="BM131" i="15"/>
  <c r="BI202" i="43"/>
  <c r="BJ254" i="43" s="1"/>
  <c r="BI261" i="43"/>
  <c r="BR109" i="15"/>
  <c r="BR111" i="15" s="1"/>
  <c r="BR178" i="15"/>
  <c r="BR119" i="15"/>
  <c r="BR120" i="15" s="1"/>
  <c r="BR127" i="15"/>
  <c r="BR128" i="15" s="1"/>
  <c r="BR130" i="15" s="1"/>
  <c r="BK180" i="15"/>
  <c r="BM180" i="15"/>
  <c r="CA12" i="43"/>
  <c r="BS15" i="43"/>
  <c r="BM89" i="43"/>
  <c r="BM19" i="43"/>
  <c r="BF144" i="15"/>
  <c r="BF143" i="15"/>
  <c r="BF142" i="15"/>
  <c r="BK93" i="43"/>
  <c r="BK21" i="43"/>
  <c r="BF264" i="43"/>
  <c r="BF263" i="43"/>
  <c r="BF126" i="43" s="1"/>
  <c r="BV86" i="43"/>
  <c r="BP109" i="15"/>
  <c r="BP111" i="15" s="1"/>
  <c r="BP178" i="15"/>
  <c r="BQ108" i="15"/>
  <c r="BP119" i="15"/>
  <c r="BP120" i="15" s="1"/>
  <c r="BP127" i="15"/>
  <c r="BP128" i="15" s="1"/>
  <c r="BD25" i="43"/>
  <c r="BD26" i="43" s="1"/>
  <c r="BF25" i="43"/>
  <c r="BT100" i="15"/>
  <c r="BT99" i="15" s="1"/>
  <c r="BS14" i="43"/>
  <c r="BS88" i="43" s="1"/>
  <c r="BT102" i="15"/>
  <c r="BV102" i="15"/>
  <c r="BV108" i="15" s="1"/>
  <c r="BQ14" i="43"/>
  <c r="BQ88" i="43" s="1"/>
  <c r="BK260" i="43"/>
  <c r="BK252" i="43" s="1"/>
  <c r="BJ220" i="43"/>
  <c r="BK184" i="15"/>
  <c r="BM184" i="15"/>
  <c r="BS108" i="15"/>
  <c r="BU14" i="43"/>
  <c r="BX102" i="15"/>
  <c r="BU108" i="15"/>
  <c r="BK179" i="15"/>
  <c r="BK185" i="15" s="1"/>
  <c r="BK8" i="15" s="1"/>
  <c r="BK9" i="15" s="1"/>
  <c r="BK29" i="43"/>
  <c r="BK31" i="43" s="1"/>
  <c r="BX108" i="15"/>
  <c r="BX127" i="15" s="1"/>
  <c r="BW94" i="15"/>
  <c r="BW93" i="15" s="1"/>
  <c r="BG256" i="43"/>
  <c r="BU15" i="43"/>
  <c r="BK130" i="15"/>
  <c r="BJ131" i="15"/>
  <c r="BL113" i="15"/>
  <c r="BV109" i="15" l="1"/>
  <c r="BV178" i="15"/>
  <c r="BW108" i="15"/>
  <c r="BV119" i="15"/>
  <c r="BV120" i="15" s="1"/>
  <c r="BV127" i="15"/>
  <c r="BR179" i="15"/>
  <c r="BR29" i="43"/>
  <c r="BR31" i="43" s="1"/>
  <c r="BR112" i="15"/>
  <c r="BP179" i="15"/>
  <c r="BP185" i="15" s="1"/>
  <c r="BP8" i="15" s="1"/>
  <c r="BP9" i="15" s="1"/>
  <c r="BQ111" i="15"/>
  <c r="BP29" i="43"/>
  <c r="BP31" i="43" s="1"/>
  <c r="BP112" i="15"/>
  <c r="BU89" i="43"/>
  <c r="BU19" i="43"/>
  <c r="BX87" i="43"/>
  <c r="BG114" i="15"/>
  <c r="BL264" i="43"/>
  <c r="BH255" i="43"/>
  <c r="BU88" i="43"/>
  <c r="BJ225" i="43"/>
  <c r="BK220" i="43"/>
  <c r="BT106" i="15"/>
  <c r="BT105" i="15" s="1"/>
  <c r="BD33" i="43"/>
  <c r="BD94" i="43"/>
  <c r="BD35" i="43"/>
  <c r="BE35" i="43" s="1"/>
  <c r="BD52" i="43"/>
  <c r="BD100" i="43" s="1"/>
  <c r="BR185" i="15"/>
  <c r="BR8" i="15" s="1"/>
  <c r="BR9" i="15" s="1"/>
  <c r="BI264" i="43"/>
  <c r="CB12" i="43"/>
  <c r="CC90" i="15"/>
  <c r="BZ94" i="15"/>
  <c r="BZ93" i="15" s="1"/>
  <c r="BQ15" i="43"/>
  <c r="BH250" i="43"/>
  <c r="BH261" i="43"/>
  <c r="BI254" i="43"/>
  <c r="BW13" i="43"/>
  <c r="BO113" i="15"/>
  <c r="BT14" i="43"/>
  <c r="BT88" i="43" s="1"/>
  <c r="BJ255" i="43"/>
  <c r="BX109" i="15"/>
  <c r="BX178" i="15"/>
  <c r="BX119" i="15"/>
  <c r="BX120" i="15" s="1"/>
  <c r="CA102" i="15"/>
  <c r="BX14" i="43"/>
  <c r="BV14" i="43"/>
  <c r="BW14" i="43" s="1"/>
  <c r="BW88" i="43" s="1"/>
  <c r="BW102" i="15"/>
  <c r="BY102" i="15"/>
  <c r="BK254" i="43"/>
  <c r="BK255" i="43"/>
  <c r="BN180" i="15"/>
  <c r="BP180" i="15"/>
  <c r="BG255" i="43"/>
  <c r="BH254" i="43"/>
  <c r="BS109" i="15"/>
  <c r="BS111" i="15" s="1"/>
  <c r="BS178" i="15"/>
  <c r="BT108" i="15"/>
  <c r="BV128" i="15"/>
  <c r="BS119" i="15"/>
  <c r="BS120" i="15" s="1"/>
  <c r="BS127" i="15"/>
  <c r="BS128" i="15" s="1"/>
  <c r="BG25" i="43"/>
  <c r="BG26" i="43" s="1"/>
  <c r="BH25" i="43"/>
  <c r="BF26" i="43"/>
  <c r="BQ128" i="15"/>
  <c r="BP130" i="15"/>
  <c r="BF145" i="15"/>
  <c r="BM258" i="43"/>
  <c r="BM260" i="43"/>
  <c r="BM93" i="43"/>
  <c r="BM259" i="43"/>
  <c r="BM21" i="43"/>
  <c r="CA86" i="43"/>
  <c r="CC12" i="43"/>
  <c r="BR131" i="15"/>
  <c r="BR184" i="15"/>
  <c r="BL254" i="43"/>
  <c r="BR180" i="15"/>
  <c r="BR89" i="43"/>
  <c r="BR19" i="43"/>
  <c r="BG225" i="43"/>
  <c r="BH220" i="43"/>
  <c r="BK256" i="43" s="1"/>
  <c r="BX15" i="43"/>
  <c r="BM113" i="15"/>
  <c r="BN112" i="15"/>
  <c r="BN113" i="15" s="1"/>
  <c r="BM185" i="15"/>
  <c r="BM8" i="15" s="1"/>
  <c r="BM9" i="15" s="1"/>
  <c r="BY13" i="43"/>
  <c r="BY87" i="43" s="1"/>
  <c r="CB96" i="15"/>
  <c r="BZ96" i="15"/>
  <c r="BN89" i="43"/>
  <c r="BN19" i="43"/>
  <c r="BJ264" i="43"/>
  <c r="BJ263" i="43"/>
  <c r="BJ126" i="43" s="1"/>
  <c r="BJ256" i="43"/>
  <c r="BS89" i="43"/>
  <c r="BS19" i="43"/>
  <c r="BY86" i="43"/>
  <c r="BN179" i="15"/>
  <c r="BN29" i="43"/>
  <c r="BN31" i="43" s="1"/>
  <c r="BG254" i="43"/>
  <c r="BU109" i="15"/>
  <c r="BU111" i="15" s="1"/>
  <c r="BX128" i="15"/>
  <c r="BX130" i="15" s="1"/>
  <c r="BU178" i="15"/>
  <c r="BU119" i="15"/>
  <c r="BU120" i="15" s="1"/>
  <c r="BU127" i="15"/>
  <c r="BU128" i="15" s="1"/>
  <c r="BU130" i="15" s="1"/>
  <c r="BN184" i="15"/>
  <c r="BP184" i="15"/>
  <c r="BQ120" i="15"/>
  <c r="BQ109" i="15"/>
  <c r="BQ178" i="15"/>
  <c r="BT120" i="15"/>
  <c r="CA13" i="43"/>
  <c r="BT87" i="43"/>
  <c r="BT15" i="43"/>
  <c r="BI114" i="15"/>
  <c r="BG263" i="43"/>
  <c r="BG126" i="43" s="1"/>
  <c r="BH126" i="43" s="1"/>
  <c r="BG264" i="43"/>
  <c r="BZ12" i="43"/>
  <c r="BP89" i="43"/>
  <c r="BP19" i="43"/>
  <c r="BI255" i="43"/>
  <c r="BW100" i="15"/>
  <c r="BW99" i="15" s="1"/>
  <c r="BK250" i="43"/>
  <c r="BK261" i="43"/>
  <c r="BO93" i="43"/>
  <c r="BO259" i="43"/>
  <c r="BO201" i="43" s="1"/>
  <c r="BO260" i="43"/>
  <c r="BO220" i="43" s="1"/>
  <c r="BO225" i="43" s="1"/>
  <c r="BO21" i="43"/>
  <c r="BO258" i="43"/>
  <c r="BO9" i="15"/>
  <c r="BS29" i="43" l="1"/>
  <c r="BS31" i="43" s="1"/>
  <c r="BS179" i="15"/>
  <c r="BT111" i="15"/>
  <c r="BV111" i="15"/>
  <c r="BS112" i="15"/>
  <c r="BU179" i="15"/>
  <c r="BU29" i="43"/>
  <c r="BU31" i="43" s="1"/>
  <c r="BX111" i="15"/>
  <c r="BU112" i="15"/>
  <c r="H32" i="45"/>
  <c r="F53" i="44"/>
  <c r="BT109" i="15"/>
  <c r="BT178" i="15"/>
  <c r="BH263" i="43"/>
  <c r="BH264" i="43"/>
  <c r="CC94" i="15"/>
  <c r="CC93" i="15" s="1"/>
  <c r="BO261" i="43"/>
  <c r="BO202" i="43"/>
  <c r="BN93" i="43"/>
  <c r="BN21" i="43"/>
  <c r="BX89" i="43"/>
  <c r="BX19" i="43"/>
  <c r="BO254" i="43"/>
  <c r="BK263" i="43"/>
  <c r="BK264" i="43"/>
  <c r="BZ86" i="43"/>
  <c r="BU131" i="15"/>
  <c r="BX131" i="15"/>
  <c r="BS93" i="43"/>
  <c r="BS260" i="43"/>
  <c r="BS258" i="43"/>
  <c r="BS259" i="43"/>
  <c r="BS21" i="43"/>
  <c r="BT89" i="43"/>
  <c r="BT19" i="43"/>
  <c r="BW120" i="15"/>
  <c r="BN185" i="15"/>
  <c r="BN8" i="15" s="1"/>
  <c r="BN9" i="15" s="1"/>
  <c r="BU180" i="15"/>
  <c r="BX180" i="15" s="1"/>
  <c r="BM254" i="43"/>
  <c r="BM202" i="43"/>
  <c r="BN202" i="43" s="1"/>
  <c r="J48" i="45" s="1"/>
  <c r="BM261" i="43"/>
  <c r="BN258" i="43"/>
  <c r="BT128" i="15"/>
  <c r="BS130" i="15"/>
  <c r="BW128" i="15"/>
  <c r="BV130" i="15"/>
  <c r="BY14" i="43"/>
  <c r="CB102" i="15"/>
  <c r="BZ102" i="15"/>
  <c r="BY108" i="15"/>
  <c r="CA14" i="43"/>
  <c r="CA108" i="15"/>
  <c r="BL263" i="43"/>
  <c r="BL126" i="43" s="1"/>
  <c r="BZ13" i="43"/>
  <c r="BZ87" i="43" s="1"/>
  <c r="BQ29" i="43"/>
  <c r="BQ31" i="43" s="1"/>
  <c r="BQ179" i="15"/>
  <c r="BQ185" i="15" s="1"/>
  <c r="BQ8" i="15" s="1"/>
  <c r="BQ9" i="15" s="1"/>
  <c r="BW109" i="15"/>
  <c r="BW178" i="15"/>
  <c r="BR259" i="43"/>
  <c r="BR201" i="43" s="1"/>
  <c r="BR93" i="43"/>
  <c r="BR260" i="43"/>
  <c r="BR220" i="43" s="1"/>
  <c r="BR225" i="43" s="1"/>
  <c r="BR258" i="43"/>
  <c r="BR21" i="43"/>
  <c r="BM201" i="43"/>
  <c r="BN201" i="43" s="1"/>
  <c r="J47" i="45" s="1"/>
  <c r="BN259" i="43"/>
  <c r="BN251" i="43" s="1"/>
  <c r="BF94" i="43"/>
  <c r="BF33" i="43"/>
  <c r="BQ112" i="15"/>
  <c r="BQ113" i="15" s="1"/>
  <c r="BP113" i="15"/>
  <c r="BI138" i="15"/>
  <c r="BI139" i="15" s="1"/>
  <c r="BI116" i="15"/>
  <c r="BL122" i="15"/>
  <c r="BL123" i="15" s="1"/>
  <c r="BU184" i="15"/>
  <c r="BX184" i="15" s="1"/>
  <c r="CC86" i="43"/>
  <c r="BF108" i="43"/>
  <c r="BF56" i="43"/>
  <c r="BF147" i="15"/>
  <c r="BI25" i="43"/>
  <c r="BH26" i="43"/>
  <c r="BV88" i="43"/>
  <c r="BV15" i="43"/>
  <c r="CB86" i="43"/>
  <c r="I58" i="45"/>
  <c r="I63" i="45" s="1"/>
  <c r="BK225" i="43"/>
  <c r="BL256" i="43"/>
  <c r="BG138" i="15"/>
  <c r="BH114" i="15"/>
  <c r="BG116" i="15"/>
  <c r="BJ122" i="15"/>
  <c r="BR113" i="15"/>
  <c r="BP93" i="43"/>
  <c r="BP259" i="43"/>
  <c r="BP260" i="43"/>
  <c r="BP21" i="43"/>
  <c r="BP258" i="43"/>
  <c r="BQ184" i="15"/>
  <c r="BS184" i="15"/>
  <c r="BQ180" i="15"/>
  <c r="BS180" i="15"/>
  <c r="BW106" i="15"/>
  <c r="BW105" i="15" s="1"/>
  <c r="CA87" i="43"/>
  <c r="BZ100" i="15"/>
  <c r="BZ99" i="15" s="1"/>
  <c r="CB127" i="15"/>
  <c r="CC96" i="15"/>
  <c r="CB13" i="43"/>
  <c r="CB87" i="43" s="1"/>
  <c r="BH225" i="43"/>
  <c r="H58" i="45"/>
  <c r="H63" i="45" s="1"/>
  <c r="BI256" i="43"/>
  <c r="BH256" i="43"/>
  <c r="BN260" i="43"/>
  <c r="BN252" i="43" s="1"/>
  <c r="BM220" i="43"/>
  <c r="BP131" i="15"/>
  <c r="BQ130" i="15"/>
  <c r="BG33" i="43"/>
  <c r="BG94" i="43"/>
  <c r="BX88" i="43"/>
  <c r="BZ14" i="43"/>
  <c r="BZ88" i="43" s="1"/>
  <c r="BW87" i="43"/>
  <c r="BW15" i="43"/>
  <c r="BQ89" i="43"/>
  <c r="BQ19" i="43"/>
  <c r="CB108" i="15"/>
  <c r="BI263" i="43"/>
  <c r="BI126" i="43" s="1"/>
  <c r="BK126" i="43" s="1"/>
  <c r="BU93" i="43"/>
  <c r="BU259" i="43"/>
  <c r="BU201" i="43" s="1"/>
  <c r="BU21" i="43"/>
  <c r="BU260" i="43"/>
  <c r="BU220" i="43" s="1"/>
  <c r="BU225" i="43" s="1"/>
  <c r="BU258" i="43"/>
  <c r="BT184" i="15" l="1"/>
  <c r="BV184" i="15"/>
  <c r="BS185" i="15"/>
  <c r="BS8" i="15" s="1"/>
  <c r="BS9" i="15" s="1"/>
  <c r="BU202" i="43"/>
  <c r="BU254" i="43" s="1"/>
  <c r="BU261" i="43"/>
  <c r="BQ93" i="43"/>
  <c r="BQ21" i="43"/>
  <c r="CC100" i="15"/>
  <c r="CC99" i="15" s="1"/>
  <c r="BT180" i="15"/>
  <c r="BV180" i="15"/>
  <c r="BP201" i="43"/>
  <c r="BQ201" i="43" s="1"/>
  <c r="BQ259" i="43"/>
  <c r="BQ251" i="43" s="1"/>
  <c r="BK122" i="15"/>
  <c r="BJ123" i="15"/>
  <c r="H7" i="45"/>
  <c r="BH33" i="43"/>
  <c r="BH94" i="43"/>
  <c r="S32" i="45" s="1"/>
  <c r="BF148" i="15"/>
  <c r="BF187" i="15"/>
  <c r="BF189" i="15" s="1"/>
  <c r="BF48" i="43"/>
  <c r="CA109" i="15"/>
  <c r="CA111" i="15" s="1"/>
  <c r="CA178" i="15"/>
  <c r="CA180" i="15" s="1"/>
  <c r="CA119" i="15"/>
  <c r="CA120" i="15" s="1"/>
  <c r="CA127" i="15"/>
  <c r="CA128" i="15" s="1"/>
  <c r="CA130" i="15" s="1"/>
  <c r="CB14" i="43"/>
  <c r="CB88" i="43" s="1"/>
  <c r="CC102" i="15"/>
  <c r="BS131" i="15"/>
  <c r="BT130" i="15"/>
  <c r="BM255" i="43"/>
  <c r="BT259" i="43"/>
  <c r="BT251" i="43" s="1"/>
  <c r="BS201" i="43"/>
  <c r="BT201" i="43" s="1"/>
  <c r="BO255" i="43"/>
  <c r="BN254" i="43"/>
  <c r="BN255" i="43"/>
  <c r="BO264" i="43"/>
  <c r="BX179" i="15"/>
  <c r="BX185" i="15" s="1"/>
  <c r="BX8" i="15" s="1"/>
  <c r="BX29" i="43"/>
  <c r="BX31" i="43" s="1"/>
  <c r="BX112" i="15"/>
  <c r="BV179" i="15"/>
  <c r="BV185" i="15" s="1"/>
  <c r="BV8" i="15" s="1"/>
  <c r="BV9" i="15" s="1"/>
  <c r="BW111" i="15"/>
  <c r="BV29" i="43"/>
  <c r="BV31" i="43" s="1"/>
  <c r="BV112" i="15"/>
  <c r="I32" i="45"/>
  <c r="G53" i="44"/>
  <c r="BM225" i="43"/>
  <c r="BN220" i="43"/>
  <c r="BV89" i="43"/>
  <c r="BV19" i="43"/>
  <c r="CA88" i="43"/>
  <c r="CC14" i="43"/>
  <c r="CC88" i="43" s="1"/>
  <c r="CA15" i="43"/>
  <c r="BX93" i="43"/>
  <c r="BX260" i="43"/>
  <c r="BX220" i="43" s="1"/>
  <c r="BX225" i="43" s="1"/>
  <c r="BX21" i="43"/>
  <c r="BX259" i="43"/>
  <c r="BX201" i="43" s="1"/>
  <c r="BX258" i="43"/>
  <c r="CB109" i="15"/>
  <c r="CC108" i="15"/>
  <c r="CB178" i="15"/>
  <c r="CB119" i="15"/>
  <c r="CB120" i="15" s="1"/>
  <c r="BP255" i="43"/>
  <c r="BH115" i="15"/>
  <c r="BH116" i="15"/>
  <c r="BW130" i="15"/>
  <c r="BV131" i="15"/>
  <c r="BT260" i="43"/>
  <c r="BT252" i="43" s="1"/>
  <c r="BS220" i="43"/>
  <c r="BU185" i="15"/>
  <c r="BU8" i="15" s="1"/>
  <c r="BU9" i="15" s="1"/>
  <c r="BP202" i="43"/>
  <c r="BQ202" i="43" s="1"/>
  <c r="BR254" i="43" s="1"/>
  <c r="BP261" i="43"/>
  <c r="BQ258" i="43"/>
  <c r="BG143" i="15"/>
  <c r="BG144" i="15"/>
  <c r="BG142" i="15"/>
  <c r="BJ25" i="43"/>
  <c r="BJ26" i="43" s="1"/>
  <c r="BK25" i="43"/>
  <c r="BI26" i="43"/>
  <c r="BN126" i="43"/>
  <c r="BY88" i="43"/>
  <c r="BY15" i="43"/>
  <c r="BS202" i="43"/>
  <c r="BT202" i="43" s="1"/>
  <c r="BS261" i="43"/>
  <c r="BT258" i="43"/>
  <c r="BZ15" i="43"/>
  <c r="BT179" i="15"/>
  <c r="BT185" i="15" s="1"/>
  <c r="BT8" i="15" s="1"/>
  <c r="BT9" i="15" s="1"/>
  <c r="BT29" i="43"/>
  <c r="BT31" i="43" s="1"/>
  <c r="BU255" i="43"/>
  <c r="BW89" i="43"/>
  <c r="BW19" i="43"/>
  <c r="BL124" i="15"/>
  <c r="BL135" i="15"/>
  <c r="BL134" i="15" s="1"/>
  <c r="BL115" i="15" s="1"/>
  <c r="BR255" i="43"/>
  <c r="BY109" i="15"/>
  <c r="BY111" i="15" s="1"/>
  <c r="BZ108" i="15"/>
  <c r="BY178" i="15"/>
  <c r="CB128" i="15"/>
  <c r="BY119" i="15"/>
  <c r="BY120" i="15" s="1"/>
  <c r="BY127" i="15"/>
  <c r="BY128" i="15" s="1"/>
  <c r="BN250" i="43"/>
  <c r="BN261" i="43"/>
  <c r="CC13" i="43"/>
  <c r="BP220" i="43"/>
  <c r="BQ260" i="43"/>
  <c r="BQ252" i="43" s="1"/>
  <c r="BG139" i="15"/>
  <c r="BH138" i="15"/>
  <c r="BH139" i="15" s="1"/>
  <c r="BI144" i="15"/>
  <c r="BI143" i="15"/>
  <c r="BI142" i="15"/>
  <c r="BR202" i="43"/>
  <c r="BS254" i="43" s="1"/>
  <c r="BR261" i="43"/>
  <c r="BZ106" i="15"/>
  <c r="BZ105" i="15" s="1"/>
  <c r="BM264" i="43"/>
  <c r="BM263" i="43"/>
  <c r="BM126" i="43" s="1"/>
  <c r="BM256" i="43"/>
  <c r="BT93" i="43"/>
  <c r="BT21" i="43"/>
  <c r="BS256" i="43"/>
  <c r="BS255" i="43"/>
  <c r="BU113" i="15"/>
  <c r="BS113" i="15"/>
  <c r="BT112" i="15"/>
  <c r="BT113" i="15" s="1"/>
  <c r="BY179" i="15" l="1"/>
  <c r="BZ111" i="15"/>
  <c r="BY29" i="43"/>
  <c r="BY31" i="43" s="1"/>
  <c r="CB111" i="15"/>
  <c r="BY112" i="15"/>
  <c r="CA179" i="15"/>
  <c r="CA29" i="43"/>
  <c r="CA31" i="43" s="1"/>
  <c r="CA112" i="15"/>
  <c r="BL114" i="15"/>
  <c r="BH144" i="15"/>
  <c r="BR264" i="43"/>
  <c r="BR263" i="43"/>
  <c r="BR126" i="43" s="1"/>
  <c r="BQ220" i="43"/>
  <c r="BP225" i="43"/>
  <c r="BZ109" i="15"/>
  <c r="BZ178" i="15"/>
  <c r="J32" i="45"/>
  <c r="H53" i="44"/>
  <c r="BJ33" i="43"/>
  <c r="BJ94" i="43"/>
  <c r="BQ250" i="43"/>
  <c r="BQ261" i="43"/>
  <c r="BP256" i="43"/>
  <c r="BX202" i="43"/>
  <c r="BX261" i="43"/>
  <c r="CA184" i="15"/>
  <c r="BX113" i="15"/>
  <c r="CC120" i="15"/>
  <c r="BF97" i="43"/>
  <c r="BF51" i="43"/>
  <c r="BJ124" i="15"/>
  <c r="BK123" i="15"/>
  <c r="BJ135" i="15"/>
  <c r="BW180" i="15"/>
  <c r="BY180" i="15"/>
  <c r="BW184" i="15"/>
  <c r="BY184" i="15"/>
  <c r="BT254" i="43"/>
  <c r="BT255" i="43"/>
  <c r="BT250" i="43"/>
  <c r="BT261" i="43"/>
  <c r="CC109" i="15"/>
  <c r="CC178" i="15"/>
  <c r="CB15" i="43"/>
  <c r="BN263" i="43"/>
  <c r="BN264" i="43"/>
  <c r="BW93" i="43"/>
  <c r="BW21" i="43"/>
  <c r="BI145" i="15"/>
  <c r="CC87" i="43"/>
  <c r="CC15" i="43"/>
  <c r="CC128" i="15"/>
  <c r="CB130" i="15"/>
  <c r="BZ89" i="43"/>
  <c r="BZ19" i="43"/>
  <c r="BH142" i="15"/>
  <c r="BG145" i="15"/>
  <c r="BP263" i="43"/>
  <c r="BP126" i="43" s="1"/>
  <c r="BP264" i="43"/>
  <c r="BS225" i="43"/>
  <c r="BT220" i="43"/>
  <c r="CA89" i="43"/>
  <c r="CA19" i="43"/>
  <c r="BV93" i="43"/>
  <c r="BV260" i="43"/>
  <c r="BV258" i="43"/>
  <c r="BV259" i="43"/>
  <c r="BV21" i="43"/>
  <c r="BO263" i="43"/>
  <c r="BO126" i="43" s="1"/>
  <c r="BQ126" i="43" s="1"/>
  <c r="I53" i="44" s="1"/>
  <c r="CC106" i="15"/>
  <c r="CC105" i="15" s="1"/>
  <c r="BF195" i="15"/>
  <c r="BF16" i="15" s="1"/>
  <c r="BF17" i="15" s="1"/>
  <c r="BF11" i="15"/>
  <c r="BF190" i="15"/>
  <c r="BU264" i="43"/>
  <c r="BU263" i="43"/>
  <c r="BU126" i="43" s="1"/>
  <c r="BI33" i="43"/>
  <c r="BI94" i="43"/>
  <c r="CA185" i="15"/>
  <c r="CA8" i="15" s="1"/>
  <c r="CA9" i="15" s="1"/>
  <c r="BZ128" i="15"/>
  <c r="BY130" i="15"/>
  <c r="BY89" i="43"/>
  <c r="BY19" i="43"/>
  <c r="BP254" i="43"/>
  <c r="BW179" i="15"/>
  <c r="BW185" i="15" s="1"/>
  <c r="BW8" i="15" s="1"/>
  <c r="BW9" i="15" s="1"/>
  <c r="BW29" i="43"/>
  <c r="BW31" i="43" s="1"/>
  <c r="BZ120" i="15"/>
  <c r="BS264" i="43"/>
  <c r="BS263" i="43"/>
  <c r="BS126" i="43" s="1"/>
  <c r="BL25" i="43"/>
  <c r="BK26" i="43"/>
  <c r="BH143" i="15"/>
  <c r="BN225" i="43"/>
  <c r="J58" i="45"/>
  <c r="J63" i="45" s="1"/>
  <c r="BO256" i="43"/>
  <c r="BV113" i="15"/>
  <c r="BW112" i="15"/>
  <c r="BW113" i="15" s="1"/>
  <c r="BX9" i="15"/>
  <c r="BN256" i="43"/>
  <c r="CA131" i="15"/>
  <c r="BQ255" i="43"/>
  <c r="BQ256" i="43"/>
  <c r="BQ254" i="43"/>
  <c r="BF12" i="15" l="1"/>
  <c r="BF13" i="15"/>
  <c r="BT225" i="43"/>
  <c r="BU256" i="43"/>
  <c r="CB184" i="15"/>
  <c r="CC184" i="15" s="1"/>
  <c r="BZ184" i="15"/>
  <c r="BY131" i="15"/>
  <c r="BZ130" i="15"/>
  <c r="BG108" i="43"/>
  <c r="BH108" i="43" s="1"/>
  <c r="BG56" i="43"/>
  <c r="BH56" i="43" s="1"/>
  <c r="BG147" i="15"/>
  <c r="BK135" i="15"/>
  <c r="BJ134" i="15"/>
  <c r="BJ115" i="15" s="1"/>
  <c r="BQ225" i="43"/>
  <c r="BR256" i="43"/>
  <c r="CB179" i="15"/>
  <c r="CC111" i="15"/>
  <c r="CB29" i="43"/>
  <c r="CB31" i="43" s="1"/>
  <c r="CB112" i="15"/>
  <c r="I7" i="45"/>
  <c r="BK94" i="43"/>
  <c r="T32" i="45" s="1"/>
  <c r="BK33" i="43"/>
  <c r="BV201" i="43"/>
  <c r="BW201" i="43" s="1"/>
  <c r="BX255" i="43" s="1"/>
  <c r="BW259" i="43"/>
  <c r="BW251" i="43" s="1"/>
  <c r="CA259" i="43"/>
  <c r="CA201" i="43" s="1"/>
  <c r="CA93" i="43"/>
  <c r="CA260" i="43"/>
  <c r="CA220" i="43" s="1"/>
  <c r="CA225" i="43" s="1"/>
  <c r="CA21" i="43"/>
  <c r="CA258" i="43"/>
  <c r="CB131" i="15"/>
  <c r="CC130" i="15"/>
  <c r="BT126" i="43"/>
  <c r="J53" i="44" s="1"/>
  <c r="BL116" i="15"/>
  <c r="BL138" i="15"/>
  <c r="BL139" i="15" s="1"/>
  <c r="BO122" i="15"/>
  <c r="BO123" i="15" s="1"/>
  <c r="BM25" i="43"/>
  <c r="BM26" i="43" s="1"/>
  <c r="BL26" i="43"/>
  <c r="BY93" i="43"/>
  <c r="BY259" i="43"/>
  <c r="BY258" i="43"/>
  <c r="BY21" i="43"/>
  <c r="BY260" i="43"/>
  <c r="BV202" i="43"/>
  <c r="BW202" i="43" s="1"/>
  <c r="BX254" i="43" s="1"/>
  <c r="BW258" i="43"/>
  <c r="BV261" i="43"/>
  <c r="BH145" i="15"/>
  <c r="BI108" i="43"/>
  <c r="BI147" i="15"/>
  <c r="BI56" i="43"/>
  <c r="BT263" i="43"/>
  <c r="BT264" i="43"/>
  <c r="BZ180" i="15"/>
  <c r="CB180" i="15"/>
  <c r="CC180" i="15" s="1"/>
  <c r="BQ263" i="43"/>
  <c r="BQ264" i="43"/>
  <c r="BZ29" i="43"/>
  <c r="BZ31" i="43" s="1"/>
  <c r="BZ179" i="15"/>
  <c r="BZ185" i="15" s="1"/>
  <c r="BZ8" i="15" s="1"/>
  <c r="BZ9" i="15" s="1"/>
  <c r="BY185" i="15"/>
  <c r="BY8" i="15" s="1"/>
  <c r="BY9" i="15" s="1"/>
  <c r="BV220" i="43"/>
  <c r="BW260" i="43"/>
  <c r="BW252" i="43" s="1"/>
  <c r="BZ21" i="43"/>
  <c r="BZ93" i="43"/>
  <c r="CC89" i="43"/>
  <c r="CC19" i="43"/>
  <c r="BW255" i="43"/>
  <c r="BW254" i="43"/>
  <c r="CB89" i="43"/>
  <c r="CB19" i="43"/>
  <c r="BT256" i="43"/>
  <c r="BF52" i="43"/>
  <c r="BF100" i="43" s="1"/>
  <c r="BF54" i="43"/>
  <c r="BX264" i="43"/>
  <c r="CA113" i="15"/>
  <c r="BZ112" i="15"/>
  <c r="BZ113" i="15" s="1"/>
  <c r="BY113" i="15"/>
  <c r="CC93" i="43" l="1"/>
  <c r="CC21" i="43"/>
  <c r="BI148" i="15"/>
  <c r="BI187" i="15"/>
  <c r="BI189" i="15" s="1"/>
  <c r="BI48" i="43"/>
  <c r="BW250" i="43"/>
  <c r="BW261" i="43"/>
  <c r="BY202" i="43"/>
  <c r="BZ202" i="43" s="1"/>
  <c r="BZ258" i="43"/>
  <c r="BY261" i="43"/>
  <c r="BN25" i="43"/>
  <c r="CA254" i="43"/>
  <c r="CC29" i="43"/>
  <c r="CC31" i="43" s="1"/>
  <c r="CC179" i="15"/>
  <c r="CC185" i="15" s="1"/>
  <c r="CC8" i="15" s="1"/>
  <c r="CC9" i="15" s="1"/>
  <c r="BJ114" i="15"/>
  <c r="BV255" i="43"/>
  <c r="BM33" i="43"/>
  <c r="BM94" i="43"/>
  <c r="BL144" i="15"/>
  <c r="BL142" i="15"/>
  <c r="BL143" i="15"/>
  <c r="CB185" i="15"/>
  <c r="CB8" i="15" s="1"/>
  <c r="CB9" i="15" s="1"/>
  <c r="BV254" i="43"/>
  <c r="BF101" i="43"/>
  <c r="BF60" i="43"/>
  <c r="BF44" i="43"/>
  <c r="BV225" i="43"/>
  <c r="BW220" i="43"/>
  <c r="BZ259" i="43"/>
  <c r="BZ251" i="43" s="1"/>
  <c r="BY201" i="43"/>
  <c r="BZ201" i="43" s="1"/>
  <c r="CA255" i="43" s="1"/>
  <c r="CB21" i="43"/>
  <c r="CB93" i="43"/>
  <c r="CB260" i="43"/>
  <c r="CB259" i="43"/>
  <c r="CB258" i="43"/>
  <c r="D74" i="44"/>
  <c r="BH147" i="15"/>
  <c r="C123" i="44"/>
  <c r="BY220" i="43"/>
  <c r="BZ260" i="43"/>
  <c r="BZ252" i="43" s="1"/>
  <c r="CB113" i="15"/>
  <c r="CC112" i="15"/>
  <c r="CC113" i="15" s="1"/>
  <c r="BG148" i="15"/>
  <c r="BG187" i="15"/>
  <c r="BG48" i="43"/>
  <c r="BZ254" i="43"/>
  <c r="BZ255" i="43"/>
  <c r="BV264" i="43"/>
  <c r="BV263" i="43"/>
  <c r="BV126" i="43" s="1"/>
  <c r="BW126" i="43" s="1"/>
  <c r="K53" i="44" s="1"/>
  <c r="BY254" i="43"/>
  <c r="BY255" i="43"/>
  <c r="BL33" i="43"/>
  <c r="BL94" i="43"/>
  <c r="BO124" i="15"/>
  <c r="BO135" i="15"/>
  <c r="BO134" i="15" s="1"/>
  <c r="BO115" i="15" s="1"/>
  <c r="CA202" i="43"/>
  <c r="CA261" i="43"/>
  <c r="BV256" i="43"/>
  <c r="BG189" i="15" l="1"/>
  <c r="BH187" i="15"/>
  <c r="BH189" i="15" s="1"/>
  <c r="E74" i="44"/>
  <c r="BH148" i="15"/>
  <c r="C119" i="44"/>
  <c r="CB202" i="43"/>
  <c r="CC202" i="43" s="1"/>
  <c r="CB261" i="43"/>
  <c r="CC258" i="43"/>
  <c r="CB254" i="43"/>
  <c r="BW225" i="43"/>
  <c r="BX256" i="43"/>
  <c r="BW256" i="43"/>
  <c r="BI11" i="15"/>
  <c r="BI195" i="15"/>
  <c r="BI16" i="15" s="1"/>
  <c r="BI17" i="15" s="1"/>
  <c r="BI190" i="15"/>
  <c r="CB220" i="43"/>
  <c r="CB256" i="43" s="1"/>
  <c r="CC260" i="43"/>
  <c r="CC252" i="43" s="1"/>
  <c r="BO114" i="15"/>
  <c r="BG97" i="43"/>
  <c r="BG51" i="43"/>
  <c r="BH48" i="43"/>
  <c r="CC259" i="43"/>
  <c r="CC251" i="43" s="1"/>
  <c r="CB201" i="43"/>
  <c r="CC201" i="43" s="1"/>
  <c r="BJ116" i="15"/>
  <c r="BK114" i="15"/>
  <c r="BJ138" i="15"/>
  <c r="BM122" i="15"/>
  <c r="BO25" i="43"/>
  <c r="BN26" i="43"/>
  <c r="BW263" i="43"/>
  <c r="BW264" i="43"/>
  <c r="BX263" i="43"/>
  <c r="BX126" i="43" s="1"/>
  <c r="BZ220" i="43"/>
  <c r="BY225" i="43"/>
  <c r="BF104" i="43"/>
  <c r="BF45" i="43"/>
  <c r="BY264" i="43"/>
  <c r="BY263" i="43"/>
  <c r="BY126" i="43" s="1"/>
  <c r="CC254" i="43"/>
  <c r="CC255" i="43"/>
  <c r="CA264" i="43"/>
  <c r="BY256" i="43"/>
  <c r="E123" i="44"/>
  <c r="BF162" i="43"/>
  <c r="BF43" i="43"/>
  <c r="BF61" i="43"/>
  <c r="BF70" i="43" s="1"/>
  <c r="BF123" i="43" s="1"/>
  <c r="BF68" i="43"/>
  <c r="BL145" i="15"/>
  <c r="BZ261" i="43"/>
  <c r="CA263" i="43" s="1"/>
  <c r="CA126" i="43" s="1"/>
  <c r="BZ250" i="43"/>
  <c r="BI97" i="43"/>
  <c r="BI51" i="43"/>
  <c r="BF333" i="43" l="1"/>
  <c r="BL108" i="43"/>
  <c r="BL56" i="43"/>
  <c r="BL147" i="15"/>
  <c r="BF103" i="43"/>
  <c r="BF35" i="43"/>
  <c r="BJ144" i="15"/>
  <c r="BJ143" i="15"/>
  <c r="BJ142" i="15"/>
  <c r="BG52" i="43"/>
  <c r="BG100" i="43" s="1"/>
  <c r="BG54" i="43"/>
  <c r="CB264" i="43"/>
  <c r="CB263" i="43"/>
  <c r="CB126" i="43" s="1"/>
  <c r="CC126" i="43" s="1"/>
  <c r="M53" i="44" s="1"/>
  <c r="BF107" i="43"/>
  <c r="BZ225" i="43"/>
  <c r="CA256" i="43"/>
  <c r="BN33" i="43"/>
  <c r="BN94" i="43"/>
  <c r="U32" i="45" s="1"/>
  <c r="J7" i="45"/>
  <c r="BN122" i="15"/>
  <c r="BM123" i="15"/>
  <c r="CC220" i="43"/>
  <c r="CB225" i="43"/>
  <c r="BH11" i="15"/>
  <c r="BH190" i="15"/>
  <c r="BH195" i="15"/>
  <c r="BH16" i="15" s="1"/>
  <c r="BH17" i="15" s="1"/>
  <c r="BI52" i="43"/>
  <c r="BI100" i="43" s="1"/>
  <c r="BI54" i="43"/>
  <c r="BZ264" i="43"/>
  <c r="BZ263" i="43"/>
  <c r="BZ126" i="43"/>
  <c r="L53" i="44" s="1"/>
  <c r="BP25" i="43"/>
  <c r="BP26" i="43" s="1"/>
  <c r="BQ25" i="43"/>
  <c r="BO26" i="43"/>
  <c r="BJ139" i="15"/>
  <c r="BK138" i="15"/>
  <c r="BK139" i="15" s="1"/>
  <c r="BO116" i="15"/>
  <c r="BO138" i="15"/>
  <c r="BO139" i="15" s="1"/>
  <c r="BR122" i="15"/>
  <c r="BR123" i="15" s="1"/>
  <c r="BI13" i="15"/>
  <c r="BI12" i="15"/>
  <c r="CB255" i="43"/>
  <c r="C122" i="44"/>
  <c r="E119" i="44"/>
  <c r="D121" i="44"/>
  <c r="BG190" i="15"/>
  <c r="BG11" i="15"/>
  <c r="BG195" i="15"/>
  <c r="BG16" i="15" s="1"/>
  <c r="BG17" i="15" s="1"/>
  <c r="BK116" i="15"/>
  <c r="BK115" i="15"/>
  <c r="BH97" i="43"/>
  <c r="H23" i="45"/>
  <c r="BH51" i="43"/>
  <c r="CC250" i="43"/>
  <c r="CC261" i="43"/>
  <c r="BZ256" i="43"/>
  <c r="CC263" i="43" l="1"/>
  <c r="CC264" i="43"/>
  <c r="BR124" i="15"/>
  <c r="BR135" i="15"/>
  <c r="BR134" i="15" s="1"/>
  <c r="BR115" i="15" s="1"/>
  <c r="BK143" i="15"/>
  <c r="BO94" i="43"/>
  <c r="BO33" i="43"/>
  <c r="CC225" i="43"/>
  <c r="CC256" i="43"/>
  <c r="BF109" i="43"/>
  <c r="BG101" i="43"/>
  <c r="BG44" i="43"/>
  <c r="BG60" i="43"/>
  <c r="BH54" i="43"/>
  <c r="BH101" i="43" s="1"/>
  <c r="BK144" i="15"/>
  <c r="BL148" i="15"/>
  <c r="BL187" i="15"/>
  <c r="BL189" i="15" s="1"/>
  <c r="BL48" i="43"/>
  <c r="H26" i="45"/>
  <c r="S28" i="45"/>
  <c r="C148" i="44"/>
  <c r="H8" i="44"/>
  <c r="H10" i="45"/>
  <c r="BH52" i="43"/>
  <c r="E121" i="44"/>
  <c r="BO144" i="15"/>
  <c r="BO142" i="15"/>
  <c r="BO143" i="15"/>
  <c r="BR25" i="43"/>
  <c r="BQ26" i="43"/>
  <c r="BM124" i="15"/>
  <c r="BN123" i="15"/>
  <c r="BM135" i="15"/>
  <c r="BG13" i="15"/>
  <c r="BG12" i="15"/>
  <c r="E122" i="44"/>
  <c r="E125" i="44" s="1"/>
  <c r="E127" i="44" s="1"/>
  <c r="E128" i="44" s="1"/>
  <c r="D135" i="44" s="1"/>
  <c r="BP33" i="43"/>
  <c r="BP94" i="43"/>
  <c r="BI101" i="43"/>
  <c r="BI44" i="43"/>
  <c r="BI60" i="43"/>
  <c r="BH13" i="15"/>
  <c r="BH12" i="15"/>
  <c r="BK142" i="15"/>
  <c r="BJ145" i="15"/>
  <c r="BJ108" i="43" l="1"/>
  <c r="BK108" i="43" s="1"/>
  <c r="BJ56" i="43"/>
  <c r="BK56" i="43" s="1"/>
  <c r="BJ147" i="15"/>
  <c r="BO145" i="15"/>
  <c r="BL97" i="43"/>
  <c r="BL51" i="43"/>
  <c r="BR114" i="15"/>
  <c r="BK145" i="15"/>
  <c r="BS25" i="43"/>
  <c r="BS26" i="43" s="1"/>
  <c r="BR26" i="43"/>
  <c r="S52" i="45"/>
  <c r="BH100" i="43"/>
  <c r="G6" i="44"/>
  <c r="G7" i="44"/>
  <c r="G5" i="44"/>
  <c r="BF111" i="43"/>
  <c r="BF112" i="43" s="1"/>
  <c r="BG162" i="43"/>
  <c r="BG43" i="43"/>
  <c r="BG61" i="43"/>
  <c r="BG70" i="43" s="1"/>
  <c r="BG68" i="43"/>
  <c r="BH60" i="43"/>
  <c r="BI162" i="43"/>
  <c r="BI61" i="43"/>
  <c r="BI43" i="43"/>
  <c r="BI68" i="43"/>
  <c r="BN135" i="15"/>
  <c r="BM134" i="15"/>
  <c r="BM115" i="15" s="1"/>
  <c r="BI104" i="43"/>
  <c r="BI45" i="43"/>
  <c r="BL190" i="15"/>
  <c r="BL195" i="15"/>
  <c r="BL16" i="15" s="1"/>
  <c r="BL17" i="15" s="1"/>
  <c r="BL11" i="15"/>
  <c r="BQ94" i="43"/>
  <c r="BQ33" i="43"/>
  <c r="BG123" i="43"/>
  <c r="BG104" i="43"/>
  <c r="BG45" i="43"/>
  <c r="BH45" i="43" s="1"/>
  <c r="BH44" i="43"/>
  <c r="BH104" i="43" s="1"/>
  <c r="BH162" i="43" l="1"/>
  <c r="S43" i="45" s="1"/>
  <c r="BH61" i="43"/>
  <c r="F48" i="44"/>
  <c r="BG103" i="43"/>
  <c r="BG35" i="43"/>
  <c r="BH35" i="43" s="1"/>
  <c r="BH43" i="43"/>
  <c r="BR33" i="43"/>
  <c r="BR94" i="43"/>
  <c r="BR138" i="15"/>
  <c r="BR139" i="15" s="1"/>
  <c r="BR116" i="15"/>
  <c r="BU122" i="15"/>
  <c r="BU123" i="15" s="1"/>
  <c r="BO56" i="43"/>
  <c r="BO108" i="43"/>
  <c r="BO147" i="15"/>
  <c r="BI107" i="43"/>
  <c r="BG107" i="43"/>
  <c r="BH68" i="43"/>
  <c r="H12" i="45" s="1"/>
  <c r="BT25" i="43"/>
  <c r="BL52" i="43"/>
  <c r="BL100" i="43" s="1"/>
  <c r="BL54" i="43"/>
  <c r="BJ148" i="15"/>
  <c r="BJ48" i="43"/>
  <c r="BJ187" i="15"/>
  <c r="BL13" i="15"/>
  <c r="BL12" i="15"/>
  <c r="BH70" i="43"/>
  <c r="BI70" i="43"/>
  <c r="BS33" i="43"/>
  <c r="BS94" i="43"/>
  <c r="BG333" i="43"/>
  <c r="BH123" i="43"/>
  <c r="BM114" i="15"/>
  <c r="BI103" i="43"/>
  <c r="BI35" i="43"/>
  <c r="BF113" i="43"/>
  <c r="BF69" i="43"/>
  <c r="BK147" i="15"/>
  <c r="BK148" i="15" s="1"/>
  <c r="H29" i="45" l="1"/>
  <c r="BH333" i="43"/>
  <c r="BG109" i="43"/>
  <c r="BH107" i="43"/>
  <c r="BO148" i="15"/>
  <c r="BO187" i="15"/>
  <c r="BO189" i="15" s="1"/>
  <c r="BO48" i="43"/>
  <c r="BR142" i="15"/>
  <c r="BR144" i="15"/>
  <c r="BR143" i="15"/>
  <c r="BF125" i="43"/>
  <c r="BF72" i="43"/>
  <c r="BL101" i="43"/>
  <c r="BL44" i="43"/>
  <c r="BL60" i="43"/>
  <c r="BM116" i="15"/>
  <c r="BN114" i="15"/>
  <c r="BM138" i="15"/>
  <c r="BP122" i="15"/>
  <c r="BI123" i="43"/>
  <c r="BK187" i="15"/>
  <c r="BK189" i="15" s="1"/>
  <c r="BJ189" i="15"/>
  <c r="BI109" i="43"/>
  <c r="F49" i="44"/>
  <c r="BJ97" i="43"/>
  <c r="BJ51" i="43"/>
  <c r="BK48" i="43"/>
  <c r="BU25" i="43"/>
  <c r="BT26" i="43"/>
  <c r="BU124" i="15"/>
  <c r="BU135" i="15"/>
  <c r="BU134" i="15" s="1"/>
  <c r="BU115" i="15" s="1"/>
  <c r="S51" i="45"/>
  <c r="C147" i="44"/>
  <c r="S27" i="45"/>
  <c r="H8" i="45"/>
  <c r="BH103" i="43"/>
  <c r="F51" i="44" l="1"/>
  <c r="F57" i="44" s="1"/>
  <c r="F64" i="44" s="1"/>
  <c r="BJ52" i="43"/>
  <c r="BJ100" i="43" s="1"/>
  <c r="BJ54" i="43"/>
  <c r="BI111" i="43"/>
  <c r="BI112" i="43" s="1"/>
  <c r="BN116" i="15"/>
  <c r="BN115" i="15"/>
  <c r="BF129" i="43"/>
  <c r="BO190" i="15"/>
  <c r="BO11" i="15"/>
  <c r="BO195" i="15"/>
  <c r="BO16" i="15" s="1"/>
  <c r="BO17" i="15" s="1"/>
  <c r="E6" i="44"/>
  <c r="E5" i="44"/>
  <c r="E7" i="44"/>
  <c r="BT94" i="43"/>
  <c r="BT33" i="43"/>
  <c r="I23" i="45"/>
  <c r="BK51" i="43"/>
  <c r="BK97" i="43"/>
  <c r="BM144" i="15"/>
  <c r="BM142" i="15"/>
  <c r="BM143" i="15"/>
  <c r="BG111" i="43"/>
  <c r="BH109" i="43"/>
  <c r="BJ11" i="15"/>
  <c r="BJ195" i="15"/>
  <c r="BJ16" i="15" s="1"/>
  <c r="BJ17" i="15" s="1"/>
  <c r="BJ190" i="15"/>
  <c r="BQ122" i="15"/>
  <c r="BP123" i="15"/>
  <c r="BF73" i="43"/>
  <c r="BF81" i="43"/>
  <c r="BU114" i="15"/>
  <c r="BK190" i="15"/>
  <c r="BK11" i="15"/>
  <c r="BK195" i="15"/>
  <c r="BK16" i="15" s="1"/>
  <c r="BK17" i="15" s="1"/>
  <c r="BM139" i="15"/>
  <c r="BN138" i="15"/>
  <c r="BN139" i="15" s="1"/>
  <c r="BL104" i="43"/>
  <c r="BL45" i="43"/>
  <c r="BR145" i="15"/>
  <c r="BO97" i="43"/>
  <c r="BO51" i="43"/>
  <c r="BV25" i="43"/>
  <c r="BV26" i="43" s="1"/>
  <c r="BU26" i="43"/>
  <c r="BL162" i="43"/>
  <c r="BL61" i="43"/>
  <c r="BL43" i="43"/>
  <c r="BL68" i="43"/>
  <c r="BI333" i="43"/>
  <c r="BF74" i="43" l="1"/>
  <c r="BF77" i="43"/>
  <c r="BH111" i="43"/>
  <c r="BG112" i="43"/>
  <c r="BF151" i="43"/>
  <c r="BF144" i="43"/>
  <c r="BW25" i="43"/>
  <c r="BU116" i="15"/>
  <c r="BU138" i="15"/>
  <c r="BU139" i="15" s="1"/>
  <c r="BX122" i="15"/>
  <c r="BX123" i="15" s="1"/>
  <c r="BP124" i="15"/>
  <c r="BQ123" i="15"/>
  <c r="BP135" i="15"/>
  <c r="BJ13" i="15"/>
  <c r="BJ12" i="15"/>
  <c r="BN143" i="15"/>
  <c r="I26" i="45"/>
  <c r="I10" i="45"/>
  <c r="T28" i="45"/>
  <c r="D148" i="44"/>
  <c r="BK52" i="43"/>
  <c r="BO12" i="15"/>
  <c r="BO13" i="15"/>
  <c r="BJ101" i="43"/>
  <c r="BJ44" i="43"/>
  <c r="BJ60" i="43"/>
  <c r="BK54" i="43"/>
  <c r="BK101" i="43" s="1"/>
  <c r="BO52" i="43"/>
  <c r="BO100" i="43" s="1"/>
  <c r="BO54" i="43"/>
  <c r="BK12" i="15"/>
  <c r="BK13" i="15"/>
  <c r="BL107" i="43"/>
  <c r="BV94" i="43"/>
  <c r="BV33" i="43"/>
  <c r="BF295" i="43"/>
  <c r="BF299" i="43" s="1"/>
  <c r="BF301" i="43" s="1"/>
  <c r="BF343" i="43"/>
  <c r="BF241" i="43"/>
  <c r="BN142" i="15"/>
  <c r="BM145" i="15"/>
  <c r="BL103" i="43"/>
  <c r="BL35" i="43"/>
  <c r="BR56" i="43"/>
  <c r="BR108" i="43"/>
  <c r="BR147" i="15"/>
  <c r="BN144" i="15"/>
  <c r="BI113" i="43"/>
  <c r="BI69" i="43"/>
  <c r="BU33" i="43"/>
  <c r="BU94" i="43"/>
  <c r="BR148" i="15" l="1"/>
  <c r="BR187" i="15"/>
  <c r="BR189" i="15" s="1"/>
  <c r="BR48" i="43"/>
  <c r="BN145" i="15"/>
  <c r="BO101" i="43"/>
  <c r="BO44" i="43"/>
  <c r="BO60" i="43"/>
  <c r="BJ104" i="43"/>
  <c r="BJ45" i="43"/>
  <c r="BK45" i="43" s="1"/>
  <c r="BK44" i="43"/>
  <c r="BK104" i="43" s="1"/>
  <c r="BK100" i="43"/>
  <c r="T52" i="45"/>
  <c r="BX124" i="15"/>
  <c r="BX135" i="15"/>
  <c r="BX134" i="15" s="1"/>
  <c r="BX115" i="15" s="1"/>
  <c r="BF146" i="43"/>
  <c r="BF228" i="43"/>
  <c r="BU143" i="15"/>
  <c r="BU144" i="15"/>
  <c r="BU142" i="15"/>
  <c r="BI125" i="43"/>
  <c r="BI72" i="43"/>
  <c r="BF244" i="43"/>
  <c r="BF345" i="43"/>
  <c r="BF346" i="43" s="1"/>
  <c r="BG341" i="43" s="1"/>
  <c r="BF276" i="43"/>
  <c r="H6" i="44"/>
  <c r="H5" i="44"/>
  <c r="H7" i="44"/>
  <c r="BP134" i="15"/>
  <c r="BP115" i="15" s="1"/>
  <c r="BQ135" i="15"/>
  <c r="BG113" i="43"/>
  <c r="BG69" i="43"/>
  <c r="BH112" i="43"/>
  <c r="BM108" i="43"/>
  <c r="BN108" i="43" s="1"/>
  <c r="BM56" i="43"/>
  <c r="BN56" i="43" s="1"/>
  <c r="BM147" i="15"/>
  <c r="BL109" i="43"/>
  <c r="BJ43" i="43"/>
  <c r="BJ162" i="43"/>
  <c r="BJ61" i="43"/>
  <c r="BJ70" i="43" s="1"/>
  <c r="BJ68" i="43"/>
  <c r="BK60" i="43"/>
  <c r="BX25" i="43"/>
  <c r="BW26" i="43"/>
  <c r="BF296" i="43"/>
  <c r="BF300" i="43" s="1"/>
  <c r="BF232" i="43" l="1"/>
  <c r="BF234" i="43" s="1"/>
  <c r="BF157" i="43"/>
  <c r="BK70" i="43"/>
  <c r="BL70" i="43"/>
  <c r="BG125" i="43"/>
  <c r="BG72" i="43"/>
  <c r="BH69" i="43"/>
  <c r="BI81" i="43"/>
  <c r="BI73" i="43"/>
  <c r="BJ123" i="43"/>
  <c r="BO104" i="43"/>
  <c r="BO45" i="43"/>
  <c r="BR97" i="43"/>
  <c r="BR51" i="43"/>
  <c r="BX114" i="15"/>
  <c r="BK162" i="43"/>
  <c r="T43" i="45" s="1"/>
  <c r="BK61" i="43"/>
  <c r="G48" i="44"/>
  <c r="BI129" i="43"/>
  <c r="BF149" i="43"/>
  <c r="BF200" i="43" s="1"/>
  <c r="BL111" i="43"/>
  <c r="BL112" i="43" s="1"/>
  <c r="BR190" i="15"/>
  <c r="BR195" i="15"/>
  <c r="BR16" i="15" s="1"/>
  <c r="BR17" i="15" s="1"/>
  <c r="BR11" i="15"/>
  <c r="BW94" i="43"/>
  <c r="BW33" i="43"/>
  <c r="BF302" i="43"/>
  <c r="BF314" i="43"/>
  <c r="BF305" i="43"/>
  <c r="BZ25" i="43"/>
  <c r="BY25" i="43"/>
  <c r="BY26" i="43" s="1"/>
  <c r="BX26" i="43"/>
  <c r="BJ107" i="43"/>
  <c r="BK68" i="43"/>
  <c r="I12" i="45" s="1"/>
  <c r="BJ103" i="43"/>
  <c r="BJ35" i="43"/>
  <c r="BK35" i="43" s="1"/>
  <c r="BK43" i="43"/>
  <c r="BM187" i="15"/>
  <c r="BM148" i="15"/>
  <c r="BM48" i="43"/>
  <c r="BH113" i="43"/>
  <c r="BH110" i="43"/>
  <c r="S37" i="45" s="1"/>
  <c r="BP114" i="15"/>
  <c r="BU145" i="15"/>
  <c r="BO162" i="43"/>
  <c r="BO61" i="43"/>
  <c r="BO43" i="43"/>
  <c r="BO68" i="43"/>
  <c r="BN147" i="15"/>
  <c r="BN148" i="15" s="1"/>
  <c r="BR13" i="15" l="1"/>
  <c r="BR12" i="15"/>
  <c r="BI151" i="43"/>
  <c r="BI74" i="43"/>
  <c r="BI77" i="43"/>
  <c r="H13" i="45"/>
  <c r="BU108" i="43"/>
  <c r="BU56" i="43"/>
  <c r="BU147" i="15"/>
  <c r="BN187" i="15"/>
  <c r="BN189" i="15" s="1"/>
  <c r="BM189" i="15"/>
  <c r="BY33" i="43"/>
  <c r="BY94" i="43"/>
  <c r="BR52" i="43"/>
  <c r="BR100" i="43" s="1"/>
  <c r="BR54" i="43"/>
  <c r="BG81" i="43"/>
  <c r="BG73" i="43"/>
  <c r="BH72" i="43"/>
  <c r="BL123" i="43"/>
  <c r="BF167" i="43"/>
  <c r="T27" i="45"/>
  <c r="D147" i="44"/>
  <c r="I8" i="45"/>
  <c r="BK103" i="43"/>
  <c r="T51" i="45"/>
  <c r="BJ109" i="43"/>
  <c r="BK107" i="43"/>
  <c r="CA25" i="43"/>
  <c r="BZ26" i="43"/>
  <c r="BF156" i="43"/>
  <c r="BF159" i="43" s="1"/>
  <c r="BF177" i="43"/>
  <c r="BF178" i="43" s="1"/>
  <c r="BF204" i="43"/>
  <c r="BF217" i="43" s="1"/>
  <c r="BG176" i="43"/>
  <c r="BI343" i="43"/>
  <c r="BI295" i="43"/>
  <c r="BI299" i="43" s="1"/>
  <c r="BI301" i="43" s="1"/>
  <c r="BG129" i="43"/>
  <c r="BH125" i="43"/>
  <c r="G49" i="44"/>
  <c r="BX94" i="43"/>
  <c r="BX33" i="43"/>
  <c r="BL113" i="43"/>
  <c r="BL69" i="43"/>
  <c r="BJ333" i="43"/>
  <c r="BK123" i="43"/>
  <c r="BO107" i="43"/>
  <c r="BO103" i="43"/>
  <c r="BO35" i="43"/>
  <c r="BP116" i="15"/>
  <c r="BQ114" i="15"/>
  <c r="BP138" i="15"/>
  <c r="BS122" i="15"/>
  <c r="BM97" i="43"/>
  <c r="BM51" i="43"/>
  <c r="BN48" i="43"/>
  <c r="BF307" i="43"/>
  <c r="BF311" i="43"/>
  <c r="BF323" i="43"/>
  <c r="BX116" i="15"/>
  <c r="BX138" i="15"/>
  <c r="BX139" i="15" s="1"/>
  <c r="CA122" i="15"/>
  <c r="CA123" i="15" s="1"/>
  <c r="BF270" i="43" l="1"/>
  <c r="BF268" i="43"/>
  <c r="BF275" i="43" s="1"/>
  <c r="BF163" i="43"/>
  <c r="BF269" i="43"/>
  <c r="BF160" i="43"/>
  <c r="BF325" i="43"/>
  <c r="BG327" i="43" s="1"/>
  <c r="CA124" i="15"/>
  <c r="CA135" i="15"/>
  <c r="CA134" i="15" s="1"/>
  <c r="CA115" i="15" s="1"/>
  <c r="CA114" i="15" s="1"/>
  <c r="BP142" i="15"/>
  <c r="BP144" i="15"/>
  <c r="BP143" i="15"/>
  <c r="BL125" i="43"/>
  <c r="BL72" i="43"/>
  <c r="BG151" i="43"/>
  <c r="BG180" i="43"/>
  <c r="BZ94" i="43"/>
  <c r="BZ33" i="43"/>
  <c r="BF315" i="43"/>
  <c r="BF309" i="43"/>
  <c r="BF310" i="43"/>
  <c r="BK333" i="43"/>
  <c r="I29" i="45"/>
  <c r="G51" i="44"/>
  <c r="G57" i="44" s="1"/>
  <c r="G64" i="44" s="1"/>
  <c r="BF236" i="43"/>
  <c r="BF274" i="43"/>
  <c r="BJ111" i="43"/>
  <c r="BK109" i="43"/>
  <c r="F7" i="44"/>
  <c r="F5" i="44"/>
  <c r="E8" i="44"/>
  <c r="F8" i="44"/>
  <c r="F6" i="44"/>
  <c r="BG166" i="43"/>
  <c r="BF169" i="43"/>
  <c r="H14" i="45"/>
  <c r="BH81" i="43"/>
  <c r="BN190" i="15"/>
  <c r="BN11" i="15"/>
  <c r="BN195" i="15"/>
  <c r="BN16" i="15" s="1"/>
  <c r="BN17" i="15" s="1"/>
  <c r="BM190" i="15"/>
  <c r="BM11" i="15"/>
  <c r="BM195" i="15"/>
  <c r="BM16" i="15" s="1"/>
  <c r="BM17" i="15" s="1"/>
  <c r="BT122" i="15"/>
  <c r="BS123" i="15"/>
  <c r="BX144" i="15"/>
  <c r="BX143" i="15"/>
  <c r="BX142" i="15"/>
  <c r="J23" i="45"/>
  <c r="BN97" i="43"/>
  <c r="BN51" i="43"/>
  <c r="BP139" i="15"/>
  <c r="BQ138" i="15"/>
  <c r="BQ139" i="15" s="1"/>
  <c r="CB25" i="43"/>
  <c r="CB26" i="43" s="1"/>
  <c r="CA26" i="43"/>
  <c r="BG74" i="43"/>
  <c r="BG77" i="43"/>
  <c r="BH73" i="43"/>
  <c r="BH74" i="43" s="1"/>
  <c r="BU148" i="15"/>
  <c r="BU187" i="15"/>
  <c r="BU189" i="15" s="1"/>
  <c r="BU48" i="43"/>
  <c r="BM52" i="43"/>
  <c r="BM100" i="43" s="1"/>
  <c r="BM54" i="43"/>
  <c r="BQ116" i="15"/>
  <c r="BQ115" i="15"/>
  <c r="BO109" i="43"/>
  <c r="H31" i="45"/>
  <c r="BH129" i="43"/>
  <c r="BH130" i="43" s="1"/>
  <c r="BL333" i="43"/>
  <c r="BG295" i="43"/>
  <c r="BG299" i="43" s="1"/>
  <c r="BG301" i="43" s="1"/>
  <c r="BG343" i="43"/>
  <c r="BR101" i="43"/>
  <c r="BR44" i="43"/>
  <c r="BR60" i="43"/>
  <c r="BI296" i="43"/>
  <c r="BI300" i="43" s="1"/>
  <c r="BR104" i="43" l="1"/>
  <c r="BR45" i="43"/>
  <c r="BI314" i="43"/>
  <c r="BI302" i="43"/>
  <c r="BI305" i="43"/>
  <c r="BO111" i="43"/>
  <c r="BO112" i="43" s="1"/>
  <c r="BU190" i="15"/>
  <c r="BU195" i="15"/>
  <c r="BU16" i="15" s="1"/>
  <c r="BU17" i="15" s="1"/>
  <c r="BU11" i="15"/>
  <c r="J10" i="45"/>
  <c r="U28" i="45"/>
  <c r="J26" i="45"/>
  <c r="E148" i="44"/>
  <c r="BN52" i="43"/>
  <c r="BN12" i="15"/>
  <c r="BN13" i="15"/>
  <c r="BK111" i="43"/>
  <c r="BJ112" i="43"/>
  <c r="BQ142" i="15"/>
  <c r="BP145" i="15"/>
  <c r="CA33" i="43"/>
  <c r="CA94" i="43"/>
  <c r="BG182" i="43"/>
  <c r="BH180" i="43"/>
  <c r="BH182" i="43" s="1"/>
  <c r="CA138" i="15"/>
  <c r="CA139" i="15" s="1"/>
  <c r="CA116" i="15"/>
  <c r="CA144" i="15" s="1"/>
  <c r="BR162" i="43"/>
  <c r="BR61" i="43"/>
  <c r="BR43" i="43"/>
  <c r="BR68" i="43"/>
  <c r="BL129" i="43"/>
  <c r="BH151" i="43"/>
  <c r="H34" i="45"/>
  <c r="CC25" i="43"/>
  <c r="BS124" i="15"/>
  <c r="BT123" i="15"/>
  <c r="BS135" i="15"/>
  <c r="BF267" i="43"/>
  <c r="BF245" i="43"/>
  <c r="BQ143" i="15"/>
  <c r="BM101" i="43"/>
  <c r="BM44" i="43"/>
  <c r="BM60" i="43"/>
  <c r="BN54" i="43"/>
  <c r="BN101" i="43" s="1"/>
  <c r="BM13" i="15"/>
  <c r="BM12" i="15"/>
  <c r="BH295" i="43"/>
  <c r="BH299" i="43" s="1"/>
  <c r="BH343" i="43"/>
  <c r="BU97" i="43"/>
  <c r="BU51" i="43"/>
  <c r="BG296" i="43"/>
  <c r="BG300" i="43" s="1"/>
  <c r="BH77" i="43"/>
  <c r="BH296" i="43" s="1"/>
  <c r="BH300" i="43" s="1"/>
  <c r="CB94" i="43"/>
  <c r="CB33" i="43"/>
  <c r="BX145" i="15"/>
  <c r="H17" i="45"/>
  <c r="BL81" i="43"/>
  <c r="BL73" i="43"/>
  <c r="BQ144" i="15"/>
  <c r="BH327" i="43"/>
  <c r="BH329" i="43" s="1"/>
  <c r="BG329" i="43"/>
  <c r="BG142" i="43" s="1"/>
  <c r="BL74" i="43" l="1"/>
  <c r="BL77" i="43"/>
  <c r="BH301" i="43"/>
  <c r="H18" i="45"/>
  <c r="CC26" i="43"/>
  <c r="BO113" i="43"/>
  <c r="BO69" i="43"/>
  <c r="BI307" i="43"/>
  <c r="BI311" i="43"/>
  <c r="BI323" i="43"/>
  <c r="BL343" i="43"/>
  <c r="BL295" i="43"/>
  <c r="BL299" i="43" s="1"/>
  <c r="BL301" i="43" s="1"/>
  <c r="BH314" i="43"/>
  <c r="C149" i="44"/>
  <c r="BH302" i="43"/>
  <c r="S33" i="45" s="1"/>
  <c r="H15" i="45"/>
  <c r="F99" i="44"/>
  <c r="F103" i="44" s="1"/>
  <c r="E105" i="44" s="1"/>
  <c r="H33" i="45"/>
  <c r="S34" i="45"/>
  <c r="BL151" i="43"/>
  <c r="BR103" i="43"/>
  <c r="BR35" i="43"/>
  <c r="BU13" i="15"/>
  <c r="BU12" i="15"/>
  <c r="BG344" i="43"/>
  <c r="BH142" i="43"/>
  <c r="BG144" i="43"/>
  <c r="BG146" i="43" s="1"/>
  <c r="BG241" i="43"/>
  <c r="CA142" i="15"/>
  <c r="BG302" i="43"/>
  <c r="BG314" i="43"/>
  <c r="BG305" i="43"/>
  <c r="BM162" i="43"/>
  <c r="BM43" i="43"/>
  <c r="BM61" i="43"/>
  <c r="BM70" i="43" s="1"/>
  <c r="BM68" i="43"/>
  <c r="BN60" i="43"/>
  <c r="BR107" i="43"/>
  <c r="BP56" i="43"/>
  <c r="BQ56" i="43" s="1"/>
  <c r="BP108" i="43"/>
  <c r="BQ108" i="43" s="1"/>
  <c r="BP147" i="15"/>
  <c r="BJ113" i="43"/>
  <c r="BK112" i="43"/>
  <c r="BJ69" i="43"/>
  <c r="CA143" i="15"/>
  <c r="BX108" i="43"/>
  <c r="BX56" i="43"/>
  <c r="BX147" i="15"/>
  <c r="BU52" i="43"/>
  <c r="BU100" i="43" s="1"/>
  <c r="BU54" i="43"/>
  <c r="BM104" i="43"/>
  <c r="BM45" i="43"/>
  <c r="BN45" i="43" s="1"/>
  <c r="BN44" i="43"/>
  <c r="BN104" i="43" s="1"/>
  <c r="BS134" i="15"/>
  <c r="BS115" i="15" s="1"/>
  <c r="BT135" i="15"/>
  <c r="BQ145" i="15"/>
  <c r="U52" i="45"/>
  <c r="BN100" i="43"/>
  <c r="BG149" i="43" l="1"/>
  <c r="BG200" i="43" s="1"/>
  <c r="BU101" i="43"/>
  <c r="BU44" i="43"/>
  <c r="BU60" i="43"/>
  <c r="H48" i="44"/>
  <c r="BN162" i="43"/>
  <c r="U43" i="45" s="1"/>
  <c r="BN61" i="43"/>
  <c r="BK113" i="43"/>
  <c r="BK110" i="43"/>
  <c r="T37" i="45" s="1"/>
  <c r="BM103" i="43"/>
  <c r="BM35" i="43"/>
  <c r="BN35" i="43" s="1"/>
  <c r="BN43" i="43"/>
  <c r="BO125" i="43"/>
  <c r="G137" i="44"/>
  <c r="G139" i="44" s="1"/>
  <c r="BN70" i="43"/>
  <c r="BO70" i="43"/>
  <c r="BO72" i="43" s="1"/>
  <c r="BM123" i="43"/>
  <c r="BH344" i="43"/>
  <c r="H38" i="45"/>
  <c r="BS114" i="15"/>
  <c r="BX148" i="15"/>
  <c r="BX187" i="15"/>
  <c r="BX189" i="15" s="1"/>
  <c r="BX48" i="43"/>
  <c r="E137" i="44"/>
  <c r="E139" i="44" s="1"/>
  <c r="CA145" i="15"/>
  <c r="D134" i="44"/>
  <c r="H134" i="44" s="1"/>
  <c r="H137" i="44" s="1"/>
  <c r="I5" i="44"/>
  <c r="I6" i="44"/>
  <c r="I7" i="44"/>
  <c r="I8" i="44"/>
  <c r="BI325" i="43"/>
  <c r="BJ327" i="43" s="1"/>
  <c r="BL296" i="43"/>
  <c r="BL300" i="43" s="1"/>
  <c r="BJ125" i="43"/>
  <c r="BK69" i="43"/>
  <c r="BJ72" i="43"/>
  <c r="BH144" i="43"/>
  <c r="H40" i="45" s="1"/>
  <c r="BG228" i="43"/>
  <c r="BM107" i="43"/>
  <c r="BN68" i="43"/>
  <c r="J12" i="45" s="1"/>
  <c r="BP48" i="43"/>
  <c r="BP148" i="15"/>
  <c r="BP187" i="15"/>
  <c r="BR109" i="43"/>
  <c r="BG311" i="43"/>
  <c r="BG307" i="43"/>
  <c r="BG323" i="43"/>
  <c r="BH305" i="43"/>
  <c r="BG345" i="43"/>
  <c r="BG346" i="43" s="1"/>
  <c r="BG244" i="43"/>
  <c r="BH241" i="43"/>
  <c r="BG276" i="43"/>
  <c r="D141" i="44"/>
  <c r="CC94" i="43"/>
  <c r="CC33" i="43"/>
  <c r="BQ147" i="15"/>
  <c r="BQ148" i="15" s="1"/>
  <c r="BI310" i="43"/>
  <c r="BI315" i="43"/>
  <c r="BI309" i="43"/>
  <c r="F134" i="44" l="1"/>
  <c r="F137" i="44" s="1"/>
  <c r="BP97" i="43"/>
  <c r="BP51" i="43"/>
  <c r="BQ48" i="43"/>
  <c r="BJ73" i="43"/>
  <c r="BJ81" i="43"/>
  <c r="BK72" i="43"/>
  <c r="BL314" i="43"/>
  <c r="BL302" i="43"/>
  <c r="BO123" i="43"/>
  <c r="U27" i="45"/>
  <c r="J8" i="45"/>
  <c r="BN103" i="43"/>
  <c r="U51" i="45"/>
  <c r="E147" i="44"/>
  <c r="BU61" i="43"/>
  <c r="BU162" i="43"/>
  <c r="BU43" i="43"/>
  <c r="BU68" i="43"/>
  <c r="BR111" i="43"/>
  <c r="BR112" i="43" s="1"/>
  <c r="BM109" i="43"/>
  <c r="BN107" i="43"/>
  <c r="I13" i="45"/>
  <c r="BS116" i="15"/>
  <c r="BS138" i="15"/>
  <c r="BT114" i="15"/>
  <c r="BV122" i="15"/>
  <c r="H49" i="44"/>
  <c r="H51" i="44" s="1"/>
  <c r="BO81" i="43"/>
  <c r="BO73" i="43"/>
  <c r="BU104" i="43"/>
  <c r="BU45" i="43"/>
  <c r="BH244" i="43"/>
  <c r="BH246" i="43" s="1"/>
  <c r="BH345" i="43"/>
  <c r="BH346" i="43" s="1"/>
  <c r="H73" i="45"/>
  <c r="H75" i="45" s="1"/>
  <c r="BH276" i="43"/>
  <c r="S48" i="45" s="1"/>
  <c r="BG325" i="43"/>
  <c r="BI327" i="43" s="1"/>
  <c r="BI329" i="43" s="1"/>
  <c r="BI142" i="43" s="1"/>
  <c r="BH323" i="43"/>
  <c r="BH325" i="43" s="1"/>
  <c r="BG157" i="43"/>
  <c r="BG232" i="43"/>
  <c r="BG234" i="43" s="1"/>
  <c r="BH228" i="43"/>
  <c r="BK125" i="43"/>
  <c r="BJ129" i="43"/>
  <c r="BX97" i="43"/>
  <c r="BX51" i="43"/>
  <c r="BH146" i="43"/>
  <c r="BG204" i="43"/>
  <c r="BG217" i="43" s="1"/>
  <c r="BH200" i="43"/>
  <c r="BH311" i="43"/>
  <c r="BH307" i="43"/>
  <c r="BH313" i="43"/>
  <c r="BJ313" i="43" s="1"/>
  <c r="BJ329" i="43"/>
  <c r="BJ142" i="43" s="1"/>
  <c r="BG310" i="43"/>
  <c r="BG309" i="43"/>
  <c r="BG315" i="43"/>
  <c r="BQ187" i="15"/>
  <c r="BQ189" i="15" s="1"/>
  <c r="BP189" i="15"/>
  <c r="CA108" i="43"/>
  <c r="CA56" i="43"/>
  <c r="CA147" i="15"/>
  <c r="BX190" i="15"/>
  <c r="BX11" i="15"/>
  <c r="BX195" i="15"/>
  <c r="BX16" i="15" s="1"/>
  <c r="BX17" i="15" s="1"/>
  <c r="H42" i="45"/>
  <c r="H43" i="45" s="1"/>
  <c r="BM333" i="43"/>
  <c r="BN123" i="43"/>
  <c r="BI341" i="43" l="1"/>
  <c r="BK341" i="43"/>
  <c r="BP190" i="15"/>
  <c r="BP11" i="15"/>
  <c r="BP195" i="15"/>
  <c r="BP16" i="15" s="1"/>
  <c r="BP17" i="15" s="1"/>
  <c r="BI144" i="43"/>
  <c r="BI228" i="43" s="1"/>
  <c r="BH232" i="43"/>
  <c r="BH234" i="43" s="1"/>
  <c r="BH235" i="43" s="1"/>
  <c r="H64" i="45"/>
  <c r="H68" i="45" s="1"/>
  <c r="H69" i="45" s="1"/>
  <c r="BH157" i="43"/>
  <c r="BQ97" i="43"/>
  <c r="BQ51" i="43"/>
  <c r="J29" i="45"/>
  <c r="BN333" i="43"/>
  <c r="BJ344" i="43"/>
  <c r="BH149" i="43"/>
  <c r="BH147" i="43"/>
  <c r="BJ151" i="43"/>
  <c r="BX13" i="15"/>
  <c r="BX12" i="15"/>
  <c r="BK327" i="43"/>
  <c r="BK329" i="43" s="1"/>
  <c r="H46" i="45"/>
  <c r="H50" i="45" s="1"/>
  <c r="H57" i="45" s="1"/>
  <c r="BH177" i="43"/>
  <c r="BH178" i="43" s="1"/>
  <c r="BH179" i="43" s="1"/>
  <c r="BK176" i="43"/>
  <c r="BI176" i="43"/>
  <c r="BH156" i="43"/>
  <c r="BG156" i="43" s="1"/>
  <c r="BG177" i="43" s="1"/>
  <c r="BG178" i="43" s="1"/>
  <c r="BH204" i="43"/>
  <c r="BH217" i="43" s="1"/>
  <c r="BH218" i="43" s="1"/>
  <c r="BX52" i="43"/>
  <c r="BX100" i="43" s="1"/>
  <c r="BX54" i="43"/>
  <c r="I31" i="45"/>
  <c r="BK129" i="43"/>
  <c r="BO343" i="43"/>
  <c r="BO295" i="43"/>
  <c r="BO299" i="43" s="1"/>
  <c r="BO301" i="43" s="1"/>
  <c r="BT116" i="15"/>
  <c r="BT115" i="15"/>
  <c r="BJ74" i="43"/>
  <c r="BJ77" i="43"/>
  <c r="BK73" i="43"/>
  <c r="BK74" i="43" s="1"/>
  <c r="BL313" i="43"/>
  <c r="BL305" i="43" s="1"/>
  <c r="BT138" i="15"/>
  <c r="BT139" i="15" s="1"/>
  <c r="BS139" i="15"/>
  <c r="BO333" i="43"/>
  <c r="BO129" i="43"/>
  <c r="CA148" i="15"/>
  <c r="CA187" i="15"/>
  <c r="CA189" i="15" s="1"/>
  <c r="CA48" i="43"/>
  <c r="BQ190" i="15"/>
  <c r="BQ195" i="15"/>
  <c r="BQ16" i="15" s="1"/>
  <c r="BQ17" i="15" s="1"/>
  <c r="BQ11" i="15"/>
  <c r="BH310" i="43"/>
  <c r="S35" i="45" s="1"/>
  <c r="BH309" i="43"/>
  <c r="H19" i="45"/>
  <c r="BH315" i="43"/>
  <c r="S36" i="45" s="1"/>
  <c r="H57" i="44"/>
  <c r="H64" i="44" s="1"/>
  <c r="BO74" i="43"/>
  <c r="BO77" i="43"/>
  <c r="BS142" i="15"/>
  <c r="BS143" i="15"/>
  <c r="BS144" i="15"/>
  <c r="BM111" i="43"/>
  <c r="BN109" i="43"/>
  <c r="BJ343" i="43"/>
  <c r="BJ295" i="43"/>
  <c r="BJ299" i="43" s="1"/>
  <c r="BJ301" i="43" s="1"/>
  <c r="BP52" i="43"/>
  <c r="BP100" i="43" s="1"/>
  <c r="BP54" i="43"/>
  <c r="BG236" i="43"/>
  <c r="BG274" i="43"/>
  <c r="BI344" i="43"/>
  <c r="BK142" i="43"/>
  <c r="BI241" i="43"/>
  <c r="BU103" i="43"/>
  <c r="BU35" i="43"/>
  <c r="I14" i="45"/>
  <c r="I17" i="45" s="1"/>
  <c r="BK81" i="43"/>
  <c r="BW122" i="15"/>
  <c r="BV123" i="15"/>
  <c r="BR113" i="43"/>
  <c r="BR69" i="43"/>
  <c r="BU107" i="43"/>
  <c r="H70" i="45" l="1"/>
  <c r="BI146" i="43"/>
  <c r="BI149" i="43" s="1"/>
  <c r="BI200" i="43" s="1"/>
  <c r="BG159" i="43"/>
  <c r="BG269" i="43" s="1"/>
  <c r="BI232" i="43"/>
  <c r="BI234" i="43" s="1"/>
  <c r="BJ144" i="43"/>
  <c r="BJ228" i="43" s="1"/>
  <c r="BI157" i="43"/>
  <c r="BK343" i="43"/>
  <c r="BK295" i="43"/>
  <c r="BK299" i="43" s="1"/>
  <c r="BK241" i="43"/>
  <c r="BG267" i="43"/>
  <c r="BG245" i="43"/>
  <c r="BT144" i="15"/>
  <c r="BO151" i="43"/>
  <c r="BV124" i="15"/>
  <c r="BW123" i="15"/>
  <c r="BV135" i="15"/>
  <c r="BK344" i="43"/>
  <c r="I38" i="45"/>
  <c r="BN111" i="43"/>
  <c r="BM112" i="43"/>
  <c r="BO296" i="43"/>
  <c r="BO300" i="43" s="1"/>
  <c r="BK151" i="43"/>
  <c r="I34" i="45"/>
  <c r="U23" i="45"/>
  <c r="U24" i="45" s="1"/>
  <c r="BJ296" i="43"/>
  <c r="BJ300" i="43" s="1"/>
  <c r="BK77" i="43"/>
  <c r="BK296" i="43" s="1"/>
  <c r="BK300" i="43" s="1"/>
  <c r="BU109" i="43"/>
  <c r="BH236" i="43"/>
  <c r="BH274" i="43"/>
  <c r="S47" i="45" s="1"/>
  <c r="BP101" i="43"/>
  <c r="BP44" i="43"/>
  <c r="BP60" i="43"/>
  <c r="BQ54" i="43"/>
  <c r="BQ101" i="43" s="1"/>
  <c r="BT143" i="15"/>
  <c r="BQ13" i="15"/>
  <c r="BQ12" i="15"/>
  <c r="CA190" i="15"/>
  <c r="CA11" i="15"/>
  <c r="CA195" i="15"/>
  <c r="CA16" i="15" s="1"/>
  <c r="CA17" i="15" s="1"/>
  <c r="BX101" i="43"/>
  <c r="BX60" i="43"/>
  <c r="BX44" i="43"/>
  <c r="F148" i="44"/>
  <c r="BQ52" i="43"/>
  <c r="BH159" i="43"/>
  <c r="BH167" i="43"/>
  <c r="CA97" i="43"/>
  <c r="CA51" i="43"/>
  <c r="BR125" i="43"/>
  <c r="BI345" i="43"/>
  <c r="BI346" i="43" s="1"/>
  <c r="BJ341" i="43" s="1"/>
  <c r="BI244" i="43"/>
  <c r="BJ241" i="43"/>
  <c r="BJ276" i="43" s="1"/>
  <c r="BI276" i="43"/>
  <c r="BT142" i="15"/>
  <c r="BS145" i="15"/>
  <c r="BL311" i="43"/>
  <c r="BL307" i="43"/>
  <c r="BL323" i="43"/>
  <c r="BI180" i="43"/>
  <c r="BK130" i="43"/>
  <c r="BP12" i="15"/>
  <c r="BP13" i="15"/>
  <c r="BT145" i="15" l="1"/>
  <c r="BG268" i="43"/>
  <c r="BG275" i="43" s="1"/>
  <c r="BG163" i="43"/>
  <c r="BG160" i="43"/>
  <c r="BG270" i="43"/>
  <c r="BQ100" i="43"/>
  <c r="BL315" i="43"/>
  <c r="BL310" i="43"/>
  <c r="BL309" i="43"/>
  <c r="BT147" i="15"/>
  <c r="BT148" i="15" s="1"/>
  <c r="BI156" i="43"/>
  <c r="BI159" i="43" s="1"/>
  <c r="BI177" i="43"/>
  <c r="BI178" i="43" s="1"/>
  <c r="BJ176" i="43"/>
  <c r="BI204" i="43"/>
  <c r="BI217" i="43" s="1"/>
  <c r="BH160" i="43"/>
  <c r="BH268" i="43"/>
  <c r="BH275" i="43" s="1"/>
  <c r="BH270" i="43"/>
  <c r="S41" i="45" s="1"/>
  <c r="S40" i="45"/>
  <c r="BH163" i="43"/>
  <c r="S44" i="45" s="1"/>
  <c r="BH269" i="43"/>
  <c r="S42" i="45" s="1"/>
  <c r="BX61" i="43"/>
  <c r="BX43" i="43"/>
  <c r="BX162" i="43"/>
  <c r="BX68" i="43"/>
  <c r="CA12" i="15"/>
  <c r="CA13" i="15"/>
  <c r="BU111" i="43"/>
  <c r="BU112" i="43" s="1"/>
  <c r="BJ314" i="43"/>
  <c r="BJ302" i="43"/>
  <c r="BJ305" i="43"/>
  <c r="BJ232" i="43"/>
  <c r="BJ234" i="43" s="1"/>
  <c r="BJ157" i="43"/>
  <c r="BK228" i="43"/>
  <c r="BM69" i="43"/>
  <c r="BN112" i="43"/>
  <c r="BM113" i="43"/>
  <c r="BK345" i="43"/>
  <c r="BK346" i="43" s="1"/>
  <c r="BK244" i="43"/>
  <c r="I73" i="45"/>
  <c r="I75" i="45" s="1"/>
  <c r="BK276" i="43"/>
  <c r="T48" i="45" s="1"/>
  <c r="BI182" i="43"/>
  <c r="BP104" i="43"/>
  <c r="BP45" i="43"/>
  <c r="BQ45" i="43" s="1"/>
  <c r="BQ44" i="43"/>
  <c r="BQ104" i="43" s="1"/>
  <c r="I33" i="45"/>
  <c r="T34" i="45"/>
  <c r="BK301" i="43"/>
  <c r="I18" i="45"/>
  <c r="BK144" i="43"/>
  <c r="BJ146" i="43"/>
  <c r="CA52" i="43"/>
  <c r="CA100" i="43" s="1"/>
  <c r="CA54" i="43"/>
  <c r="BP162" i="43"/>
  <c r="BP61" i="43"/>
  <c r="BP70" i="43" s="1"/>
  <c r="BP123" i="43" s="1"/>
  <c r="BP68" i="43"/>
  <c r="BP43" i="43"/>
  <c r="BQ60" i="43"/>
  <c r="BI167" i="43"/>
  <c r="BL325" i="43"/>
  <c r="BM327" i="43" s="1"/>
  <c r="BS108" i="43"/>
  <c r="BT108" i="43" s="1"/>
  <c r="BS56" i="43"/>
  <c r="BT56" i="43" s="1"/>
  <c r="BS147" i="15"/>
  <c r="BJ345" i="43"/>
  <c r="BJ346" i="43" s="1"/>
  <c r="BJ244" i="43"/>
  <c r="BI166" i="43"/>
  <c r="BK166" i="43"/>
  <c r="BH169" i="43"/>
  <c r="BH170" i="43" s="1"/>
  <c r="BG167" i="43"/>
  <c r="BG169" i="43" s="1"/>
  <c r="BX104" i="43"/>
  <c r="BX45" i="43"/>
  <c r="BH267" i="43"/>
  <c r="BH245" i="43"/>
  <c r="I15" i="45"/>
  <c r="T29" i="45"/>
  <c r="D149" i="44"/>
  <c r="BK302" i="43"/>
  <c r="T33" i="45" s="1"/>
  <c r="BK314" i="43"/>
  <c r="G99" i="44"/>
  <c r="G103" i="44" s="1"/>
  <c r="BO314" i="43"/>
  <c r="BO302" i="43"/>
  <c r="BW135" i="15"/>
  <c r="BV134" i="15"/>
  <c r="BV115" i="15" s="1"/>
  <c r="BK246" i="43" l="1"/>
  <c r="BP333" i="43"/>
  <c r="BQ123" i="43"/>
  <c r="BJ311" i="43"/>
  <c r="BJ307" i="43"/>
  <c r="BJ323" i="43"/>
  <c r="BK305" i="43"/>
  <c r="BV114" i="15"/>
  <c r="BM329" i="43"/>
  <c r="BM142" i="43" s="1"/>
  <c r="BQ61" i="43"/>
  <c r="BQ162" i="43"/>
  <c r="I48" i="44"/>
  <c r="I64" i="45"/>
  <c r="I68" i="45" s="1"/>
  <c r="I69" i="45" s="1"/>
  <c r="BK232" i="43"/>
  <c r="BK234" i="43" s="1"/>
  <c r="BK235" i="43" s="1"/>
  <c r="BK157" i="43"/>
  <c r="BI236" i="43"/>
  <c r="BI274" i="43"/>
  <c r="BI270" i="43"/>
  <c r="BI163" i="43"/>
  <c r="BI268" i="43"/>
  <c r="BI275" i="43" s="1"/>
  <c r="BI269" i="43"/>
  <c r="BI160" i="43"/>
  <c r="CA101" i="43"/>
  <c r="CA44" i="43"/>
  <c r="CA60" i="43"/>
  <c r="BS148" i="15"/>
  <c r="BS187" i="15"/>
  <c r="BS48" i="43"/>
  <c r="BP103" i="43"/>
  <c r="BP35" i="43"/>
  <c r="BQ35" i="43" s="1"/>
  <c r="BQ43" i="43"/>
  <c r="BQ70" i="43"/>
  <c r="BR70" i="43"/>
  <c r="BJ149" i="43"/>
  <c r="BJ200" i="43" s="1"/>
  <c r="BX103" i="43"/>
  <c r="BX35" i="43"/>
  <c r="BJ180" i="43"/>
  <c r="BP107" i="43"/>
  <c r="BQ68" i="43"/>
  <c r="BL341" i="43"/>
  <c r="BN341" i="43"/>
  <c r="BM125" i="43"/>
  <c r="BN69" i="43"/>
  <c r="BM72" i="43"/>
  <c r="J6" i="44"/>
  <c r="J5" i="44"/>
  <c r="J8" i="44"/>
  <c r="J7" i="44"/>
  <c r="BJ166" i="43"/>
  <c r="BI169" i="43"/>
  <c r="I40" i="45"/>
  <c r="I42" i="45" s="1"/>
  <c r="I43" i="45" s="1"/>
  <c r="BK146" i="43"/>
  <c r="BK149" i="43" s="1"/>
  <c r="BN113" i="43"/>
  <c r="BN110" i="43"/>
  <c r="U37" i="45" s="1"/>
  <c r="BU113" i="43"/>
  <c r="BU69" i="43"/>
  <c r="BX107" i="43"/>
  <c r="CA162" i="43" l="1"/>
  <c r="CA61" i="43"/>
  <c r="CA43" i="43"/>
  <c r="CA68" i="43"/>
  <c r="BV116" i="15"/>
  <c r="BW114" i="15"/>
  <c r="BV138" i="15"/>
  <c r="BY122" i="15"/>
  <c r="BN125" i="43"/>
  <c r="BM129" i="43"/>
  <c r="BP109" i="43"/>
  <c r="BQ107" i="43"/>
  <c r="BU125" i="43"/>
  <c r="BJ204" i="43"/>
  <c r="BJ217" i="43" s="1"/>
  <c r="BK200" i="43"/>
  <c r="BM81" i="43"/>
  <c r="BM73" i="43"/>
  <c r="BN72" i="43"/>
  <c r="BK167" i="43"/>
  <c r="BK311" i="43"/>
  <c r="BK307" i="43"/>
  <c r="BK313" i="43"/>
  <c r="BM313" i="43" s="1"/>
  <c r="J13" i="45"/>
  <c r="I49" i="44"/>
  <c r="BS97" i="43"/>
  <c r="BS51" i="43"/>
  <c r="BT48" i="43"/>
  <c r="CA104" i="43"/>
  <c r="CA45" i="43"/>
  <c r="I51" i="44"/>
  <c r="I57" i="44"/>
  <c r="I64" i="44" s="1"/>
  <c r="BM344" i="43"/>
  <c r="BJ325" i="43"/>
  <c r="BL327" i="43" s="1"/>
  <c r="BK323" i="43"/>
  <c r="BK325" i="43" s="1"/>
  <c r="BJ182" i="43"/>
  <c r="BK180" i="43"/>
  <c r="BK182" i="43" s="1"/>
  <c r="BR123" i="43"/>
  <c r="BR72" i="43"/>
  <c r="BQ333" i="43"/>
  <c r="BX109" i="43"/>
  <c r="BK147" i="43"/>
  <c r="F147" i="44"/>
  <c r="BQ103" i="43"/>
  <c r="BS189" i="15"/>
  <c r="BT187" i="15"/>
  <c r="BT189" i="15" s="1"/>
  <c r="BI245" i="43"/>
  <c r="BI267" i="43"/>
  <c r="BJ309" i="43"/>
  <c r="BJ315" i="43"/>
  <c r="BJ310" i="43"/>
  <c r="BR129" i="43" l="1"/>
  <c r="BR333" i="43"/>
  <c r="BV139" i="15"/>
  <c r="BW138" i="15"/>
  <c r="BW139" i="15" s="1"/>
  <c r="BT195" i="15"/>
  <c r="BT16" i="15" s="1"/>
  <c r="BT17" i="15" s="1"/>
  <c r="BT190" i="15"/>
  <c r="BT11" i="15"/>
  <c r="BR81" i="43"/>
  <c r="BR73" i="43"/>
  <c r="BS52" i="43"/>
  <c r="BS100" i="43" s="1"/>
  <c r="BS54" i="43"/>
  <c r="BM343" i="43"/>
  <c r="BM295" i="43"/>
  <c r="BM299" i="43" s="1"/>
  <c r="BM301" i="43" s="1"/>
  <c r="BZ122" i="15"/>
  <c r="BY123" i="15"/>
  <c r="BS11" i="15"/>
  <c r="BS190" i="15"/>
  <c r="BS195" i="15"/>
  <c r="BS16" i="15" s="1"/>
  <c r="BS17" i="15" s="1"/>
  <c r="BJ167" i="43"/>
  <c r="BJ169" i="43" s="1"/>
  <c r="BN166" i="43"/>
  <c r="BL166" i="43"/>
  <c r="BK169" i="43"/>
  <c r="BK170" i="43" s="1"/>
  <c r="BP111" i="43"/>
  <c r="BQ109" i="43"/>
  <c r="BX111" i="43"/>
  <c r="BX112" i="43" s="1"/>
  <c r="BL329" i="43"/>
  <c r="BL142" i="43" s="1"/>
  <c r="BN327" i="43"/>
  <c r="BN329" i="43" s="1"/>
  <c r="I19" i="45"/>
  <c r="BK315" i="43"/>
  <c r="T36" i="45" s="1"/>
  <c r="BK309" i="43"/>
  <c r="BK310" i="43"/>
  <c r="T35" i="45" s="1"/>
  <c r="J14" i="45"/>
  <c r="J17" i="45" s="1"/>
  <c r="BN81" i="43"/>
  <c r="BL176" i="43"/>
  <c r="BN176" i="43"/>
  <c r="BK177" i="43"/>
  <c r="BK178" i="43" s="1"/>
  <c r="BK179" i="43" s="1"/>
  <c r="BK204" i="43"/>
  <c r="BK217" i="43" s="1"/>
  <c r="BK218" i="43" s="1"/>
  <c r="I46" i="45"/>
  <c r="I50" i="45" s="1"/>
  <c r="I57" i="45" s="1"/>
  <c r="I70" i="45" s="1"/>
  <c r="BK156" i="43"/>
  <c r="BM151" i="43"/>
  <c r="BW115" i="15"/>
  <c r="BW116" i="15"/>
  <c r="CA103" i="43"/>
  <c r="CA35" i="43"/>
  <c r="BO313" i="43"/>
  <c r="BO305" i="43" s="1"/>
  <c r="CA107" i="43"/>
  <c r="BT97" i="43"/>
  <c r="BT51" i="43"/>
  <c r="BT52" i="43" s="1"/>
  <c r="BM74" i="43"/>
  <c r="BM77" i="43"/>
  <c r="BN73" i="43"/>
  <c r="BN74" i="43" s="1"/>
  <c r="BJ236" i="43"/>
  <c r="BJ274" i="43"/>
  <c r="J31" i="45"/>
  <c r="BN129" i="43"/>
  <c r="BV144" i="15"/>
  <c r="BV143" i="15"/>
  <c r="BV142" i="15"/>
  <c r="BW143" i="15" l="1"/>
  <c r="BX113" i="43"/>
  <c r="BX69" i="43"/>
  <c r="BW144" i="15"/>
  <c r="BW142" i="15"/>
  <c r="BV145" i="15"/>
  <c r="BJ156" i="43"/>
  <c r="BK159" i="43"/>
  <c r="BL344" i="43"/>
  <c r="BN142" i="43"/>
  <c r="BN241" i="43" s="1"/>
  <c r="BL241" i="43"/>
  <c r="BL144" i="43"/>
  <c r="BL228" i="43" s="1"/>
  <c r="BQ111" i="43"/>
  <c r="BP112" i="43"/>
  <c r="BR74" i="43"/>
  <c r="BR77" i="43"/>
  <c r="BT13" i="15"/>
  <c r="BT12" i="15"/>
  <c r="BO307" i="43"/>
  <c r="BO323" i="43"/>
  <c r="BO311" i="43"/>
  <c r="BL180" i="43"/>
  <c r="BS101" i="43"/>
  <c r="BS60" i="43"/>
  <c r="BS44" i="43"/>
  <c r="BT54" i="43"/>
  <c r="BT101" i="43" s="1"/>
  <c r="CA109" i="43"/>
  <c r="BK236" i="43"/>
  <c r="BK274" i="43"/>
  <c r="T47" i="45" s="1"/>
  <c r="BS12" i="15"/>
  <c r="BS13" i="15"/>
  <c r="BR151" i="43"/>
  <c r="BJ245" i="43"/>
  <c r="BJ267" i="43"/>
  <c r="BN343" i="43"/>
  <c r="BN295" i="43"/>
  <c r="BN299" i="43" s="1"/>
  <c r="BN151" i="43"/>
  <c r="J34" i="45"/>
  <c r="BM296" i="43"/>
  <c r="BM300" i="43" s="1"/>
  <c r="BN77" i="43"/>
  <c r="BN296" i="43" s="1"/>
  <c r="BN300" i="43" s="1"/>
  <c r="BT100" i="43"/>
  <c r="BN130" i="43"/>
  <c r="BY124" i="15"/>
  <c r="BZ123" i="15"/>
  <c r="BY135" i="15"/>
  <c r="BR295" i="43"/>
  <c r="BR299" i="43" s="1"/>
  <c r="BR301" i="43" s="1"/>
  <c r="BR343" i="43"/>
  <c r="BN244" i="43" l="1"/>
  <c r="J73" i="45"/>
  <c r="J75" i="45" s="1"/>
  <c r="BN276" i="43"/>
  <c r="U48" i="45" s="1"/>
  <c r="BY134" i="15"/>
  <c r="BY115" i="15" s="1"/>
  <c r="BZ135" i="15"/>
  <c r="BN301" i="43"/>
  <c r="J18" i="45"/>
  <c r="BS162" i="43"/>
  <c r="BS61" i="43"/>
  <c r="BS70" i="43" s="1"/>
  <c r="BS123" i="43" s="1"/>
  <c r="BS43" i="43"/>
  <c r="BS68" i="43"/>
  <c r="BT60" i="43"/>
  <c r="BP69" i="43"/>
  <c r="BP113" i="43"/>
  <c r="BQ112" i="43"/>
  <c r="BS45" i="43"/>
  <c r="BT45" i="43" s="1"/>
  <c r="BS104" i="43"/>
  <c r="BT44" i="43"/>
  <c r="BT104" i="43" s="1"/>
  <c r="BL182" i="43"/>
  <c r="BL345" i="43"/>
  <c r="BL346" i="43" s="1"/>
  <c r="BM341" i="43" s="1"/>
  <c r="BL244" i="43"/>
  <c r="BM241" i="43"/>
  <c r="BM276" i="43" s="1"/>
  <c r="BL276" i="43"/>
  <c r="BX125" i="43"/>
  <c r="CA111" i="43"/>
  <c r="CA112" i="43" s="1"/>
  <c r="BN344" i="43"/>
  <c r="BN345" i="43" s="1"/>
  <c r="BN346" i="43" s="1"/>
  <c r="J38" i="45"/>
  <c r="J15" i="45"/>
  <c r="BN302" i="43"/>
  <c r="U33" i="45" s="1"/>
  <c r="BN314" i="43"/>
  <c r="E149" i="44"/>
  <c r="H99" i="44"/>
  <c r="H103" i="44" s="1"/>
  <c r="U29" i="45"/>
  <c r="BO325" i="43"/>
  <c r="BP327" i="43" s="1"/>
  <c r="BR296" i="43"/>
  <c r="BR300" i="43" s="1"/>
  <c r="BL146" i="43"/>
  <c r="BJ177" i="43"/>
  <c r="BJ178" i="43" s="1"/>
  <c r="BJ159" i="43"/>
  <c r="BV108" i="43"/>
  <c r="BW108" i="43" s="1"/>
  <c r="BV56" i="43"/>
  <c r="BW56" i="43" s="1"/>
  <c r="BV147" i="15"/>
  <c r="U34" i="45"/>
  <c r="J33" i="45"/>
  <c r="BK268" i="43"/>
  <c r="BK275" i="43" s="1"/>
  <c r="T40" i="45"/>
  <c r="BK270" i="43"/>
  <c r="T41" i="45" s="1"/>
  <c r="BK269" i="43"/>
  <c r="T42" i="45" s="1"/>
  <c r="BK160" i="43"/>
  <c r="BK163" i="43"/>
  <c r="T44" i="45" s="1"/>
  <c r="BM314" i="43"/>
  <c r="BM302" i="43"/>
  <c r="BM305" i="43"/>
  <c r="BK245" i="43"/>
  <c r="BK267" i="43"/>
  <c r="BO309" i="43"/>
  <c r="BO310" i="43"/>
  <c r="BO315" i="43"/>
  <c r="BL232" i="43"/>
  <c r="BL234" i="43" s="1"/>
  <c r="BM144" i="43"/>
  <c r="BL157" i="43"/>
  <c r="BW145" i="15"/>
  <c r="BO341" i="43" l="1"/>
  <c r="BQ341" i="43"/>
  <c r="BN144" i="43"/>
  <c r="BM146" i="43"/>
  <c r="BM149" i="43" s="1"/>
  <c r="BV148" i="15"/>
  <c r="BV187" i="15"/>
  <c r="BV48" i="43"/>
  <c r="BL167" i="43"/>
  <c r="BM311" i="43"/>
  <c r="BM307" i="43"/>
  <c r="BN305" i="43"/>
  <c r="BM323" i="43"/>
  <c r="BJ268" i="43"/>
  <c r="BJ275" i="43" s="1"/>
  <c r="BJ269" i="43"/>
  <c r="BJ163" i="43"/>
  <c r="BJ160" i="43"/>
  <c r="BJ270" i="43"/>
  <c r="BR314" i="43"/>
  <c r="BR302" i="43"/>
  <c r="CA113" i="43"/>
  <c r="CA69" i="43"/>
  <c r="BY114" i="15"/>
  <c r="BW147" i="15"/>
  <c r="BW148" i="15" s="1"/>
  <c r="BP329" i="43"/>
  <c r="BP142" i="43" s="1"/>
  <c r="BS333" i="43"/>
  <c r="BT123" i="43"/>
  <c r="BP125" i="43"/>
  <c r="BQ69" i="43"/>
  <c r="BP72" i="43"/>
  <c r="BL149" i="43"/>
  <c r="BL200" i="43" s="1"/>
  <c r="BT61" i="43"/>
  <c r="BT162" i="43"/>
  <c r="J48" i="44"/>
  <c r="BS103" i="43"/>
  <c r="BS35" i="43"/>
  <c r="BT35" i="43" s="1"/>
  <c r="BT43" i="43"/>
  <c r="BT103" i="43" s="1"/>
  <c r="BM228" i="43"/>
  <c r="BM244" i="43"/>
  <c r="BN246" i="43" s="1"/>
  <c r="BM345" i="43"/>
  <c r="BM346" i="43" s="1"/>
  <c r="BQ110" i="43"/>
  <c r="BQ113" i="43"/>
  <c r="BS107" i="43"/>
  <c r="BT68" i="43"/>
  <c r="BT70" i="43"/>
  <c r="BU70" i="43"/>
  <c r="CA125" i="43" l="1"/>
  <c r="BN311" i="43"/>
  <c r="BN307" i="43"/>
  <c r="BN313" i="43"/>
  <c r="BP313" i="43" s="1"/>
  <c r="BM166" i="43"/>
  <c r="BL169" i="43"/>
  <c r="BW187" i="15"/>
  <c r="BW189" i="15" s="1"/>
  <c r="BV189" i="15"/>
  <c r="BP81" i="43"/>
  <c r="BP73" i="43"/>
  <c r="BQ72" i="43"/>
  <c r="BM325" i="43"/>
  <c r="BO327" i="43" s="1"/>
  <c r="BN323" i="43"/>
  <c r="BN325" i="43" s="1"/>
  <c r="BV97" i="43"/>
  <c r="BV51" i="43"/>
  <c r="BW48" i="43"/>
  <c r="J40" i="45"/>
  <c r="J42" i="45" s="1"/>
  <c r="J43" i="45" s="1"/>
  <c r="BN146" i="43"/>
  <c r="BM232" i="43"/>
  <c r="BM234" i="43" s="1"/>
  <c r="BM157" i="43"/>
  <c r="BN228" i="43"/>
  <c r="BL177" i="43"/>
  <c r="BL178" i="43" s="1"/>
  <c r="BL156" i="43"/>
  <c r="BL159" i="43" s="1"/>
  <c r="BL204" i="43"/>
  <c r="BL217" i="43" s="1"/>
  <c r="BM176" i="43"/>
  <c r="BM200" i="43"/>
  <c r="BQ125" i="43"/>
  <c r="BQ129" i="43" s="1"/>
  <c r="BP129" i="43"/>
  <c r="BP344" i="43"/>
  <c r="BM315" i="43"/>
  <c r="BM310" i="43"/>
  <c r="BM309" i="43"/>
  <c r="BU123" i="43"/>
  <c r="BU72" i="43"/>
  <c r="BS109" i="43"/>
  <c r="BT107" i="43"/>
  <c r="J49" i="44"/>
  <c r="J51" i="44" s="1"/>
  <c r="BT333" i="43"/>
  <c r="BY116" i="15"/>
  <c r="BY138" i="15"/>
  <c r="BZ114" i="15"/>
  <c r="CB122" i="15"/>
  <c r="J57" i="44" l="1"/>
  <c r="J64" i="44" s="1"/>
  <c r="BZ116" i="15"/>
  <c r="BZ115" i="15"/>
  <c r="BU81" i="43"/>
  <c r="BU73" i="43"/>
  <c r="BM180" i="43"/>
  <c r="CC122" i="15"/>
  <c r="CB123" i="15"/>
  <c r="BS111" i="43"/>
  <c r="BT109" i="43"/>
  <c r="BM204" i="43"/>
  <c r="BM217" i="43" s="1"/>
  <c r="BN200" i="43"/>
  <c r="BW97" i="43"/>
  <c r="BW51" i="43"/>
  <c r="BW52" i="43" s="1"/>
  <c r="BO329" i="43"/>
  <c r="BO142" i="43" s="1"/>
  <c r="BO144" i="43" s="1"/>
  <c r="BO228" i="43" s="1"/>
  <c r="BQ327" i="43"/>
  <c r="BQ329" i="43" s="1"/>
  <c r="BV195" i="15"/>
  <c r="BV16" i="15" s="1"/>
  <c r="BV17" i="15" s="1"/>
  <c r="BV190" i="15"/>
  <c r="BV11" i="15"/>
  <c r="BR313" i="43"/>
  <c r="BR305" i="43" s="1"/>
  <c r="BW190" i="15"/>
  <c r="BW11" i="15"/>
  <c r="BW195" i="15"/>
  <c r="BW16" i="15" s="1"/>
  <c r="BW17" i="15" s="1"/>
  <c r="J19" i="45"/>
  <c r="BN315" i="43"/>
  <c r="U36" i="45" s="1"/>
  <c r="BN309" i="43"/>
  <c r="BN310" i="43"/>
  <c r="U35" i="45" s="1"/>
  <c r="BZ138" i="15"/>
  <c r="BZ139" i="15" s="1"/>
  <c r="BY139" i="15"/>
  <c r="BU129" i="43"/>
  <c r="BU333" i="43"/>
  <c r="BP151" i="43"/>
  <c r="BQ130" i="43"/>
  <c r="BL236" i="43"/>
  <c r="BL274" i="43"/>
  <c r="BN149" i="43"/>
  <c r="BN147" i="43"/>
  <c r="BP77" i="43"/>
  <c r="BP74" i="43"/>
  <c r="BQ73" i="43"/>
  <c r="BQ74" i="43" s="1"/>
  <c r="BV52" i="43"/>
  <c r="BV100" i="43" s="1"/>
  <c r="BV54" i="43"/>
  <c r="BQ81" i="43"/>
  <c r="BY144" i="15"/>
  <c r="BY143" i="15"/>
  <c r="BY142" i="15"/>
  <c r="BQ151" i="43"/>
  <c r="BL270" i="43"/>
  <c r="BL268" i="43"/>
  <c r="BL275" i="43" s="1"/>
  <c r="BL160" i="43"/>
  <c r="BL163" i="43"/>
  <c r="BL269" i="43"/>
  <c r="J64" i="45"/>
  <c r="J68" i="45" s="1"/>
  <c r="J69" i="45" s="1"/>
  <c r="BN232" i="43"/>
  <c r="BN234" i="43" s="1"/>
  <c r="BN235" i="43" s="1"/>
  <c r="BN157" i="43"/>
  <c r="BP343" i="43"/>
  <c r="BP295" i="43"/>
  <c r="BP299" i="43" s="1"/>
  <c r="BP301" i="43" s="1"/>
  <c r="BN167" i="43" l="1"/>
  <c r="BQ295" i="43"/>
  <c r="BQ299" i="43" s="1"/>
  <c r="BQ301" i="43" s="1"/>
  <c r="BQ343" i="43"/>
  <c r="BV12" i="15"/>
  <c r="BV13" i="15"/>
  <c r="BQ142" i="43"/>
  <c r="BO344" i="43"/>
  <c r="BO146" i="43"/>
  <c r="BO241" i="43"/>
  <c r="BN156" i="43"/>
  <c r="BM156" i="43" s="1"/>
  <c r="BN204" i="43"/>
  <c r="BN217" i="43" s="1"/>
  <c r="BN218" i="43" s="1"/>
  <c r="BO176" i="43"/>
  <c r="BN177" i="43"/>
  <c r="BN178" i="43" s="1"/>
  <c r="BN179" i="43" s="1"/>
  <c r="J46" i="45"/>
  <c r="J50" i="45" s="1"/>
  <c r="J57" i="45" s="1"/>
  <c r="J70" i="45" s="1"/>
  <c r="BQ176" i="43"/>
  <c r="CC123" i="15"/>
  <c r="CB124" i="15"/>
  <c r="CB135" i="15"/>
  <c r="BM182" i="43"/>
  <c r="BN180" i="43"/>
  <c r="BN182" i="43" s="1"/>
  <c r="BZ142" i="15"/>
  <c r="BY145" i="15"/>
  <c r="BW100" i="43"/>
  <c r="BM236" i="43"/>
  <c r="BM274" i="43"/>
  <c r="BU343" i="43"/>
  <c r="BU295" i="43"/>
  <c r="BU299" i="43" s="1"/>
  <c r="BU301" i="43" s="1"/>
  <c r="BP144" i="43"/>
  <c r="BO232" i="43"/>
  <c r="BO234" i="43" s="1"/>
  <c r="BO157" i="43"/>
  <c r="BZ143" i="15"/>
  <c r="BV44" i="43"/>
  <c r="BV101" i="43"/>
  <c r="BV60" i="43"/>
  <c r="BW54" i="43"/>
  <c r="BW101" i="43" s="1"/>
  <c r="BP296" i="43"/>
  <c r="BP300" i="43" s="1"/>
  <c r="BQ77" i="43"/>
  <c r="BQ296" i="43" s="1"/>
  <c r="BQ300" i="43" s="1"/>
  <c r="BL245" i="43"/>
  <c r="BL267" i="43"/>
  <c r="BU151" i="43"/>
  <c r="BW13" i="15"/>
  <c r="BW12" i="15"/>
  <c r="BZ144" i="15"/>
  <c r="BR311" i="43"/>
  <c r="BR307" i="43"/>
  <c r="BR323" i="43"/>
  <c r="BS112" i="43"/>
  <c r="BT111" i="43"/>
  <c r="BU74" i="43"/>
  <c r="BU77" i="43"/>
  <c r="BR325" i="43" l="1"/>
  <c r="BS327" i="43" s="1"/>
  <c r="BZ145" i="15"/>
  <c r="BM177" i="43"/>
  <c r="BM178" i="43" s="1"/>
  <c r="BM159" i="43"/>
  <c r="BQ344" i="43"/>
  <c r="BV61" i="43"/>
  <c r="BV70" i="43" s="1"/>
  <c r="BV43" i="43"/>
  <c r="BV162" i="43"/>
  <c r="BV68" i="43"/>
  <c r="BW60" i="43"/>
  <c r="BO244" i="43"/>
  <c r="BP241" i="43"/>
  <c r="BO345" i="43"/>
  <c r="BO276" i="43"/>
  <c r="BQ314" i="43"/>
  <c r="BQ302" i="43"/>
  <c r="F149" i="44"/>
  <c r="BO167" i="43"/>
  <c r="BM267" i="43"/>
  <c r="BM245" i="43"/>
  <c r="BO180" i="43"/>
  <c r="BO149" i="43"/>
  <c r="BO200" i="43" s="1"/>
  <c r="BM167" i="43"/>
  <c r="BM169" i="43" s="1"/>
  <c r="BO166" i="43"/>
  <c r="BQ166" i="43"/>
  <c r="BN169" i="43"/>
  <c r="BN170" i="43" s="1"/>
  <c r="BR309" i="43"/>
  <c r="BR310" i="43"/>
  <c r="BR315" i="43"/>
  <c r="BQ144" i="43"/>
  <c r="BQ146" i="43" s="1"/>
  <c r="BQ149" i="43" s="1"/>
  <c r="BP146" i="43"/>
  <c r="BP149" i="43" s="1"/>
  <c r="BU296" i="43"/>
  <c r="BU300" i="43" s="1"/>
  <c r="BT112" i="43"/>
  <c r="BS113" i="43"/>
  <c r="BS69" i="43"/>
  <c r="BP302" i="43"/>
  <c r="BP314" i="43"/>
  <c r="BP305" i="43"/>
  <c r="BV104" i="43"/>
  <c r="BV45" i="43"/>
  <c r="BW45" i="43" s="1"/>
  <c r="BW44" i="43"/>
  <c r="BW104" i="43" s="1"/>
  <c r="BP228" i="43"/>
  <c r="BY108" i="43"/>
  <c r="BZ108" i="43" s="1"/>
  <c r="BY56" i="43"/>
  <c r="BZ56" i="43" s="1"/>
  <c r="BY147" i="15"/>
  <c r="CB134" i="15"/>
  <c r="CB115" i="15" s="1"/>
  <c r="CB114" i="15" s="1"/>
  <c r="CC135" i="15"/>
  <c r="BN236" i="43"/>
  <c r="BN274" i="43"/>
  <c r="U47" i="45" s="1"/>
  <c r="BO346" i="43"/>
  <c r="BP341" i="43" s="1"/>
  <c r="BQ241" i="43"/>
  <c r="BN159" i="43"/>
  <c r="BP307" i="43" l="1"/>
  <c r="BP311" i="43"/>
  <c r="BQ305" i="43"/>
  <c r="BP323" i="43"/>
  <c r="BW70" i="43"/>
  <c r="BX70" i="43"/>
  <c r="BQ345" i="43"/>
  <c r="BQ346" i="43" s="1"/>
  <c r="BQ244" i="43"/>
  <c r="BQ276" i="43"/>
  <c r="BP232" i="43"/>
  <c r="BP234" i="43" s="1"/>
  <c r="BP157" i="43"/>
  <c r="BQ228" i="43"/>
  <c r="BS125" i="43"/>
  <c r="BT69" i="43"/>
  <c r="BS72" i="43"/>
  <c r="BU302" i="43"/>
  <c r="BU314" i="43"/>
  <c r="BP166" i="43"/>
  <c r="BO169" i="43"/>
  <c r="BV107" i="43"/>
  <c r="BW68" i="43"/>
  <c r="BV103" i="43"/>
  <c r="BV35" i="43"/>
  <c r="BW35" i="43" s="1"/>
  <c r="BW43" i="43"/>
  <c r="BW103" i="43" s="1"/>
  <c r="BP244" i="43"/>
  <c r="BP345" i="43"/>
  <c r="BP346" i="43" s="1"/>
  <c r="BM163" i="43"/>
  <c r="BM160" i="43"/>
  <c r="BM270" i="43"/>
  <c r="BM269" i="43"/>
  <c r="BM268" i="43"/>
  <c r="BM275" i="43" s="1"/>
  <c r="CB116" i="15"/>
  <c r="CB138" i="15"/>
  <c r="CC114" i="15"/>
  <c r="BT113" i="43"/>
  <c r="BT110" i="43"/>
  <c r="BO177" i="43"/>
  <c r="BO178" i="43" s="1"/>
  <c r="BO156" i="43"/>
  <c r="BO159" i="43" s="1"/>
  <c r="BP176" i="43"/>
  <c r="BP200" i="43"/>
  <c r="BO204" i="43"/>
  <c r="BO217" i="43" s="1"/>
  <c r="BP276" i="43"/>
  <c r="BS329" i="43"/>
  <c r="BS142" i="43" s="1"/>
  <c r="BO182" i="43"/>
  <c r="BN160" i="43"/>
  <c r="BN268" i="43"/>
  <c r="BN275" i="43" s="1"/>
  <c r="BN270" i="43"/>
  <c r="U41" i="45" s="1"/>
  <c r="U40" i="45"/>
  <c r="BN269" i="43"/>
  <c r="U42" i="45" s="1"/>
  <c r="BN163" i="43"/>
  <c r="U44" i="45" s="1"/>
  <c r="BN267" i="43"/>
  <c r="BN245" i="43"/>
  <c r="BY148" i="15"/>
  <c r="BY187" i="15"/>
  <c r="BY48" i="43"/>
  <c r="BV123" i="43"/>
  <c r="BQ147" i="43"/>
  <c r="BW61" i="43"/>
  <c r="K48" i="44"/>
  <c r="BW162" i="43"/>
  <c r="BZ147" i="15"/>
  <c r="BZ148" i="15" s="1"/>
  <c r="BQ246" i="43" l="1"/>
  <c r="BY189" i="15"/>
  <c r="BZ187" i="15"/>
  <c r="BZ189" i="15" s="1"/>
  <c r="BY97" i="43"/>
  <c r="BY51" i="43"/>
  <c r="BZ48" i="43"/>
  <c r="BP180" i="43"/>
  <c r="CB139" i="15"/>
  <c r="CC138" i="15"/>
  <c r="CC139" i="15" s="1"/>
  <c r="BV109" i="43"/>
  <c r="BW107" i="43"/>
  <c r="BQ232" i="43"/>
  <c r="BQ234" i="43" s="1"/>
  <c r="BQ235" i="43" s="1"/>
  <c r="BQ157" i="43"/>
  <c r="BT341" i="43"/>
  <c r="BR341" i="43"/>
  <c r="BQ311" i="43"/>
  <c r="BQ307" i="43"/>
  <c r="BQ313" i="43"/>
  <c r="BS313" i="43" s="1"/>
  <c r="BV333" i="43"/>
  <c r="BW123" i="43"/>
  <c r="BX123" i="43"/>
  <c r="BX72" i="43"/>
  <c r="K49" i="44"/>
  <c r="K51" i="44" s="1"/>
  <c r="K57" i="44" s="1"/>
  <c r="K64" i="44" s="1"/>
  <c r="BP309" i="43"/>
  <c r="BP315" i="43"/>
  <c r="BP310" i="43"/>
  <c r="BO160" i="43"/>
  <c r="BO163" i="43"/>
  <c r="BO269" i="43"/>
  <c r="BO270" i="43"/>
  <c r="BO268" i="43"/>
  <c r="BO275" i="43" s="1"/>
  <c r="CB144" i="15"/>
  <c r="CC144" i="15" s="1"/>
  <c r="CB142" i="15"/>
  <c r="CB143" i="15"/>
  <c r="CC143" i="15" s="1"/>
  <c r="BS73" i="43"/>
  <c r="BS81" i="43"/>
  <c r="BT72" i="43"/>
  <c r="BO236" i="43"/>
  <c r="BO274" i="43"/>
  <c r="BS344" i="43"/>
  <c r="BP204" i="43"/>
  <c r="BP217" i="43" s="1"/>
  <c r="BQ200" i="43"/>
  <c r="CC116" i="15"/>
  <c r="CC115" i="15"/>
  <c r="BT125" i="43"/>
  <c r="BT129" i="43" s="1"/>
  <c r="BS129" i="43"/>
  <c r="BP325" i="43"/>
  <c r="BR327" i="43" s="1"/>
  <c r="BQ323" i="43"/>
  <c r="BQ325" i="43" s="1"/>
  <c r="BQ204" i="43" l="1"/>
  <c r="BQ217" i="43" s="1"/>
  <c r="BQ218" i="43" s="1"/>
  <c r="BR176" i="43"/>
  <c r="BQ177" i="43"/>
  <c r="BQ178" i="43" s="1"/>
  <c r="BQ179" i="43" s="1"/>
  <c r="BT176" i="43"/>
  <c r="BQ156" i="43"/>
  <c r="BP156" i="43" s="1"/>
  <c r="BT81" i="43"/>
  <c r="BQ167" i="43"/>
  <c r="BV111" i="43"/>
  <c r="BW109" i="43"/>
  <c r="BY54" i="43"/>
  <c r="BY52" i="43"/>
  <c r="BY100" i="43" s="1"/>
  <c r="BS151" i="43"/>
  <c r="BT130" i="43"/>
  <c r="BP236" i="43"/>
  <c r="BP274" i="43"/>
  <c r="BO245" i="43"/>
  <c r="BO267" i="43"/>
  <c r="BS343" i="43"/>
  <c r="BS295" i="43"/>
  <c r="BS299" i="43" s="1"/>
  <c r="BS301" i="43" s="1"/>
  <c r="CB145" i="15"/>
  <c r="CC142" i="15"/>
  <c r="CC145" i="15" s="1"/>
  <c r="BX81" i="43"/>
  <c r="BX73" i="43"/>
  <c r="BR329" i="43"/>
  <c r="BR142" i="43" s="1"/>
  <c r="BT327" i="43"/>
  <c r="BT329" i="43" s="1"/>
  <c r="BT151" i="43"/>
  <c r="BS74" i="43"/>
  <c r="BS77" i="43"/>
  <c r="BT73" i="43"/>
  <c r="BT74" i="43" s="1"/>
  <c r="BX333" i="43"/>
  <c r="BX129" i="43"/>
  <c r="BU313" i="43"/>
  <c r="BU305" i="43" s="1"/>
  <c r="BP182" i="43"/>
  <c r="BQ180" i="43"/>
  <c r="BQ182" i="43" s="1"/>
  <c r="BZ11" i="15"/>
  <c r="BZ190" i="15"/>
  <c r="BZ195" i="15"/>
  <c r="BZ16" i="15" s="1"/>
  <c r="BZ17" i="15" s="1"/>
  <c r="BW333" i="43"/>
  <c r="BQ315" i="43"/>
  <c r="BQ310" i="43"/>
  <c r="BQ309" i="43"/>
  <c r="BZ97" i="43"/>
  <c r="BZ51" i="43"/>
  <c r="BZ52" i="43" s="1"/>
  <c r="BY190" i="15"/>
  <c r="BY11" i="15"/>
  <c r="BY195" i="15"/>
  <c r="BY16" i="15" s="1"/>
  <c r="BY17" i="15" s="1"/>
  <c r="BQ159" i="43" l="1"/>
  <c r="BQ163" i="43" s="1"/>
  <c r="BY12" i="15"/>
  <c r="BY13" i="15"/>
  <c r="BU311" i="43"/>
  <c r="BU307" i="43"/>
  <c r="BU323" i="43"/>
  <c r="BX74" i="43"/>
  <c r="BX77" i="43"/>
  <c r="BT166" i="43"/>
  <c r="BQ169" i="43"/>
  <c r="BQ170" i="43" s="1"/>
  <c r="BP167" i="43"/>
  <c r="BP169" i="43" s="1"/>
  <c r="BR166" i="43"/>
  <c r="BT343" i="43"/>
  <c r="BT295" i="43"/>
  <c r="BT299" i="43" s="1"/>
  <c r="BT301" i="43" s="1"/>
  <c r="BS296" i="43"/>
  <c r="BS300" i="43" s="1"/>
  <c r="BT77" i="43"/>
  <c r="BT296" i="43" s="1"/>
  <c r="BT300" i="43" s="1"/>
  <c r="BX343" i="43"/>
  <c r="BX295" i="43"/>
  <c r="BX299" i="43" s="1"/>
  <c r="BX301" i="43" s="1"/>
  <c r="BQ270" i="43"/>
  <c r="BX151" i="43"/>
  <c r="BR344" i="43"/>
  <c r="BT142" i="43"/>
  <c r="BR241" i="43"/>
  <c r="BR144" i="43"/>
  <c r="BR228" i="43" s="1"/>
  <c r="CC147" i="15"/>
  <c r="CC148" i="15" s="1"/>
  <c r="BP245" i="43"/>
  <c r="BP267" i="43"/>
  <c r="BR180" i="43"/>
  <c r="BZ100" i="43"/>
  <c r="BZ12" i="15"/>
  <c r="BZ13" i="15"/>
  <c r="CB108" i="43"/>
  <c r="CC108" i="43" s="1"/>
  <c r="CB56" i="43"/>
  <c r="CC56" i="43" s="1"/>
  <c r="CB147" i="15"/>
  <c r="BY101" i="43"/>
  <c r="BY44" i="43"/>
  <c r="BY60" i="43"/>
  <c r="BZ54" i="43"/>
  <c r="BZ101" i="43" s="1"/>
  <c r="BW111" i="43"/>
  <c r="BV112" i="43"/>
  <c r="BP177" i="43"/>
  <c r="BP178" i="43" s="1"/>
  <c r="BP159" i="43"/>
  <c r="BQ236" i="43"/>
  <c r="BQ274" i="43"/>
  <c r="BQ160" i="43" l="1"/>
  <c r="BQ268" i="43"/>
  <c r="BQ275" i="43" s="1"/>
  <c r="BQ269" i="43"/>
  <c r="BU325" i="43"/>
  <c r="BV327" i="43" s="1"/>
  <c r="BP269" i="43"/>
  <c r="BP163" i="43"/>
  <c r="BP160" i="43"/>
  <c r="BP268" i="43"/>
  <c r="BP275" i="43" s="1"/>
  <c r="BP270" i="43"/>
  <c r="BV113" i="43"/>
  <c r="BW112" i="43"/>
  <c r="BV69" i="43"/>
  <c r="BY45" i="43"/>
  <c r="BZ45" i="43" s="1"/>
  <c r="BY104" i="43"/>
  <c r="BZ44" i="43"/>
  <c r="BZ104" i="43" s="1"/>
  <c r="BT344" i="43"/>
  <c r="BT314" i="43"/>
  <c r="BT302" i="43"/>
  <c r="BQ267" i="43"/>
  <c r="BQ245" i="43"/>
  <c r="BR244" i="43"/>
  <c r="BR345" i="43"/>
  <c r="BR346" i="43" s="1"/>
  <c r="BS341" i="43" s="1"/>
  <c r="BS241" i="43"/>
  <c r="BR276" i="43"/>
  <c r="BU315" i="43"/>
  <c r="BU310" i="43"/>
  <c r="BU309" i="43"/>
  <c r="BR232" i="43"/>
  <c r="BR234" i="43" s="1"/>
  <c r="BS144" i="43"/>
  <c r="BS228" i="43" s="1"/>
  <c r="BR157" i="43"/>
  <c r="BS302" i="43"/>
  <c r="BS314" i="43"/>
  <c r="BS305" i="43"/>
  <c r="CB148" i="15"/>
  <c r="CB187" i="15"/>
  <c r="CB48" i="43"/>
  <c r="BR182" i="43"/>
  <c r="BY61" i="43"/>
  <c r="BY70" i="43" s="1"/>
  <c r="BY162" i="43"/>
  <c r="BY43" i="43"/>
  <c r="BY68" i="43"/>
  <c r="BZ60" i="43"/>
  <c r="BR146" i="43"/>
  <c r="BT241" i="43"/>
  <c r="BX296" i="43"/>
  <c r="BX300" i="43" s="1"/>
  <c r="BX314" i="43" l="1"/>
  <c r="BX302" i="43"/>
  <c r="BS157" i="43"/>
  <c r="BT228" i="43"/>
  <c r="BS232" i="43"/>
  <c r="BS234" i="43" s="1"/>
  <c r="BT345" i="43"/>
  <c r="BT346" i="43" s="1"/>
  <c r="BT244" i="43"/>
  <c r="BT276" i="43"/>
  <c r="BZ70" i="43"/>
  <c r="CA70" i="43"/>
  <c r="BR167" i="43"/>
  <c r="CB97" i="43"/>
  <c r="CB51" i="43"/>
  <c r="CC48" i="43"/>
  <c r="BT144" i="43"/>
  <c r="BT146" i="43" s="1"/>
  <c r="BT149" i="43" s="1"/>
  <c r="BS146" i="43"/>
  <c r="BS149" i="43" s="1"/>
  <c r="BY123" i="43"/>
  <c r="BW113" i="43"/>
  <c r="BW110" i="43"/>
  <c r="BZ61" i="43"/>
  <c r="BZ162" i="43"/>
  <c r="L48" i="44"/>
  <c r="BT305" i="43"/>
  <c r="BS307" i="43"/>
  <c r="BS311" i="43"/>
  <c r="BS323" i="43"/>
  <c r="BS345" i="43"/>
  <c r="BS346" i="43" s="1"/>
  <c r="BS244" i="43"/>
  <c r="BV125" i="43"/>
  <c r="BW69" i="43"/>
  <c r="BV72" i="43"/>
  <c r="BV329" i="43"/>
  <c r="BV142" i="43" s="1"/>
  <c r="BR149" i="43"/>
  <c r="BR200" i="43" s="1"/>
  <c r="BY107" i="43"/>
  <c r="BZ68" i="43"/>
  <c r="BY103" i="43"/>
  <c r="BY35" i="43"/>
  <c r="BZ35" i="43" s="1"/>
  <c r="BZ43" i="43"/>
  <c r="BZ103" i="43" s="1"/>
  <c r="CC187" i="15"/>
  <c r="CC189" i="15" s="1"/>
  <c r="CB189" i="15"/>
  <c r="BS276" i="43"/>
  <c r="BT246" i="43" l="1"/>
  <c r="BT147" i="43"/>
  <c r="BW341" i="43"/>
  <c r="BU341" i="43"/>
  <c r="BV81" i="43"/>
  <c r="BV73" i="43"/>
  <c r="BW72" i="43"/>
  <c r="BT307" i="43"/>
  <c r="BT313" i="43"/>
  <c r="BV313" i="43" s="1"/>
  <c r="BT311" i="43"/>
  <c r="CA123" i="43"/>
  <c r="CA72" i="43"/>
  <c r="CC11" i="15"/>
  <c r="CC190" i="15"/>
  <c r="CC195" i="15"/>
  <c r="CC16" i="15" s="1"/>
  <c r="CC17" i="15" s="1"/>
  <c r="BY109" i="43"/>
  <c r="BZ107" i="43"/>
  <c r="BS309" i="43"/>
  <c r="BS310" i="43"/>
  <c r="BS315" i="43"/>
  <c r="CC51" i="43"/>
  <c r="CC52" i="43" s="1"/>
  <c r="CC97" i="43"/>
  <c r="BR169" i="43"/>
  <c r="BS166" i="43"/>
  <c r="BR177" i="43"/>
  <c r="BR178" i="43" s="1"/>
  <c r="BR156" i="43"/>
  <c r="BR159" i="43" s="1"/>
  <c r="BS200" i="43"/>
  <c r="BS176" i="43"/>
  <c r="BR204" i="43"/>
  <c r="BR217" i="43" s="1"/>
  <c r="BY333" i="43"/>
  <c r="BZ123" i="43"/>
  <c r="BT157" i="43"/>
  <c r="BT232" i="43"/>
  <c r="BT234" i="43" s="1"/>
  <c r="BT235" i="43" s="1"/>
  <c r="BS325" i="43"/>
  <c r="BU327" i="43" s="1"/>
  <c r="BT323" i="43"/>
  <c r="BT325" i="43" s="1"/>
  <c r="L49" i="44"/>
  <c r="L51" i="44" s="1"/>
  <c r="CB52" i="43"/>
  <c r="CB100" i="43" s="1"/>
  <c r="CB54" i="43"/>
  <c r="CB190" i="15"/>
  <c r="CB11" i="15"/>
  <c r="CB195" i="15"/>
  <c r="CB16" i="15" s="1"/>
  <c r="CB17" i="15" s="1"/>
  <c r="BV344" i="43"/>
  <c r="BW125" i="43"/>
  <c r="BW129" i="43" s="1"/>
  <c r="BV129" i="43"/>
  <c r="L57" i="44" l="1"/>
  <c r="L64" i="44" s="1"/>
  <c r="BT167" i="43"/>
  <c r="CA73" i="43"/>
  <c r="CA81" i="43"/>
  <c r="CB101" i="43"/>
  <c r="CB44" i="43"/>
  <c r="CB60" i="43"/>
  <c r="CC54" i="43"/>
  <c r="CC101" i="43" s="1"/>
  <c r="BV151" i="43"/>
  <c r="BW130" i="43"/>
  <c r="BW151" i="43"/>
  <c r="CB12" i="15"/>
  <c r="CB13" i="15"/>
  <c r="BR163" i="43"/>
  <c r="BR160" i="43"/>
  <c r="BR269" i="43"/>
  <c r="BR270" i="43"/>
  <c r="BR268" i="43"/>
  <c r="BR275" i="43" s="1"/>
  <c r="CC13" i="15"/>
  <c r="CC12" i="15"/>
  <c r="BV74" i="43"/>
  <c r="BV77" i="43"/>
  <c r="BW73" i="43"/>
  <c r="BW74" i="43" s="1"/>
  <c r="BR236" i="43"/>
  <c r="BR274" i="43"/>
  <c r="BX313" i="43"/>
  <c r="BX305" i="43" s="1"/>
  <c r="BZ333" i="43"/>
  <c r="BS180" i="43"/>
  <c r="CC100" i="43"/>
  <c r="CA333" i="43"/>
  <c r="CA129" i="43"/>
  <c r="BT309" i="43"/>
  <c r="BT310" i="43"/>
  <c r="BT315" i="43"/>
  <c r="BU329" i="43"/>
  <c r="BU142" i="43" s="1"/>
  <c r="BW327" i="43"/>
  <c r="BW329" i="43" s="1"/>
  <c r="BY111" i="43"/>
  <c r="BZ109" i="43"/>
  <c r="BV343" i="43"/>
  <c r="BV295" i="43"/>
  <c r="BV299" i="43" s="1"/>
  <c r="BV301" i="43" s="1"/>
  <c r="BS204" i="43"/>
  <c r="BS217" i="43" s="1"/>
  <c r="BT200" i="43"/>
  <c r="BW81" i="43"/>
  <c r="BW343" i="43" l="1"/>
  <c r="BW295" i="43"/>
  <c r="BW299" i="43" s="1"/>
  <c r="BW301" i="43" s="1"/>
  <c r="BU344" i="43"/>
  <c r="BW142" i="43"/>
  <c r="BW241" i="43" s="1"/>
  <c r="BU241" i="43"/>
  <c r="BU144" i="43"/>
  <c r="BU228" i="43" s="1"/>
  <c r="BS236" i="43"/>
  <c r="BS274" i="43"/>
  <c r="BZ111" i="43"/>
  <c r="BY112" i="43"/>
  <c r="CA151" i="43"/>
  <c r="BR245" i="43"/>
  <c r="BR267" i="43"/>
  <c r="BV296" i="43"/>
  <c r="BV300" i="43" s="1"/>
  <c r="BW77" i="43"/>
  <c r="BW296" i="43" s="1"/>
  <c r="BW300" i="43" s="1"/>
  <c r="CB45" i="43"/>
  <c r="CC45" i="43" s="1"/>
  <c r="CB104" i="43"/>
  <c r="CC44" i="43"/>
  <c r="CC104" i="43" s="1"/>
  <c r="CA295" i="43"/>
  <c r="CA299" i="43" s="1"/>
  <c r="CA301" i="43" s="1"/>
  <c r="CA343" i="43"/>
  <c r="CA74" i="43"/>
  <c r="CA77" i="43"/>
  <c r="BX311" i="43"/>
  <c r="BX307" i="43"/>
  <c r="BX323" i="43"/>
  <c r="BS167" i="43"/>
  <c r="BS169" i="43" s="1"/>
  <c r="BW166" i="43"/>
  <c r="BT169" i="43"/>
  <c r="BT170" i="43" s="1"/>
  <c r="BU166" i="43"/>
  <c r="BS182" i="43"/>
  <c r="BT180" i="43"/>
  <c r="BT182" i="43" s="1"/>
  <c r="BT177" i="43"/>
  <c r="BT178" i="43" s="1"/>
  <c r="BT179" i="43" s="1"/>
  <c r="BT156" i="43"/>
  <c r="BW176" i="43"/>
  <c r="BT204" i="43"/>
  <c r="BT217" i="43" s="1"/>
  <c r="BU176" i="43"/>
  <c r="CB162" i="43"/>
  <c r="CB61" i="43"/>
  <c r="CB70" i="43" s="1"/>
  <c r="CC70" i="43" s="1"/>
  <c r="CB43" i="43"/>
  <c r="CB68" i="43"/>
  <c r="CC60" i="43"/>
  <c r="BW244" i="43" l="1"/>
  <c r="BW276" i="43"/>
  <c r="CB107" i="43"/>
  <c r="CC68" i="43"/>
  <c r="M49" i="44"/>
  <c r="N49" i="44" s="1"/>
  <c r="BU180" i="43"/>
  <c r="BS156" i="43"/>
  <c r="BT159" i="43"/>
  <c r="BX325" i="43"/>
  <c r="BY327" i="43" s="1"/>
  <c r="BU232" i="43"/>
  <c r="BU234" i="43" s="1"/>
  <c r="BV144" i="43"/>
  <c r="BV228" i="43" s="1"/>
  <c r="BU157" i="43"/>
  <c r="BU146" i="43"/>
  <c r="CB103" i="43"/>
  <c r="CB35" i="43"/>
  <c r="CC35" i="43" s="1"/>
  <c r="CC43" i="43"/>
  <c r="CC103" i="43" s="1"/>
  <c r="CC61" i="43"/>
  <c r="CC162" i="43"/>
  <c r="M48" i="44"/>
  <c r="BT236" i="43"/>
  <c r="BT274" i="43"/>
  <c r="BX315" i="43"/>
  <c r="BX309" i="43"/>
  <c r="BX310" i="43"/>
  <c r="CA296" i="43"/>
  <c r="CA300" i="43" s="1"/>
  <c r="CB123" i="43"/>
  <c r="BU345" i="43"/>
  <c r="BU346" i="43" s="1"/>
  <c r="BV341" i="43" s="1"/>
  <c r="BU244" i="43"/>
  <c r="BV241" i="43"/>
  <c r="BU276" i="43"/>
  <c r="BW302" i="43"/>
  <c r="BW314" i="43"/>
  <c r="BS245" i="43"/>
  <c r="BS267" i="43"/>
  <c r="BW344" i="43"/>
  <c r="BW345" i="43" s="1"/>
  <c r="BW346" i="43" s="1"/>
  <c r="BV302" i="43"/>
  <c r="BV314" i="43"/>
  <c r="BV305" i="43"/>
  <c r="BY113" i="43"/>
  <c r="BZ112" i="43"/>
  <c r="BY69" i="43"/>
  <c r="BT218" i="43"/>
  <c r="BX341" i="43" l="1"/>
  <c r="BZ341" i="43"/>
  <c r="BV345" i="43"/>
  <c r="BV346" i="43" s="1"/>
  <c r="BV244" i="43"/>
  <c r="BW246" i="43" s="1"/>
  <c r="CA302" i="43"/>
  <c r="CA314" i="43"/>
  <c r="BU167" i="43"/>
  <c r="BT160" i="43"/>
  <c r="BT269" i="43"/>
  <c r="BT268" i="43"/>
  <c r="BT275" i="43" s="1"/>
  <c r="BT163" i="43"/>
  <c r="BT270" i="43"/>
  <c r="CB109" i="43"/>
  <c r="CC107" i="43"/>
  <c r="BV232" i="43"/>
  <c r="BV234" i="43" s="1"/>
  <c r="BV157" i="43"/>
  <c r="BW228" i="43"/>
  <c r="BS177" i="43"/>
  <c r="BS178" i="43" s="1"/>
  <c r="BS159" i="43"/>
  <c r="BZ113" i="43"/>
  <c r="BZ110" i="43"/>
  <c r="BV276" i="43"/>
  <c r="BT267" i="43"/>
  <c r="BT245" i="43"/>
  <c r="BW144" i="43"/>
  <c r="BW146" i="43" s="1"/>
  <c r="BW149" i="43" s="1"/>
  <c r="BV146" i="43"/>
  <c r="BV149" i="43" s="1"/>
  <c r="BU182" i="43"/>
  <c r="BY125" i="43"/>
  <c r="BZ69" i="43"/>
  <c r="BY72" i="43"/>
  <c r="BV307" i="43"/>
  <c r="BW305" i="43"/>
  <c r="BV311" i="43"/>
  <c r="BV323" i="43"/>
  <c r="CB333" i="43"/>
  <c r="CC123" i="43"/>
  <c r="M51" i="44"/>
  <c r="N48" i="44"/>
  <c r="M57" i="44"/>
  <c r="M64" i="44" s="1"/>
  <c r="D70" i="44" s="1"/>
  <c r="BU149" i="43"/>
  <c r="BU200" i="43" s="1"/>
  <c r="BY329" i="43"/>
  <c r="BY142" i="43" s="1"/>
  <c r="BW147" i="43" l="1"/>
  <c r="CC333" i="43"/>
  <c r="BV310" i="43"/>
  <c r="BV315" i="43"/>
  <c r="BV309" i="43"/>
  <c r="BZ125" i="43"/>
  <c r="BZ129" i="43" s="1"/>
  <c r="BY129" i="43"/>
  <c r="BV325" i="43"/>
  <c r="BX327" i="43" s="1"/>
  <c r="BW323" i="43"/>
  <c r="BW325" i="43" s="1"/>
  <c r="BS269" i="43"/>
  <c r="BS160" i="43"/>
  <c r="BS163" i="43"/>
  <c r="BS270" i="43"/>
  <c r="BS268" i="43"/>
  <c r="BS275" i="43" s="1"/>
  <c r="BV166" i="43"/>
  <c r="BU169" i="43"/>
  <c r="E70" i="44"/>
  <c r="BY344" i="43"/>
  <c r="N51" i="44"/>
  <c r="N57" i="44" s="1"/>
  <c r="N64" i="44" s="1"/>
  <c r="N66" i="44" s="1"/>
  <c r="D71" i="44" s="1"/>
  <c r="BY73" i="43"/>
  <c r="BY81" i="43"/>
  <c r="BZ72" i="43"/>
  <c r="BW232" i="43"/>
  <c r="BW234" i="43" s="1"/>
  <c r="BW235" i="43" s="1"/>
  <c r="BW157" i="43"/>
  <c r="BU156" i="43"/>
  <c r="BU159" i="43" s="1"/>
  <c r="BU204" i="43"/>
  <c r="BU217" i="43" s="1"/>
  <c r="BV176" i="43"/>
  <c r="BU177" i="43"/>
  <c r="BU178" i="43" s="1"/>
  <c r="BV200" i="43"/>
  <c r="BW307" i="43"/>
  <c r="BW313" i="43"/>
  <c r="BY313" i="43" s="1"/>
  <c r="BW311" i="43"/>
  <c r="CB111" i="43"/>
  <c r="CC109" i="43"/>
  <c r="E71" i="44" l="1"/>
  <c r="D72" i="44"/>
  <c r="BY343" i="43"/>
  <c r="BY295" i="43"/>
  <c r="BY299" i="43" s="1"/>
  <c r="BY301" i="43" s="1"/>
  <c r="CA313" i="43"/>
  <c r="CA305" i="43" s="1"/>
  <c r="BV180" i="43"/>
  <c r="BW167" i="43"/>
  <c r="BX329" i="43"/>
  <c r="BX142" i="43" s="1"/>
  <c r="BZ327" i="43"/>
  <c r="BZ329" i="43" s="1"/>
  <c r="BY151" i="43"/>
  <c r="BZ130" i="43"/>
  <c r="CB112" i="43"/>
  <c r="CC111" i="43"/>
  <c r="BW315" i="43"/>
  <c r="BW309" i="43"/>
  <c r="BW310" i="43"/>
  <c r="BU236" i="43"/>
  <c r="BU274" i="43"/>
  <c r="BY77" i="43"/>
  <c r="BY74" i="43"/>
  <c r="BZ73" i="43"/>
  <c r="BZ74" i="43" s="1"/>
  <c r="BZ151" i="43"/>
  <c r="BW200" i="43"/>
  <c r="BV204" i="43"/>
  <c r="BV217" i="43" s="1"/>
  <c r="BU270" i="43"/>
  <c r="BU268" i="43"/>
  <c r="BU275" i="43" s="1"/>
  <c r="BU160" i="43"/>
  <c r="BU269" i="43"/>
  <c r="BU163" i="43"/>
  <c r="BZ81" i="43"/>
  <c r="BZ343" i="43" l="1"/>
  <c r="BZ295" i="43"/>
  <c r="BZ299" i="43" s="1"/>
  <c r="BZ301" i="43" s="1"/>
  <c r="BW156" i="43"/>
  <c r="BW204" i="43"/>
  <c r="BW217" i="43" s="1"/>
  <c r="BW177" i="43"/>
  <c r="BW178" i="43" s="1"/>
  <c r="BW179" i="43" s="1"/>
  <c r="BX176" i="43"/>
  <c r="BZ176" i="43"/>
  <c r="BV167" i="43"/>
  <c r="BV169" i="43" s="1"/>
  <c r="BX166" i="43"/>
  <c r="BZ166" i="43"/>
  <c r="BW169" i="43"/>
  <c r="BW170" i="43" s="1"/>
  <c r="BU245" i="43"/>
  <c r="BU267" i="43"/>
  <c r="CA311" i="43"/>
  <c r="CA307" i="43"/>
  <c r="CA323" i="43"/>
  <c r="CB69" i="43"/>
  <c r="CB113" i="43"/>
  <c r="CC112" i="43"/>
  <c r="BV182" i="43"/>
  <c r="BW180" i="43"/>
  <c r="BW182" i="43" s="1"/>
  <c r="E72" i="44"/>
  <c r="D76" i="44"/>
  <c r="BW218" i="43"/>
  <c r="BV236" i="43"/>
  <c r="BV274" i="43"/>
  <c r="BY296" i="43"/>
  <c r="BY300" i="43" s="1"/>
  <c r="BZ77" i="43"/>
  <c r="BZ296" i="43" s="1"/>
  <c r="BZ300" i="43" s="1"/>
  <c r="BX344" i="43"/>
  <c r="BZ142" i="43"/>
  <c r="BZ241" i="43" s="1"/>
  <c r="BX241" i="43"/>
  <c r="BX144" i="43"/>
  <c r="BX228" i="43" s="1"/>
  <c r="BV245" i="43" l="1"/>
  <c r="BV267" i="43"/>
  <c r="BX146" i="43"/>
  <c r="E76" i="44"/>
  <c r="D86" i="44"/>
  <c r="E86" i="44" s="1"/>
  <c r="CC113" i="43"/>
  <c r="CC110" i="43"/>
  <c r="CA315" i="43"/>
  <c r="CA309" i="43"/>
  <c r="CA310" i="43"/>
  <c r="BZ344" i="43"/>
  <c r="BZ345" i="43" s="1"/>
  <c r="BZ346" i="43" s="1"/>
  <c r="BV156" i="43"/>
  <c r="BW159" i="43"/>
  <c r="BX232" i="43"/>
  <c r="BX234" i="43" s="1"/>
  <c r="BX157" i="43"/>
  <c r="BY144" i="43"/>
  <c r="BY228" i="43" s="1"/>
  <c r="BZ244" i="43"/>
  <c r="BZ276" i="43"/>
  <c r="BZ302" i="43"/>
  <c r="BZ314" i="43"/>
  <c r="CA325" i="43"/>
  <c r="CB327" i="43" s="1"/>
  <c r="CB125" i="43"/>
  <c r="CC69" i="43"/>
  <c r="CB72" i="43"/>
  <c r="BX180" i="43"/>
  <c r="BX345" i="43"/>
  <c r="BX346" i="43" s="1"/>
  <c r="BY341" i="43" s="1"/>
  <c r="BY241" i="43"/>
  <c r="BY276" i="43" s="1"/>
  <c r="BX244" i="43"/>
  <c r="BX276" i="43"/>
  <c r="BY302" i="43"/>
  <c r="BY314" i="43"/>
  <c r="BY305" i="43"/>
  <c r="BW236" i="43"/>
  <c r="BW274" i="43"/>
  <c r="BZ228" i="43" l="1"/>
  <c r="BY232" i="43"/>
  <c r="BY234" i="43" s="1"/>
  <c r="BY157" i="43"/>
  <c r="CC341" i="43"/>
  <c r="CA341" i="43"/>
  <c r="BW270" i="43"/>
  <c r="BW269" i="43"/>
  <c r="BW268" i="43"/>
  <c r="BW275" i="43" s="1"/>
  <c r="BW160" i="43"/>
  <c r="BW163" i="43"/>
  <c r="BW267" i="43"/>
  <c r="BW245" i="43"/>
  <c r="BY345" i="43"/>
  <c r="BY346" i="43" s="1"/>
  <c r="BY244" i="43"/>
  <c r="BZ246" i="43" s="1"/>
  <c r="CB81" i="43"/>
  <c r="CB73" i="43"/>
  <c r="CC72" i="43"/>
  <c r="BX149" i="43"/>
  <c r="BX200" i="43" s="1"/>
  <c r="CC125" i="43"/>
  <c r="CC129" i="43" s="1"/>
  <c r="CB129" i="43"/>
  <c r="BX167" i="43"/>
  <c r="BV177" i="43"/>
  <c r="BV178" i="43" s="1"/>
  <c r="BV159" i="43"/>
  <c r="E90" i="44"/>
  <c r="BZ144" i="43"/>
  <c r="BZ146" i="43" s="1"/>
  <c r="BZ149" i="43" s="1"/>
  <c r="BY146" i="43"/>
  <c r="BY149" i="43" s="1"/>
  <c r="BY311" i="43"/>
  <c r="BY323" i="43"/>
  <c r="BY307" i="43"/>
  <c r="BZ305" i="43"/>
  <c r="BX182" i="43"/>
  <c r="CB329" i="43"/>
  <c r="CB142" i="43" s="1"/>
  <c r="CB344" i="43" l="1"/>
  <c r="BY309" i="43"/>
  <c r="BY310" i="43"/>
  <c r="BY315" i="43"/>
  <c r="BY166" i="43"/>
  <c r="BX169" i="43"/>
  <c r="BZ147" i="43"/>
  <c r="CB343" i="43"/>
  <c r="CB295" i="43"/>
  <c r="CB299" i="43" s="1"/>
  <c r="CB301" i="43" s="1"/>
  <c r="BV163" i="43"/>
  <c r="BV270" i="43"/>
  <c r="BV268" i="43"/>
  <c r="BV275" i="43" s="1"/>
  <c r="BV160" i="43"/>
  <c r="BV269" i="43"/>
  <c r="CB151" i="43"/>
  <c r="CC130" i="43"/>
  <c r="CC81" i="43"/>
  <c r="BY325" i="43"/>
  <c r="CA327" i="43" s="1"/>
  <c r="BZ323" i="43"/>
  <c r="BZ325" i="43" s="1"/>
  <c r="CC151" i="43"/>
  <c r="CB77" i="43"/>
  <c r="CB74" i="43"/>
  <c r="CC73" i="43"/>
  <c r="CC74" i="43" s="1"/>
  <c r="BZ307" i="43"/>
  <c r="BZ311" i="43"/>
  <c r="BZ313" i="43"/>
  <c r="CB313" i="43" s="1"/>
  <c r="D136" i="44"/>
  <c r="D137" i="44" s="1"/>
  <c r="BX204" i="43"/>
  <c r="BX217" i="43" s="1"/>
  <c r="BX177" i="43"/>
  <c r="BX178" i="43" s="1"/>
  <c r="BY200" i="43"/>
  <c r="BX156" i="43"/>
  <c r="BX159" i="43" s="1"/>
  <c r="BY176" i="43"/>
  <c r="BZ232" i="43"/>
  <c r="BZ234" i="43" s="1"/>
  <c r="BZ235" i="43" s="1"/>
  <c r="BZ157" i="43"/>
  <c r="BX160" i="43" l="1"/>
  <c r="BX163" i="43"/>
  <c r="BX270" i="43"/>
  <c r="BX268" i="43"/>
  <c r="BX275" i="43" s="1"/>
  <c r="BX269" i="43"/>
  <c r="BY204" i="43"/>
  <c r="BY217" i="43" s="1"/>
  <c r="BZ200" i="43"/>
  <c r="BZ310" i="43"/>
  <c r="BZ309" i="43"/>
  <c r="BZ315" i="43"/>
  <c r="CB296" i="43"/>
  <c r="CB300" i="43" s="1"/>
  <c r="CB305" i="43" s="1"/>
  <c r="CC77" i="43"/>
  <c r="CC296" i="43" s="1"/>
  <c r="CC300" i="43" s="1"/>
  <c r="CA329" i="43"/>
  <c r="CA142" i="43" s="1"/>
  <c r="CC327" i="43"/>
  <c r="CC329" i="43" s="1"/>
  <c r="BZ167" i="43"/>
  <c r="BY180" i="43"/>
  <c r="BX236" i="43"/>
  <c r="BX274" i="43"/>
  <c r="CC295" i="43"/>
  <c r="CC299" i="43" s="1"/>
  <c r="CC301" i="43" s="1"/>
  <c r="CC343" i="43"/>
  <c r="CB307" i="43" l="1"/>
  <c r="CB323" i="43"/>
  <c r="CC305" i="43"/>
  <c r="CB311" i="43"/>
  <c r="CC142" i="43"/>
  <c r="CA344" i="43"/>
  <c r="CA241" i="43"/>
  <c r="CA144" i="43"/>
  <c r="CA228" i="43" s="1"/>
  <c r="BZ156" i="43"/>
  <c r="BZ204" i="43"/>
  <c r="BZ217" i="43" s="1"/>
  <c r="BZ177" i="43"/>
  <c r="BZ178" i="43" s="1"/>
  <c r="BZ179" i="43" s="1"/>
  <c r="CA176" i="43"/>
  <c r="CC176" i="43"/>
  <c r="BY167" i="43"/>
  <c r="BY169" i="43" s="1"/>
  <c r="CA166" i="43"/>
  <c r="BZ169" i="43"/>
  <c r="BZ170" i="43" s="1"/>
  <c r="CC166" i="43"/>
  <c r="CC302" i="43"/>
  <c r="CC314" i="43"/>
  <c r="BY236" i="43"/>
  <c r="BY274" i="43"/>
  <c r="BY182" i="43"/>
  <c r="BZ180" i="43"/>
  <c r="BZ182" i="43" s="1"/>
  <c r="BX245" i="43"/>
  <c r="BX267" i="43"/>
  <c r="CB302" i="43"/>
  <c r="CB314" i="43"/>
  <c r="BZ236" i="43" l="1"/>
  <c r="BZ274" i="43"/>
  <c r="CC307" i="43"/>
  <c r="CC311" i="43"/>
  <c r="CC313" i="43"/>
  <c r="CA345" i="43"/>
  <c r="CA346" i="43" s="1"/>
  <c r="CB341" i="43" s="1"/>
  <c r="CA244" i="43"/>
  <c r="CB241" i="43"/>
  <c r="CB276" i="43" s="1"/>
  <c r="CA276" i="43"/>
  <c r="BY267" i="43"/>
  <c r="BY245" i="43"/>
  <c r="BZ218" i="43"/>
  <c r="CA180" i="43"/>
  <c r="BY156" i="43"/>
  <c r="BZ159" i="43"/>
  <c r="CC344" i="43"/>
  <c r="CC241" i="43"/>
  <c r="CB325" i="43"/>
  <c r="CC323" i="43"/>
  <c r="CC325" i="43" s="1"/>
  <c r="CA232" i="43"/>
  <c r="CA234" i="43" s="1"/>
  <c r="CA157" i="43"/>
  <c r="CB144" i="43"/>
  <c r="CB228" i="43" s="1"/>
  <c r="CA146" i="43"/>
  <c r="CB309" i="43"/>
  <c r="CB310" i="43"/>
  <c r="CB315" i="43"/>
  <c r="CC144" i="43" l="1"/>
  <c r="CC146" i="43" s="1"/>
  <c r="CC149" i="43" s="1"/>
  <c r="CB146" i="43"/>
  <c r="CB149" i="43" s="1"/>
  <c r="CC244" i="43"/>
  <c r="CC345" i="43"/>
  <c r="CC346" i="43" s="1"/>
  <c r="CC276" i="43"/>
  <c r="BY177" i="43"/>
  <c r="BY178" i="43" s="1"/>
  <c r="BY159" i="43"/>
  <c r="CB345" i="43"/>
  <c r="CB346" i="43" s="1"/>
  <c r="CB244" i="43"/>
  <c r="CC228" i="43"/>
  <c r="CB232" i="43"/>
  <c r="CB234" i="43" s="1"/>
  <c r="CB157" i="43"/>
  <c r="CA167" i="43"/>
  <c r="CA182" i="43"/>
  <c r="CC309" i="43"/>
  <c r="CC310" i="43"/>
  <c r="CC315" i="43"/>
  <c r="CA149" i="43"/>
  <c r="CA200" i="43" s="1"/>
  <c r="BZ160" i="43"/>
  <c r="BZ268" i="43"/>
  <c r="BZ275" i="43" s="1"/>
  <c r="BZ269" i="43"/>
  <c r="BZ270" i="43"/>
  <c r="BZ163" i="43"/>
  <c r="BZ245" i="43"/>
  <c r="BZ267" i="43"/>
  <c r="CC147" i="43" l="1"/>
  <c r="CC246" i="43"/>
  <c r="BY268" i="43"/>
  <c r="BY275" i="43" s="1"/>
  <c r="BY269" i="43"/>
  <c r="BY163" i="43"/>
  <c r="BY270" i="43"/>
  <c r="BY160" i="43"/>
  <c r="CB166" i="43"/>
  <c r="CA169" i="43"/>
  <c r="CA156" i="43"/>
  <c r="CA159" i="43" s="1"/>
  <c r="CB200" i="43"/>
  <c r="CB176" i="43"/>
  <c r="CA204" i="43"/>
  <c r="CA217" i="43" s="1"/>
  <c r="CA177" i="43"/>
  <c r="CA178" i="43" s="1"/>
  <c r="CC232" i="43"/>
  <c r="CC234" i="43" s="1"/>
  <c r="CC235" i="43" s="1"/>
  <c r="CC157" i="43"/>
  <c r="CA236" i="43" l="1"/>
  <c r="CA274" i="43"/>
  <c r="CC167" i="43"/>
  <c r="CC200" i="43"/>
  <c r="CB204" i="43"/>
  <c r="CB217" i="43" s="1"/>
  <c r="CB180" i="43"/>
  <c r="CA268" i="43"/>
  <c r="CA275" i="43" s="1"/>
  <c r="CA160" i="43"/>
  <c r="CA269" i="43"/>
  <c r="CA270" i="43"/>
  <c r="CA163" i="43"/>
  <c r="CC177" i="43" l="1"/>
  <c r="CC178" i="43" s="1"/>
  <c r="CC179" i="43" s="1"/>
  <c r="CC204" i="43"/>
  <c r="CC217" i="43" s="1"/>
  <c r="CC156" i="43"/>
  <c r="CB236" i="43"/>
  <c r="CB274" i="43"/>
  <c r="CB167" i="43"/>
  <c r="CB169" i="43" s="1"/>
  <c r="CC169" i="43"/>
  <c r="CC170" i="43" s="1"/>
  <c r="CA245" i="43"/>
  <c r="CA267" i="43"/>
  <c r="CB182" i="43"/>
  <c r="CC180" i="43"/>
  <c r="CC182" i="43" s="1"/>
  <c r="CB245" i="43" l="1"/>
  <c r="CB267" i="43"/>
  <c r="CB156" i="43"/>
  <c r="CC159" i="43"/>
  <c r="CC236" i="43"/>
  <c r="CC274" i="43"/>
  <c r="CC218" i="43"/>
  <c r="CB177" i="43" l="1"/>
  <c r="CB178" i="43" s="1"/>
  <c r="CB159" i="43"/>
  <c r="CC160" i="43"/>
  <c r="CC269" i="43"/>
  <c r="CC270" i="43"/>
  <c r="CC268" i="43"/>
  <c r="CC275" i="43" s="1"/>
  <c r="CC163" i="43"/>
  <c r="CC245" i="43"/>
  <c r="CC267" i="43"/>
  <c r="CB163" i="43" l="1"/>
  <c r="CB268" i="43"/>
  <c r="CB275" i="43" s="1"/>
  <c r="CB269" i="43"/>
  <c r="CB270" i="43"/>
  <c r="CB160" i="43"/>
  <c r="BF170" i="43" l="1"/>
  <c r="BG170" i="43" s="1"/>
  <c r="BF173" i="43"/>
  <c r="BI170" i="43" l="1"/>
  <c r="BG171" i="43"/>
  <c r="BG173" i="43" l="1"/>
  <c r="BH171" i="43"/>
  <c r="BH173" i="43" s="1"/>
  <c r="BI171" i="43"/>
  <c r="BI173" i="43" s="1"/>
  <c r="BJ170" i="43"/>
  <c r="BJ171" i="43" l="1"/>
  <c r="BL170" i="43"/>
  <c r="BM170" i="43" l="1"/>
  <c r="BL171" i="43"/>
  <c r="BL173" i="43" s="1"/>
  <c r="BJ173" i="43"/>
  <c r="BK171" i="43"/>
  <c r="BK173" i="43" s="1"/>
  <c r="BO170" i="43" l="1"/>
  <c r="BM171" i="43"/>
  <c r="BM173" i="43" l="1"/>
  <c r="BN171" i="43"/>
  <c r="BN173" i="43" s="1"/>
  <c r="BP170" i="43"/>
  <c r="BO171" i="43"/>
  <c r="BO173" i="43" s="1"/>
  <c r="BR170" i="43" l="1"/>
  <c r="BP171" i="43"/>
  <c r="BQ171" i="43" l="1"/>
  <c r="BQ173" i="43" s="1"/>
  <c r="BP173" i="43"/>
  <c r="BR171" i="43"/>
  <c r="BR173" i="43" s="1"/>
  <c r="BS170" i="43"/>
  <c r="BU170" i="43" l="1"/>
  <c r="BS171" i="43"/>
  <c r="BS173" i="43" l="1"/>
  <c r="BT171" i="43"/>
  <c r="BT173" i="43" s="1"/>
  <c r="BU171" i="43"/>
  <c r="BU173" i="43" s="1"/>
  <c r="BV170" i="43"/>
  <c r="BV171" i="43" l="1"/>
  <c r="BX170" i="43"/>
  <c r="BY170" i="43" l="1"/>
  <c r="BX171" i="43"/>
  <c r="BX173" i="43" s="1"/>
  <c r="BV173" i="43"/>
  <c r="BW171" i="43"/>
  <c r="BW173" i="43" s="1"/>
  <c r="CA170" i="43" l="1"/>
  <c r="BY171" i="43"/>
  <c r="BY173" i="43" l="1"/>
  <c r="BZ171" i="43"/>
  <c r="BZ173" i="43" s="1"/>
  <c r="CB170" i="43"/>
  <c r="CB171" i="43" s="1"/>
  <c r="CA171" i="43"/>
  <c r="CA173" i="43" s="1"/>
  <c r="CC171" i="43" l="1"/>
  <c r="CC173" i="43" s="1"/>
  <c r="CB173" i="43"/>
</calcChain>
</file>

<file path=xl/comments1.xml><?xml version="1.0" encoding="utf-8"?>
<comments xmlns="http://schemas.openxmlformats.org/spreadsheetml/2006/main">
  <authors>
    <author>Scott, Andrew (Research)</author>
  </authors>
  <commentList>
    <comment ref="D119" authorId="0">
      <text>
        <r>
          <rPr>
            <b/>
            <sz val="9"/>
            <color indexed="81"/>
            <rFont val="Tahoma"/>
            <family val="2"/>
          </rPr>
          <t>Scott, Andrew (Research):</t>
        </r>
        <r>
          <rPr>
            <sz val="9"/>
            <color indexed="81"/>
            <rFont val="Tahoma"/>
            <family val="2"/>
          </rPr>
          <t xml:space="preserve">
Premium applied for higher value lime business</t>
        </r>
      </text>
    </comment>
  </commentList>
</comments>
</file>

<file path=xl/comments2.xml><?xml version="1.0" encoding="utf-8"?>
<comments xmlns="http://schemas.openxmlformats.org/spreadsheetml/2006/main">
  <authors>
    <author>Scott, Andrew (Research)</author>
  </authors>
  <commentList>
    <comment ref="BC69" authorId="0">
      <text>
        <r>
          <rPr>
            <b/>
            <sz val="9"/>
            <color indexed="81"/>
            <rFont val="Tahoma"/>
            <family val="2"/>
          </rPr>
          <t>Scott, Andrew (Research):</t>
        </r>
        <r>
          <rPr>
            <sz val="9"/>
            <color indexed="81"/>
            <rFont val="Tahoma"/>
            <family val="2"/>
          </rPr>
          <t xml:space="preserve">
Adding back tax on sig items</t>
        </r>
      </text>
    </comment>
  </commentList>
</comments>
</file>

<file path=xl/comments3.xml><?xml version="1.0" encoding="utf-8"?>
<comments xmlns="http://schemas.openxmlformats.org/spreadsheetml/2006/main">
  <authors>
    <author>Kofi Mensa</author>
    <author>auscot</author>
    <author>Kljaic, Tahnee (Research)</author>
    <author>shahnz</author>
    <author>Scott, Andrew (Research)</author>
  </authors>
  <commentList>
    <comment ref="BE24" authorId="0">
      <text>
        <r>
          <rPr>
            <b/>
            <sz val="9"/>
            <color indexed="81"/>
            <rFont val="Tahoma"/>
            <family val="2"/>
          </rPr>
          <t>Tahnee Kljaic:</t>
        </r>
        <r>
          <rPr>
            <sz val="9"/>
            <color indexed="81"/>
            <rFont val="Tahoma"/>
            <family val="2"/>
          </rPr>
          <t xml:space="preserve">
85% EBIT margin and 20% tax rate</t>
        </r>
      </text>
    </comment>
    <comment ref="B59" authorId="1">
      <text>
        <r>
          <rPr>
            <sz val="8"/>
            <color indexed="81"/>
            <rFont val="Tahoma"/>
            <family val="2"/>
          </rPr>
          <t xml:space="preserve">
including Sunstate</t>
        </r>
      </text>
    </comment>
    <comment ref="B68" authorId="1">
      <text>
        <r>
          <rPr>
            <sz val="8"/>
            <color indexed="81"/>
            <rFont val="Tahoma"/>
            <family val="2"/>
          </rPr>
          <t xml:space="preserve">
Does not include Sunstate and ICL</t>
        </r>
      </text>
    </comment>
    <comment ref="BE91" authorId="2">
      <text>
        <r>
          <rPr>
            <b/>
            <sz val="9"/>
            <color indexed="81"/>
            <rFont val="Tahoma"/>
            <family val="2"/>
          </rPr>
          <t>Kljaic, Tahnee (Research):</t>
        </r>
        <r>
          <rPr>
            <sz val="9"/>
            <color indexed="81"/>
            <rFont val="Tahoma"/>
            <family val="2"/>
          </rPr>
          <t xml:space="preserve">
while prices for cement are anticipated to improve further in 2017, the avg selling price for the FY will be impacted by changes in geographic mix - pg 12 result</t>
        </r>
      </text>
    </comment>
    <comment ref="BC97" authorId="2">
      <text>
        <r>
          <rPr>
            <b/>
            <sz val="9"/>
            <color indexed="81"/>
            <rFont val="Tahoma"/>
            <family val="2"/>
          </rPr>
          <t>Kljaic, Tahnee (Research):</t>
        </r>
        <r>
          <rPr>
            <sz val="9"/>
            <color indexed="81"/>
            <rFont val="Tahoma"/>
            <family val="2"/>
          </rPr>
          <t xml:space="preserve">
pg 5 result - avg lime selling price was lower</t>
        </r>
      </text>
    </comment>
    <comment ref="BE97" authorId="2">
      <text>
        <r>
          <rPr>
            <b/>
            <sz val="9"/>
            <color indexed="81"/>
            <rFont val="Tahoma"/>
            <family val="2"/>
          </rPr>
          <t>Kljaic, Tahnee (Research):</t>
        </r>
        <r>
          <rPr>
            <sz val="9"/>
            <color indexed="81"/>
            <rFont val="Tahoma"/>
            <family val="2"/>
          </rPr>
          <t xml:space="preserve">
Slightly lower lime prices are likely - pg 12 result</t>
        </r>
      </text>
    </comment>
    <comment ref="BE98" authorId="2">
      <text>
        <r>
          <rPr>
            <b/>
            <sz val="9"/>
            <color indexed="81"/>
            <rFont val="Tahoma"/>
            <family val="2"/>
          </rPr>
          <t>Kljaic, Tahnee (Research):</t>
        </r>
        <r>
          <rPr>
            <sz val="9"/>
            <color indexed="81"/>
            <rFont val="Tahoma"/>
            <family val="2"/>
          </rPr>
          <t xml:space="preserve">
Lime sales vols likely to be similar to prior year (pg 12 result)</t>
        </r>
      </text>
    </comment>
    <comment ref="AQ99" authorId="3">
      <text>
        <r>
          <rPr>
            <sz val="8"/>
            <color indexed="81"/>
            <rFont val="Tahoma"/>
            <family val="2"/>
          </rPr>
          <t xml:space="preserve">
Muster expansion (100ktpa)</t>
        </r>
      </text>
    </comment>
    <comment ref="AR99" authorId="3">
      <text>
        <r>
          <rPr>
            <sz val="8"/>
            <color indexed="81"/>
            <rFont val="Tahoma"/>
            <family val="2"/>
          </rPr>
          <t xml:space="preserve">
Munster expansion (100ktpa)</t>
        </r>
      </text>
    </comment>
    <comment ref="BE103" authorId="2">
      <text>
        <r>
          <rPr>
            <b/>
            <sz val="9"/>
            <color indexed="81"/>
            <rFont val="Tahoma"/>
            <family val="2"/>
          </rPr>
          <t>Kljaic, Tahnee (Research):</t>
        </r>
        <r>
          <rPr>
            <sz val="9"/>
            <color indexed="81"/>
            <rFont val="Tahoma"/>
            <family val="2"/>
          </rPr>
          <t xml:space="preserve">
concrete and aggregate prices are anticipated to increase in 2017</t>
        </r>
      </text>
    </comment>
    <comment ref="BC105" authorId="2">
      <text>
        <r>
          <rPr>
            <b/>
            <sz val="9"/>
            <color indexed="81"/>
            <rFont val="Tahoma"/>
            <family val="2"/>
          </rPr>
          <t>Kljaic, Tahnee (Research):</t>
        </r>
        <r>
          <rPr>
            <sz val="9"/>
            <color indexed="81"/>
            <rFont val="Tahoma"/>
            <family val="2"/>
          </rPr>
          <t xml:space="preserve">
Allowing for FY impact of acquisition which contributed $23mn of revenue in 1H</t>
        </r>
      </text>
    </comment>
    <comment ref="BD105" authorId="4">
      <text>
        <r>
          <rPr>
            <b/>
            <sz val="9"/>
            <color indexed="81"/>
            <rFont val="Tahoma"/>
            <family val="2"/>
          </rPr>
          <t>Scott, Andrew (Research):</t>
        </r>
        <r>
          <rPr>
            <sz val="9"/>
            <color indexed="81"/>
            <rFont val="Tahoma"/>
            <family val="2"/>
          </rPr>
          <t xml:space="preserve">
Acquisitions to boost 2H growth rate</t>
        </r>
      </text>
    </comment>
    <comment ref="BF105" authorId="4">
      <text>
        <r>
          <rPr>
            <b/>
            <sz val="9"/>
            <color indexed="81"/>
            <rFont val="Tahoma"/>
            <family val="2"/>
          </rPr>
          <t>Scott, Andrew (Research):</t>
        </r>
        <r>
          <rPr>
            <sz val="9"/>
            <color indexed="81"/>
            <rFont val="Tahoma"/>
            <family val="2"/>
          </rPr>
          <t xml:space="preserve">
Hanson, Central and Davalan acqusitions not fully reflected in the pcp</t>
        </r>
      </text>
    </comment>
    <comment ref="BF114" authorId="4">
      <text>
        <r>
          <rPr>
            <b/>
            <sz val="9"/>
            <color indexed="81"/>
            <rFont val="Tahoma"/>
            <family val="2"/>
          </rPr>
          <t>Scott, Andrew (Research):</t>
        </r>
        <r>
          <rPr>
            <sz val="9"/>
            <color indexed="81"/>
            <rFont val="Tahoma"/>
            <family val="2"/>
          </rPr>
          <t xml:space="preserve">
Property likely to be zero</t>
        </r>
      </text>
    </comment>
    <comment ref="BC147" authorId="4">
      <text>
        <r>
          <rPr>
            <b/>
            <sz val="9"/>
            <color indexed="81"/>
            <rFont val="Tahoma"/>
            <family val="2"/>
          </rPr>
          <t>Scott, Andrew (Research):</t>
        </r>
        <r>
          <rPr>
            <sz val="9"/>
            <color indexed="81"/>
            <rFont val="Tahoma"/>
            <family val="2"/>
          </rPr>
          <t xml:space="preserve">
Add back of sig item relating to rationalisation of cement production, corp restructuring and acquisition costs</t>
        </r>
      </text>
    </comment>
    <comment ref="AZ193" authorId="2">
      <text>
        <r>
          <rPr>
            <b/>
            <sz val="9"/>
            <color indexed="81"/>
            <rFont val="Tahoma"/>
            <family val="2"/>
          </rPr>
          <t>Kljaic, Tahnee (Research):</t>
        </r>
        <r>
          <rPr>
            <sz val="9"/>
            <color indexed="81"/>
            <rFont val="Tahoma"/>
            <family val="2"/>
          </rPr>
          <t xml:space="preserve">
revised in 1H17, 1.8 prior</t>
        </r>
      </text>
    </comment>
  </commentList>
</comments>
</file>

<file path=xl/sharedStrings.xml><?xml version="1.0" encoding="utf-8"?>
<sst xmlns="http://schemas.openxmlformats.org/spreadsheetml/2006/main" count="1583" uniqueCount="1083">
  <si>
    <t>Independent Cement &amp; Lime</t>
  </si>
  <si>
    <t xml:space="preserve"> Total dividend amount</t>
  </si>
  <si>
    <t>Total cash dividend paid</t>
  </si>
  <si>
    <t>EBIT Interest Cover</t>
  </si>
  <si>
    <t xml:space="preserve">Profit </t>
  </si>
  <si>
    <t>Reported</t>
  </si>
  <si>
    <t>EPS</t>
  </si>
  <si>
    <t>EPS growth</t>
  </si>
  <si>
    <t>Sales Growth</t>
  </si>
  <si>
    <t>Per share</t>
  </si>
  <si>
    <t>Price target</t>
  </si>
  <si>
    <t>Total EBIT</t>
  </si>
  <si>
    <t>PE</t>
  </si>
  <si>
    <t>Capex</t>
  </si>
  <si>
    <t>Reported EPS (cps)</t>
  </si>
  <si>
    <t xml:space="preserve"> </t>
  </si>
  <si>
    <t>Market drivers</t>
  </si>
  <si>
    <t>DCF VALUATION</t>
  </si>
  <si>
    <t>Cashflow Timing Calculation</t>
  </si>
  <si>
    <t>Current Date</t>
  </si>
  <si>
    <t>Last Balance Date</t>
  </si>
  <si>
    <t>Next Balance Date</t>
  </si>
  <si>
    <t>Time to Run</t>
  </si>
  <si>
    <t>DCF Operating Cash Flows</t>
  </si>
  <si>
    <t>Terminal</t>
  </si>
  <si>
    <t>Other income/(exp.) &amp; abnormals</t>
  </si>
  <si>
    <t>Tax rate (pre tax losses)</t>
  </si>
  <si>
    <t>Total Capex</t>
  </si>
  <si>
    <t>Disposals/Capital Raised</t>
  </si>
  <si>
    <t>FCF Timing Factor</t>
  </si>
  <si>
    <t>Risk Free Rate (pa)</t>
  </si>
  <si>
    <t>Discount Factor</t>
  </si>
  <si>
    <t>Terminal value</t>
  </si>
  <si>
    <t>Valuation</t>
  </si>
  <si>
    <t>$m</t>
  </si>
  <si>
    <t>Explicit Cashflows</t>
  </si>
  <si>
    <t>Terminal Item</t>
  </si>
  <si>
    <t>Post Corp Tax CF Value</t>
  </si>
  <si>
    <t>Total Firm Value</t>
  </si>
  <si>
    <t>Less: Net Debt</t>
  </si>
  <si>
    <t>Less: Minorities</t>
  </si>
  <si>
    <t>Less other liabilities incl contingencies</t>
  </si>
  <si>
    <t>Total liabilites</t>
  </si>
  <si>
    <t>Alternative Equity Claims</t>
  </si>
  <si>
    <t>Total Equity Value</t>
  </si>
  <si>
    <t>No Shares</t>
  </si>
  <si>
    <t>Per Share Value</t>
  </si>
  <si>
    <t>RF rate</t>
  </si>
  <si>
    <t>Share price</t>
  </si>
  <si>
    <t>Debt premium</t>
  </si>
  <si>
    <t>Cost of debt</t>
  </si>
  <si>
    <t>Market cap</t>
  </si>
  <si>
    <t>MRP</t>
  </si>
  <si>
    <t>EV</t>
  </si>
  <si>
    <t>Cost of equity</t>
  </si>
  <si>
    <t xml:space="preserve">Inventory/Sales </t>
  </si>
  <si>
    <t>Debtors/Sales</t>
  </si>
  <si>
    <t>Creditors/Sales</t>
  </si>
  <si>
    <t>Stock Turnover</t>
  </si>
  <si>
    <t>Days</t>
  </si>
  <si>
    <t>Debtors Days</t>
  </si>
  <si>
    <t>Creditors Days</t>
  </si>
  <si>
    <t>Inventory - closing</t>
  </si>
  <si>
    <t>Debtors - closing</t>
  </si>
  <si>
    <t>Creditors - closing</t>
  </si>
  <si>
    <t>2008A</t>
  </si>
  <si>
    <t>2009A</t>
  </si>
  <si>
    <t>EBIT Margin</t>
  </si>
  <si>
    <t>EBITDA Margin</t>
  </si>
  <si>
    <t>Price</t>
  </si>
  <si>
    <t>Volume</t>
  </si>
  <si>
    <t>Long term growth rate</t>
  </si>
  <si>
    <t>Segment assets</t>
  </si>
  <si>
    <t>Other and Group totals</t>
  </si>
  <si>
    <t>FY00</t>
  </si>
  <si>
    <t>1H01</t>
  </si>
  <si>
    <t>2H01</t>
  </si>
  <si>
    <t>FY01</t>
  </si>
  <si>
    <t>1H02</t>
  </si>
  <si>
    <t>2H02</t>
  </si>
  <si>
    <t>1H00</t>
  </si>
  <si>
    <t>2H00</t>
  </si>
  <si>
    <t>FY04</t>
  </si>
  <si>
    <t>FY05</t>
  </si>
  <si>
    <t>FY06</t>
  </si>
  <si>
    <t>1H08</t>
  </si>
  <si>
    <t>2H08</t>
  </si>
  <si>
    <t>1H09</t>
  </si>
  <si>
    <t>2H09</t>
  </si>
  <si>
    <t>1H10</t>
  </si>
  <si>
    <t>2H10</t>
  </si>
  <si>
    <t>FY10</t>
  </si>
  <si>
    <t>1H11</t>
  </si>
  <si>
    <t>2H11</t>
  </si>
  <si>
    <t>FY11</t>
  </si>
  <si>
    <t>1H12</t>
  </si>
  <si>
    <t>2H12</t>
  </si>
  <si>
    <t>FY12</t>
  </si>
  <si>
    <t>Shares on issue</t>
  </si>
  <si>
    <t>Shares at beginning</t>
  </si>
  <si>
    <t>Share issues/bought back</t>
  </si>
  <si>
    <t>DPS (cps) incl special divs</t>
  </si>
  <si>
    <t>Discounted FCF</t>
  </si>
  <si>
    <t>WACC</t>
  </si>
  <si>
    <t>Implied share price</t>
  </si>
  <si>
    <t>Average valuation</t>
  </si>
  <si>
    <t>Implied value</t>
  </si>
  <si>
    <t>Peer multiple</t>
  </si>
  <si>
    <t>Corporate/other</t>
  </si>
  <si>
    <t>Total EV</t>
  </si>
  <si>
    <t>Less liabilities</t>
  </si>
  <si>
    <t>Total equity value</t>
  </si>
  <si>
    <t>(Increase) in Working Capital</t>
  </si>
  <si>
    <t>Dividends Received</t>
  </si>
  <si>
    <t>Investing Capex</t>
  </si>
  <si>
    <t>Capex - Maintenance</t>
  </si>
  <si>
    <t>Acquisitions/Investments</t>
  </si>
  <si>
    <t>Asset Sale Proceeds</t>
  </si>
  <si>
    <t>Total Investments</t>
  </si>
  <si>
    <t>Financing Cash Flow</t>
  </si>
  <si>
    <t>Cash Dividends Paid</t>
  </si>
  <si>
    <t>Equity Issues</t>
  </si>
  <si>
    <t>Incr/(Decr) in Debt</t>
  </si>
  <si>
    <t>Total Financing</t>
  </si>
  <si>
    <t>FX adjustments on cash</t>
  </si>
  <si>
    <t>Net Cashflow</t>
  </si>
  <si>
    <t>ROA</t>
  </si>
  <si>
    <t>Gearing (ND/ND+E)</t>
  </si>
  <si>
    <t>ND/EBITDA</t>
  </si>
  <si>
    <t>Adelaide Brighton</t>
  </si>
  <si>
    <t>Base NPAT</t>
  </si>
  <si>
    <t>Cement price growth</t>
  </si>
  <si>
    <t>NPAT increase</t>
  </si>
  <si>
    <t>Lime price growth</t>
  </si>
  <si>
    <t>Residential volume growth</t>
  </si>
  <si>
    <t>Non-residential volume growth</t>
  </si>
  <si>
    <t>Total EBIT Incl Associates</t>
  </si>
  <si>
    <t>Total Non-Current Assets</t>
  </si>
  <si>
    <t>Total Assets</t>
  </si>
  <si>
    <t>ABC Market Cap</t>
  </si>
  <si>
    <t>Pre-Tax profit</t>
  </si>
  <si>
    <t>Taxation Expense</t>
  </si>
  <si>
    <t>NPAT (post goodwill)</t>
  </si>
  <si>
    <t>NPAT (pre goodwill)</t>
  </si>
  <si>
    <t>NPAT Growth</t>
  </si>
  <si>
    <t>Pref. Dividends</t>
  </si>
  <si>
    <t>NPAT Profit (adj)</t>
  </si>
  <si>
    <t>Significant items (pre tax)</t>
  </si>
  <si>
    <t>Tax on significant items</t>
  </si>
  <si>
    <t xml:space="preserve">Reported Profit </t>
  </si>
  <si>
    <t>Gearing (ND/E)</t>
  </si>
  <si>
    <t>DCF</t>
  </si>
  <si>
    <t>Cement</t>
  </si>
  <si>
    <t>Interest Revenue</t>
  </si>
  <si>
    <t>Operating EBITDA</t>
  </si>
  <si>
    <t>Other D&amp;A</t>
  </si>
  <si>
    <t>Total Dividend to be Paid ($M)</t>
  </si>
  <si>
    <t>D&amp;A</t>
  </si>
  <si>
    <t>Profit (normalised)</t>
  </si>
  <si>
    <t>Tax paid</t>
  </si>
  <si>
    <t>Free cash flow</t>
  </si>
  <si>
    <t>Reserves</t>
  </si>
  <si>
    <t>Total liabilities</t>
  </si>
  <si>
    <t>Net assets</t>
  </si>
  <si>
    <t>Shareholders equity</t>
  </si>
  <si>
    <t>1H14</t>
  </si>
  <si>
    <t>2H14</t>
  </si>
  <si>
    <t>FY14</t>
  </si>
  <si>
    <t>Adjusted EPS</t>
  </si>
  <si>
    <t>Capex-Expansionary</t>
  </si>
  <si>
    <t>Total capex</t>
  </si>
  <si>
    <t>Cement revenue</t>
  </si>
  <si>
    <t>Return on assets</t>
  </si>
  <si>
    <t>Price ($A/tn)</t>
  </si>
  <si>
    <t>Pricing growth (A$/tn)</t>
  </si>
  <si>
    <t>ABC.AX</t>
  </si>
  <si>
    <t>YE Dec</t>
  </si>
  <si>
    <t>BALANCE SHEET - Summary</t>
  </si>
  <si>
    <t>Cash &amp; Equivalent</t>
  </si>
  <si>
    <t>Return on Capital Emp (ROCE)</t>
  </si>
  <si>
    <t>Return on Equity (ROE)</t>
  </si>
  <si>
    <t>Current tax liabilities</t>
  </si>
  <si>
    <t>Other (share growth, specific projects etc)</t>
  </si>
  <si>
    <t>Other revenues</t>
  </si>
  <si>
    <t>Total operating revenue</t>
  </si>
  <si>
    <t>Freight revenues</t>
  </si>
  <si>
    <t>Interest revenue</t>
  </si>
  <si>
    <t>Royalties</t>
  </si>
  <si>
    <t>(Incr) in Working Capital</t>
  </si>
  <si>
    <t xml:space="preserve">Interest Cost </t>
  </si>
  <si>
    <t>Less Interest Income</t>
  </si>
  <si>
    <t>Less Capitalised Interest</t>
  </si>
  <si>
    <t>Net interest paid</t>
  </si>
  <si>
    <t>Shares on issue (m)</t>
  </si>
  <si>
    <t>Total Current Assets</t>
  </si>
  <si>
    <t>%</t>
  </si>
  <si>
    <t>FY08</t>
  </si>
  <si>
    <t>FY07</t>
  </si>
  <si>
    <t>Total Current Liabilities</t>
  </si>
  <si>
    <t>Import Cement (ground cement)</t>
  </si>
  <si>
    <t>A</t>
  </si>
  <si>
    <t>Currency</t>
  </si>
  <si>
    <t>AUD</t>
  </si>
  <si>
    <t>Sensitivity Analysis</t>
  </si>
  <si>
    <t>Base</t>
  </si>
  <si>
    <t>Cement Prices Growth</t>
  </si>
  <si>
    <t>Lime Prices Growth</t>
  </si>
  <si>
    <t>Residential Volumes Growth</t>
  </si>
  <si>
    <t>Alterations &amp; additions Volumes Growth</t>
  </si>
  <si>
    <t>Non-residential Volumes Growth</t>
  </si>
  <si>
    <t>Engineering Volumes Growth</t>
  </si>
  <si>
    <t>% of group EBIT</t>
  </si>
  <si>
    <t>Lime Revenue</t>
  </si>
  <si>
    <t>EBIT Increase with +1% to price</t>
  </si>
  <si>
    <t>Group EBIT</t>
  </si>
  <si>
    <t>Residential Volume</t>
  </si>
  <si>
    <t>Cement lime &amp; concrete +1% to residential volume</t>
  </si>
  <si>
    <t>Concrete Products +1% to residential volume</t>
  </si>
  <si>
    <t>Total operating EBIT</t>
  </si>
  <si>
    <t>Non-residential volume</t>
  </si>
  <si>
    <t>Cement lime &amp; concrete +1% to non-resi</t>
  </si>
  <si>
    <t>Engineering volume</t>
  </si>
  <si>
    <t>Cement lime &amp; concrete +1% to engineering</t>
  </si>
  <si>
    <t>x</t>
  </si>
  <si>
    <t>Operating EBITDA (Ex associates)</t>
  </si>
  <si>
    <t>ND/EBITDA (Ex associates)</t>
  </si>
  <si>
    <t>Residential construction</t>
  </si>
  <si>
    <t>Housing starts</t>
  </si>
  <si>
    <t>Starts with Qtr lag</t>
  </si>
  <si>
    <t>Non-Res Construction</t>
  </si>
  <si>
    <t>Work done $m</t>
  </si>
  <si>
    <t>% change</t>
  </si>
  <si>
    <t>Engineering Construction</t>
  </si>
  <si>
    <t>Roads</t>
  </si>
  <si>
    <t>1H15</t>
  </si>
  <si>
    <t>2H15</t>
  </si>
  <si>
    <t>FY15</t>
  </si>
  <si>
    <t>1H16</t>
  </si>
  <si>
    <t>2H16</t>
  </si>
  <si>
    <t>FY16</t>
  </si>
  <si>
    <t>1H17</t>
  </si>
  <si>
    <t>2H17</t>
  </si>
  <si>
    <t>FY17</t>
  </si>
  <si>
    <t>1H18</t>
  </si>
  <si>
    <t>2H18</t>
  </si>
  <si>
    <t>Equity raised / (repurchased)</t>
  </si>
  <si>
    <t>Net borrowings / (repaid)</t>
  </si>
  <si>
    <t>Cash</t>
  </si>
  <si>
    <t>Tax expense</t>
  </si>
  <si>
    <t>Reported net profit</t>
  </si>
  <si>
    <t>Franking (%)</t>
  </si>
  <si>
    <t>Total underlying EBIT</t>
  </si>
  <si>
    <t>Revenue growth YoY</t>
  </si>
  <si>
    <t>Return on equity</t>
  </si>
  <si>
    <t>Payout ratio</t>
  </si>
  <si>
    <t>Year Ending Dec 31</t>
  </si>
  <si>
    <t>Receivables (NCA)</t>
  </si>
  <si>
    <t>EPS growth (adj)</t>
  </si>
  <si>
    <t>EBIT Margin (incl associates)</t>
  </si>
  <si>
    <t>- Concrete</t>
  </si>
  <si>
    <t>- Lime</t>
  </si>
  <si>
    <t>- Cement</t>
  </si>
  <si>
    <t>Total Cement, Lime and Concrete</t>
  </si>
  <si>
    <t>Group EBIT Margin</t>
  </si>
  <si>
    <t>INCOME STATEMENT - Analysis</t>
  </si>
  <si>
    <t>Cash Opening Balance</t>
  </si>
  <si>
    <t>Cash Closing Balance</t>
  </si>
  <si>
    <t>Average balance</t>
  </si>
  <si>
    <t>Forecast Int rate</t>
  </si>
  <si>
    <t>CFO</t>
  </si>
  <si>
    <t>Michael Kelly</t>
  </si>
  <si>
    <t>MD</t>
  </si>
  <si>
    <t>IR Contact</t>
  </si>
  <si>
    <t>Luba Alexander</t>
  </si>
  <si>
    <t>08 8223 8005</t>
  </si>
  <si>
    <t>0418 535 636</t>
  </si>
  <si>
    <t>COMPANY BACKGROUND</t>
  </si>
  <si>
    <t>Title</t>
  </si>
  <si>
    <t>Name</t>
  </si>
  <si>
    <t>Lime</t>
  </si>
  <si>
    <t>(1- Target Gearing Ratio)</t>
  </si>
  <si>
    <t>Target Gearing Ratio</t>
  </si>
  <si>
    <t>Debt/Equity ratio</t>
  </si>
  <si>
    <t>Equity beta</t>
  </si>
  <si>
    <t>Cement_Rev</t>
  </si>
  <si>
    <t>Alterations &amp; additions</t>
  </si>
  <si>
    <t>Utilisation</t>
  </si>
  <si>
    <t>Volume growth</t>
  </si>
  <si>
    <t>1H13</t>
  </si>
  <si>
    <t>2H13</t>
  </si>
  <si>
    <t>FY13</t>
  </si>
  <si>
    <t>Amortisation of Goodwill</t>
  </si>
  <si>
    <t>Total Operating Revenue Growth</t>
  </si>
  <si>
    <t>EBIT Margins</t>
  </si>
  <si>
    <t>Tax Calculation</t>
  </si>
  <si>
    <t>Pre-tax profit + goodwill</t>
  </si>
  <si>
    <t>Add other non-deduct</t>
  </si>
  <si>
    <t>Taxable Income</t>
  </si>
  <si>
    <t>Applied Corporate Tax Rate</t>
  </si>
  <si>
    <t>Calculated Tax Expense</t>
  </si>
  <si>
    <t>Reported Tax Expense</t>
  </si>
  <si>
    <t>Total Operating Revenue</t>
  </si>
  <si>
    <t>Total Sales Revenue Growth</t>
  </si>
  <si>
    <t>Cement, Lime and Concrete</t>
  </si>
  <si>
    <t>FY02</t>
  </si>
  <si>
    <t>1H03</t>
  </si>
  <si>
    <t>2H03</t>
  </si>
  <si>
    <t>FY03</t>
  </si>
  <si>
    <t>INCOME STATEMENT</t>
  </si>
  <si>
    <t>Proportional Cost of Equity for WACC</t>
  </si>
  <si>
    <t>Total Sales</t>
  </si>
  <si>
    <t>1H04</t>
  </si>
  <si>
    <t>2H04</t>
  </si>
  <si>
    <t>Dividend cash outflow</t>
  </si>
  <si>
    <t>Div amt from previous period</t>
  </si>
  <si>
    <t>Total Liabilities</t>
  </si>
  <si>
    <t>EBIT interest cover</t>
  </si>
  <si>
    <t>Board Members</t>
  </si>
  <si>
    <t>Raymond Barro</t>
  </si>
  <si>
    <t>Les Hosking</t>
  </si>
  <si>
    <t>Graeme Pettigrew</t>
  </si>
  <si>
    <t>Ken Scott-Mackenzie</t>
  </si>
  <si>
    <t>Arlene M Tansey</t>
  </si>
  <si>
    <t>Address</t>
  </si>
  <si>
    <t>Level 1, 157 Grenfell Street, ADELAIDE, SA, AUSTRALIA, 5000</t>
  </si>
  <si>
    <t>History</t>
  </si>
  <si>
    <t>EBITDA Margin (incl Associates)</t>
  </si>
  <si>
    <t>Dividend per share</t>
  </si>
  <si>
    <t>Ordinary</t>
  </si>
  <si>
    <t>Special</t>
  </si>
  <si>
    <t>Total</t>
  </si>
  <si>
    <t>Payout Ratio</t>
  </si>
  <si>
    <t>Franked amount</t>
  </si>
  <si>
    <t>Concrete</t>
  </si>
  <si>
    <t>CASH FLOW - Summary</t>
  </si>
  <si>
    <t>GOCF/EBITDA</t>
  </si>
  <si>
    <t>Operating EBITDA (inc writedowns)</t>
  </si>
  <si>
    <t xml:space="preserve">Net Interest Paid </t>
  </si>
  <si>
    <t>Tax Paid</t>
  </si>
  <si>
    <t>Addtions/Acquisitions</t>
  </si>
  <si>
    <t>Disposal - BV</t>
  </si>
  <si>
    <t>Other/revaluation</t>
  </si>
  <si>
    <t>Depreciation &amp; Amort</t>
  </si>
  <si>
    <t>Closing P,P&amp;E (Net)</t>
  </si>
  <si>
    <t>Depreciation Rate</t>
  </si>
  <si>
    <t>Calculated Depreciation</t>
  </si>
  <si>
    <t>Reported Depreciation</t>
  </si>
  <si>
    <t>Other/Balancing</t>
  </si>
  <si>
    <t>Cement Lime and Concrete</t>
  </si>
  <si>
    <t>Financial Debt Long term</t>
  </si>
  <si>
    <t>Provisions (non tax)</t>
  </si>
  <si>
    <t>0</t>
  </si>
  <si>
    <t>WACC inputs</t>
  </si>
  <si>
    <t>Segments</t>
  </si>
  <si>
    <t>Add equity accounted profits</t>
  </si>
  <si>
    <t>margin</t>
  </si>
  <si>
    <t>Masonry</t>
  </si>
  <si>
    <t>Equity Accounted Profit incl above</t>
  </si>
  <si>
    <t>Minorities</t>
  </si>
  <si>
    <t>Total non-current liabilities</t>
  </si>
  <si>
    <t>Cost of Equity</t>
  </si>
  <si>
    <t>Beta</t>
  </si>
  <si>
    <t>Cost of Debt</t>
  </si>
  <si>
    <t>Current assets</t>
  </si>
  <si>
    <t>Total Working Capital</t>
  </si>
  <si>
    <t>(Inc)/Dec in Working Cap.</t>
  </si>
  <si>
    <t>Working capital/sales</t>
  </si>
  <si>
    <t>Miscellaneous</t>
  </si>
  <si>
    <t>Reported NTA</t>
  </si>
  <si>
    <t>$ps</t>
  </si>
  <si>
    <t>Closing Cap. Employed</t>
  </si>
  <si>
    <t>Actual</t>
  </si>
  <si>
    <t>Receipts from customers</t>
  </si>
  <si>
    <t>Payments to suppliers</t>
  </si>
  <si>
    <t>Domestic Clinker Capacity</t>
  </si>
  <si>
    <t>Domestic Cement Production</t>
  </si>
  <si>
    <t>Domestic Grinding Capacity</t>
  </si>
  <si>
    <t>Production - Clinker</t>
  </si>
  <si>
    <t>Import Cement (for grinding)</t>
  </si>
  <si>
    <t>Net interest expense</t>
  </si>
  <si>
    <t>Total assets</t>
  </si>
  <si>
    <t>Operating EBITDA (incl Associates)</t>
  </si>
  <si>
    <t>FY18</t>
  </si>
  <si>
    <t>1H19</t>
  </si>
  <si>
    <t>2H19</t>
  </si>
  <si>
    <t>FY19</t>
  </si>
  <si>
    <t>1H20</t>
  </si>
  <si>
    <t>2H20</t>
  </si>
  <si>
    <t>FY20</t>
  </si>
  <si>
    <t>% Chg</t>
  </si>
  <si>
    <t>EBITDA margin</t>
  </si>
  <si>
    <t>Segment Assets</t>
  </si>
  <si>
    <t>Gross revenues</t>
  </si>
  <si>
    <t>Intersegment revenues</t>
  </si>
  <si>
    <t>External revenues</t>
  </si>
  <si>
    <t>1H21</t>
  </si>
  <si>
    <t>2H21</t>
  </si>
  <si>
    <t>FY21</t>
  </si>
  <si>
    <t>Sales Product Segmentation %</t>
  </si>
  <si>
    <t>Sales Product Segmentation A$m</t>
  </si>
  <si>
    <t>Actuals</t>
  </si>
  <si>
    <t>Total Revenue</t>
  </si>
  <si>
    <t>Tax rate</t>
  </si>
  <si>
    <t xml:space="preserve"> Ordinary</t>
  </si>
  <si>
    <t xml:space="preserve"> Special</t>
  </si>
  <si>
    <t xml:space="preserve"> Total</t>
  </si>
  <si>
    <t>Output</t>
  </si>
  <si>
    <t>Operating cash flow</t>
  </si>
  <si>
    <t>Investing cash flow</t>
  </si>
  <si>
    <t>Financing cash flow</t>
  </si>
  <si>
    <t>Net cash flow</t>
  </si>
  <si>
    <t>ND</t>
  </si>
  <si>
    <t>EBIT growth</t>
  </si>
  <si>
    <t>Concrete Products</t>
  </si>
  <si>
    <t>Revenue growth</t>
  </si>
  <si>
    <t xml:space="preserve">Cement Lime and Concrete </t>
  </si>
  <si>
    <t>Net debt</t>
  </si>
  <si>
    <t>Maint Capex/Depreciation</t>
  </si>
  <si>
    <t>Depreciation Calculations</t>
  </si>
  <si>
    <t>Net Interest Expense</t>
  </si>
  <si>
    <t>A$m</t>
  </si>
  <si>
    <t>Elimination of JV revenues</t>
  </si>
  <si>
    <t>Revenue from continuing operations</t>
  </si>
  <si>
    <t>Operating EBIT</t>
  </si>
  <si>
    <t>Consolidated EBITDA</t>
  </si>
  <si>
    <t>Operating D&amp;A</t>
  </si>
  <si>
    <t>Add Other D&amp;A</t>
  </si>
  <si>
    <t>Total D&amp;A</t>
  </si>
  <si>
    <t>Less "Other" EBIT</t>
  </si>
  <si>
    <t>Total EBIT from continuing ops</t>
  </si>
  <si>
    <t>DPS growth</t>
  </si>
  <si>
    <t>Gross Operating Cash Flow</t>
  </si>
  <si>
    <t>DRP adjustment</t>
  </si>
  <si>
    <t>Dividend yield</t>
  </si>
  <si>
    <t>Dividends</t>
  </si>
  <si>
    <t>Intangibles</t>
  </si>
  <si>
    <t>Total non-current assets</t>
  </si>
  <si>
    <t>% chg</t>
  </si>
  <si>
    <t>Revenue</t>
  </si>
  <si>
    <t>EBITDA</t>
  </si>
  <si>
    <t>EBIT</t>
  </si>
  <si>
    <t>NPAT</t>
  </si>
  <si>
    <t>Other revenue</t>
  </si>
  <si>
    <t>Total Sales Revenue</t>
  </si>
  <si>
    <t>Operating Cashflow</t>
  </si>
  <si>
    <t>Returns Summary</t>
  </si>
  <si>
    <t>Return on Assets (ROA)</t>
  </si>
  <si>
    <t>Current liabilities</t>
  </si>
  <si>
    <t>Creditors</t>
  </si>
  <si>
    <t>Borrowings</t>
  </si>
  <si>
    <t>Provisions</t>
  </si>
  <si>
    <t>Total current liabilities</t>
  </si>
  <si>
    <t>Non-current liabilities</t>
  </si>
  <si>
    <t>COGS</t>
  </si>
  <si>
    <t>Effective tax rate</t>
  </si>
  <si>
    <t>growth</t>
  </si>
  <si>
    <t>Debtors</t>
  </si>
  <si>
    <t>Other Current Assets</t>
  </si>
  <si>
    <t>Non-Current Assets</t>
  </si>
  <si>
    <t>Other financial assets</t>
  </si>
  <si>
    <t>Fixed Assets (P, P&amp;E)</t>
  </si>
  <si>
    <t>Working capital</t>
  </si>
  <si>
    <t>1H05</t>
  </si>
  <si>
    <t>2H05</t>
  </si>
  <si>
    <t>1H06</t>
  </si>
  <si>
    <t>2H06</t>
  </si>
  <si>
    <t>1H07</t>
  </si>
  <si>
    <t>2H07</t>
  </si>
  <si>
    <t>total yield</t>
  </si>
  <si>
    <t>ordinary yield</t>
  </si>
  <si>
    <t>Discounted PE (x)</t>
  </si>
  <si>
    <t>Group EBIT Margin (incl Assoc.)</t>
  </si>
  <si>
    <t>Other Non Current Assets</t>
  </si>
  <si>
    <t>Financial Debt - S/T</t>
  </si>
  <si>
    <t>Retained profits</t>
  </si>
  <si>
    <t>Minority interest</t>
  </si>
  <si>
    <t>CASH FLOW - Calculations</t>
  </si>
  <si>
    <t>Net Debt Summary</t>
  </si>
  <si>
    <t>Cash &amp; S/T Deposits</t>
  </si>
  <si>
    <t>Other financial debt</t>
  </si>
  <si>
    <t>Closing Net Debt</t>
  </si>
  <si>
    <t>Movement in Net Debt</t>
  </si>
  <si>
    <t>Interest Expense Calculations</t>
  </si>
  <si>
    <t>Opening Debt Balance</t>
  </si>
  <si>
    <t>Closing Debt Balance</t>
  </si>
  <si>
    <t>1H Split for averages</t>
  </si>
  <si>
    <t>Average Debt</t>
  </si>
  <si>
    <t>Forecast interest rate</t>
  </si>
  <si>
    <t>Price per share ($/ps)</t>
  </si>
  <si>
    <t>Number of shares issued/bought back (m)</t>
  </si>
  <si>
    <t>FY09</t>
  </si>
  <si>
    <t>Receivables</t>
  </si>
  <si>
    <t>Inventories</t>
  </si>
  <si>
    <t>Other</t>
  </si>
  <si>
    <t>Total current assets</t>
  </si>
  <si>
    <t>Investments</t>
  </si>
  <si>
    <t>Concrete and Aggregates</t>
  </si>
  <si>
    <t>Working Capital</t>
  </si>
  <si>
    <t>Other issues</t>
  </si>
  <si>
    <t>Shares at period end</t>
  </si>
  <si>
    <t xml:space="preserve">Weighted average Shares </t>
  </si>
  <si>
    <t>Description</t>
  </si>
  <si>
    <t>Chairman</t>
  </si>
  <si>
    <t>Email</t>
  </si>
  <si>
    <t>AdelaideBrighton@adbri.com.au</t>
  </si>
  <si>
    <t>Pre-tax profit</t>
  </si>
  <si>
    <t xml:space="preserve">Revenue adjustments </t>
  </si>
  <si>
    <t>Total revenues</t>
  </si>
  <si>
    <t>Sunstate</t>
  </si>
  <si>
    <t>Total equity accounted profits</t>
  </si>
  <si>
    <t>Consolidated EBIT incl eq accounted profits</t>
  </si>
  <si>
    <t>Growth</t>
  </si>
  <si>
    <t>EBIT margin</t>
  </si>
  <si>
    <t>Provisions - deferred tax</t>
  </si>
  <si>
    <t>Total Non-Current Liabilities</t>
  </si>
  <si>
    <t>Net Assets</t>
  </si>
  <si>
    <t>Issued capital</t>
  </si>
  <si>
    <t>Total Shareholders Equity</t>
  </si>
  <si>
    <t>BALANCE SHEET - Calculations</t>
  </si>
  <si>
    <t>A$ per share</t>
  </si>
  <si>
    <t>Model Sections</t>
  </si>
  <si>
    <t>Phone</t>
  </si>
  <si>
    <t xml:space="preserve">Adelaide Brighton Limited (ABC) is an integrated supplier of cement and lime to the construction, engineering and infrastructure and resource sectors in Australia. The company operates in all mainland states and territories and employs approximately 1,600 people.
</t>
  </si>
  <si>
    <t>Dec YE</t>
  </si>
  <si>
    <t>ETR as reported</t>
  </si>
  <si>
    <t>Our sum-of-the-parts valuation</t>
  </si>
  <si>
    <t>Income statement (A$m)</t>
  </si>
  <si>
    <t>Depreciation &amp; amortisation</t>
  </si>
  <si>
    <t>Segmental EBIT (A$m)</t>
  </si>
  <si>
    <t>Cash flow statement (A$m)</t>
  </si>
  <si>
    <t>Cash dividends paid</t>
  </si>
  <si>
    <t>Balance sheet (A$m)</t>
  </si>
  <si>
    <t>Other current assets</t>
  </si>
  <si>
    <t>Fixed assets (P, P&amp;E)</t>
  </si>
  <si>
    <t>Other non-current assets</t>
  </si>
  <si>
    <t>Accounts payable</t>
  </si>
  <si>
    <t>Financial debt - S/T</t>
  </si>
  <si>
    <t>Financial debt - L/T</t>
  </si>
  <si>
    <t>Provisions (non-tax)</t>
  </si>
  <si>
    <t>Total shareholder funds</t>
  </si>
  <si>
    <t>Projected return</t>
  </si>
  <si>
    <t>Current share price</t>
  </si>
  <si>
    <t>Sum-of-the-parts</t>
  </si>
  <si>
    <t>Key earnings ratios</t>
  </si>
  <si>
    <t>EPS growth (adjusted)</t>
  </si>
  <si>
    <t>Add: Land value</t>
  </si>
  <si>
    <t>Implied upside to target price</t>
  </si>
  <si>
    <t>Projected return (including dividend)</t>
  </si>
  <si>
    <t>2018E</t>
  </si>
  <si>
    <t>2019E</t>
  </si>
  <si>
    <t>2020E</t>
  </si>
  <si>
    <t>2021E</t>
  </si>
  <si>
    <t>FY18E</t>
  </si>
  <si>
    <t>FY19E</t>
  </si>
  <si>
    <t>FY20E</t>
  </si>
  <si>
    <t>Average</t>
  </si>
  <si>
    <t>All fiscal years are on a December year-end basis</t>
  </si>
  <si>
    <t>NPAT Adjusted</t>
  </si>
  <si>
    <t>EPS Adjusted (cps)</t>
  </si>
  <si>
    <t>Significant Items after tax</t>
  </si>
  <si>
    <t>Martin Brydon</t>
  </si>
  <si>
    <t>FY15A</t>
  </si>
  <si>
    <t>E</t>
  </si>
  <si>
    <t>Cement, Lime, Concrete and Aggregates</t>
  </si>
  <si>
    <t>Property (included in above)</t>
  </si>
  <si>
    <t>Property sales</t>
  </si>
  <si>
    <t>FY16A</t>
  </si>
  <si>
    <t>Add associates at 15x</t>
  </si>
  <si>
    <t>Zlatko Todorcevski</t>
  </si>
  <si>
    <t>MS EPS (¢)</t>
  </si>
  <si>
    <t>Unrecorded goodwill</t>
  </si>
  <si>
    <t>Shareholders Equity Schedule</t>
  </si>
  <si>
    <t>Opening Balance</t>
  </si>
  <si>
    <t>Issuance of Stock</t>
  </si>
  <si>
    <t>Net Income</t>
  </si>
  <si>
    <t>AOCI</t>
  </si>
  <si>
    <t>Closing balance</t>
  </si>
  <si>
    <t>Depriciation</t>
  </si>
  <si>
    <t>Restatement Changes</t>
  </si>
  <si>
    <t>Bull Case</t>
  </si>
  <si>
    <t>Bear Case</t>
  </si>
  <si>
    <t>Current Stock Price</t>
  </si>
  <si>
    <t>Count</t>
  </si>
  <si>
    <t>ABC.AX,mscalc:closePriceCurrencyCalc</t>
  </si>
  <si>
    <t>ABC.AX,mscalc:sedolCodeCalc</t>
  </si>
  <si>
    <t>ABC.AX,mscalc:targetPrice,,,,USD</t>
  </si>
  <si>
    <t>ABC.AX,mscalc:targetPrice,,,,AUD</t>
  </si>
  <si>
    <t>$H$2</t>
  </si>
  <si>
    <t>Weighted average Shares (Diluted)</t>
  </si>
  <si>
    <t xml:space="preserve">EBIT </t>
  </si>
  <si>
    <t>AU housing starts</t>
  </si>
  <si>
    <t>AU non-res spend % ch</t>
  </si>
  <si>
    <t>AU housing starts % ch</t>
  </si>
  <si>
    <t>AU E&amp;C spend % ch</t>
  </si>
  <si>
    <t>AU roads spend % ch</t>
  </si>
  <si>
    <t>Australian price leverage calculator</t>
  </si>
  <si>
    <t>Avg realised price increase</t>
  </si>
  <si>
    <t>Avg realised price uplift $m</t>
  </si>
  <si>
    <t>Cost inflation</t>
  </si>
  <si>
    <t>Cost inflation $m (pcp as base)\</t>
  </si>
  <si>
    <t>Net price benefit $m</t>
  </si>
  <si>
    <t>Net price benefit %</t>
  </si>
  <si>
    <t>Implied volume uplift/drag</t>
  </si>
  <si>
    <t>Avg volume increase</t>
  </si>
  <si>
    <t>$ volume increase</t>
  </si>
  <si>
    <t>Assumed variable portion of cost base</t>
  </si>
  <si>
    <t>$M EBIT increase</t>
  </si>
  <si>
    <t>% margin uplift</t>
  </si>
  <si>
    <t>Combined price and leverage</t>
  </si>
  <si>
    <t>Margin impact</t>
  </si>
  <si>
    <t>=$EBIT impact vs pcp</t>
  </si>
  <si>
    <t>1H22</t>
  </si>
  <si>
    <t>2H22</t>
  </si>
  <si>
    <t>FY22</t>
  </si>
  <si>
    <t>1H23</t>
  </si>
  <si>
    <t>2H23</t>
  </si>
  <si>
    <t>FY23</t>
  </si>
  <si>
    <t>1H24</t>
  </si>
  <si>
    <t>2H24</t>
  </si>
  <si>
    <t>FY24</t>
  </si>
  <si>
    <t>1H25</t>
  </si>
  <si>
    <t>2H25</t>
  </si>
  <si>
    <t>FY25</t>
  </si>
  <si>
    <t>Calculated Interest Expense</t>
  </si>
  <si>
    <t>Interest Expense Hardcoded</t>
  </si>
  <si>
    <t>Calculated Interest Income</t>
  </si>
  <si>
    <t>Interest Income Hardcoded</t>
  </si>
  <si>
    <t xml:space="preserve">       Adelaide Brighton</t>
  </si>
  <si>
    <t>&lt;-- Run cash balancer</t>
  </si>
  <si>
    <t>Balancing error ---&gt;</t>
  </si>
  <si>
    <t>Intersegmental Revenue</t>
  </si>
  <si>
    <t>Total Intersegmental Revenue</t>
  </si>
  <si>
    <t>External Sales</t>
  </si>
  <si>
    <t>Implied EV/EBITDA</t>
  </si>
  <si>
    <t>Implied EV/EBIT</t>
  </si>
  <si>
    <t>Implied EV/PE</t>
  </si>
  <si>
    <t>Method</t>
  </si>
  <si>
    <t>SOTP</t>
  </si>
  <si>
    <t>PE relative</t>
  </si>
  <si>
    <t>Upside (downside to current)</t>
  </si>
  <si>
    <t>Div yield</t>
  </si>
  <si>
    <t>Total return</t>
  </si>
  <si>
    <t>Ratio analysis (%)</t>
  </si>
  <si>
    <t>Capex/depreciation (x)</t>
  </si>
  <si>
    <r>
      <rPr>
        <b/>
        <sz val="8"/>
        <color rgb="FF002060"/>
        <rFont val="Arial"/>
        <family val="2"/>
      </rPr>
      <t>Andrew Scott -</t>
    </r>
    <r>
      <rPr>
        <sz val="8"/>
        <color rgb="FF002060"/>
        <rFont val="Arial"/>
        <family val="2"/>
      </rPr>
      <t xml:space="preserve"> andrew.g.scott@morganstanley.com - +61 2 9770 1397 / </t>
    </r>
    <r>
      <rPr>
        <b/>
        <sz val="8"/>
        <color rgb="FF002060"/>
        <rFont val="Arial"/>
        <family val="2"/>
      </rPr>
      <t xml:space="preserve">Tahnee Kljaic - </t>
    </r>
    <r>
      <rPr>
        <sz val="8"/>
        <color rgb="FF002060"/>
        <rFont val="Arial"/>
        <family val="2"/>
      </rPr>
      <t>tahnee.kljaic@morganstanley.com - +61 2 9770 1359</t>
    </r>
  </si>
  <si>
    <t>ABC Valuation</t>
  </si>
  <si>
    <t>Appropriate discount</t>
  </si>
  <si>
    <t>vs. current share px</t>
  </si>
  <si>
    <t xml:space="preserve">Weight </t>
  </si>
  <si>
    <t>2022E</t>
  </si>
  <si>
    <t>2023E</t>
  </si>
  <si>
    <t>2024E</t>
  </si>
  <si>
    <t>2025E</t>
  </si>
  <si>
    <t>Inputs</t>
  </si>
  <si>
    <t>ASX200 industrials ex-financials (linked)</t>
  </si>
  <si>
    <t>ASX200 industrials ex-financials (hard code)</t>
  </si>
  <si>
    <t>ASX200 industrials ex-financials (x)</t>
  </si>
  <si>
    <t>Premium (discount)</t>
  </si>
  <si>
    <t>Linked multiples (EV/EBIT)</t>
  </si>
  <si>
    <t>Hard code multiples (EV/EBIT)</t>
  </si>
  <si>
    <t>Construction materials</t>
  </si>
  <si>
    <t>Building products</t>
  </si>
  <si>
    <t>VALUATION SUMMARY</t>
  </si>
  <si>
    <t>SUM OF THE PARTS VALUATION</t>
  </si>
  <si>
    <t>PE RELATIVE VALUATION</t>
  </si>
  <si>
    <t>Current</t>
  </si>
  <si>
    <t>Last published</t>
  </si>
  <si>
    <t>As at:</t>
  </si>
  <si>
    <t>MULTIPLES INPUTS</t>
  </si>
  <si>
    <t>FY18E  EBIT</t>
  </si>
  <si>
    <t>Now</t>
  </si>
  <si>
    <t>Last close</t>
  </si>
  <si>
    <t>PT</t>
  </si>
  <si>
    <t>Model checks</t>
  </si>
  <si>
    <t>Interest Income Calculations</t>
  </si>
  <si>
    <t>PER SHARE DATA</t>
  </si>
  <si>
    <t>Total Group</t>
  </si>
  <si>
    <t>Less Inter-segment revenues</t>
  </si>
  <si>
    <t>Balancing error</t>
  </si>
  <si>
    <r>
      <t>Free cash flow</t>
    </r>
    <r>
      <rPr>
        <sz val="10"/>
        <rFont val="Arial"/>
        <family val="2"/>
      </rPr>
      <t xml:space="preserve"> (op cash flow less capex)</t>
    </r>
  </si>
  <si>
    <t>Hard pasted drivers (from live links above)</t>
  </si>
  <si>
    <t>Add: Land value at 10x maintainable EBIT</t>
  </si>
  <si>
    <t>Free cash flow yield</t>
  </si>
  <si>
    <t>Var vs. Base Case</t>
  </si>
  <si>
    <t>FY1 PE at PT</t>
  </si>
  <si>
    <t>Price target (rounded to nearest A50c)</t>
  </si>
  <si>
    <t>Average Valuation</t>
  </si>
  <si>
    <t>Rounded Price Target</t>
  </si>
  <si>
    <t>Valuation (A$)</t>
  </si>
  <si>
    <t>Operating EBITDA ex sig items</t>
  </si>
  <si>
    <t>nm</t>
  </si>
  <si>
    <t>Actual / Estimate Flag (MUST ENTER)</t>
  </si>
  <si>
    <t>Reportable segments</t>
  </si>
  <si>
    <t xml:space="preserve">Established by William Lewis in 1882 as Brighton Cement Works, however failed in 1883. It was then reignited by a syndicate of investors </t>
  </si>
  <si>
    <t>where it flourished. The company merged with Adelaide to become Adelaide Brighton Cement in the 1970s and was subsequently</t>
  </si>
  <si>
    <t xml:space="preserve">listed on the ASX. </t>
  </si>
  <si>
    <t>FY17A</t>
  </si>
  <si>
    <t>Key assumptions</t>
  </si>
  <si>
    <t>Return metrics</t>
  </si>
  <si>
    <t>Balance sheet debt metrics</t>
  </si>
  <si>
    <t>Trading multiples (x)</t>
  </si>
  <si>
    <t>Valuation summary</t>
  </si>
  <si>
    <t>FY19E valuation</t>
  </si>
  <si>
    <t>Share price as at 28 February 2018.</t>
  </si>
  <si>
    <t>Vanessa Guthrie</t>
  </si>
  <si>
    <t>Geoffrey Tarrant</t>
  </si>
  <si>
    <t>Note from 2017 the treatment of JV and asscoiates revenues changed with these items excluded going forward</t>
  </si>
  <si>
    <t>6006886</t>
  </si>
  <si>
    <t>4.7052</t>
  </si>
  <si>
    <t>6</t>
  </si>
  <si>
    <t>Underweight</t>
  </si>
  <si>
    <t>Research</t>
  </si>
  <si>
    <t>e = Morgan Stanley Research estimates unless otherwise noted</t>
  </si>
  <si>
    <t>Source: Morgan Stanley Research unless otherwise noted</t>
  </si>
  <si>
    <t>Stocks ratings are relative to the analyst's industry coverage universe.</t>
  </si>
  <si>
    <t>1 Austin Road West</t>
  </si>
  <si>
    <t>Kowloon</t>
  </si>
  <si>
    <t>Hong Kong</t>
  </si>
  <si>
    <t>Tel: +852 2848 5200</t>
  </si>
  <si>
    <t>Authors: Andrew Scott, Tahnee Kljaic</t>
  </si>
  <si>
    <t>Date: 02 Mar 2018</t>
  </si>
  <si>
    <t>Ticker: ABC.AX</t>
  </si>
  <si>
    <t>Stock Rating: Underweight</t>
  </si>
  <si>
    <t>Industry: Australia Industrials</t>
  </si>
  <si>
    <t>Industry View: Cautious</t>
  </si>
  <si>
    <t>Price as of 02 Mar 2018: 6.71</t>
  </si>
  <si>
    <t>Target Price: 6</t>
  </si>
  <si>
    <t>Analyst Certification</t>
  </si>
  <si>
    <t>Unless otherwise stated, the individuals listed on the cover page of this report are research analysts.</t>
  </si>
  <si>
    <t>Global Research Conflict Management Policy</t>
  </si>
  <si>
    <t>Important US Regulatory Disclosures on Subject Companies</t>
  </si>
  <si>
    <t>STOCK RATINGS</t>
  </si>
  <si>
    <t>Global Stock Ratings Distribution</t>
  </si>
  <si>
    <t>(as of February 28,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</si>
  <si>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</si>
  <si>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</si>
  <si>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</si>
  <si>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</si>
  <si>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</si>
  <si>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</si>
  <si>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</si>
  <si>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</si>
  <si>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</si>
  <si>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</si>
  <si>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</si>
  <si>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</si>
  <si>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</si>
  <si>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</si>
  <si>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</si>
  <si>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</si>
  <si>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</si>
  <si>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</si>
  <si>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</si>
  <si>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</si>
  <si>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</si>
  <si>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</si>
  <si>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</si>
  <si>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</si>
  <si>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</si>
  <si>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</si>
  <si>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</si>
  <si>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</si>
  <si>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</si>
  <si>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</si>
  <si>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</si>
  <si>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</si>
  <si>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</si>
  <si>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</si>
  <si>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</si>
  <si>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</si>
  <si>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</si>
  <si>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</si>
  <si>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</si>
  <si>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</si>
  <si>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</si>
  <si>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</si>
  <si>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</si>
  <si>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</si>
  <si>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</si>
  <si>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</si>
  <si>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</si>
  <si>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</si>
  <si>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</si>
  <si>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</si>
  <si>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</si>
  <si>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</si>
  <si>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</si>
  <si>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</si>
  <si>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</si>
  <si>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</si>
  <si>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</si>
  <si>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</si>
  <si>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</si>
  <si>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</si>
  <si>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</si>
  <si>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</si>
  <si>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</si>
  <si>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</si>
  <si>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</si>
  <si>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</si>
  <si>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</si>
  <si>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</si>
  <si>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</si>
  <si>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</si>
  <si>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</si>
  <si>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</si>
  <si>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</si>
  <si>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</si>
  <si>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</si>
  <si>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</si>
  <si>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</si>
  <si>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</si>
  <si>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</si>
  <si>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</si>
  <si>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</si>
  <si>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</si>
  <si>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Certain information in Morgan Stanley Research was sourced by employees of the Shanghai Representative</t>
  </si>
  <si>
    <t>Office of Morgan Stanley Asia Limited for the use of Morgan Stanley Asia Limited.</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</si>
  <si>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</si>
  <si>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</si>
  <si>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</si>
  <si>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</si>
  <si>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</si>
  <si>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</si>
  <si>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</si>
  <si>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</si>
  <si>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</si>
  <si>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</si>
  <si>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</si>
  <si>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</si>
  <si>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</si>
  <si>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</si>
  <si>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</si>
  <si>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</si>
  <si>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</si>
  <si>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</si>
  <si>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</si>
  <si>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</si>
  <si>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</si>
  <si>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</si>
  <si>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</si>
  <si>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</si>
  <si>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</si>
  <si>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</si>
  <si>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</si>
  <si>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</si>
  <si>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</si>
  <si>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</si>
  <si>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</si>
  <si>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</si>
  <si>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</si>
  <si>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</si>
  <si>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</si>
  <si>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</si>
  <si>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</si>
  <si>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</si>
  <si>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</si>
  <si>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</si>
  <si>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</si>
  <si>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</si>
  <si>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</si>
  <si>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</si>
  <si>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</si>
  <si>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</si>
  <si>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</si>
  <si>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</si>
  <si>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</si>
  <si>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</si>
  <si>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</si>
  <si>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</si>
  <si>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</si>
  <si>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</si>
  <si>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</si>
  <si>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</si>
  <si>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</si>
  <si>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</si>
  <si>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</si>
  <si>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</si>
  <si>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</si>
  <si>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</si>
  <si>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</si>
  <si>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</si>
  <si>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</si>
  <si>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</si>
  <si>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</si>
  <si>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</si>
  <si>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</si>
  <si>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</si>
  <si>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</si>
  <si>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</si>
  <si>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</si>
  <si>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</si>
  <si>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</si>
  <si>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</si>
  <si>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</si>
  <si>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</si>
  <si>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</si>
  <si>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</si>
  <si>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</si>
  <si>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</si>
  <si>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</si>
  <si>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</si>
  <si>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</si>
  <si>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</si>
  <si>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</si>
  <si>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</si>
  <si>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</si>
  <si>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</si>
  <si>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</si>
  <si>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</si>
  <si>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</si>
  <si>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</si>
  <si>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</si>
  <si>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</si>
  <si>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</si>
  <si>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</si>
  <si>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</si>
  <si>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</si>
  <si>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</si>
  <si>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</si>
  <si>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</si>
  <si>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</si>
  <si>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</si>
  <si>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</si>
  <si>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</si>
  <si>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</si>
  <si>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</si>
  <si>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</si>
  <si>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</si>
  <si>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</si>
  <si>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</si>
  <si>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</si>
  <si>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</si>
  <si>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</si>
  <si>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</si>
  <si>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</si>
  <si>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</si>
  <si>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</si>
  <si>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</si>
  <si>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</si>
  <si>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</si>
  <si>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</si>
  <si>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</si>
  <si>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</si>
  <si>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</si>
  <si>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</si>
  <si>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</si>
  <si>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</si>
  <si>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</si>
  <si>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</si>
  <si>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</si>
  <si>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</si>
  <si>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</si>
  <si>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</si>
  <si>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</si>
  <si>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</si>
  <si>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</si>
  <si>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</si>
  <si>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</si>
  <si>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</si>
  <si>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</si>
  <si>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</si>
  <si>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</si>
  <si>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</si>
  <si>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</si>
  <si>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</si>
  <si>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</si>
  <si>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</si>
  <si>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</si>
  <si>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</si>
  <si>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</si>
  <si>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</si>
  <si>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</si>
  <si>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</si>
  <si>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provided or is providing investment banking services to,</t>
  </si>
  <si>
    <t>or has an investment banking client relationship with, the following company: Adelaide Brighton Ltd.</t>
  </si>
  <si>
    <t>In the next 3 months, Morgan Stanley expects to receive or intends to seek compensation for investment</t>
  </si>
  <si>
    <t>banking services from Adelaide Brighton Ltd.</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</si>
  <si>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</si>
  <si>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</si>
  <si>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</si>
  <si>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</si>
  <si>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</si>
  <si>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Andrew G Scott.</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</si>
  <si>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</si>
  <si>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</si>
  <si>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</si>
  <si>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</si>
  <si>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</si>
  <si>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</si>
  <si>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</si>
  <si>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</si>
  <si>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</si>
  <si>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</si>
  <si>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or are disseminated by Morgan</t>
  </si>
  <si>
    <t>Stanley Asia Limited (which accepts the responsibility for its contents) and/or Morgan Stanley Asia</t>
  </si>
  <si>
    <t>(Singapore) Pte. (Registration number 199206298Z) and/or Morgan Stanley Asia (Singapore) Securities Pte</t>
  </si>
  <si>
    <t>Ltd (Registration number 200008434H), regulated by the Monetary Authority of Singapore (which accepts</t>
  </si>
  <si>
    <t>legal responsibility for its contents and should be contacted with respect to any matters arising from,</t>
  </si>
  <si>
    <t>or in connection with, Morgan Stanley Research), and/or Morgan Stanley Taiwan Limited and/or Morgan</t>
  </si>
  <si>
    <t>Stanley &amp; Co International plc, Seoul Branch, and/or Morgan Stanley Australia Limited (A.B.N. 67 003 734</t>
  </si>
  <si>
    <t>576, holder of Australian financial services license No. 233742, which accepts responsibility for its</t>
  </si>
  <si>
    <t>contents), and/or Morgan Stanley Wealth Management Australia Pty Ltd (A.B.N. 19 009 145 555, holder of</t>
  </si>
  <si>
    <t>Australian financial services license No. 240813, which accepts responsibility for its contents), and/or</t>
  </si>
  <si>
    <t>Morgan Stanley India Company Private Limited, regulated by the Securities and Exchange Board of India</t>
  </si>
  <si>
    <t>(“SEBI”) and holder of licenses as a Research Analyst (SEBI Registration No. INH000001105); Stock Broker</t>
  </si>
  <si>
    <t>(BSE Registration No. INB011054237 and NSE Registration No. INB/INF231054231), Merchant Banker (SEBI</t>
  </si>
  <si>
    <t>Registration No. INM000011203), and depository participant with National Securities Depository Limited</t>
  </si>
  <si>
    <t>(SEBI Registration No. IN-DP-NSDL-372-2014) which accepts the responsibility for its contents and should</t>
  </si>
  <si>
    <t>be contacted with respect to any matters arising from, or in connection with, Morgan Stanley Research,</t>
  </si>
  <si>
    <t>and/or PT. Morgan Stanley Sekuritas Indonesia and their affiliates (collectively, "Morgan Stanley").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</si>
  <si>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</si>
  <si>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</si>
  <si>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</si>
  <si>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</si>
  <si>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</si>
  <si>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</si>
  <si>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</si>
  <si>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</si>
  <si>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</si>
  <si>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</si>
  <si>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</si>
  <si>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</si>
  <si>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</si>
  <si>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</si>
  <si>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</si>
  <si>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</si>
  <si>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</si>
  <si>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</si>
  <si>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</si>
  <si>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</si>
  <si>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</si>
  <si>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</si>
  <si>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</si>
  <si>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</si>
  <si>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</si>
  <si>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</si>
  <si>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</si>
  <si>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</si>
  <si>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</si>
  <si>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</si>
  <si>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</si>
  <si>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</si>
  <si>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</si>
  <si>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</si>
  <si>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</si>
  <si>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</si>
  <si>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</si>
  <si>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</si>
  <si>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</si>
  <si>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</si>
  <si>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</si>
  <si>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</si>
  <si>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</si>
  <si>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</si>
  <si>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</si>
  <si>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</si>
  <si>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</si>
  <si>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</si>
  <si>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</si>
  <si>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</si>
  <si>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</si>
  <si>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</si>
  <si>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Underweight / Cautious</t>
  </si>
  <si>
    <t>Quarterly Update</t>
  </si>
  <si>
    <t>AsiaPacific</t>
  </si>
  <si>
    <t>dineshs</t>
  </si>
  <si>
    <t>Adelaide Brighton Ltd</t>
  </si>
  <si>
    <t>MSA96NJG, MSA56MHC</t>
  </si>
  <si>
    <t>L:\USERS\Building Materials\2. CURRENT MODELS\MS_ABC.xlsm</t>
  </si>
  <si>
    <t>[BRO MSA]</t>
  </si>
  <si>
    <t>[PRODUCT MODEL]</t>
  </si>
  <si>
    <t>[EMAIL_ALERT YES]</t>
  </si>
  <si>
    <t>[DISCIPLINE Company]</t>
  </si>
  <si>
    <t>[SUPPRESSED NO]</t>
  </si>
  <si>
    <t>[DOCDAT 2018-03-02]</t>
  </si>
  <si>
    <t>[DOCTIME 11:26]</t>
  </si>
  <si>
    <t>[PSYM ABC.AX(Reuters) (None)]</t>
  </si>
  <si>
    <t>[COU 39]</t>
  </si>
  <si>
    <t>[ANA MSA56MHC]</t>
  </si>
  <si>
    <t>[HL ABC.AX Model]</t>
  </si>
  <si>
    <t>[IND ]</t>
  </si>
  <si>
    <t>[PANA MSA96NJG]</t>
  </si>
</sst>
</file>

<file path=xl/styles.xml><?xml version="1.0" encoding="utf-8"?>
<styleSheet xmlns="http://schemas.openxmlformats.org/spreadsheetml/2006/main" xmlns:mc="http://schemas.openxmlformats.org/markup-compatibility/2006" xmlns:x14ac="http://schemas.microsoft.com/office/spreadsheetml/2009/9/ac" mc:Ignorable="x14ac">
  <numFmts count="33">
    <numFmt numFmtId="164" formatCode="_(&quot;£&quot;* #,##0.00_);_(&quot;£&quot;* \(#,##0.00\);_(&quot;£&quot;* &quot;-&quot;??_);_(@_)"/>
    <numFmt numFmtId="165" formatCode="_(* #,##0.00_);_(* \(#,##0.00\);_(* &quot;-&quot;??_);_(@_)"/>
    <numFmt numFmtId="166" formatCode="_(&quot;$&quot;* #,##0.00_);_(&quot;$&quot;* \(#,##0.00\);_(&quot;$&quot;* &quot;-&quot;??_);_(@_)"/>
    <numFmt numFmtId="167" formatCode="&quot;$&quot;#,##0.00;\-&quot;$&quot;#,##0.00"/>
    <numFmt numFmtId="168" formatCode="_-&quot;$&quot;* #,##0.00_-;\-&quot;$&quot;* #,##0.00_-;_-&quot;$&quot;* &quot;-&quot;??_-;_-@_-"/>
    <numFmt numFmtId="169" formatCode="0.0%"/>
    <numFmt numFmtId="170" formatCode="0.0"/>
    <numFmt numFmtId="171" formatCode="0.0000"/>
    <numFmt numFmtId="172" formatCode="0.000"/>
    <numFmt numFmtId="173" formatCode="&quot;$&quot;#,##0.00"/>
    <numFmt numFmtId="174" formatCode="#,##0.00;\(#,##0.00\)"/>
    <numFmt numFmtId="175" formatCode="#,##0.0"/>
    <numFmt numFmtId="176" formatCode="#,##0.0_);[Red]\(#,##0.0\)"/>
    <numFmt numFmtId="177" formatCode="#,##0.0_);\(#,##0.0\)"/>
    <numFmt numFmtId="178" formatCode="0.00_)"/>
    <numFmt numFmtId="179" formatCode="#,##0.000_);[Red]\(#,##0.000\)"/>
    <numFmt numFmtId="180" formatCode="##0.00"/>
    <numFmt numFmtId="181" formatCode="[&gt;0.5]#,##0;[&lt;-0.5]\-#,##0;\-"/>
    <numFmt numFmtId="182" formatCode="&quot;$&quot;#,##0.0"/>
    <numFmt numFmtId="183" formatCode="_-* #,##0.0_-;\-* #,##0.0_-;_-* &quot;-&quot;??_-;_-@_-"/>
    <numFmt numFmtId="184" formatCode="_-* #,##0_-;\-* #,##0_-;_-* &quot;-&quot;??_-;_-@_-"/>
    <numFmt numFmtId="185" formatCode="#,##0.0;\(#,##0.0\)"/>
    <numFmt numFmtId="186" formatCode="0000&quot;F&quot;"/>
    <numFmt numFmtId="187" formatCode="_(* #,##0_);_(* \(#,##0\);_(* &quot;-&quot;??_);_(@_)"/>
    <numFmt numFmtId="188" formatCode="[$-409]mmm\-yy;@"/>
    <numFmt numFmtId="189" formatCode="_(* #,##0.0_);_(* \(#,##0.0\);_(* &quot;-&quot;??_);_(@_)"/>
    <numFmt numFmtId="190" formatCode="&quot;Price target as at:&quot;\ d/mm/yy\ h:mm\ &quot; AEST&quot;"/>
    <numFmt numFmtId="191" formatCode="0.0\x"/>
    <numFmt numFmtId="192" formatCode="&quot;Share price as at:&quot;\ d/mm/yy\ h:mm\ &quot; AEDT&quot;"/>
    <numFmt numFmtId="193" formatCode="#,##0.0;\ \(#,##0.0\)"/>
    <numFmt numFmtId="194" formatCode="[$-809]dd\ mmmm\ yyyy;@"/>
    <numFmt numFmtId="195" formatCode="0.000000000"/>
    <numFmt numFmtId="196" formatCode="mm/dd/yy\ hh:mm"/>
  </numFmts>
  <fonts count="144">
    <font>
      <sz val="10"/>
      <name val="Arial"/>
    </font>
    <font>
      <sz val="11"/>
      <color theme="1"/>
      <name val="Calibri"/>
      <family val="2"/>
      <scheme val="minor"/>
    </font>
    <font>
      <sz val="10"/>
      <name val="Arial"/>
      <family val="2"/>
    </font>
    <font>
      <b/>
      <sz val="10"/>
      <name val="Arial"/>
      <family val="2"/>
    </font>
    <font>
      <sz val="10"/>
      <color indexed="8"/>
      <name val="Arial"/>
      <family val="2"/>
    </font>
    <font>
      <b/>
      <sz val="10"/>
      <color indexed="9"/>
      <name val="Arial"/>
      <family val="2"/>
    </font>
    <font>
      <sz val="10"/>
      <name val="Arial"/>
      <family val="2"/>
    </font>
    <font>
      <sz val="9"/>
      <name val="AGaramond"/>
    </font>
    <font>
      <sz val="10"/>
      <name val="Geneva"/>
    </font>
    <font>
      <sz val="9"/>
      <name val="Helv"/>
    </font>
    <font>
      <sz val="9"/>
      <name val="GillSans"/>
      <family val="2"/>
    </font>
    <font>
      <sz val="9"/>
      <name val="GillSans Light"/>
      <family val="2"/>
    </font>
    <font>
      <sz val="7"/>
      <name val="Helv"/>
    </font>
    <font>
      <sz val="10"/>
      <name val="Helv"/>
    </font>
    <font>
      <sz val="8"/>
      <color indexed="81"/>
      <name val="Tahoma"/>
      <family val="2"/>
    </font>
    <font>
      <sz val="10"/>
      <name val="Tms Rmn"/>
    </font>
    <font>
      <sz val="10"/>
      <name val="Palatino"/>
      <family val="1"/>
    </font>
    <font>
      <b/>
      <sz val="10"/>
      <color indexed="17"/>
      <name val="MS Sans Serif"/>
      <family val="2"/>
    </font>
    <font>
      <sz val="8"/>
      <color indexed="12"/>
      <name val="Arial"/>
      <family val="2"/>
    </font>
    <font>
      <sz val="8"/>
      <name val="Arial"/>
      <family val="2"/>
    </font>
    <font>
      <i/>
      <sz val="8"/>
      <color indexed="18"/>
      <name val="MS Sans Serif"/>
      <family val="2"/>
    </font>
    <font>
      <sz val="8"/>
      <name val="Arial"/>
      <family val="2"/>
    </font>
    <font>
      <sz val="8"/>
      <color indexed="10"/>
      <name val="Arial"/>
      <family val="2"/>
    </font>
    <font>
      <sz val="10"/>
      <color indexed="12"/>
      <name val="MS Sans Serif"/>
      <family val="2"/>
    </font>
    <font>
      <b/>
      <sz val="10"/>
      <name val="Times New Roman"/>
      <family val="1"/>
    </font>
    <font>
      <i/>
      <sz val="8"/>
      <name val="MS Sans Serif"/>
      <family val="2"/>
    </font>
    <font>
      <b/>
      <sz val="12"/>
      <name val="Times New Roman"/>
      <family val="1"/>
    </font>
    <font>
      <b/>
      <i/>
      <sz val="10"/>
      <name val="Times New Roman"/>
      <family val="1"/>
    </font>
    <font>
      <i/>
      <sz val="10"/>
      <name val="Times New Roman"/>
      <family val="1"/>
    </font>
    <font>
      <b/>
      <i/>
      <sz val="12"/>
      <color indexed="39"/>
      <name val="Arial"/>
      <family val="2"/>
    </font>
    <font>
      <sz val="14"/>
      <name val="Arial"/>
      <family val="2"/>
    </font>
    <font>
      <b/>
      <sz val="18"/>
      <name val="Arial"/>
      <family val="2"/>
    </font>
    <font>
      <b/>
      <sz val="12"/>
      <name val="Arial"/>
      <family val="2"/>
    </font>
    <font>
      <b/>
      <sz val="10"/>
      <name val="Arial"/>
      <family val="2"/>
    </font>
    <font>
      <b/>
      <sz val="8"/>
      <color indexed="9"/>
      <name val="Arial"/>
      <family val="2"/>
    </font>
    <font>
      <b/>
      <sz val="8"/>
      <color indexed="8"/>
      <name val="Arial"/>
      <family val="2"/>
    </font>
    <font>
      <u/>
      <sz val="10"/>
      <color indexed="12"/>
      <name val="Arial"/>
      <family val="2"/>
    </font>
    <font>
      <sz val="10"/>
      <color indexed="62"/>
      <name val="Arial"/>
      <family val="2"/>
    </font>
    <font>
      <sz val="10"/>
      <color indexed="12"/>
      <name val="Arial"/>
      <family val="2"/>
    </font>
    <font>
      <sz val="10"/>
      <color indexed="17"/>
      <name val="Arial"/>
      <family val="2"/>
    </font>
    <font>
      <sz val="10"/>
      <color indexed="9"/>
      <name val="Arial"/>
      <family val="2"/>
    </font>
    <font>
      <i/>
      <sz val="8"/>
      <color indexed="14"/>
      <name val="MS Sans Serif"/>
      <family val="2"/>
    </font>
    <font>
      <b/>
      <sz val="10"/>
      <color indexed="17"/>
      <name val="Arial"/>
      <family val="2"/>
    </font>
    <font>
      <sz val="10"/>
      <name val="Times New Roman"/>
      <family val="1"/>
    </font>
    <font>
      <sz val="10"/>
      <color indexed="8"/>
      <name val="Arial"/>
      <family val="2"/>
    </font>
    <font>
      <sz val="10"/>
      <name val="MS Sans Serif"/>
      <family val="2"/>
    </font>
    <font>
      <b/>
      <i/>
      <sz val="16"/>
      <name val="Helv"/>
    </font>
    <font>
      <sz val="8"/>
      <name val="Helv"/>
    </font>
    <font>
      <sz val="9"/>
      <name val="Arial"/>
      <family val="2"/>
    </font>
    <font>
      <sz val="10"/>
      <name val="MS Serif"/>
      <family val="1"/>
    </font>
    <font>
      <b/>
      <sz val="10"/>
      <color indexed="50"/>
      <name val="Arial"/>
      <family val="2"/>
    </font>
    <font>
      <sz val="8"/>
      <name val="Helvetica"/>
      <family val="2"/>
    </font>
    <font>
      <b/>
      <sz val="11"/>
      <name val="Arial"/>
      <family val="2"/>
    </font>
    <font>
      <sz val="11"/>
      <name val="Arial"/>
      <family val="2"/>
    </font>
    <font>
      <sz val="9"/>
      <color indexed="12"/>
      <name val="Arial"/>
      <family val="2"/>
    </font>
    <font>
      <sz val="9"/>
      <name val="Arial"/>
      <family val="2"/>
    </font>
    <font>
      <b/>
      <sz val="9"/>
      <name val="Arial"/>
      <family val="2"/>
    </font>
    <font>
      <i/>
      <sz val="10"/>
      <name val="Arial"/>
      <family val="2"/>
    </font>
    <font>
      <b/>
      <i/>
      <sz val="10"/>
      <name val="Arial"/>
      <family val="2"/>
    </font>
    <font>
      <b/>
      <sz val="10"/>
      <color indexed="10"/>
      <name val="Arial"/>
      <family val="2"/>
    </font>
    <font>
      <b/>
      <sz val="10"/>
      <color indexed="17"/>
      <name val="Arial"/>
      <family val="2"/>
    </font>
    <font>
      <b/>
      <sz val="10"/>
      <color indexed="12"/>
      <name val="Arial"/>
      <family val="2"/>
    </font>
    <font>
      <sz val="10"/>
      <color indexed="10"/>
      <name val="Arial"/>
      <family val="2"/>
    </font>
    <font>
      <i/>
      <sz val="10"/>
      <color indexed="12"/>
      <name val="Arial"/>
      <family val="2"/>
    </font>
    <font>
      <sz val="6"/>
      <name val="Arial"/>
      <family val="2"/>
    </font>
    <font>
      <sz val="10"/>
      <color indexed="56"/>
      <name val="Arial"/>
      <family val="2"/>
    </font>
    <font>
      <sz val="10"/>
      <color indexed="10"/>
      <name val="Arial"/>
      <family val="2"/>
    </font>
    <font>
      <b/>
      <sz val="12"/>
      <color indexed="12"/>
      <name val="Arial"/>
      <family val="2"/>
    </font>
    <font>
      <b/>
      <i/>
      <u/>
      <sz val="9"/>
      <color indexed="12"/>
      <name val="Arial"/>
      <family val="2"/>
    </font>
    <font>
      <b/>
      <sz val="8"/>
      <name val="Arial"/>
      <family val="2"/>
    </font>
    <font>
      <b/>
      <sz val="14"/>
      <color indexed="10"/>
      <name val="Arial"/>
      <family val="2"/>
    </font>
    <font>
      <b/>
      <sz val="8"/>
      <color indexed="56"/>
      <name val="Arial"/>
      <family val="2"/>
    </font>
    <font>
      <b/>
      <sz val="7"/>
      <name val="Arial"/>
      <family val="2"/>
    </font>
    <font>
      <sz val="7"/>
      <name val="Arial"/>
      <family val="2"/>
    </font>
    <font>
      <b/>
      <sz val="10"/>
      <color indexed="45"/>
      <name val="Arial"/>
      <family val="2"/>
    </font>
    <font>
      <b/>
      <u/>
      <sz val="10"/>
      <color indexed="45"/>
      <name val="Arial"/>
      <family val="2"/>
    </font>
    <font>
      <u/>
      <sz val="10"/>
      <name val="Arial"/>
      <family val="2"/>
    </font>
    <font>
      <sz val="10"/>
      <color indexed="45"/>
      <name val="Arial"/>
      <family val="2"/>
    </font>
    <font>
      <b/>
      <sz val="10"/>
      <color rgb="FF002060"/>
      <name val="Arial"/>
      <family val="2"/>
    </font>
    <font>
      <b/>
      <sz val="14"/>
      <color rgb="FF002060"/>
      <name val="Arial"/>
      <family val="2"/>
    </font>
    <font>
      <sz val="10"/>
      <color theme="7" tint="-0.249977111117893"/>
      <name val="Arial"/>
      <family val="2"/>
    </font>
    <font>
      <sz val="10"/>
      <color theme="5"/>
      <name val="Arial"/>
      <family val="2"/>
    </font>
    <font>
      <b/>
      <sz val="12"/>
      <color rgb="FF002060"/>
      <name val="Arial"/>
      <family val="2"/>
    </font>
    <font>
      <sz val="8"/>
      <color indexed="56"/>
      <name val="Arial"/>
      <family val="2"/>
    </font>
    <font>
      <sz val="10"/>
      <color theme="0" tint="-0.34998626667073579"/>
      <name val="Arial"/>
      <family val="2"/>
    </font>
    <font>
      <b/>
      <sz val="8"/>
      <color rgb="FF002060"/>
      <name val="Arial"/>
      <family val="2"/>
    </font>
    <font>
      <sz val="8"/>
      <color indexed="8"/>
      <name val="Arial"/>
      <family val="2"/>
    </font>
    <font>
      <sz val="10"/>
      <color rgb="FFC00000"/>
      <name val="Arial"/>
      <family val="2"/>
    </font>
    <font>
      <sz val="10"/>
      <color rgb="FFFF0000"/>
      <name val="Arial"/>
      <family val="2"/>
    </font>
    <font>
      <b/>
      <sz val="10"/>
      <color rgb="FFFF0000"/>
      <name val="Arial"/>
      <family val="2"/>
    </font>
    <font>
      <b/>
      <sz val="10"/>
      <color rgb="FFC00000"/>
      <name val="Arial"/>
      <family val="2"/>
    </font>
    <font>
      <b/>
      <sz val="10"/>
      <color theme="3"/>
      <name val="Arial"/>
      <family val="2"/>
    </font>
    <font>
      <b/>
      <sz val="10"/>
      <color theme="0"/>
      <name val="Arial"/>
      <family val="2"/>
    </font>
    <font>
      <i/>
      <sz val="10"/>
      <color rgb="FFFF0000"/>
      <name val="Arial"/>
      <family val="2"/>
    </font>
    <font>
      <i/>
      <sz val="10"/>
      <color rgb="FF00B050"/>
      <name val="Arial"/>
      <family val="2"/>
    </font>
    <font>
      <sz val="10"/>
      <color rgb="FF00B050"/>
      <name val="Arial"/>
      <family val="2"/>
    </font>
    <font>
      <sz val="8"/>
      <color theme="1"/>
      <name val="Arial"/>
      <family val="2"/>
    </font>
    <font>
      <b/>
      <sz val="9"/>
      <color theme="0"/>
      <name val="Arial"/>
      <family val="2"/>
    </font>
    <font>
      <sz val="9"/>
      <color indexed="81"/>
      <name val="Tahoma"/>
      <family val="2"/>
    </font>
    <font>
      <b/>
      <sz val="9"/>
      <color indexed="81"/>
      <name val="Tahoma"/>
      <family val="2"/>
    </font>
    <font>
      <b/>
      <sz val="10"/>
      <color theme="1"/>
      <name val="Arial"/>
      <family val="2"/>
    </font>
    <font>
      <b/>
      <sz val="8"/>
      <color theme="1"/>
      <name val="Arial"/>
      <family val="2"/>
    </font>
    <font>
      <sz val="10"/>
      <color theme="0"/>
      <name val="Arial"/>
      <family val="2"/>
    </font>
    <font>
      <b/>
      <sz val="12"/>
      <color theme="1"/>
      <name val="Arial"/>
      <family val="2"/>
    </font>
    <font>
      <b/>
      <sz val="9"/>
      <color theme="1"/>
      <name val="Arial"/>
      <family val="2"/>
    </font>
    <font>
      <sz val="10"/>
      <color theme="1"/>
      <name val="Arial"/>
      <family val="2"/>
    </font>
    <font>
      <sz val="8"/>
      <color rgb="FF002060"/>
      <name val="Arial"/>
      <family val="2"/>
    </font>
    <font>
      <sz val="11"/>
      <color theme="1"/>
      <name val="Calibri"/>
      <family val="2"/>
      <scheme val="minor"/>
    </font>
    <font>
      <sz val="10"/>
      <color theme="4"/>
      <name val="Arial"/>
      <family val="2"/>
    </font>
    <font>
      <sz val="10"/>
      <name val="Arial"/>
      <family val="2"/>
    </font>
    <font>
      <b/>
      <sz val="10"/>
      <color indexed="8"/>
      <name val="Times New Roman"/>
      <family val="1"/>
    </font>
    <font>
      <sz val="9"/>
      <name val="Times New Roman"/>
      <family val="1"/>
    </font>
    <font>
      <sz val="10"/>
      <color indexed="8"/>
      <name val="Times New Roman"/>
      <family val="1"/>
    </font>
    <font>
      <i/>
      <sz val="8"/>
      <name val="Times New Roman"/>
      <family val="1"/>
    </font>
    <font>
      <b/>
      <i/>
      <sz val="10"/>
      <color indexed="12"/>
      <name val="Arial"/>
      <family val="2"/>
    </font>
    <font>
      <b/>
      <i/>
      <sz val="10"/>
      <color rgb="FF00B050"/>
      <name val="Arial"/>
      <family val="2"/>
    </font>
    <font>
      <sz val="7"/>
      <color theme="0"/>
      <name val="Arial"/>
      <family val="2"/>
    </font>
    <font>
      <sz val="10"/>
      <color theme="3" tint="0.39997558519241921"/>
      <name val="Arial"/>
      <family val="2"/>
    </font>
    <font>
      <b/>
      <u/>
      <sz val="8"/>
      <color rgb="FFFF0000"/>
      <name val="Arial"/>
      <family val="2"/>
    </font>
    <font>
      <sz val="8"/>
      <color theme="0" tint="-0.14999847407452621"/>
      <name val="Arial"/>
      <family val="2"/>
    </font>
    <font>
      <sz val="10"/>
      <color rgb="FF0000FF"/>
      <name val="Arial"/>
      <family val="2"/>
    </font>
    <font>
      <i/>
      <sz val="10"/>
      <color rgb="FF0000FF"/>
      <name val="Arial"/>
      <family val="2"/>
    </font>
    <font>
      <sz val="12"/>
      <name val="Arial MT"/>
    </font>
    <font>
      <b/>
      <u/>
      <sz val="10"/>
      <name val="Arial"/>
      <family val="2"/>
    </font>
    <font>
      <sz val="10"/>
      <color rgb="FF0070C0"/>
      <name val="Arial"/>
      <family val="2"/>
    </font>
    <font>
      <i/>
      <sz val="10"/>
      <color theme="0" tint="-0.499984740745262"/>
      <name val="Arial"/>
      <family val="2"/>
    </font>
    <font>
      <i/>
      <sz val="10"/>
      <color theme="1"/>
      <name val="Arial"/>
      <family val="2"/>
    </font>
    <font>
      <sz val="10"/>
      <name val="Helvetica"/>
      <family val="2"/>
    </font>
    <font>
      <i/>
      <sz val="10"/>
      <color theme="0" tint="-0.249977111117893"/>
      <name val="Arial"/>
      <family val="2"/>
    </font>
    <font>
      <sz val="10"/>
      <name val="Calibri"/>
      <family val="2"/>
      <scheme val="minor"/>
    </font>
    <font>
      <b/>
      <sz val="14"/>
      <color rgb="FF0070C0"/>
      <name val="Arial"/>
      <family val="2"/>
    </font>
    <font>
      <b/>
      <sz val="13"/>
      <name val="Calibri"/>
      <family val="2"/>
      <scheme val="minor"/>
    </font>
    <font>
      <sz val="13"/>
      <name val="Calibri"/>
      <family val="2"/>
      <scheme val="minor"/>
    </font>
    <font>
      <sz val="13"/>
      <color rgb="FF262A33"/>
      <name val="Calibri"/>
      <family val="2"/>
      <scheme val="minor"/>
    </font>
    <font>
      <b/>
      <sz val="13"/>
      <color theme="0"/>
      <name val="Calibri"/>
      <family val="2"/>
      <scheme val="minor"/>
    </font>
    <font>
      <sz val="13"/>
      <name val="Arial"/>
      <family val="2"/>
    </font>
    <font>
      <sz val="13"/>
      <color rgb="FF737272"/>
      <name val="Calibri"/>
      <family val="2"/>
      <scheme val="minor"/>
    </font>
    <font>
      <b/>
      <sz val="9"/>
      <color theme="1"/>
      <name val="Calibri"/>
      <family val="2"/>
      <scheme val="minor"/>
    </font>
    <font>
      <sz val="9"/>
      <color theme="1"/>
      <name val="Calibri"/>
      <family val="2"/>
      <scheme val="minor"/>
    </font>
    <font>
      <sz val="9"/>
      <name val="Calibri"/>
      <family val="2"/>
      <scheme val="minor"/>
    </font>
    <font>
      <b/>
      <sz val="9"/>
      <name val="Calibri"/>
      <family val="2"/>
      <scheme val="minor"/>
    </font>
    <font>
      <sz val="10"/>
      <name val="Courier"/>
      <family val="3"/>
    </font>
    <font>
      <sz val="10"/>
      <color rgb="FF000000"/>
      <name val="Arial"/>
      <family val="2"/>
    </font>
    <font>
      <b/>
      <sz val="12"/>
      <color rgb="FF000080"/>
      <name val="Arial"/>
      <family val="2"/>
    </font>
  </fonts>
  <fills count="17">
    <fill>
      <patternFill patternType="none"/>
    </fill>
    <fill>
      <patternFill patternType="gray125"/>
    </fill>
    <fill>
      <patternFill patternType="solid">
        <fgColor indexed="22"/>
        <bgColor indexed="64"/>
      </patternFill>
    </fill>
    <fill>
      <patternFill patternType="solid">
        <fgColor indexed="31"/>
        <bgColor indexed="64"/>
      </patternFill>
    </fill>
    <fill>
      <patternFill patternType="solid">
        <fgColor indexed="29"/>
        <bgColor indexed="64"/>
      </patternFill>
    </fill>
    <fill>
      <patternFill patternType="solid">
        <fgColor indexed="15"/>
      </patternFill>
    </fill>
    <fill>
      <patternFill patternType="mediumGray"/>
    </fill>
    <fill>
      <patternFill patternType="solid">
        <fgColor indexed="42"/>
        <bgColor indexed="64"/>
      </patternFill>
    </fill>
    <fill>
      <patternFill patternType="solid">
        <fgColor indexed="43"/>
        <bgColor indexed="64"/>
      </patternFill>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rgb="FF00206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indexed="65"/>
        <bgColor indexed="64"/>
      </patternFill>
    </fill>
  </fills>
  <borders count="44">
    <border>
      <left/>
      <right/>
      <top/>
      <bottom/>
      <diagonal/>
    </border>
    <border>
      <left style="hair">
        <color indexed="64"/>
      </left>
      <right style="hair">
        <color indexed="64"/>
      </right>
      <top style="hair">
        <color indexed="64"/>
      </top>
      <bottom style="hair">
        <color indexed="64"/>
      </bottom>
      <diagonal/>
    </border>
    <border>
      <left style="medium">
        <color indexed="8"/>
      </left>
      <right style="medium">
        <color indexed="8"/>
      </right>
      <top/>
      <bottom/>
      <diagonal/>
    </border>
    <border>
      <left style="thick">
        <color indexed="64"/>
      </left>
      <right/>
      <top/>
      <bottom/>
      <diagonal/>
    </border>
    <border>
      <left style="thin">
        <color indexed="64"/>
      </left>
      <right style="thin">
        <color indexed="64"/>
      </right>
      <top/>
      <bottom/>
      <diagonal/>
    </border>
    <border>
      <left/>
      <right/>
      <top/>
      <bottom style="thin">
        <color indexed="64"/>
      </bottom>
      <diagonal/>
    </border>
    <border>
      <left style="medium">
        <color indexed="62"/>
      </left>
      <right style="medium">
        <color indexed="62"/>
      </right>
      <top style="medium">
        <color indexed="62"/>
      </top>
      <bottom style="medium">
        <color indexed="62"/>
      </bottom>
      <diagonal/>
    </border>
    <border>
      <left style="thin">
        <color indexed="55"/>
      </left>
      <right style="thin">
        <color indexed="55"/>
      </right>
      <top style="thin">
        <color indexed="55"/>
      </top>
      <bottom style="thin">
        <color indexed="55"/>
      </bottom>
      <diagonal/>
    </border>
    <border>
      <left/>
      <right/>
      <top style="medium">
        <color indexed="64"/>
      </top>
      <bottom/>
      <diagonal/>
    </border>
    <border>
      <left style="thin">
        <color indexed="10"/>
      </left>
      <right style="thin">
        <color indexed="10"/>
      </right>
      <top style="thin">
        <color indexed="10"/>
      </top>
      <bottom style="thin">
        <color indexed="10"/>
      </bottom>
      <diagonal/>
    </border>
    <border>
      <left/>
      <right/>
      <top style="dotted">
        <color indexed="64"/>
      </top>
      <bottom style="dotted">
        <color indexed="64"/>
      </bottom>
      <diagonal/>
    </border>
    <border>
      <left style="thin">
        <color indexed="9"/>
      </left>
      <right/>
      <top style="thin">
        <color indexed="9"/>
      </top>
      <bottom style="thin">
        <color indexed="23"/>
      </bottom>
      <diagonal/>
    </border>
    <border>
      <left style="thin">
        <color indexed="23"/>
      </left>
      <right style="dashed">
        <color indexed="9"/>
      </right>
      <top/>
      <bottom style="dashed">
        <color indexed="9"/>
      </bottom>
      <diagonal/>
    </border>
    <border>
      <left style="medium">
        <color indexed="57"/>
      </left>
      <right style="medium">
        <color indexed="57"/>
      </right>
      <top style="medium">
        <color indexed="57"/>
      </top>
      <bottom style="medium">
        <color indexed="57"/>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bottom style="thin">
        <color rgb="FF002060"/>
      </bottom>
      <diagonal/>
    </border>
    <border>
      <left/>
      <right/>
      <top/>
      <bottom style="medium">
        <color rgb="FF002060"/>
      </bottom>
      <diagonal/>
    </border>
    <border>
      <left/>
      <right/>
      <top/>
      <bottom style="thin">
        <color theme="0" tint="-0.14999847407452621"/>
      </bottom>
      <diagonal/>
    </border>
    <border>
      <left/>
      <right/>
      <top/>
      <bottom style="thin">
        <color theme="0" tint="-0.34998626667073579"/>
      </bottom>
      <diagonal/>
    </border>
    <border>
      <left/>
      <right/>
      <top style="thin">
        <color theme="0" tint="-0.34998626667073579"/>
      </top>
      <bottom style="thin">
        <color theme="0" tint="-0.34998626667073579"/>
      </bottom>
      <diagonal/>
    </border>
    <border>
      <left/>
      <right/>
      <top/>
      <bottom style="thin">
        <color indexed="8"/>
      </bottom>
      <diagonal/>
    </border>
    <border>
      <left style="thin">
        <color theme="0"/>
      </left>
      <right/>
      <top style="thin">
        <color theme="0"/>
      </top>
      <bottom/>
      <diagonal/>
    </border>
    <border>
      <left/>
      <right/>
      <top/>
      <bottom style="thin">
        <color theme="0"/>
      </bottom>
      <diagonal/>
    </border>
    <border>
      <left style="thin">
        <color theme="0"/>
      </left>
      <right/>
      <top style="thin">
        <color theme="0"/>
      </top>
      <bottom style="thin">
        <color theme="0"/>
      </bottom>
      <diagonal/>
    </border>
    <border>
      <left/>
      <right/>
      <top style="thin">
        <color indexed="64"/>
      </top>
      <bottom style="medium">
        <color indexed="64"/>
      </bottom>
      <diagonal/>
    </border>
    <border>
      <left/>
      <right/>
      <top/>
      <bottom style="thin">
        <color theme="0" tint="-0.249977111117893"/>
      </bottom>
      <diagonal/>
    </border>
    <border>
      <left/>
      <right/>
      <top style="thin">
        <color theme="0"/>
      </top>
      <bottom style="thin">
        <color theme="0"/>
      </bottom>
      <diagonal/>
    </border>
    <border>
      <left/>
      <right/>
      <top style="thin">
        <color theme="0"/>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141">
    <xf numFmtId="0" fontId="0" fillId="0" borderId="0"/>
    <xf numFmtId="0" fontId="2" fillId="0" borderId="0" applyFont="0" applyFill="0" applyBorder="0" applyAlignment="0" applyProtection="0"/>
    <xf numFmtId="0" fontId="2" fillId="0" borderId="0"/>
    <xf numFmtId="0" fontId="2" fillId="0" borderId="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applyFont="0" applyFill="0" applyBorder="0" applyAlignment="0" applyProtection="0"/>
    <xf numFmtId="0" fontId="2" fillId="0" borderId="0"/>
    <xf numFmtId="0" fontId="2" fillId="0" borderId="0"/>
    <xf numFmtId="0" fontId="2" fillId="0" borderId="0"/>
    <xf numFmtId="169" fontId="15" fillId="0" borderId="0"/>
    <xf numFmtId="0" fontId="16" fillId="0" borderId="0" applyNumberFormat="0" applyBorder="0" applyAlignment="0"/>
    <xf numFmtId="177" fontId="17" fillId="0" borderId="1">
      <alignment horizontal="right"/>
    </xf>
    <xf numFmtId="0" fontId="7" fillId="0" borderId="0"/>
    <xf numFmtId="0" fontId="18" fillId="0" borderId="0">
      <protection locked="0"/>
    </xf>
    <xf numFmtId="0" fontId="2" fillId="0" borderId="0"/>
    <xf numFmtId="38" fontId="19" fillId="0" borderId="0"/>
    <xf numFmtId="38" fontId="20" fillId="0" borderId="0" applyNumberFormat="0" applyBorder="0" applyAlignment="0" applyProtection="0"/>
    <xf numFmtId="175" fontId="21" fillId="0" borderId="2" applyNumberFormat="0" applyFont="0" applyFill="0" applyAlignment="0" applyProtection="0"/>
    <xf numFmtId="182" fontId="2" fillId="0" borderId="0" applyFont="0" applyFill="0" applyBorder="0" applyAlignment="0" applyProtection="0"/>
    <xf numFmtId="165" fontId="2" fillId="0" borderId="0" applyFont="0" applyFill="0" applyBorder="0" applyAlignment="0" applyProtection="0"/>
    <xf numFmtId="182" fontId="2" fillId="0" borderId="3" applyFill="0" applyBorder="0" applyProtection="0"/>
    <xf numFmtId="168" fontId="2" fillId="0" borderId="0" applyFont="0" applyFill="0" applyBorder="0" applyAlignment="0" applyProtection="0"/>
    <xf numFmtId="38" fontId="19" fillId="0" borderId="4" applyBorder="0"/>
    <xf numFmtId="187" fontId="6" fillId="0" borderId="0" applyFill="0" applyBorder="0" applyAlignment="0" applyProtection="0"/>
    <xf numFmtId="189" fontId="6" fillId="0" borderId="0" applyFill="0" applyBorder="0" applyAlignment="0" applyProtection="0"/>
    <xf numFmtId="165" fontId="6" fillId="0" borderId="0" applyFill="0" applyBorder="0" applyAlignment="0" applyProtection="0"/>
    <xf numFmtId="187" fontId="3" fillId="0" borderId="0" applyFill="0" applyBorder="0" applyAlignment="0" applyProtection="0"/>
    <xf numFmtId="189" fontId="3" fillId="0" borderId="0" applyFill="0" applyBorder="0" applyAlignment="0" applyProtection="0"/>
    <xf numFmtId="165" fontId="3" fillId="0" borderId="0" applyFill="0" applyBorder="0" applyAlignment="0" applyProtection="0"/>
    <xf numFmtId="188" fontId="6" fillId="0" borderId="0" applyFill="0" applyBorder="0" applyAlignment="0" applyProtection="0"/>
    <xf numFmtId="188" fontId="3" fillId="0" borderId="0" applyFill="0" applyBorder="0" applyAlignment="0" applyProtection="0"/>
    <xf numFmtId="15" fontId="6" fillId="0" borderId="0" applyFont="0" applyFill="0" applyBorder="0" applyProtection="0"/>
    <xf numFmtId="0" fontId="6" fillId="0" borderId="0" applyFill="0" applyBorder="0" applyProtection="0"/>
    <xf numFmtId="9" fontId="6" fillId="0" borderId="0" applyFill="0" applyBorder="0" applyAlignment="0" applyProtection="0"/>
    <xf numFmtId="169" fontId="6" fillId="0" borderId="0" applyFill="0" applyBorder="0" applyAlignment="0" applyProtection="0"/>
    <xf numFmtId="10" fontId="6" fillId="0" borderId="0" applyFill="0" applyBorder="0" applyAlignment="0" applyProtection="0"/>
    <xf numFmtId="0" fontId="6" fillId="0" borderId="0" applyNumberFormat="0" applyFill="0" applyBorder="0" applyProtection="0">
      <alignment horizontal="right"/>
    </xf>
    <xf numFmtId="175" fontId="22" fillId="0" borderId="0" applyNumberFormat="0" applyFill="0" applyBorder="0" applyAlignment="0" applyProtection="0"/>
    <xf numFmtId="38" fontId="23" fillId="0" borderId="0" applyBorder="0"/>
    <xf numFmtId="0" fontId="24" fillId="0" borderId="5" applyProtection="0">
      <alignment horizontal="center"/>
    </xf>
    <xf numFmtId="0" fontId="10" fillId="0" borderId="0"/>
    <xf numFmtId="0" fontId="11" fillId="0" borderId="0"/>
    <xf numFmtId="38" fontId="25" fillId="0" borderId="0" applyBorder="0" applyAlignment="0">
      <alignment horizontal="center"/>
    </xf>
    <xf numFmtId="0" fontId="26" fillId="0" borderId="0" applyAlignment="0" applyProtection="0"/>
    <xf numFmtId="0" fontId="27" fillId="0" borderId="0" applyAlignment="0" applyProtection="0"/>
    <xf numFmtId="0" fontId="28" fillId="0" borderId="0" applyAlignment="0" applyProtection="0"/>
    <xf numFmtId="0" fontId="29" fillId="2" borderId="0"/>
    <xf numFmtId="181" fontId="30" fillId="0" borderId="0">
      <alignment horizontal="left" vertical="center"/>
    </xf>
    <xf numFmtId="0" fontId="31" fillId="0" borderId="0"/>
    <xf numFmtId="0" fontId="32" fillId="0" borderId="0"/>
    <xf numFmtId="0" fontId="33" fillId="0" borderId="0"/>
    <xf numFmtId="175" fontId="34" fillId="0" borderId="0" applyNumberFormat="0" applyFill="0" applyBorder="0" applyAlignment="0" applyProtection="0"/>
    <xf numFmtId="175" fontId="35" fillId="0" borderId="0" applyNumberFormat="0" applyFill="0" applyBorder="0" applyAlignment="0" applyProtection="0"/>
    <xf numFmtId="0" fontId="36" fillId="0" borderId="0" applyNumberFormat="0" applyFill="0" applyBorder="0" applyAlignment="0" applyProtection="0">
      <alignment vertical="top"/>
      <protection locked="0"/>
    </xf>
    <xf numFmtId="4" fontId="37" fillId="3" borderId="6"/>
    <xf numFmtId="0" fontId="38" fillId="2" borderId="7">
      <protection locked="0"/>
    </xf>
    <xf numFmtId="180" fontId="39" fillId="0" borderId="8" applyBorder="0">
      <protection locked="0"/>
    </xf>
    <xf numFmtId="10" fontId="40" fillId="4" borderId="9" applyNumberFormat="0"/>
    <xf numFmtId="0" fontId="41" fillId="0" borderId="0" applyNumberFormat="0" applyBorder="0" applyAlignment="0" applyProtection="0"/>
    <xf numFmtId="0" fontId="42" fillId="0" borderId="0">
      <alignment horizontal="right"/>
    </xf>
    <xf numFmtId="0" fontId="12" fillId="0" borderId="0"/>
    <xf numFmtId="0" fontId="39" fillId="0" borderId="10" applyNumberFormat="0" applyAlignment="0"/>
    <xf numFmtId="1" fontId="43" fillId="0" borderId="0"/>
    <xf numFmtId="4" fontId="44" fillId="0" borderId="0"/>
    <xf numFmtId="177" fontId="45" fillId="0" borderId="1">
      <alignment horizontal="right"/>
    </xf>
    <xf numFmtId="178" fontId="46" fillId="0" borderId="0"/>
    <xf numFmtId="38" fontId="47" fillId="0" borderId="4" applyBorder="0"/>
    <xf numFmtId="0" fontId="2" fillId="0" borderId="0" applyFont="0" applyFill="0" applyBorder="0" applyAlignment="0" applyProtection="0"/>
    <xf numFmtId="0" fontId="13" fillId="0" borderId="0"/>
    <xf numFmtId="185" fontId="51" fillId="0" borderId="0"/>
    <xf numFmtId="14" fontId="21" fillId="0" borderId="0" applyFont="0" applyFill="0" applyBorder="0" applyAlignment="0" applyProtection="0"/>
    <xf numFmtId="175" fontId="21" fillId="5" borderId="0" applyNumberFormat="0" applyFont="0" applyBorder="0" applyAlignment="0" applyProtection="0"/>
    <xf numFmtId="170" fontId="2" fillId="0" borderId="0" applyFill="0"/>
    <xf numFmtId="9" fontId="2" fillId="0" borderId="0" applyFont="0" applyFill="0" applyBorder="0" applyAlignment="0" applyProtection="0"/>
    <xf numFmtId="38" fontId="47" fillId="0" borderId="4" applyBorder="0"/>
    <xf numFmtId="169" fontId="48" fillId="0" borderId="3" applyFill="0" applyBorder="0" applyProtection="0"/>
    <xf numFmtId="38" fontId="21" fillId="0" borderId="0" applyFill="0" applyBorder="0" applyAlignment="0" applyProtection="0">
      <alignment horizontal="right"/>
    </xf>
    <xf numFmtId="0" fontId="8" fillId="0" borderId="0"/>
    <xf numFmtId="181" fontId="43" fillId="0" borderId="0" applyFill="0" applyBorder="0" applyAlignment="0" applyProtection="0"/>
    <xf numFmtId="38" fontId="2" fillId="0" borderId="0" applyNumberFormat="0" applyBorder="0" applyAlignment="0" applyProtection="0"/>
    <xf numFmtId="38" fontId="2" fillId="1" borderId="0">
      <alignment horizontal="right"/>
    </xf>
    <xf numFmtId="38" fontId="2" fillId="1" borderId="0">
      <alignment horizontal="right"/>
    </xf>
    <xf numFmtId="38" fontId="2" fillId="1" borderId="0">
      <alignment horizontal="right"/>
    </xf>
    <xf numFmtId="0" fontId="13" fillId="6" borderId="0" applyNumberFormat="0" applyFont="0" applyBorder="0" applyAlignment="0" applyProtection="0"/>
    <xf numFmtId="3" fontId="6" fillId="2" borderId="11" applyFont="0" applyFill="0" applyBorder="0" applyAlignment="0" applyProtection="0"/>
    <xf numFmtId="4" fontId="6" fillId="2" borderId="11" applyFont="0" applyFill="0" applyBorder="0" applyAlignment="0" applyProtection="0"/>
    <xf numFmtId="179" fontId="6" fillId="2" borderId="11" applyFont="0" applyFill="0" applyBorder="0" applyAlignment="0" applyProtection="0"/>
    <xf numFmtId="176" fontId="6" fillId="2" borderId="12" applyFont="0" applyFill="0" applyBorder="0" applyAlignment="0" applyProtection="0"/>
    <xf numFmtId="10" fontId="6" fillId="2" borderId="11" applyFont="0" applyFill="0" applyBorder="0" applyAlignment="0" applyProtection="0"/>
    <xf numFmtId="9" fontId="6" fillId="2" borderId="11" applyFont="0" applyFill="0" applyBorder="0" applyAlignment="0" applyProtection="0"/>
    <xf numFmtId="2" fontId="6" fillId="2" borderId="11" applyFont="0" applyFill="0" applyBorder="0" applyAlignment="0" applyProtection="0"/>
    <xf numFmtId="0" fontId="2" fillId="0" borderId="0" applyFont="0" applyFill="0" applyBorder="0" applyAlignment="0" applyProtection="0"/>
    <xf numFmtId="0" fontId="48" fillId="0" borderId="0" applyNumberFormat="0" applyProtection="0"/>
    <xf numFmtId="3" fontId="9" fillId="0" borderId="0" applyFill="0" applyBorder="0" applyAlignment="0" applyProtection="0"/>
    <xf numFmtId="0" fontId="49" fillId="0" borderId="5" applyNumberFormat="0" applyFill="0" applyProtection="0"/>
    <xf numFmtId="4" fontId="50" fillId="7" borderId="13"/>
    <xf numFmtId="172" fontId="43" fillId="0" borderId="0" applyFont="0" applyFill="0" applyBorder="0" applyAlignment="0" applyProtection="0"/>
    <xf numFmtId="37" fontId="43" fillId="0" borderId="0" applyFont="0" applyFill="0" applyBorder="0" applyAlignment="0" applyProtection="0"/>
    <xf numFmtId="187" fontId="2" fillId="0" borderId="0" applyFill="0" applyBorder="0" applyAlignment="0" applyProtection="0"/>
    <xf numFmtId="189" fontId="2" fillId="0" borderId="0" applyFill="0" applyBorder="0" applyAlignment="0" applyProtection="0"/>
    <xf numFmtId="165" fontId="2" fillId="0" borderId="0" applyFill="0" applyBorder="0" applyAlignment="0" applyProtection="0"/>
    <xf numFmtId="188" fontId="2" fillId="0" borderId="0" applyFill="0" applyBorder="0" applyAlignment="0" applyProtection="0"/>
    <xf numFmtId="15" fontId="2" fillId="0" borderId="0" applyFont="0" applyFill="0" applyBorder="0" applyProtection="0"/>
    <xf numFmtId="0" fontId="2" fillId="0" borderId="0" applyFill="0" applyBorder="0" applyProtection="0"/>
    <xf numFmtId="9" fontId="2" fillId="0" borderId="0" applyFill="0" applyBorder="0" applyAlignment="0" applyProtection="0"/>
    <xf numFmtId="169" fontId="2" fillId="0" borderId="0" applyFill="0" applyBorder="0" applyAlignment="0" applyProtection="0"/>
    <xf numFmtId="10" fontId="2" fillId="0" borderId="0" applyFill="0" applyBorder="0" applyAlignment="0" applyProtection="0"/>
    <xf numFmtId="0" fontId="2" fillId="0" borderId="0" applyNumberFormat="0" applyFill="0" applyBorder="0" applyProtection="0">
      <alignment horizontal="right"/>
    </xf>
    <xf numFmtId="0" fontId="3" fillId="0" borderId="0"/>
    <xf numFmtId="4" fontId="4" fillId="0" borderId="0"/>
    <xf numFmtId="38" fontId="19" fillId="0" borderId="0" applyFill="0" applyBorder="0" applyAlignment="0" applyProtection="0">
      <alignment horizontal="right"/>
    </xf>
    <xf numFmtId="3" fontId="2" fillId="2" borderId="11" applyFont="0" applyFill="0" applyBorder="0" applyAlignment="0" applyProtection="0"/>
    <xf numFmtId="4" fontId="2" fillId="2" borderId="11" applyFont="0" applyFill="0" applyBorder="0" applyAlignment="0" applyProtection="0"/>
    <xf numFmtId="179" fontId="2" fillId="2" borderId="11" applyFont="0" applyFill="0" applyBorder="0" applyAlignment="0" applyProtection="0"/>
    <xf numFmtId="176" fontId="2" fillId="2" borderId="12" applyFont="0" applyFill="0" applyBorder="0" applyAlignment="0" applyProtection="0"/>
    <xf numFmtId="10" fontId="2" fillId="2" borderId="11" applyFont="0" applyFill="0" applyBorder="0" applyAlignment="0" applyProtection="0"/>
    <xf numFmtId="9" fontId="2" fillId="2" borderId="11" applyFont="0" applyFill="0" applyBorder="0" applyAlignment="0" applyProtection="0"/>
    <xf numFmtId="2" fontId="2" fillId="2" borderId="11" applyFont="0" applyFill="0" applyBorder="0" applyAlignment="0" applyProtection="0"/>
    <xf numFmtId="0" fontId="107" fillId="0" borderId="0"/>
    <xf numFmtId="0" fontId="2" fillId="0" borderId="0"/>
    <xf numFmtId="0" fontId="2" fillId="8" borderId="0" applyNumberFormat="0" applyFont="0" applyBorder="0" applyAlignment="0" applyProtection="0"/>
    <xf numFmtId="164" fontId="2" fillId="0" borderId="0" applyFont="0" applyFill="0" applyBorder="0" applyAlignment="0" applyProtection="0"/>
    <xf numFmtId="0" fontId="2" fillId="0" borderId="0"/>
    <xf numFmtId="0" fontId="45" fillId="0" borderId="0"/>
    <xf numFmtId="0" fontId="45" fillId="0" borderId="0"/>
    <xf numFmtId="0" fontId="110" fillId="0" borderId="0"/>
    <xf numFmtId="0" fontId="111" fillId="0" borderId="0">
      <alignment vertical="center"/>
    </xf>
    <xf numFmtId="0" fontId="112" fillId="0" borderId="0"/>
    <xf numFmtId="0" fontId="112" fillId="0" borderId="30">
      <alignment horizontal="centerContinuous"/>
    </xf>
    <xf numFmtId="0" fontId="113" fillId="0" borderId="30"/>
    <xf numFmtId="164" fontId="109" fillId="0" borderId="0" applyFont="0" applyFill="0" applyBorder="0" applyAlignment="0" applyProtection="0"/>
    <xf numFmtId="164" fontId="109" fillId="0" borderId="0" applyFont="0" applyFill="0" applyBorder="0" applyAlignment="0" applyProtection="0"/>
    <xf numFmtId="165" fontId="2" fillId="0" borderId="0" applyFont="0" applyFill="0" applyBorder="0" applyAlignment="0" applyProtection="0"/>
    <xf numFmtId="0" fontId="122" fillId="0" borderId="0"/>
    <xf numFmtId="0" fontId="2" fillId="0" borderId="0"/>
    <xf numFmtId="165" fontId="1" fillId="0" borderId="0" applyFont="0" applyFill="0" applyBorder="0" applyAlignment="0" applyProtection="0"/>
    <xf numFmtId="0" fontId="2" fillId="0" borderId="0"/>
    <xf numFmtId="166" fontId="2" fillId="0" borderId="0" applyFont="0" applyFill="0" applyBorder="0" applyAlignment="0" applyProtection="0"/>
    <xf numFmtId="0" fontId="141" fillId="0" borderId="0"/>
  </cellStyleXfs>
  <cellXfs count="701">
    <xf numFmtId="0" fontId="0" fillId="0" borderId="0" xfId="0"/>
    <xf numFmtId="0" fontId="3" fillId="0" borderId="0" xfId="0" applyFont="1"/>
    <xf numFmtId="170" fontId="3" fillId="0" borderId="0" xfId="0" applyNumberFormat="1" applyFont="1"/>
    <xf numFmtId="0" fontId="38" fillId="0" borderId="0" xfId="0" applyFont="1" applyFill="1" applyBorder="1"/>
    <xf numFmtId="0" fontId="38" fillId="0" borderId="0" xfId="0" applyFont="1" applyFill="1" applyBorder="1" applyAlignment="1">
      <alignment horizontal="right"/>
    </xf>
    <xf numFmtId="0" fontId="6" fillId="0" borderId="0" xfId="0" applyFont="1" applyFill="1" applyBorder="1"/>
    <xf numFmtId="0" fontId="57" fillId="0" borderId="0" xfId="0" applyFont="1"/>
    <xf numFmtId="0" fontId="3" fillId="0" borderId="0" xfId="0" applyFont="1" applyFill="1" applyBorder="1"/>
    <xf numFmtId="170" fontId="6" fillId="0" borderId="0" xfId="0" applyNumberFormat="1" applyFont="1" applyFill="1" applyBorder="1"/>
    <xf numFmtId="0" fontId="3" fillId="0" borderId="0" xfId="0" applyFont="1" applyBorder="1"/>
    <xf numFmtId="0" fontId="65" fillId="0" borderId="0" xfId="0" applyFont="1"/>
    <xf numFmtId="0" fontId="2" fillId="0" borderId="0" xfId="0" applyFont="1" applyFill="1" applyBorder="1"/>
    <xf numFmtId="1" fontId="2" fillId="0" borderId="0" xfId="0" applyNumberFormat="1" applyFont="1" applyFill="1" applyBorder="1"/>
    <xf numFmtId="170" fontId="2" fillId="0" borderId="0" xfId="0" applyNumberFormat="1" applyFont="1" applyFill="1" applyBorder="1"/>
    <xf numFmtId="9" fontId="0" fillId="0" borderId="0" xfId="0" applyNumberFormat="1"/>
    <xf numFmtId="170" fontId="0" fillId="0" borderId="0" xfId="0" applyNumberFormat="1"/>
    <xf numFmtId="183" fontId="3" fillId="0" borderId="0" xfId="0" applyNumberFormat="1" applyFont="1" applyFill="1" applyBorder="1"/>
    <xf numFmtId="0" fontId="0" fillId="0" borderId="0" xfId="0" applyFill="1"/>
    <xf numFmtId="0" fontId="0" fillId="0" borderId="0" xfId="0" applyBorder="1"/>
    <xf numFmtId="183" fontId="0" fillId="0" borderId="0" xfId="21" applyNumberFormat="1" applyFont="1"/>
    <xf numFmtId="0" fontId="3" fillId="0" borderId="0" xfId="0" applyFont="1" applyAlignment="1">
      <alignment horizontal="center" wrapText="1"/>
    </xf>
    <xf numFmtId="0" fontId="0" fillId="0" borderId="0" xfId="0" applyFill="1" applyBorder="1"/>
    <xf numFmtId="169" fontId="3" fillId="0" borderId="0" xfId="75" applyNumberFormat="1" applyFont="1" applyBorder="1"/>
    <xf numFmtId="0" fontId="19" fillId="0" borderId="0" xfId="0" applyFont="1"/>
    <xf numFmtId="165" fontId="0" fillId="0" borderId="0" xfId="0" applyNumberFormat="1" applyFill="1" applyBorder="1"/>
    <xf numFmtId="185" fontId="67" fillId="0" borderId="0" xfId="71" applyNumberFormat="1" applyFont="1" applyBorder="1"/>
    <xf numFmtId="185" fontId="54" fillId="0" borderId="0" xfId="0" applyNumberFormat="1" applyFont="1" applyFill="1" applyBorder="1" applyAlignment="1" applyProtection="1"/>
    <xf numFmtId="185" fontId="68" fillId="0" borderId="0" xfId="71" applyNumberFormat="1" applyFont="1" applyBorder="1"/>
    <xf numFmtId="185" fontId="54" fillId="0" borderId="0" xfId="71" applyNumberFormat="1" applyFont="1" applyBorder="1"/>
    <xf numFmtId="185" fontId="3" fillId="0" borderId="0" xfId="0" applyNumberFormat="1" applyFont="1" applyBorder="1"/>
    <xf numFmtId="0" fontId="3" fillId="0" borderId="0" xfId="0" applyFont="1" applyFill="1" applyBorder="1" applyAlignment="1">
      <alignment horizontal="center" wrapText="1"/>
    </xf>
    <xf numFmtId="170" fontId="0" fillId="0" borderId="0" xfId="0" applyNumberFormat="1" applyFill="1" applyBorder="1"/>
    <xf numFmtId="183" fontId="0" fillId="0" borderId="0" xfId="21" applyNumberFormat="1" applyFont="1" applyFill="1" applyBorder="1"/>
    <xf numFmtId="0" fontId="2" fillId="0" borderId="0" xfId="0" applyFont="1" applyBorder="1"/>
    <xf numFmtId="0" fontId="72" fillId="0" borderId="0" xfId="0" applyFont="1" applyBorder="1" applyAlignment="1">
      <alignment horizontal="center" vertical="top" wrapText="1"/>
    </xf>
    <xf numFmtId="0" fontId="72" fillId="0" borderId="0" xfId="0" applyFont="1" applyBorder="1" applyAlignment="1">
      <alignment horizontal="left" vertical="top" wrapText="1"/>
    </xf>
    <xf numFmtId="0" fontId="73" fillId="0" borderId="0" xfId="0" applyFont="1" applyBorder="1" applyAlignment="1">
      <alignment horizontal="left" vertical="top" wrapText="1"/>
    </xf>
    <xf numFmtId="0" fontId="73" fillId="0" borderId="0" xfId="0" applyFont="1" applyBorder="1" applyAlignment="1">
      <alignment horizontal="right" vertical="top" wrapText="1"/>
    </xf>
    <xf numFmtId="0" fontId="72" fillId="0" borderId="0" xfId="0" applyFont="1" applyBorder="1" applyAlignment="1">
      <alignment horizontal="right" vertical="top" wrapText="1"/>
    </xf>
    <xf numFmtId="0" fontId="0" fillId="10" borderId="0" xfId="0" applyFill="1"/>
    <xf numFmtId="0" fontId="3" fillId="10" borderId="0" xfId="0" applyFont="1" applyFill="1" applyBorder="1"/>
    <xf numFmtId="0" fontId="3" fillId="10" borderId="0" xfId="0" applyFont="1" applyFill="1"/>
    <xf numFmtId="0" fontId="76" fillId="10" borderId="0" xfId="55" applyFont="1" applyFill="1" applyAlignment="1" applyProtection="1"/>
    <xf numFmtId="0" fontId="2" fillId="10" borderId="0" xfId="0" applyFont="1" applyFill="1"/>
    <xf numFmtId="0" fontId="55" fillId="10" borderId="0" xfId="0" applyFont="1" applyFill="1"/>
    <xf numFmtId="0" fontId="6" fillId="10" borderId="0" xfId="0" applyFont="1" applyFill="1"/>
    <xf numFmtId="0" fontId="79" fillId="10" borderId="26" xfId="0" applyFont="1" applyFill="1" applyBorder="1" applyAlignment="1">
      <alignment horizontal="left"/>
    </xf>
    <xf numFmtId="0" fontId="80" fillId="10" borderId="26" xfId="0" applyFont="1" applyFill="1" applyBorder="1"/>
    <xf numFmtId="0" fontId="78" fillId="10" borderId="0" xfId="0" applyFont="1" applyFill="1"/>
    <xf numFmtId="0" fontId="81" fillId="10" borderId="0" xfId="0" applyFont="1" applyFill="1"/>
    <xf numFmtId="0" fontId="19" fillId="9" borderId="0" xfId="0" applyFont="1" applyFill="1" applyBorder="1" applyAlignment="1">
      <alignment horizontal="right"/>
    </xf>
    <xf numFmtId="0" fontId="19" fillId="10" borderId="0" xfId="0" applyFont="1" applyFill="1" applyBorder="1"/>
    <xf numFmtId="0" fontId="69" fillId="10" borderId="0" xfId="0" applyFont="1" applyFill="1"/>
    <xf numFmtId="170" fontId="69" fillId="10" borderId="0" xfId="0" applyNumberFormat="1" applyFont="1" applyFill="1" applyBorder="1"/>
    <xf numFmtId="2" fontId="19" fillId="10" borderId="0" xfId="0" applyNumberFormat="1" applyFont="1" applyFill="1" applyBorder="1"/>
    <xf numFmtId="175" fontId="19" fillId="10" borderId="0" xfId="0" applyNumberFormat="1" applyFont="1" applyFill="1" applyBorder="1"/>
    <xf numFmtId="169" fontId="19" fillId="10" borderId="0" xfId="0" applyNumberFormat="1" applyFont="1" applyFill="1" applyBorder="1"/>
    <xf numFmtId="0" fontId="19" fillId="10" borderId="0" xfId="0" applyFont="1" applyFill="1" applyBorder="1" applyAlignment="1">
      <alignment horizontal="right"/>
    </xf>
    <xf numFmtId="0" fontId="87" fillId="0" borderId="0" xfId="0" quotePrefix="1" applyFont="1"/>
    <xf numFmtId="170" fontId="88" fillId="0" borderId="0" xfId="0" applyNumberFormat="1" applyFont="1"/>
    <xf numFmtId="0" fontId="71" fillId="9" borderId="0" xfId="0" applyFont="1" applyFill="1" applyBorder="1" applyAlignment="1">
      <alignment horizontal="right" vertical="center"/>
    </xf>
    <xf numFmtId="183" fontId="19" fillId="10" borderId="0" xfId="21" applyNumberFormat="1" applyFont="1" applyFill="1" applyBorder="1"/>
    <xf numFmtId="9" fontId="19" fillId="10" borderId="0" xfId="0" applyNumberFormat="1" applyFont="1" applyFill="1" applyBorder="1"/>
    <xf numFmtId="168" fontId="38" fillId="10" borderId="0" xfId="23" applyFont="1" applyFill="1"/>
    <xf numFmtId="170" fontId="6" fillId="10" borderId="0" xfId="0" applyNumberFormat="1" applyFont="1" applyFill="1"/>
    <xf numFmtId="0" fontId="6" fillId="10" borderId="0" xfId="0" applyFont="1" applyFill="1" applyBorder="1"/>
    <xf numFmtId="0" fontId="38" fillId="10" borderId="0" xfId="0" applyFont="1" applyFill="1" applyBorder="1"/>
    <xf numFmtId="0" fontId="60" fillId="10" borderId="0" xfId="0" applyFont="1" applyFill="1" applyBorder="1"/>
    <xf numFmtId="170" fontId="6" fillId="10" borderId="20" xfId="0" applyNumberFormat="1" applyFont="1" applyFill="1" applyBorder="1"/>
    <xf numFmtId="169" fontId="6" fillId="10" borderId="0" xfId="75" applyNumberFormat="1" applyFont="1" applyFill="1" applyBorder="1"/>
    <xf numFmtId="183" fontId="6" fillId="10" borderId="0" xfId="21" applyNumberFormat="1" applyFont="1" applyFill="1" applyBorder="1"/>
    <xf numFmtId="9" fontId="6" fillId="10" borderId="0" xfId="75" applyFont="1" applyFill="1" applyBorder="1"/>
    <xf numFmtId="0" fontId="38" fillId="10" borderId="29" xfId="0" applyFont="1" applyFill="1" applyBorder="1"/>
    <xf numFmtId="0" fontId="3" fillId="10" borderId="29" xfId="0" applyFont="1" applyFill="1" applyBorder="1"/>
    <xf numFmtId="0" fontId="6" fillId="10" borderId="29" xfId="0" applyFont="1" applyFill="1" applyBorder="1"/>
    <xf numFmtId="170" fontId="6" fillId="10" borderId="29" xfId="0" applyNumberFormat="1" applyFont="1" applyFill="1" applyBorder="1"/>
    <xf numFmtId="183" fontId="38" fillId="10" borderId="29" xfId="21" applyNumberFormat="1" applyFont="1" applyFill="1" applyBorder="1"/>
    <xf numFmtId="183" fontId="6" fillId="10" borderId="29" xfId="21" applyNumberFormat="1" applyFont="1" applyFill="1" applyBorder="1"/>
    <xf numFmtId="169" fontId="58" fillId="10" borderId="29" xfId="75" applyNumberFormat="1" applyFont="1" applyFill="1" applyBorder="1"/>
    <xf numFmtId="169" fontId="6" fillId="10" borderId="29" xfId="75" applyNumberFormat="1" applyFont="1" applyFill="1" applyBorder="1"/>
    <xf numFmtId="0" fontId="87" fillId="10" borderId="0" xfId="0" applyFont="1" applyFill="1" applyBorder="1"/>
    <xf numFmtId="0" fontId="87" fillId="10" borderId="0" xfId="0" applyFont="1" applyFill="1"/>
    <xf numFmtId="3" fontId="87" fillId="10" borderId="0" xfId="0" applyNumberFormat="1" applyFont="1" applyFill="1" applyBorder="1"/>
    <xf numFmtId="38" fontId="6" fillId="10" borderId="0" xfId="0" applyNumberFormat="1" applyFont="1" applyFill="1" applyBorder="1"/>
    <xf numFmtId="0" fontId="57" fillId="10" borderId="0" xfId="0" applyFont="1" applyFill="1"/>
    <xf numFmtId="0" fontId="70" fillId="10" borderId="0" xfId="0" applyFont="1" applyFill="1" applyBorder="1"/>
    <xf numFmtId="0" fontId="59" fillId="10" borderId="0" xfId="0" applyFont="1" applyFill="1" applyBorder="1"/>
    <xf numFmtId="169" fontId="38" fillId="10" borderId="0" xfId="75" applyNumberFormat="1" applyFont="1" applyFill="1" applyBorder="1"/>
    <xf numFmtId="9" fontId="6" fillId="10" borderId="0" xfId="0" applyNumberFormat="1" applyFont="1" applyFill="1" applyBorder="1"/>
    <xf numFmtId="183" fontId="77" fillId="10" borderId="0" xfId="0" applyNumberFormat="1" applyFont="1" applyFill="1" applyBorder="1"/>
    <xf numFmtId="0" fontId="77" fillId="10" borderId="0" xfId="0" applyFont="1" applyFill="1" applyBorder="1"/>
    <xf numFmtId="0" fontId="39" fillId="10" borderId="0" xfId="0" applyFont="1" applyFill="1" applyBorder="1"/>
    <xf numFmtId="169" fontId="39" fillId="10" borderId="0" xfId="75" applyNumberFormat="1" applyFont="1" applyFill="1" applyBorder="1"/>
    <xf numFmtId="0" fontId="38" fillId="10" borderId="0" xfId="0" applyFont="1" applyFill="1"/>
    <xf numFmtId="2" fontId="38" fillId="10" borderId="0" xfId="0" applyNumberFormat="1" applyFont="1" applyFill="1"/>
    <xf numFmtId="2" fontId="6" fillId="10" borderId="0" xfId="0" applyNumberFormat="1" applyFont="1" applyFill="1"/>
    <xf numFmtId="2" fontId="6" fillId="10" borderId="0" xfId="0" applyNumberFormat="1" applyFont="1" applyFill="1" applyBorder="1"/>
    <xf numFmtId="2" fontId="37" fillId="10" borderId="0" xfId="0" applyNumberFormat="1" applyFont="1" applyFill="1"/>
    <xf numFmtId="2" fontId="37" fillId="10" borderId="0" xfId="0" applyNumberFormat="1" applyFont="1" applyFill="1" applyBorder="1"/>
    <xf numFmtId="2" fontId="65" fillId="10" borderId="0" xfId="0" applyNumberFormat="1" applyFont="1" applyFill="1" applyBorder="1"/>
    <xf numFmtId="2" fontId="65" fillId="10" borderId="0" xfId="0" applyNumberFormat="1" applyFont="1" applyFill="1" applyBorder="1" applyAlignment="1">
      <alignment horizontal="right"/>
    </xf>
    <xf numFmtId="2" fontId="3" fillId="10" borderId="0" xfId="0" applyNumberFormat="1" applyFont="1" applyFill="1"/>
    <xf numFmtId="2" fontId="3" fillId="10" borderId="0" xfId="0" applyNumberFormat="1" applyFont="1" applyFill="1" applyBorder="1"/>
    <xf numFmtId="169" fontId="65" fillId="10" borderId="0" xfId="0" applyNumberFormat="1" applyFont="1" applyFill="1" applyBorder="1"/>
    <xf numFmtId="169" fontId="65" fillId="10" borderId="0" xfId="75" applyNumberFormat="1" applyFont="1" applyFill="1" applyBorder="1"/>
    <xf numFmtId="0" fontId="39" fillId="10" borderId="0" xfId="0" applyFont="1" applyFill="1"/>
    <xf numFmtId="0" fontId="60" fillId="10" borderId="0" xfId="0" applyFont="1" applyFill="1"/>
    <xf numFmtId="170" fontId="39" fillId="10" borderId="0" xfId="0" applyNumberFormat="1" applyFont="1" applyFill="1" applyBorder="1"/>
    <xf numFmtId="2" fontId="39" fillId="10" borderId="0" xfId="0" applyNumberFormat="1" applyFont="1" applyFill="1" applyBorder="1"/>
    <xf numFmtId="170" fontId="3" fillId="10" borderId="0" xfId="0" applyNumberFormat="1" applyFont="1" applyFill="1"/>
    <xf numFmtId="170" fontId="3" fillId="10" borderId="0" xfId="0" applyNumberFormat="1" applyFont="1" applyFill="1" applyBorder="1"/>
    <xf numFmtId="169" fontId="65" fillId="10" borderId="0" xfId="0" applyNumberFormat="1" applyFont="1" applyFill="1"/>
    <xf numFmtId="169" fontId="65" fillId="10" borderId="0" xfId="75" applyNumberFormat="1" applyFont="1" applyFill="1"/>
    <xf numFmtId="170" fontId="38" fillId="10" borderId="20" xfId="0" applyNumberFormat="1" applyFont="1" applyFill="1" applyBorder="1"/>
    <xf numFmtId="170" fontId="6" fillId="10" borderId="0" xfId="0" applyNumberFormat="1" applyFont="1" applyFill="1" applyBorder="1"/>
    <xf numFmtId="175" fontId="62" fillId="10" borderId="0" xfId="0" applyNumberFormat="1" applyFont="1" applyFill="1"/>
    <xf numFmtId="175" fontId="62" fillId="10" borderId="0" xfId="0" applyNumberFormat="1" applyFont="1" applyFill="1" applyBorder="1"/>
    <xf numFmtId="0" fontId="65" fillId="10" borderId="0" xfId="0" applyFont="1" applyFill="1"/>
    <xf numFmtId="0" fontId="65" fillId="10" borderId="0" xfId="0" applyFont="1" applyFill="1" applyBorder="1"/>
    <xf numFmtId="9" fontId="65" fillId="10" borderId="0" xfId="75" applyFont="1" applyFill="1" applyBorder="1"/>
    <xf numFmtId="0" fontId="62" fillId="10" borderId="0" xfId="0" applyFont="1" applyFill="1"/>
    <xf numFmtId="0" fontId="62" fillId="10" borderId="0" xfId="0" applyFont="1" applyFill="1" applyBorder="1"/>
    <xf numFmtId="0" fontId="5" fillId="10" borderId="0" xfId="0" applyFont="1" applyFill="1"/>
    <xf numFmtId="175" fontId="6" fillId="10" borderId="0" xfId="0" applyNumberFormat="1" applyFont="1" applyFill="1" applyBorder="1"/>
    <xf numFmtId="0" fontId="74" fillId="10" borderId="0" xfId="0" applyFont="1" applyFill="1" applyBorder="1"/>
    <xf numFmtId="165" fontId="6" fillId="10" borderId="0" xfId="0" applyNumberFormat="1" applyFont="1" applyFill="1" applyBorder="1"/>
    <xf numFmtId="0" fontId="61" fillId="10" borderId="0" xfId="0" applyFont="1" applyFill="1"/>
    <xf numFmtId="175" fontId="3" fillId="10" borderId="0" xfId="0" applyNumberFormat="1" applyFont="1" applyFill="1" applyBorder="1"/>
    <xf numFmtId="169" fontId="6" fillId="10" borderId="0" xfId="0" applyNumberFormat="1" applyFont="1" applyFill="1" applyBorder="1"/>
    <xf numFmtId="169" fontId="6" fillId="10" borderId="0" xfId="21" applyNumberFormat="1" applyFont="1" applyFill="1" applyBorder="1"/>
    <xf numFmtId="0" fontId="61" fillId="10" borderId="0" xfId="0" applyFont="1" applyFill="1" applyBorder="1"/>
    <xf numFmtId="183" fontId="3" fillId="10" borderId="0" xfId="21" applyNumberFormat="1" applyFont="1" applyFill="1" applyBorder="1"/>
    <xf numFmtId="169" fontId="3" fillId="10" borderId="0" xfId="75" applyNumberFormat="1" applyFont="1" applyFill="1" applyBorder="1"/>
    <xf numFmtId="0" fontId="63" fillId="10" borderId="0" xfId="0" applyFont="1" applyFill="1"/>
    <xf numFmtId="0" fontId="57" fillId="10" borderId="0" xfId="0" applyFont="1" applyFill="1" applyBorder="1"/>
    <xf numFmtId="183" fontId="57" fillId="10" borderId="0" xfId="21" applyNumberFormat="1" applyFont="1" applyFill="1" applyBorder="1"/>
    <xf numFmtId="9" fontId="57" fillId="10" borderId="0" xfId="75" applyFont="1" applyFill="1" applyBorder="1"/>
    <xf numFmtId="165" fontId="3" fillId="10" borderId="0" xfId="0" applyNumberFormat="1" applyFont="1" applyFill="1" applyBorder="1"/>
    <xf numFmtId="169" fontId="57" fillId="10" borderId="0" xfId="75" applyNumberFormat="1" applyFont="1" applyFill="1" applyBorder="1"/>
    <xf numFmtId="0" fontId="88" fillId="10" borderId="0" xfId="0" applyFont="1" applyFill="1" applyBorder="1"/>
    <xf numFmtId="170" fontId="62" fillId="10" borderId="0" xfId="0" applyNumberFormat="1" applyFont="1" applyFill="1" applyBorder="1"/>
    <xf numFmtId="0" fontId="5" fillId="10" borderId="0" xfId="0" applyFont="1" applyFill="1" applyBorder="1"/>
    <xf numFmtId="0" fontId="61" fillId="10" borderId="29" xfId="0" applyFont="1" applyFill="1" applyBorder="1"/>
    <xf numFmtId="170" fontId="3" fillId="10" borderId="29" xfId="0" applyNumberFormat="1" applyFont="1" applyFill="1" applyBorder="1"/>
    <xf numFmtId="183" fontId="3" fillId="10" borderId="29" xfId="0" applyNumberFormat="1" applyFont="1" applyFill="1" applyBorder="1"/>
    <xf numFmtId="0" fontId="3" fillId="10" borderId="28" xfId="0" applyFont="1" applyFill="1" applyBorder="1"/>
    <xf numFmtId="0" fontId="61" fillId="10" borderId="28" xfId="0" applyFont="1" applyFill="1" applyBorder="1"/>
    <xf numFmtId="170" fontId="3" fillId="10" borderId="28" xfId="0" applyNumberFormat="1" applyFont="1" applyFill="1" applyBorder="1"/>
    <xf numFmtId="175" fontId="6" fillId="10" borderId="29" xfId="0" applyNumberFormat="1" applyFont="1" applyFill="1" applyBorder="1"/>
    <xf numFmtId="175" fontId="3" fillId="10" borderId="29" xfId="0" applyNumberFormat="1" applyFont="1" applyFill="1" applyBorder="1"/>
    <xf numFmtId="183" fontId="3" fillId="10" borderId="0" xfId="0" applyNumberFormat="1" applyFont="1" applyFill="1" applyBorder="1"/>
    <xf numFmtId="170" fontId="88" fillId="10" borderId="0" xfId="0" applyNumberFormat="1" applyFont="1" applyFill="1" applyBorder="1"/>
    <xf numFmtId="0" fontId="89" fillId="10" borderId="0" xfId="0" applyFont="1" applyFill="1" applyBorder="1"/>
    <xf numFmtId="0" fontId="56" fillId="10" borderId="21" xfId="0" applyFont="1" applyFill="1" applyBorder="1"/>
    <xf numFmtId="1" fontId="55" fillId="10" borderId="21" xfId="69" applyNumberFormat="1" applyFont="1" applyFill="1" applyBorder="1" applyAlignment="1">
      <alignment horizontal="left"/>
    </xf>
    <xf numFmtId="183" fontId="6" fillId="10" borderId="0" xfId="0" applyNumberFormat="1" applyFont="1" applyFill="1" applyBorder="1"/>
    <xf numFmtId="9" fontId="55" fillId="10" borderId="21" xfId="69" applyNumberFormat="1" applyFont="1" applyFill="1" applyBorder="1" applyAlignment="1">
      <alignment horizontal="left"/>
    </xf>
    <xf numFmtId="2" fontId="55" fillId="10" borderId="21" xfId="69" applyNumberFormat="1" applyFont="1" applyFill="1" applyBorder="1" applyAlignment="1">
      <alignment horizontal="left"/>
    </xf>
    <xf numFmtId="169" fontId="55" fillId="10" borderId="21" xfId="69" applyNumberFormat="1" applyFont="1" applyFill="1" applyBorder="1" applyAlignment="1">
      <alignment horizontal="left"/>
    </xf>
    <xf numFmtId="0" fontId="38" fillId="10" borderId="5" xfId="0" applyFont="1" applyFill="1" applyBorder="1"/>
    <xf numFmtId="169" fontId="55" fillId="10" borderId="22" xfId="69" applyNumberFormat="1" applyFont="1" applyFill="1" applyBorder="1" applyAlignment="1">
      <alignment horizontal="left"/>
    </xf>
    <xf numFmtId="0" fontId="6" fillId="10" borderId="5" xfId="0" applyFont="1" applyFill="1" applyBorder="1"/>
    <xf numFmtId="183" fontId="6" fillId="10" borderId="5" xfId="0" applyNumberFormat="1" applyFont="1" applyFill="1" applyBorder="1"/>
    <xf numFmtId="169" fontId="56" fillId="10" borderId="0" xfId="69" applyNumberFormat="1" applyFont="1" applyFill="1" applyAlignment="1">
      <alignment horizontal="left"/>
    </xf>
    <xf numFmtId="0" fontId="56" fillId="10" borderId="0" xfId="0" applyFont="1" applyFill="1"/>
    <xf numFmtId="10" fontId="3" fillId="10" borderId="0" xfId="75" applyNumberFormat="1" applyFont="1" applyFill="1" applyBorder="1"/>
    <xf numFmtId="10" fontId="3" fillId="10" borderId="0" xfId="0" applyNumberFormat="1" applyFont="1" applyFill="1" applyBorder="1"/>
    <xf numFmtId="10" fontId="6" fillId="10" borderId="0" xfId="0" applyNumberFormat="1" applyFont="1" applyFill="1" applyBorder="1"/>
    <xf numFmtId="9" fontId="3" fillId="10" borderId="0" xfId="75" applyFont="1" applyFill="1" applyBorder="1"/>
    <xf numFmtId="169" fontId="39" fillId="10" borderId="0" xfId="0" applyNumberFormat="1" applyFont="1" applyFill="1" applyBorder="1"/>
    <xf numFmtId="183" fontId="3" fillId="10" borderId="28" xfId="21" applyNumberFormat="1" applyFont="1" applyFill="1" applyBorder="1"/>
    <xf numFmtId="169" fontId="3" fillId="10" borderId="28" xfId="75" applyNumberFormat="1" applyFont="1" applyFill="1" applyBorder="1"/>
    <xf numFmtId="175" fontId="89" fillId="10" borderId="0" xfId="0" applyNumberFormat="1" applyFont="1" applyFill="1" applyBorder="1"/>
    <xf numFmtId="175" fontId="89" fillId="10" borderId="0" xfId="21" applyNumberFormat="1" applyFont="1" applyFill="1" applyBorder="1"/>
    <xf numFmtId="170" fontId="89" fillId="10" borderId="0" xfId="0" applyNumberFormat="1" applyFont="1" applyFill="1" applyBorder="1"/>
    <xf numFmtId="171" fontId="6" fillId="10" borderId="0" xfId="0" applyNumberFormat="1" applyFont="1" applyFill="1" applyBorder="1"/>
    <xf numFmtId="9" fontId="6" fillId="10" borderId="0" xfId="75" applyNumberFormat="1" applyFont="1" applyFill="1" applyBorder="1"/>
    <xf numFmtId="169" fontId="6" fillId="14" borderId="0" xfId="75" applyNumberFormat="1" applyFont="1" applyFill="1" applyBorder="1"/>
    <xf numFmtId="169" fontId="6" fillId="14" borderId="0" xfId="0" applyNumberFormat="1" applyFont="1" applyFill="1" applyBorder="1"/>
    <xf numFmtId="0" fontId="6" fillId="14" borderId="0" xfId="0" applyFont="1" applyFill="1" applyBorder="1"/>
    <xf numFmtId="175" fontId="88" fillId="10" borderId="0" xfId="0" applyNumberFormat="1" applyFont="1" applyFill="1" applyBorder="1"/>
    <xf numFmtId="170" fontId="89" fillId="10" borderId="29" xfId="0" applyNumberFormat="1" applyFont="1" applyFill="1" applyBorder="1"/>
    <xf numFmtId="0" fontId="52" fillId="10" borderId="0" xfId="0" applyFont="1" applyFill="1"/>
    <xf numFmtId="0" fontId="91" fillId="0" borderId="0" xfId="0" applyFont="1" applyAlignment="1">
      <alignment horizontal="center" wrapText="1"/>
    </xf>
    <xf numFmtId="0" fontId="3" fillId="10" borderId="0" xfId="0" applyFont="1" applyFill="1" applyAlignment="1">
      <alignment horizontal="right"/>
    </xf>
    <xf numFmtId="170" fontId="0" fillId="10" borderId="0" xfId="0" applyNumberFormat="1" applyFill="1"/>
    <xf numFmtId="0" fontId="0" fillId="10" borderId="0" xfId="0" applyFill="1" applyBorder="1"/>
    <xf numFmtId="169" fontId="0" fillId="10" borderId="0" xfId="75" applyNumberFormat="1" applyFont="1" applyFill="1"/>
    <xf numFmtId="49" fontId="6" fillId="10" borderId="0" xfId="0" applyNumberFormat="1" applyFont="1" applyFill="1"/>
    <xf numFmtId="170" fontId="0" fillId="10" borderId="0" xfId="0" applyNumberFormat="1" applyFill="1" applyBorder="1"/>
    <xf numFmtId="38" fontId="0" fillId="10" borderId="0" xfId="0" applyNumberFormat="1" applyFill="1"/>
    <xf numFmtId="0" fontId="0" fillId="10" borderId="0" xfId="0" applyFill="1" applyBorder="1" applyAlignment="1">
      <alignment horizontal="right"/>
    </xf>
    <xf numFmtId="9" fontId="0" fillId="10" borderId="0" xfId="0" applyNumberFormat="1" applyFill="1" applyBorder="1"/>
    <xf numFmtId="49" fontId="3" fillId="10" borderId="0" xfId="21" applyNumberFormat="1" applyFont="1" applyFill="1" applyBorder="1"/>
    <xf numFmtId="49" fontId="6" fillId="10" borderId="0" xfId="0" applyNumberFormat="1" applyFont="1" applyFill="1" applyBorder="1"/>
    <xf numFmtId="49" fontId="6" fillId="10" borderId="0" xfId="21" applyNumberFormat="1" applyFont="1" applyFill="1" applyBorder="1"/>
    <xf numFmtId="0" fontId="6" fillId="10" borderId="0" xfId="0" applyFont="1" applyFill="1" applyBorder="1" applyAlignment="1">
      <alignment horizontal="left"/>
    </xf>
    <xf numFmtId="167" fontId="0" fillId="10" borderId="0" xfId="0" applyNumberFormat="1" applyFill="1" applyBorder="1"/>
    <xf numFmtId="167" fontId="0" fillId="10" borderId="0" xfId="0" applyNumberFormat="1" applyFill="1" applyBorder="1" applyAlignment="1">
      <alignment horizontal="right"/>
    </xf>
    <xf numFmtId="169" fontId="0" fillId="10" borderId="0" xfId="75" applyNumberFormat="1" applyFont="1" applyFill="1" applyBorder="1"/>
    <xf numFmtId="175" fontId="88" fillId="10" borderId="29" xfId="0" applyNumberFormat="1" applyFont="1" applyFill="1" applyBorder="1"/>
    <xf numFmtId="170" fontId="93" fillId="10" borderId="0" xfId="75" applyNumberFormat="1" applyFont="1" applyFill="1" applyBorder="1"/>
    <xf numFmtId="170" fontId="94" fillId="10" borderId="0" xfId="75" applyNumberFormat="1" applyFont="1" applyFill="1" applyBorder="1"/>
    <xf numFmtId="170" fontId="95" fillId="10" borderId="0" xfId="0" applyNumberFormat="1" applyFont="1" applyFill="1" applyBorder="1"/>
    <xf numFmtId="0" fontId="95" fillId="10" borderId="0" xfId="0" applyFont="1" applyFill="1" applyBorder="1"/>
    <xf numFmtId="0" fontId="2" fillId="0" borderId="0" xfId="0" applyFont="1"/>
    <xf numFmtId="0" fontId="96" fillId="10" borderId="0" xfId="0" applyFont="1" applyFill="1" applyBorder="1"/>
    <xf numFmtId="0" fontId="82" fillId="10" borderId="0" xfId="0" applyFont="1" applyFill="1" applyBorder="1" applyAlignment="1">
      <alignment vertical="center"/>
    </xf>
    <xf numFmtId="169" fontId="6" fillId="0" borderId="0" xfId="75" applyNumberFormat="1" applyFont="1" applyFill="1" applyBorder="1"/>
    <xf numFmtId="170" fontId="88" fillId="0" borderId="0" xfId="0" applyNumberFormat="1" applyFont="1" applyFill="1" applyBorder="1"/>
    <xf numFmtId="183" fontId="69" fillId="10" borderId="0" xfId="21" applyNumberFormat="1" applyFont="1" applyFill="1" applyBorder="1"/>
    <xf numFmtId="170" fontId="3" fillId="0" borderId="29" xfId="0" applyNumberFormat="1" applyFont="1" applyFill="1" applyBorder="1"/>
    <xf numFmtId="169" fontId="6" fillId="0" borderId="0" xfId="0" applyNumberFormat="1" applyFont="1" applyFill="1" applyBorder="1"/>
    <xf numFmtId="169" fontId="3" fillId="0" borderId="28" xfId="75" applyNumberFormat="1" applyFont="1" applyFill="1" applyBorder="1"/>
    <xf numFmtId="169" fontId="3" fillId="0" borderId="0" xfId="75" applyNumberFormat="1" applyFont="1" applyFill="1" applyBorder="1"/>
    <xf numFmtId="0" fontId="88" fillId="0" borderId="0" xfId="0" applyFont="1" applyFill="1" applyBorder="1"/>
    <xf numFmtId="175" fontId="3" fillId="0" borderId="0" xfId="0" applyNumberFormat="1" applyFont="1" applyFill="1" applyBorder="1"/>
    <xf numFmtId="175" fontId="100" fillId="0" borderId="0" xfId="0" applyNumberFormat="1" applyFont="1" applyFill="1" applyBorder="1"/>
    <xf numFmtId="190" fontId="19" fillId="10" borderId="0" xfId="0" applyNumberFormat="1" applyFont="1" applyFill="1" applyAlignment="1">
      <alignment horizontal="left"/>
    </xf>
    <xf numFmtId="169" fontId="0" fillId="10" borderId="0" xfId="0" applyNumberFormat="1" applyFill="1" applyBorder="1"/>
    <xf numFmtId="167" fontId="3" fillId="10" borderId="0" xfId="0" applyNumberFormat="1" applyFont="1" applyFill="1" applyBorder="1" applyAlignment="1">
      <alignment horizontal="right"/>
    </xf>
    <xf numFmtId="170" fontId="0" fillId="10" borderId="5" xfId="0" applyNumberFormat="1" applyFill="1" applyBorder="1"/>
    <xf numFmtId="0" fontId="0" fillId="10" borderId="5" xfId="0" applyFill="1" applyBorder="1"/>
    <xf numFmtId="49" fontId="6" fillId="10" borderId="5" xfId="0" applyNumberFormat="1" applyFont="1" applyFill="1" applyBorder="1" applyAlignment="1">
      <alignment horizontal="left"/>
    </xf>
    <xf numFmtId="49" fontId="3" fillId="10" borderId="5" xfId="0" applyNumberFormat="1" applyFont="1" applyFill="1" applyBorder="1"/>
    <xf numFmtId="175" fontId="3" fillId="10" borderId="5" xfId="0" applyNumberFormat="1" applyFont="1" applyFill="1" applyBorder="1"/>
    <xf numFmtId="49" fontId="3" fillId="10" borderId="20" xfId="0" applyNumberFormat="1" applyFont="1" applyFill="1" applyBorder="1"/>
    <xf numFmtId="175" fontId="3" fillId="10" borderId="20" xfId="0" applyNumberFormat="1" applyFont="1" applyFill="1" applyBorder="1"/>
    <xf numFmtId="0" fontId="3" fillId="10" borderId="20" xfId="0" applyFont="1" applyFill="1" applyBorder="1"/>
    <xf numFmtId="170" fontId="3" fillId="10" borderId="20" xfId="0" applyNumberFormat="1" applyFont="1" applyFill="1" applyBorder="1"/>
    <xf numFmtId="0" fontId="96" fillId="0" borderId="0" xfId="0" applyFont="1" applyFill="1" applyBorder="1"/>
    <xf numFmtId="0" fontId="92" fillId="12" borderId="5" xfId="0" applyFont="1" applyFill="1" applyBorder="1"/>
    <xf numFmtId="17" fontId="92" fillId="12" borderId="5" xfId="0" applyNumberFormat="1" applyFont="1" applyFill="1" applyBorder="1" applyAlignment="1">
      <alignment horizontal="right"/>
    </xf>
    <xf numFmtId="0" fontId="92" fillId="12" borderId="5" xfId="0" applyFont="1" applyFill="1" applyBorder="1" applyAlignment="1">
      <alignment horizontal="right"/>
    </xf>
    <xf numFmtId="0" fontId="92" fillId="12" borderId="0" xfId="0" applyFont="1" applyFill="1" applyBorder="1" applyAlignment="1">
      <alignment horizontal="right"/>
    </xf>
    <xf numFmtId="17" fontId="92" fillId="12" borderId="0" xfId="0" applyNumberFormat="1" applyFont="1" applyFill="1" applyBorder="1" applyAlignment="1">
      <alignment horizontal="right"/>
    </xf>
    <xf numFmtId="0" fontId="92" fillId="12" borderId="0" xfId="0" applyFont="1" applyFill="1" applyBorder="1"/>
    <xf numFmtId="0" fontId="102" fillId="12" borderId="0" xfId="0" applyFont="1" applyFill="1" applyBorder="1"/>
    <xf numFmtId="0" fontId="92" fillId="12" borderId="0" xfId="0" applyFont="1" applyFill="1"/>
    <xf numFmtId="9" fontId="102" fillId="12" borderId="0" xfId="75" applyFont="1" applyFill="1" applyBorder="1"/>
    <xf numFmtId="165" fontId="102" fillId="12" borderId="0" xfId="0" applyNumberFormat="1" applyFont="1" applyFill="1" applyBorder="1"/>
    <xf numFmtId="170" fontId="102" fillId="12" borderId="0" xfId="0" applyNumberFormat="1" applyFont="1" applyFill="1" applyBorder="1"/>
    <xf numFmtId="0" fontId="104" fillId="0" borderId="0" xfId="0" applyFont="1" applyAlignment="1">
      <alignment horizontal="right"/>
    </xf>
    <xf numFmtId="0" fontId="105" fillId="0" borderId="0" xfId="0" applyFont="1"/>
    <xf numFmtId="169" fontId="105" fillId="0" borderId="0" xfId="75" applyNumberFormat="1" applyFont="1"/>
    <xf numFmtId="169" fontId="104" fillId="0" borderId="0" xfId="75" applyNumberFormat="1" applyFont="1"/>
    <xf numFmtId="0" fontId="0" fillId="10" borderId="0" xfId="0" applyFill="1" applyAlignment="1"/>
    <xf numFmtId="0" fontId="100" fillId="10" borderId="0" xfId="0" applyFont="1" applyFill="1" applyBorder="1"/>
    <xf numFmtId="170" fontId="19" fillId="10" borderId="0" xfId="0" applyNumberFormat="1" applyFont="1" applyFill="1" applyBorder="1"/>
    <xf numFmtId="1" fontId="57" fillId="10" borderId="0" xfId="75" applyNumberFormat="1" applyFont="1" applyFill="1" applyBorder="1"/>
    <xf numFmtId="175" fontId="0" fillId="10" borderId="0" xfId="0" applyNumberFormat="1" applyFill="1" applyBorder="1"/>
    <xf numFmtId="186" fontId="92" fillId="12" borderId="5" xfId="0" applyNumberFormat="1" applyFont="1" applyFill="1" applyBorder="1" applyAlignment="1">
      <alignment horizontal="left" vertical="center"/>
    </xf>
    <xf numFmtId="0" fontId="3" fillId="12" borderId="5" xfId="0" applyFont="1" applyFill="1" applyBorder="1" applyAlignment="1">
      <alignment horizontal="right"/>
    </xf>
    <xf numFmtId="186" fontId="92" fillId="12" borderId="5" xfId="0" applyNumberFormat="1" applyFont="1" applyFill="1" applyBorder="1" applyAlignment="1">
      <alignment horizontal="right" vertical="center"/>
    </xf>
    <xf numFmtId="186" fontId="102" fillId="12" borderId="5" xfId="0" applyNumberFormat="1" applyFont="1" applyFill="1" applyBorder="1" applyAlignment="1">
      <alignment horizontal="right" vertical="center"/>
    </xf>
    <xf numFmtId="186" fontId="92" fillId="12" borderId="15" xfId="0" applyNumberFormat="1" applyFont="1" applyFill="1" applyBorder="1" applyAlignment="1">
      <alignment horizontal="right" vertical="center"/>
    </xf>
    <xf numFmtId="170" fontId="3" fillId="0" borderId="0" xfId="0" applyNumberFormat="1" applyFont="1" applyBorder="1"/>
    <xf numFmtId="0" fontId="2" fillId="10" borderId="0" xfId="0" applyFont="1" applyFill="1" applyBorder="1"/>
    <xf numFmtId="170" fontId="88" fillId="10" borderId="29" xfId="0" applyNumberFormat="1" applyFont="1" applyFill="1" applyBorder="1"/>
    <xf numFmtId="170" fontId="108" fillId="10" borderId="29" xfId="0" applyNumberFormat="1" applyFont="1" applyFill="1" applyBorder="1"/>
    <xf numFmtId="1" fontId="6" fillId="10" borderId="0" xfId="0" applyNumberFormat="1" applyFont="1" applyFill="1" applyBorder="1"/>
    <xf numFmtId="2" fontId="0" fillId="10" borderId="0" xfId="0" applyNumberFormat="1" applyFill="1"/>
    <xf numFmtId="2" fontId="57" fillId="10" borderId="0" xfId="75" applyNumberFormat="1" applyFont="1" applyFill="1" applyBorder="1"/>
    <xf numFmtId="0" fontId="0" fillId="15" borderId="0" xfId="0" applyFill="1"/>
    <xf numFmtId="0" fontId="0" fillId="15" borderId="0" xfId="0" applyFill="1" applyBorder="1"/>
    <xf numFmtId="3" fontId="48" fillId="10" borderId="0" xfId="0" applyNumberFormat="1" applyFont="1" applyFill="1" applyBorder="1" applyAlignment="1">
      <alignment horizontal="left" indent="1"/>
    </xf>
    <xf numFmtId="49" fontId="0" fillId="0" borderId="0" xfId="0" applyNumberFormat="1"/>
    <xf numFmtId="0" fontId="114" fillId="10" borderId="0" xfId="0" applyFont="1" applyFill="1"/>
    <xf numFmtId="0" fontId="58" fillId="10" borderId="0" xfId="0" applyFont="1" applyFill="1" applyBorder="1"/>
    <xf numFmtId="169" fontId="58" fillId="10" borderId="0" xfId="75" applyNumberFormat="1" applyFont="1" applyFill="1" applyBorder="1"/>
    <xf numFmtId="9" fontId="58" fillId="10" borderId="0" xfId="75" applyFont="1" applyFill="1" applyBorder="1"/>
    <xf numFmtId="170" fontId="115" fillId="10" borderId="0" xfId="75" applyNumberFormat="1" applyFont="1" applyFill="1" applyBorder="1"/>
    <xf numFmtId="2" fontId="58" fillId="10" borderId="0" xfId="75" applyNumberFormat="1" applyFont="1" applyFill="1" applyBorder="1"/>
    <xf numFmtId="0" fontId="3" fillId="10" borderId="0" xfId="0" quotePrefix="1" applyFont="1" applyFill="1"/>
    <xf numFmtId="169" fontId="88" fillId="10" borderId="0" xfId="0" applyNumberFormat="1" applyFont="1" applyFill="1" applyBorder="1"/>
    <xf numFmtId="169" fontId="88" fillId="10" borderId="0" xfId="75" applyNumberFormat="1" applyFont="1" applyFill="1" applyBorder="1"/>
    <xf numFmtId="185" fontId="97" fillId="10" borderId="0" xfId="71" applyNumberFormat="1" applyFont="1" applyFill="1" applyBorder="1"/>
    <xf numFmtId="185" fontId="97" fillId="10" borderId="0" xfId="71" applyNumberFormat="1" applyFont="1" applyFill="1" applyBorder="1" applyAlignment="1">
      <alignment horizontal="right"/>
    </xf>
    <xf numFmtId="185" fontId="19" fillId="10" borderId="0" xfId="71" applyNumberFormat="1" applyFont="1" applyFill="1" applyBorder="1"/>
    <xf numFmtId="174" fontId="19" fillId="10" borderId="0" xfId="71" applyNumberFormat="1" applyFont="1" applyFill="1" applyBorder="1" applyAlignment="1">
      <alignment horizontal="right"/>
    </xf>
    <xf numFmtId="185" fontId="69" fillId="10" borderId="0" xfId="71" applyNumberFormat="1" applyFont="1" applyFill="1" applyBorder="1"/>
    <xf numFmtId="1" fontId="19" fillId="10" borderId="0" xfId="0" applyNumberFormat="1" applyFont="1" applyFill="1" applyBorder="1"/>
    <xf numFmtId="185" fontId="86" fillId="10" borderId="0" xfId="71" applyNumberFormat="1" applyFont="1" applyFill="1" applyBorder="1"/>
    <xf numFmtId="0" fontId="69" fillId="10" borderId="0" xfId="70" applyFont="1" applyFill="1" applyBorder="1"/>
    <xf numFmtId="167" fontId="19" fillId="10" borderId="0" xfId="23" applyNumberFormat="1" applyFont="1" applyFill="1" applyBorder="1"/>
    <xf numFmtId="185" fontId="101" fillId="10" borderId="0" xfId="71" applyNumberFormat="1" applyFont="1" applyFill="1" applyBorder="1"/>
    <xf numFmtId="0" fontId="83" fillId="10" borderId="0" xfId="0" applyFont="1" applyFill="1" applyBorder="1"/>
    <xf numFmtId="167" fontId="101" fillId="10" borderId="0" xfId="0" applyNumberFormat="1" applyFont="1" applyFill="1" applyBorder="1"/>
    <xf numFmtId="2" fontId="94" fillId="10" borderId="0" xfId="75" applyNumberFormat="1" applyFont="1" applyFill="1" applyBorder="1"/>
    <xf numFmtId="169" fontId="117" fillId="10" borderId="0" xfId="75" applyNumberFormat="1" applyFont="1" applyFill="1" applyBorder="1"/>
    <xf numFmtId="192" fontId="19" fillId="10" borderId="0" xfId="0" applyNumberFormat="1" applyFont="1" applyFill="1" applyAlignment="1">
      <alignment horizontal="left" wrapText="1"/>
    </xf>
    <xf numFmtId="191" fontId="0" fillId="10" borderId="0" xfId="0" applyNumberFormat="1" applyFill="1" applyBorder="1"/>
    <xf numFmtId="0" fontId="118" fillId="10" borderId="0" xfId="0" applyFont="1" applyFill="1"/>
    <xf numFmtId="0" fontId="119" fillId="10" borderId="0" xfId="0" applyFont="1" applyFill="1"/>
    <xf numFmtId="0" fontId="119" fillId="10" borderId="0" xfId="0" applyFont="1" applyFill="1" applyAlignment="1">
      <alignment horizontal="center"/>
    </xf>
    <xf numFmtId="2" fontId="119" fillId="10" borderId="0" xfId="0" applyNumberFormat="1" applyFont="1" applyFill="1" applyAlignment="1">
      <alignment horizontal="center"/>
    </xf>
    <xf numFmtId="1" fontId="119" fillId="10" borderId="0" xfId="0" applyNumberFormat="1" applyFont="1" applyFill="1" applyAlignment="1">
      <alignment horizontal="center"/>
    </xf>
    <xf numFmtId="2" fontId="121" fillId="10" borderId="0" xfId="75" applyNumberFormat="1" applyFont="1" applyFill="1" applyBorder="1"/>
    <xf numFmtId="0" fontId="2" fillId="10" borderId="0" xfId="0" applyFont="1" applyFill="1" applyAlignment="1">
      <alignment horizontal="left" indent="1"/>
    </xf>
    <xf numFmtId="0" fontId="106" fillId="10" borderId="0" xfId="0" applyFont="1" applyFill="1" applyAlignment="1">
      <alignment vertical="center"/>
    </xf>
    <xf numFmtId="0" fontId="100" fillId="15" borderId="0" xfId="0" applyFont="1" applyFill="1" applyAlignment="1">
      <alignment horizontal="left"/>
    </xf>
    <xf numFmtId="0" fontId="105" fillId="10" borderId="0" xfId="0" applyFont="1" applyFill="1" applyAlignment="1">
      <alignment horizontal="left"/>
    </xf>
    <xf numFmtId="0" fontId="105" fillId="10" borderId="0" xfId="0" applyFont="1" applyFill="1" applyBorder="1" applyAlignment="1">
      <alignment horizontal="left"/>
    </xf>
    <xf numFmtId="0" fontId="100" fillId="10" borderId="20" xfId="0" applyFont="1" applyFill="1" applyBorder="1" applyAlignment="1">
      <alignment horizontal="left"/>
    </xf>
    <xf numFmtId="169" fontId="100" fillId="10" borderId="0" xfId="75" applyNumberFormat="1" applyFont="1" applyFill="1"/>
    <xf numFmtId="0" fontId="105" fillId="10" borderId="0" xfId="0" applyFont="1" applyFill="1"/>
    <xf numFmtId="9" fontId="105" fillId="10" borderId="0" xfId="75" applyNumberFormat="1" applyFont="1" applyFill="1"/>
    <xf numFmtId="167" fontId="0" fillId="0" borderId="0" xfId="0" applyNumberFormat="1"/>
    <xf numFmtId="167" fontId="105" fillId="10" borderId="0" xfId="0" applyNumberFormat="1" applyFont="1" applyFill="1"/>
    <xf numFmtId="9" fontId="100" fillId="10" borderId="0" xfId="75" applyNumberFormat="1" applyFont="1" applyFill="1" applyBorder="1"/>
    <xf numFmtId="191" fontId="105" fillId="10" borderId="0" xfId="0" applyNumberFormat="1" applyFont="1" applyFill="1" applyBorder="1"/>
    <xf numFmtId="9" fontId="100" fillId="10" borderId="20" xfId="75" applyNumberFormat="1" applyFont="1" applyFill="1" applyBorder="1"/>
    <xf numFmtId="173" fontId="105" fillId="10" borderId="20" xfId="0" applyNumberFormat="1" applyFont="1" applyFill="1" applyBorder="1"/>
    <xf numFmtId="167" fontId="100" fillId="10" borderId="0" xfId="0" applyNumberFormat="1" applyFont="1" applyFill="1"/>
    <xf numFmtId="169" fontId="105" fillId="10" borderId="0" xfId="75" applyNumberFormat="1" applyFont="1" applyFill="1"/>
    <xf numFmtId="173" fontId="2" fillId="10" borderId="0" xfId="0" applyNumberFormat="1" applyFont="1" applyFill="1" applyBorder="1" applyAlignment="1">
      <alignment horizontal="right"/>
    </xf>
    <xf numFmtId="191" fontId="0" fillId="10" borderId="5" xfId="0" applyNumberFormat="1" applyFill="1" applyBorder="1"/>
    <xf numFmtId="191" fontId="100" fillId="10" borderId="0" xfId="0" applyNumberFormat="1" applyFont="1" applyFill="1" applyBorder="1"/>
    <xf numFmtId="185" fontId="92" fillId="12" borderId="0" xfId="71" applyNumberFormat="1" applyFont="1" applyFill="1"/>
    <xf numFmtId="185" fontId="92" fillId="10" borderId="0" xfId="71" applyNumberFormat="1" applyFont="1" applyFill="1"/>
    <xf numFmtId="185" fontId="3" fillId="13" borderId="0" xfId="71" applyNumberFormat="1" applyFont="1" applyFill="1"/>
    <xf numFmtId="185" fontId="2" fillId="0" borderId="0" xfId="71" applyNumberFormat="1" applyFont="1"/>
    <xf numFmtId="15" fontId="2" fillId="0" borderId="0" xfId="0" applyNumberFormat="1" applyFont="1"/>
    <xf numFmtId="15" fontId="2" fillId="10" borderId="0" xfId="0" applyNumberFormat="1" applyFont="1" applyFill="1"/>
    <xf numFmtId="172" fontId="2" fillId="0" borderId="0" xfId="0" applyNumberFormat="1" applyFont="1"/>
    <xf numFmtId="167" fontId="2" fillId="0" borderId="0" xfId="0" applyNumberFormat="1" applyFont="1"/>
    <xf numFmtId="170" fontId="2" fillId="0" borderId="0" xfId="0" applyNumberFormat="1" applyFont="1"/>
    <xf numFmtId="184" fontId="2" fillId="0" borderId="0" xfId="21" applyNumberFormat="1" applyFont="1"/>
    <xf numFmtId="175" fontId="2" fillId="0" borderId="0" xfId="0" applyNumberFormat="1" applyFont="1"/>
    <xf numFmtId="184" fontId="2" fillId="0" borderId="0" xfId="0" applyNumberFormat="1" applyFont="1"/>
    <xf numFmtId="10" fontId="2" fillId="0" borderId="0" xfId="0" applyNumberFormat="1" applyFont="1"/>
    <xf numFmtId="169" fontId="2" fillId="0" borderId="0" xfId="75" applyNumberFormat="1" applyFont="1"/>
    <xf numFmtId="0" fontId="2" fillId="0" borderId="0" xfId="0" quotePrefix="1" applyFont="1"/>
    <xf numFmtId="169" fontId="2" fillId="0" borderId="0" xfId="0" applyNumberFormat="1" applyFont="1"/>
    <xf numFmtId="9" fontId="2" fillId="0" borderId="0" xfId="0" applyNumberFormat="1" applyFont="1"/>
    <xf numFmtId="169" fontId="100" fillId="0" borderId="24" xfId="75" applyNumberFormat="1" applyFont="1" applyBorder="1"/>
    <xf numFmtId="9" fontId="2" fillId="0" borderId="0" xfId="0" applyNumberFormat="1" applyFont="1" applyFill="1"/>
    <xf numFmtId="1" fontId="2" fillId="0" borderId="0" xfId="0" applyNumberFormat="1" applyFont="1"/>
    <xf numFmtId="185" fontId="4" fillId="0" borderId="0" xfId="71" applyNumberFormat="1" applyFont="1"/>
    <xf numFmtId="0" fontId="3" fillId="0" borderId="0" xfId="70" applyFont="1"/>
    <xf numFmtId="183" fontId="2" fillId="0" borderId="0" xfId="21" applyNumberFormat="1" applyFont="1"/>
    <xf numFmtId="185" fontId="2" fillId="0" borderId="0" xfId="71" applyNumberFormat="1" applyFont="1" applyBorder="1"/>
    <xf numFmtId="2" fontId="2" fillId="0" borderId="0" xfId="0" applyNumberFormat="1" applyFont="1"/>
    <xf numFmtId="174" fontId="2" fillId="0" borderId="0" xfId="71" applyNumberFormat="1" applyFont="1" applyBorder="1" applyAlignment="1">
      <alignment horizontal="right"/>
    </xf>
    <xf numFmtId="185" fontId="3" fillId="0" borderId="20" xfId="71" applyNumberFormat="1" applyFont="1" applyBorder="1"/>
    <xf numFmtId="0" fontId="2" fillId="0" borderId="20" xfId="0" applyFont="1" applyBorder="1"/>
    <xf numFmtId="170" fontId="3" fillId="0" borderId="20" xfId="0" applyNumberFormat="1" applyFont="1" applyBorder="1"/>
    <xf numFmtId="167" fontId="2" fillId="0" borderId="0" xfId="23" applyNumberFormat="1" applyFont="1"/>
    <xf numFmtId="185" fontId="3" fillId="0" borderId="0" xfId="71" applyNumberFormat="1" applyFont="1"/>
    <xf numFmtId="175" fontId="2" fillId="0" borderId="0" xfId="0" applyNumberFormat="1" applyFont="1" applyFill="1"/>
    <xf numFmtId="170" fontId="2" fillId="0" borderId="0" xfId="0" applyNumberFormat="1" applyFont="1" applyFill="1"/>
    <xf numFmtId="185" fontId="90" fillId="0" borderId="0" xfId="71" applyNumberFormat="1" applyFont="1" applyBorder="1"/>
    <xf numFmtId="185" fontId="5" fillId="0" borderId="0" xfId="71" applyNumberFormat="1" applyFont="1" applyFill="1" applyBorder="1" applyAlignment="1">
      <alignment horizontal="right"/>
    </xf>
    <xf numFmtId="0" fontId="5" fillId="0" borderId="0" xfId="71" applyNumberFormat="1" applyFont="1" applyFill="1" applyBorder="1" applyAlignment="1">
      <alignment horizontal="right"/>
    </xf>
    <xf numFmtId="170" fontId="2" fillId="0" borderId="0" xfId="0" applyNumberFormat="1" applyFont="1" applyAlignment="1">
      <alignment horizontal="right"/>
    </xf>
    <xf numFmtId="0" fontId="2" fillId="0" borderId="0" xfId="0" applyFont="1" applyAlignment="1">
      <alignment horizontal="center"/>
    </xf>
    <xf numFmtId="170" fontId="2" fillId="0" borderId="0" xfId="0" applyNumberFormat="1" applyFont="1" applyBorder="1"/>
    <xf numFmtId="9" fontId="2" fillId="0" borderId="0" xfId="0" applyNumberFormat="1" applyFont="1" applyBorder="1"/>
    <xf numFmtId="2" fontId="2" fillId="0" borderId="0" xfId="0" applyNumberFormat="1" applyFont="1" applyBorder="1"/>
    <xf numFmtId="0" fontId="78" fillId="0" borderId="28" xfId="0" applyFont="1" applyBorder="1" applyAlignment="1">
      <alignment horizontal="center"/>
    </xf>
    <xf numFmtId="170" fontId="2" fillId="0" borderId="0" xfId="0" applyNumberFormat="1" applyFont="1" applyBorder="1" applyAlignment="1">
      <alignment horizontal="center"/>
    </xf>
    <xf numFmtId="170" fontId="2" fillId="0" borderId="0" xfId="0" applyNumberFormat="1" applyFont="1" applyFill="1" applyAlignment="1">
      <alignment horizontal="center"/>
    </xf>
    <xf numFmtId="170" fontId="2" fillId="0" borderId="0" xfId="0" applyNumberFormat="1" applyFont="1" applyAlignment="1">
      <alignment horizontal="center"/>
    </xf>
    <xf numFmtId="0" fontId="91" fillId="10" borderId="19" xfId="0" applyFont="1" applyFill="1" applyBorder="1" applyAlignment="1">
      <alignment horizontal="center" wrapText="1"/>
    </xf>
    <xf numFmtId="0" fontId="91" fillId="10" borderId="16" xfId="0" applyFont="1" applyFill="1" applyBorder="1" applyAlignment="1">
      <alignment horizontal="center" wrapText="1"/>
    </xf>
    <xf numFmtId="0" fontId="91" fillId="10" borderId="20" xfId="0" applyFont="1" applyFill="1" applyBorder="1" applyAlignment="1">
      <alignment horizontal="center" wrapText="1"/>
    </xf>
    <xf numFmtId="0" fontId="2" fillId="0" borderId="14" xfId="0" applyFont="1" applyBorder="1"/>
    <xf numFmtId="175" fontId="2" fillId="0" borderId="0" xfId="0" applyNumberFormat="1" applyFont="1" applyBorder="1"/>
    <xf numFmtId="0" fontId="3" fillId="0" borderId="19" xfId="0" applyFont="1" applyBorder="1"/>
    <xf numFmtId="0" fontId="3" fillId="0" borderId="16" xfId="0" applyFont="1" applyBorder="1"/>
    <xf numFmtId="183" fontId="3" fillId="0" borderId="20" xfId="0" applyNumberFormat="1" applyFont="1" applyBorder="1"/>
    <xf numFmtId="185" fontId="2" fillId="0" borderId="14" xfId="0" applyNumberFormat="1" applyFont="1" applyBorder="1"/>
    <xf numFmtId="0" fontId="2" fillId="0" borderId="4" xfId="0" applyFont="1" applyBorder="1"/>
    <xf numFmtId="0" fontId="78" fillId="0" borderId="0" xfId="0" applyFont="1"/>
    <xf numFmtId="185" fontId="3" fillId="13" borderId="0" xfId="71" applyNumberFormat="1" applyFont="1" applyFill="1" applyAlignment="1">
      <alignment horizontal="right"/>
    </xf>
    <xf numFmtId="0" fontId="0" fillId="0" borderId="20" xfId="0" applyBorder="1"/>
    <xf numFmtId="173" fontId="2" fillId="10" borderId="20" xfId="0" applyNumberFormat="1" applyFont="1" applyFill="1" applyBorder="1" applyAlignment="1">
      <alignment horizontal="right"/>
    </xf>
    <xf numFmtId="185" fontId="100" fillId="11" borderId="0" xfId="71" applyNumberFormat="1" applyFont="1" applyFill="1" applyBorder="1"/>
    <xf numFmtId="0" fontId="65" fillId="11" borderId="0" xfId="0" applyFont="1" applyFill="1" applyBorder="1"/>
    <xf numFmtId="0" fontId="65" fillId="11" borderId="0" xfId="0" applyFont="1" applyFill="1"/>
    <xf numFmtId="167" fontId="100" fillId="11" borderId="0" xfId="0" applyNumberFormat="1" applyFont="1" applyFill="1" applyBorder="1"/>
    <xf numFmtId="185" fontId="3" fillId="0" borderId="20" xfId="71" applyNumberFormat="1" applyFont="1" applyFill="1" applyBorder="1"/>
    <xf numFmtId="185" fontId="2" fillId="10" borderId="0" xfId="71" applyNumberFormat="1" applyFont="1" applyFill="1"/>
    <xf numFmtId="185" fontId="3" fillId="15" borderId="0" xfId="71" applyNumberFormat="1" applyFont="1" applyFill="1" applyAlignment="1">
      <alignment horizontal="right"/>
    </xf>
    <xf numFmtId="185" fontId="3" fillId="15" borderId="0" xfId="71" applyNumberFormat="1" applyFont="1" applyFill="1"/>
    <xf numFmtId="0" fontId="40" fillId="15" borderId="0" xfId="0" applyFont="1" applyFill="1"/>
    <xf numFmtId="185" fontId="5" fillId="15" borderId="0" xfId="71" applyNumberFormat="1" applyFont="1" applyFill="1" applyBorder="1" applyAlignment="1">
      <alignment horizontal="right"/>
    </xf>
    <xf numFmtId="185" fontId="78" fillId="15" borderId="0" xfId="71" applyNumberFormat="1" applyFont="1" applyFill="1" applyBorder="1" applyAlignment="1">
      <alignment horizontal="right"/>
    </xf>
    <xf numFmtId="170" fontId="2" fillId="10" borderId="0" xfId="0" applyNumberFormat="1" applyFont="1" applyFill="1"/>
    <xf numFmtId="9" fontId="2" fillId="10" borderId="0" xfId="0" applyNumberFormat="1" applyFont="1" applyFill="1"/>
    <xf numFmtId="2" fontId="2" fillId="10" borderId="0" xfId="0" applyNumberFormat="1" applyFont="1" applyFill="1"/>
    <xf numFmtId="185" fontId="78" fillId="10" borderId="28" xfId="71" applyNumberFormat="1" applyFont="1" applyFill="1" applyBorder="1"/>
    <xf numFmtId="167" fontId="3" fillId="0" borderId="0" xfId="0" applyNumberFormat="1" applyFont="1" applyBorder="1"/>
    <xf numFmtId="0" fontId="0" fillId="12" borderId="0" xfId="0" applyFill="1"/>
    <xf numFmtId="0" fontId="2" fillId="12" borderId="0" xfId="0" applyFont="1" applyFill="1"/>
    <xf numFmtId="0" fontId="2" fillId="12" borderId="0" xfId="0" applyFont="1" applyFill="1" applyBorder="1"/>
    <xf numFmtId="15" fontId="2" fillId="0" borderId="0" xfId="0" applyNumberFormat="1" applyFont="1" applyFill="1" applyBorder="1"/>
    <xf numFmtId="0" fontId="92" fillId="0" borderId="0" xfId="0" applyFont="1" applyFill="1" applyBorder="1"/>
    <xf numFmtId="185" fontId="3" fillId="10" borderId="0" xfId="71" applyNumberFormat="1" applyFont="1" applyFill="1"/>
    <xf numFmtId="185" fontId="100" fillId="10" borderId="0" xfId="71" applyNumberFormat="1" applyFont="1" applyFill="1" applyBorder="1"/>
    <xf numFmtId="0" fontId="101" fillId="10" borderId="0" xfId="0" applyFont="1" applyFill="1" applyBorder="1" applyAlignment="1">
      <alignment horizontal="right"/>
    </xf>
    <xf numFmtId="15" fontId="101" fillId="10" borderId="0" xfId="0" applyNumberFormat="1" applyFont="1" applyFill="1" applyBorder="1" applyAlignment="1">
      <alignment horizontal="left"/>
    </xf>
    <xf numFmtId="173" fontId="105" fillId="10" borderId="0" xfId="0" applyNumberFormat="1" applyFont="1" applyFill="1" applyBorder="1"/>
    <xf numFmtId="167" fontId="2" fillId="10" borderId="0" xfId="0" applyNumberFormat="1" applyFont="1" applyFill="1" applyBorder="1"/>
    <xf numFmtId="170" fontId="2" fillId="0" borderId="4" xfId="0" applyNumberFormat="1" applyFont="1" applyBorder="1"/>
    <xf numFmtId="193" fontId="3" fillId="0" borderId="0" xfId="135" applyNumberFormat="1" applyFont="1" applyFill="1" applyBorder="1" applyAlignment="1" applyProtection="1">
      <alignment horizontal="right"/>
      <protection locked="0"/>
    </xf>
    <xf numFmtId="193" fontId="3" fillId="0" borderId="0" xfId="135" applyNumberFormat="1" applyFont="1" applyFill="1" applyBorder="1" applyAlignment="1">
      <alignment horizontal="right"/>
    </xf>
    <xf numFmtId="175" fontId="2" fillId="10" borderId="4" xfId="0" applyNumberFormat="1" applyFont="1" applyFill="1" applyBorder="1"/>
    <xf numFmtId="0" fontId="3" fillId="0" borderId="18" xfId="0" applyFont="1" applyBorder="1"/>
    <xf numFmtId="0" fontId="3" fillId="0" borderId="17" xfId="0" applyFont="1" applyBorder="1"/>
    <xf numFmtId="183" fontId="3" fillId="0" borderId="23" xfId="0" applyNumberFormat="1" applyFont="1" applyBorder="1"/>
    <xf numFmtId="0" fontId="3" fillId="11" borderId="23" xfId="0" applyFont="1" applyFill="1" applyBorder="1"/>
    <xf numFmtId="167" fontId="3" fillId="11" borderId="23" xfId="0" applyNumberFormat="1" applyFont="1" applyFill="1" applyBorder="1"/>
    <xf numFmtId="0" fontId="3" fillId="11" borderId="0" xfId="0" applyFont="1" applyFill="1" applyBorder="1"/>
    <xf numFmtId="0" fontId="82" fillId="10" borderId="0" xfId="0" applyFont="1" applyFill="1" applyBorder="1" applyAlignment="1">
      <alignment horizontal="right" vertical="center"/>
    </xf>
    <xf numFmtId="186" fontId="92" fillId="10" borderId="0" xfId="0" applyNumberFormat="1" applyFont="1" applyFill="1" applyBorder="1" applyAlignment="1">
      <alignment horizontal="right" vertical="center"/>
    </xf>
    <xf numFmtId="173" fontId="0" fillId="10" borderId="0" xfId="0" applyNumberFormat="1" applyFill="1"/>
    <xf numFmtId="169" fontId="2" fillId="10" borderId="0" xfId="75" applyNumberFormat="1" applyFont="1" applyFill="1"/>
    <xf numFmtId="169" fontId="0" fillId="10" borderId="0" xfId="0" applyNumberFormat="1" applyFill="1"/>
    <xf numFmtId="0" fontId="100" fillId="10" borderId="0" xfId="0" applyFont="1" applyFill="1" applyBorder="1" applyAlignment="1">
      <alignment horizontal="left"/>
    </xf>
    <xf numFmtId="0" fontId="84" fillId="10" borderId="0" xfId="0" applyFont="1" applyFill="1"/>
    <xf numFmtId="0" fontId="0" fillId="10" borderId="0" xfId="0" applyNumberFormat="1" applyFill="1"/>
    <xf numFmtId="167" fontId="3" fillId="10" borderId="0" xfId="0" applyNumberFormat="1" applyFont="1" applyFill="1" applyBorder="1"/>
    <xf numFmtId="15" fontId="0" fillId="10" borderId="0" xfId="0" applyNumberFormat="1" applyFill="1"/>
    <xf numFmtId="15" fontId="3" fillId="10" borderId="0" xfId="0" applyNumberFormat="1" applyFont="1" applyFill="1" applyAlignment="1">
      <alignment horizontal="left"/>
    </xf>
    <xf numFmtId="2" fontId="0" fillId="10" borderId="0" xfId="0" applyNumberFormat="1" applyFill="1" applyBorder="1"/>
    <xf numFmtId="0" fontId="0" fillId="10" borderId="0" xfId="0" quotePrefix="1" applyFill="1"/>
    <xf numFmtId="0" fontId="78" fillId="10" borderId="26" xfId="0" applyFont="1" applyFill="1" applyBorder="1" applyAlignment="1"/>
    <xf numFmtId="0" fontId="75" fillId="10" borderId="0" xfId="0" applyFont="1" applyFill="1"/>
    <xf numFmtId="0" fontId="66" fillId="10" borderId="0" xfId="0" quotePrefix="1" applyFont="1" applyFill="1"/>
    <xf numFmtId="184" fontId="0" fillId="10" borderId="0" xfId="0" applyNumberFormat="1" applyFill="1" applyBorder="1"/>
    <xf numFmtId="0" fontId="6" fillId="10" borderId="0" xfId="0" quotePrefix="1" applyFont="1" applyFill="1" applyBorder="1" applyAlignment="1">
      <alignment horizontal="left"/>
    </xf>
    <xf numFmtId="3" fontId="0" fillId="10" borderId="0" xfId="0" applyNumberFormat="1" applyFill="1" applyBorder="1"/>
    <xf numFmtId="0" fontId="2" fillId="11" borderId="0" xfId="0" applyFont="1" applyFill="1"/>
    <xf numFmtId="0" fontId="2" fillId="11" borderId="0" xfId="0" applyFont="1" applyFill="1" applyBorder="1"/>
    <xf numFmtId="0" fontId="92" fillId="10" borderId="0" xfId="0" applyFont="1" applyFill="1" applyBorder="1"/>
    <xf numFmtId="17" fontId="92" fillId="10" borderId="0" xfId="0" applyNumberFormat="1" applyFont="1" applyFill="1" applyBorder="1" applyAlignment="1">
      <alignment horizontal="right"/>
    </xf>
    <xf numFmtId="0" fontId="92" fillId="10" borderId="0" xfId="0" applyFont="1" applyFill="1" applyBorder="1" applyAlignment="1">
      <alignment horizontal="right"/>
    </xf>
    <xf numFmtId="0" fontId="100" fillId="13" borderId="0" xfId="0" applyFont="1" applyFill="1"/>
    <xf numFmtId="0" fontId="100" fillId="13" borderId="0" xfId="0" applyFont="1" applyFill="1" applyBorder="1"/>
    <xf numFmtId="183" fontId="89" fillId="10" borderId="0" xfId="0" applyNumberFormat="1" applyFont="1" applyFill="1" applyBorder="1"/>
    <xf numFmtId="170" fontId="3" fillId="0" borderId="0" xfId="0" applyNumberFormat="1" applyFont="1" applyFill="1" applyBorder="1"/>
    <xf numFmtId="183" fontId="89" fillId="0" borderId="0" xfId="0" applyNumberFormat="1" applyFont="1" applyFill="1" applyBorder="1"/>
    <xf numFmtId="183" fontId="3" fillId="10" borderId="5" xfId="21" applyNumberFormat="1" applyFont="1" applyFill="1" applyBorder="1"/>
    <xf numFmtId="169" fontId="3" fillId="10" borderId="5" xfId="75" applyNumberFormat="1" applyFont="1" applyFill="1" applyBorder="1"/>
    <xf numFmtId="169" fontId="3" fillId="0" borderId="5" xfId="75" applyNumberFormat="1" applyFont="1" applyFill="1" applyBorder="1"/>
    <xf numFmtId="0" fontId="61" fillId="10" borderId="27" xfId="0" applyFont="1" applyFill="1" applyBorder="1"/>
    <xf numFmtId="0" fontId="3" fillId="10" borderId="27" xfId="0" applyFont="1" applyFill="1" applyBorder="1"/>
    <xf numFmtId="183" fontId="3" fillId="10" borderId="27" xfId="21" applyNumberFormat="1" applyFont="1" applyFill="1" applyBorder="1"/>
    <xf numFmtId="169" fontId="3" fillId="10" borderId="27" xfId="75" applyNumberFormat="1" applyFont="1" applyFill="1" applyBorder="1"/>
    <xf numFmtId="0" fontId="116" fillId="10" borderId="31" xfId="0" applyFont="1" applyFill="1" applyBorder="1" applyAlignment="1">
      <alignment horizontal="center" vertical="center" wrapText="1"/>
    </xf>
    <xf numFmtId="0" fontId="56" fillId="10" borderId="0" xfId="0" applyFont="1" applyFill="1" applyBorder="1"/>
    <xf numFmtId="0" fontId="56" fillId="10" borderId="0" xfId="0" applyFont="1" applyFill="1" applyBorder="1" applyAlignment="1">
      <alignment horizontal="left" indent="1"/>
    </xf>
    <xf numFmtId="0" fontId="48" fillId="10" borderId="0" xfId="0" applyFont="1" applyFill="1" applyBorder="1"/>
    <xf numFmtId="0" fontId="92" fillId="12" borderId="0" xfId="0" applyFont="1" applyFill="1" applyBorder="1" applyAlignment="1">
      <alignment horizontal="left"/>
    </xf>
    <xf numFmtId="170" fontId="92" fillId="12" borderId="0" xfId="0" applyNumberFormat="1" applyFont="1" applyFill="1" applyBorder="1"/>
    <xf numFmtId="170" fontId="92" fillId="10" borderId="0" xfId="0" applyNumberFormat="1" applyFont="1" applyFill="1" applyBorder="1"/>
    <xf numFmtId="0" fontId="2" fillId="10" borderId="0" xfId="0" quotePrefix="1" applyFont="1" applyFill="1" applyBorder="1" applyAlignment="1">
      <alignment horizontal="left"/>
    </xf>
    <xf numFmtId="170" fontId="2" fillId="10" borderId="0" xfId="0" applyNumberFormat="1" applyFont="1" applyFill="1" applyBorder="1"/>
    <xf numFmtId="170" fontId="2" fillId="10" borderId="35" xfId="0" applyNumberFormat="1" applyFont="1" applyFill="1" applyBorder="1"/>
    <xf numFmtId="0" fontId="3" fillId="10" borderId="0" xfId="0" applyFont="1" applyFill="1" applyBorder="1" applyAlignment="1">
      <alignment horizontal="left"/>
    </xf>
    <xf numFmtId="0" fontId="2" fillId="10" borderId="0" xfId="0" applyFont="1" applyFill="1" applyBorder="1" applyAlignment="1">
      <alignment horizontal="left"/>
    </xf>
    <xf numFmtId="0" fontId="2" fillId="10" borderId="0" xfId="0" quotePrefix="1" applyFont="1" applyFill="1" applyBorder="1" applyAlignment="1">
      <alignment horizontal="right"/>
    </xf>
    <xf numFmtId="183" fontId="3" fillId="10" borderId="29" xfId="21" applyNumberFormat="1" applyFont="1" applyFill="1" applyBorder="1"/>
    <xf numFmtId="183" fontId="3" fillId="0" borderId="29" xfId="21" applyNumberFormat="1" applyFont="1" applyFill="1" applyBorder="1"/>
    <xf numFmtId="165" fontId="2" fillId="10" borderId="0" xfId="0" applyNumberFormat="1" applyFont="1" applyFill="1" applyBorder="1"/>
    <xf numFmtId="170" fontId="89" fillId="0" borderId="29" xfId="0" applyNumberFormat="1" applyFont="1" applyFill="1" applyBorder="1"/>
    <xf numFmtId="170" fontId="59" fillId="0" borderId="0" xfId="0" applyNumberFormat="1" applyFont="1" applyFill="1" applyBorder="1"/>
    <xf numFmtId="170" fontId="59" fillId="10" borderId="0" xfId="0" applyNumberFormat="1" applyFont="1" applyFill="1" applyBorder="1"/>
    <xf numFmtId="170" fontId="62" fillId="0" borderId="0" xfId="0" applyNumberFormat="1" applyFont="1" applyFill="1" applyBorder="1"/>
    <xf numFmtId="169" fontId="2" fillId="10" borderId="0" xfId="75" applyNumberFormat="1" applyFont="1" applyFill="1" applyBorder="1"/>
    <xf numFmtId="169" fontId="2" fillId="0" borderId="0" xfId="75" applyNumberFormat="1" applyFont="1" applyFill="1" applyBorder="1"/>
    <xf numFmtId="170" fontId="2" fillId="10" borderId="0" xfId="75" applyNumberFormat="1" applyFont="1" applyFill="1" applyBorder="1"/>
    <xf numFmtId="170" fontId="2" fillId="0" borderId="0" xfId="75" applyNumberFormat="1" applyFont="1" applyFill="1" applyBorder="1"/>
    <xf numFmtId="165" fontId="2" fillId="10" borderId="0" xfId="21" applyFont="1" applyFill="1" applyBorder="1"/>
    <xf numFmtId="170" fontId="88" fillId="10" borderId="0" xfId="75" applyNumberFormat="1" applyFont="1" applyFill="1" applyBorder="1"/>
    <xf numFmtId="0" fontId="57" fillId="10" borderId="0" xfId="0" applyFont="1" applyFill="1" applyBorder="1" applyAlignment="1">
      <alignment horizontal="left"/>
    </xf>
    <xf numFmtId="170" fontId="57" fillId="10" borderId="0" xfId="0" applyNumberFormat="1" applyFont="1" applyFill="1" applyBorder="1"/>
    <xf numFmtId="169" fontId="57" fillId="0" borderId="0" xfId="75" applyNumberFormat="1" applyFont="1" applyFill="1" applyBorder="1"/>
    <xf numFmtId="0" fontId="2" fillId="10" borderId="29" xfId="0" applyFont="1" applyFill="1" applyBorder="1"/>
    <xf numFmtId="170" fontId="2" fillId="10" borderId="29" xfId="0" applyNumberFormat="1" applyFont="1" applyFill="1" applyBorder="1"/>
    <xf numFmtId="170" fontId="2" fillId="0" borderId="29" xfId="0" applyNumberFormat="1" applyFont="1" applyFill="1" applyBorder="1"/>
    <xf numFmtId="172" fontId="2" fillId="10" borderId="0" xfId="0" applyNumberFormat="1" applyFont="1" applyFill="1" applyBorder="1"/>
    <xf numFmtId="170" fontId="77" fillId="10" borderId="0" xfId="0" applyNumberFormat="1" applyFont="1" applyFill="1" applyBorder="1"/>
    <xf numFmtId="170" fontId="120" fillId="0" borderId="0" xfId="0" applyNumberFormat="1" applyFont="1" applyFill="1" applyBorder="1"/>
    <xf numFmtId="170" fontId="120" fillId="10" borderId="0" xfId="0" applyNumberFormat="1" applyFont="1" applyFill="1" applyBorder="1"/>
    <xf numFmtId="0" fontId="3" fillId="15" borderId="0" xfId="0" applyFont="1" applyFill="1" applyBorder="1"/>
    <xf numFmtId="0" fontId="2" fillId="15" borderId="0" xfId="0" applyFont="1" applyFill="1" applyBorder="1"/>
    <xf numFmtId="0" fontId="123" fillId="10" borderId="0" xfId="0" applyFont="1" applyFill="1" applyBorder="1"/>
    <xf numFmtId="183" fontId="2" fillId="10" borderId="0" xfId="21" applyNumberFormat="1" applyFont="1" applyFill="1" applyBorder="1"/>
    <xf numFmtId="175" fontId="2" fillId="10" borderId="0" xfId="21" applyNumberFormat="1" applyFont="1" applyFill="1" applyBorder="1"/>
    <xf numFmtId="169" fontId="120" fillId="10" borderId="0" xfId="75" applyNumberFormat="1" applyFont="1" applyFill="1" applyBorder="1"/>
    <xf numFmtId="9" fontId="57" fillId="10" borderId="0" xfId="75" applyNumberFormat="1" applyFont="1" applyFill="1" applyBorder="1"/>
    <xf numFmtId="0" fontId="5" fillId="12" borderId="0" xfId="0" applyFont="1" applyFill="1" applyBorder="1"/>
    <xf numFmtId="1" fontId="120" fillId="0" borderId="0" xfId="0" applyNumberFormat="1" applyFont="1" applyFill="1" applyBorder="1"/>
    <xf numFmtId="0" fontId="120" fillId="10" borderId="0" xfId="0" applyFont="1" applyFill="1" applyBorder="1"/>
    <xf numFmtId="170" fontId="65" fillId="10" borderId="0" xfId="0" applyNumberFormat="1" applyFont="1" applyFill="1" applyBorder="1"/>
    <xf numFmtId="183" fontId="88" fillId="10" borderId="0" xfId="21" applyNumberFormat="1" applyFont="1" applyFill="1" applyBorder="1"/>
    <xf numFmtId="184" fontId="2" fillId="10" borderId="0" xfId="21" applyNumberFormat="1" applyFont="1" applyFill="1" applyBorder="1"/>
    <xf numFmtId="184" fontId="120" fillId="10" borderId="0" xfId="21" applyNumberFormat="1" applyFont="1" applyFill="1" applyBorder="1"/>
    <xf numFmtId="165" fontId="120" fillId="10" borderId="0" xfId="21" applyFont="1" applyFill="1" applyBorder="1"/>
    <xf numFmtId="9" fontId="2" fillId="10" borderId="0" xfId="75" applyFont="1" applyFill="1" applyBorder="1"/>
    <xf numFmtId="0" fontId="105" fillId="10" borderId="0" xfId="0" applyFont="1" applyFill="1" applyBorder="1"/>
    <xf numFmtId="170" fontId="105" fillId="10" borderId="0" xfId="0" applyNumberFormat="1" applyFont="1" applyFill="1" applyBorder="1"/>
    <xf numFmtId="169" fontId="105" fillId="10" borderId="0" xfId="75" applyNumberFormat="1" applyFont="1" applyFill="1" applyBorder="1"/>
    <xf numFmtId="169" fontId="124" fillId="10" borderId="0" xfId="75" applyNumberFormat="1" applyFont="1" applyFill="1" applyBorder="1"/>
    <xf numFmtId="3" fontId="125" fillId="0" borderId="0" xfId="21" applyNumberFormat="1" applyFont="1" applyFill="1" applyBorder="1" applyAlignment="1">
      <alignment horizontal="left"/>
    </xf>
    <xf numFmtId="170" fontId="125" fillId="0" borderId="0" xfId="0" applyNumberFormat="1" applyFont="1" applyFill="1"/>
    <xf numFmtId="169" fontId="126" fillId="10" borderId="0" xfId="75" applyNumberFormat="1" applyFont="1" applyFill="1" applyBorder="1"/>
    <xf numFmtId="185" fontId="127" fillId="10" borderId="0" xfId="0" applyNumberFormat="1" applyFont="1" applyFill="1" applyBorder="1" applyAlignment="1" applyProtection="1"/>
    <xf numFmtId="0" fontId="2" fillId="0" borderId="0" xfId="0" applyFont="1" applyBorder="1" applyAlignment="1">
      <alignment horizontal="left"/>
    </xf>
    <xf numFmtId="0" fontId="2" fillId="0" borderId="0" xfId="0" applyFont="1" applyFill="1" applyBorder="1" applyAlignment="1">
      <alignment horizontal="left"/>
    </xf>
    <xf numFmtId="2" fontId="105" fillId="10" borderId="0" xfId="0" applyNumberFormat="1" applyFont="1" applyFill="1" applyBorder="1"/>
    <xf numFmtId="2" fontId="124" fillId="10" borderId="0" xfId="0" applyNumberFormat="1" applyFont="1" applyFill="1" applyBorder="1"/>
    <xf numFmtId="1" fontId="2" fillId="10" borderId="0" xfId="0" applyNumberFormat="1" applyFont="1" applyFill="1" applyBorder="1"/>
    <xf numFmtId="0" fontId="3" fillId="10" borderId="34" xfId="0" applyFont="1" applyFill="1" applyBorder="1"/>
    <xf numFmtId="170" fontId="2" fillId="10" borderId="34" xfId="0" applyNumberFormat="1" applyFont="1" applyFill="1" applyBorder="1"/>
    <xf numFmtId="170" fontId="3" fillId="10" borderId="34" xfId="0" applyNumberFormat="1" applyFont="1" applyFill="1" applyBorder="1"/>
    <xf numFmtId="2" fontId="88" fillId="10" borderId="0" xfId="0" applyNumberFormat="1" applyFont="1" applyFill="1" applyBorder="1"/>
    <xf numFmtId="3" fontId="128" fillId="0" borderId="0" xfId="134" applyNumberFormat="1" applyFont="1" applyFill="1" applyBorder="1" applyAlignment="1">
      <alignment horizontal="left"/>
    </xf>
    <xf numFmtId="170" fontId="102" fillId="10" borderId="0" xfId="0" applyNumberFormat="1" applyFont="1" applyFill="1" applyBorder="1"/>
    <xf numFmtId="169" fontId="2" fillId="10" borderId="0" xfId="0" applyNumberFormat="1" applyFont="1" applyFill="1" applyBorder="1"/>
    <xf numFmtId="170" fontId="2" fillId="10" borderId="0" xfId="0" applyNumberFormat="1" applyFont="1" applyFill="1" applyBorder="1" applyAlignment="1">
      <alignment horizontal="right"/>
    </xf>
    <xf numFmtId="0" fontId="2" fillId="10" borderId="0" xfId="0" applyFont="1" applyFill="1" applyBorder="1" applyAlignment="1">
      <alignment horizontal="right"/>
    </xf>
    <xf numFmtId="183" fontId="2" fillId="10" borderId="0" xfId="21" applyNumberFormat="1" applyFont="1" applyFill="1" applyBorder="1" applyAlignment="1">
      <alignment horizontal="right"/>
    </xf>
    <xf numFmtId="183" fontId="3" fillId="10" borderId="0" xfId="21" applyNumberFormat="1" applyFont="1" applyFill="1" applyBorder="1" applyAlignment="1">
      <alignment horizontal="right"/>
    </xf>
    <xf numFmtId="169" fontId="2" fillId="10" borderId="0" xfId="75" applyNumberFormat="1" applyFont="1" applyFill="1" applyBorder="1" applyAlignment="1">
      <alignment horizontal="right"/>
    </xf>
    <xf numFmtId="2" fontId="2" fillId="10" borderId="0" xfId="0" applyNumberFormat="1" applyFont="1" applyFill="1" applyBorder="1"/>
    <xf numFmtId="2" fontId="2" fillId="10" borderId="0" xfId="0" applyNumberFormat="1" applyFont="1" applyFill="1" applyBorder="1" applyAlignment="1">
      <alignment horizontal="right"/>
    </xf>
    <xf numFmtId="0" fontId="5" fillId="12" borderId="0" xfId="0" applyFont="1" applyFill="1" applyBorder="1" applyAlignment="1">
      <alignment horizontal="right"/>
    </xf>
    <xf numFmtId="0" fontId="5" fillId="10" borderId="0" xfId="0" applyFont="1" applyFill="1" applyBorder="1" applyAlignment="1">
      <alignment horizontal="right"/>
    </xf>
    <xf numFmtId="170" fontId="88" fillId="10" borderId="0" xfId="0" applyNumberFormat="1" applyFont="1" applyFill="1" applyBorder="1" applyAlignment="1">
      <alignment horizontal="right"/>
    </xf>
    <xf numFmtId="170" fontId="2" fillId="0" borderId="0" xfId="0" applyNumberFormat="1" applyFont="1" applyFill="1" applyBorder="1" applyAlignment="1">
      <alignment horizontal="right"/>
    </xf>
    <xf numFmtId="169" fontId="62" fillId="10" borderId="0" xfId="75" applyNumberFormat="1" applyFont="1" applyFill="1" applyBorder="1"/>
    <xf numFmtId="9" fontId="2" fillId="10" borderId="0" xfId="0" applyNumberFormat="1" applyFont="1" applyFill="1" applyBorder="1"/>
    <xf numFmtId="9" fontId="120" fillId="10" borderId="0" xfId="0" applyNumberFormat="1" applyFont="1" applyFill="1" applyBorder="1"/>
    <xf numFmtId="9" fontId="88" fillId="10" borderId="0" xfId="75" applyFont="1" applyFill="1" applyBorder="1"/>
    <xf numFmtId="9" fontId="88" fillId="10" borderId="0" xfId="0" applyNumberFormat="1" applyFont="1" applyFill="1" applyBorder="1"/>
    <xf numFmtId="0" fontId="88" fillId="0" borderId="0" xfId="0" applyFont="1" applyFill="1" applyBorder="1" applyAlignment="1">
      <alignment horizontal="right"/>
    </xf>
    <xf numFmtId="0" fontId="120" fillId="0" borderId="0" xfId="0" applyFont="1" applyFill="1" applyBorder="1" applyAlignment="1">
      <alignment horizontal="right"/>
    </xf>
    <xf numFmtId="175" fontId="3" fillId="0" borderId="16" xfId="0" applyNumberFormat="1" applyFont="1" applyBorder="1"/>
    <xf numFmtId="10" fontId="2" fillId="10" borderId="0" xfId="0" applyNumberFormat="1" applyFont="1" applyFill="1"/>
    <xf numFmtId="172" fontId="2" fillId="10" borderId="0" xfId="0" applyNumberFormat="1" applyFont="1" applyFill="1"/>
    <xf numFmtId="169" fontId="105" fillId="10" borderId="0" xfId="0" applyNumberFormat="1" applyFont="1" applyFill="1" applyBorder="1"/>
    <xf numFmtId="9" fontId="0" fillId="10" borderId="0" xfId="75" applyFont="1" applyFill="1"/>
    <xf numFmtId="38" fontId="2" fillId="10" borderId="0" xfId="0" applyNumberFormat="1" applyFont="1" applyFill="1" applyBorder="1"/>
    <xf numFmtId="9" fontId="2" fillId="10" borderId="0" xfId="75" applyNumberFormat="1" applyFont="1" applyFill="1" applyBorder="1"/>
    <xf numFmtId="38" fontId="88" fillId="10" borderId="0" xfId="0" applyNumberFormat="1" applyFont="1" applyFill="1" applyBorder="1"/>
    <xf numFmtId="0" fontId="130" fillId="10" borderId="0" xfId="0" applyFont="1" applyFill="1" applyAlignment="1"/>
    <xf numFmtId="185" fontId="2" fillId="10" borderId="0" xfId="71" applyNumberFormat="1" applyFont="1" applyFill="1" applyAlignment="1">
      <alignment horizontal="right"/>
    </xf>
    <xf numFmtId="0" fontId="3" fillId="10" borderId="0" xfId="0" applyFont="1" applyFill="1" applyBorder="1" applyAlignment="1">
      <alignment horizontal="center" wrapText="1"/>
    </xf>
    <xf numFmtId="170" fontId="3" fillId="10" borderId="0" xfId="75" applyNumberFormat="1" applyFont="1" applyFill="1" applyBorder="1"/>
    <xf numFmtId="0" fontId="57" fillId="0" borderId="0" xfId="0" applyFont="1" applyFill="1" applyBorder="1"/>
    <xf numFmtId="183" fontId="3" fillId="0" borderId="0" xfId="21" applyNumberFormat="1" applyFont="1" applyFill="1" applyBorder="1"/>
    <xf numFmtId="169" fontId="2" fillId="10" borderId="0" xfId="0" applyNumberFormat="1" applyFont="1" applyFill="1"/>
    <xf numFmtId="9" fontId="0" fillId="0" borderId="0" xfId="75" applyNumberFormat="1" applyFont="1" applyAlignment="1">
      <alignment horizontal="center"/>
    </xf>
    <xf numFmtId="9" fontId="105" fillId="10" borderId="20" xfId="75" applyFont="1" applyFill="1" applyBorder="1" applyAlignment="1">
      <alignment horizontal="center"/>
    </xf>
    <xf numFmtId="0" fontId="100" fillId="10" borderId="0" xfId="0" applyFont="1" applyFill="1" applyAlignment="1">
      <alignment horizontal="left"/>
    </xf>
    <xf numFmtId="183" fontId="105" fillId="10" borderId="0" xfId="21" applyNumberFormat="1" applyFont="1" applyFill="1"/>
    <xf numFmtId="183" fontId="105" fillId="10" borderId="0" xfId="0" applyNumberFormat="1" applyFont="1" applyFill="1" applyBorder="1"/>
    <xf numFmtId="0" fontId="100" fillId="15" borderId="0" xfId="0" applyFont="1" applyFill="1" applyAlignment="1">
      <alignment horizontal="right"/>
    </xf>
    <xf numFmtId="191" fontId="0" fillId="10" borderId="0" xfId="0" applyNumberFormat="1" applyFill="1" applyBorder="1" applyAlignment="1">
      <alignment horizontal="right"/>
    </xf>
    <xf numFmtId="191" fontId="0" fillId="10" borderId="5" xfId="0" applyNumberFormat="1" applyFill="1" applyBorder="1" applyAlignment="1">
      <alignment horizontal="right"/>
    </xf>
    <xf numFmtId="191" fontId="100" fillId="10" borderId="0" xfId="0" applyNumberFormat="1" applyFont="1" applyFill="1" applyBorder="1" applyAlignment="1">
      <alignment horizontal="right"/>
    </xf>
    <xf numFmtId="0" fontId="2" fillId="0" borderId="0" xfId="136"/>
    <xf numFmtId="169" fontId="100" fillId="15" borderId="0" xfId="75" applyNumberFormat="1" applyFont="1" applyFill="1" applyAlignment="1">
      <alignment horizontal="center" vertical="center" wrapText="1"/>
    </xf>
    <xf numFmtId="0" fontId="100" fillId="15" borderId="0" xfId="0" applyFont="1" applyFill="1" applyAlignment="1">
      <alignment horizontal="center" vertical="center" wrapText="1"/>
    </xf>
    <xf numFmtId="0" fontId="129" fillId="10" borderId="0" xfId="0" applyFont="1" applyFill="1"/>
    <xf numFmtId="173" fontId="0" fillId="0" borderId="0" xfId="0" applyNumberFormat="1"/>
    <xf numFmtId="0" fontId="132" fillId="10" borderId="0" xfId="0" applyFont="1" applyFill="1"/>
    <xf numFmtId="0" fontId="133" fillId="10" borderId="0" xfId="121" applyFont="1" applyFill="1" applyBorder="1" applyAlignment="1"/>
    <xf numFmtId="194" fontId="133" fillId="10" borderId="0" xfId="121" applyNumberFormat="1" applyFont="1" applyFill="1" applyBorder="1" applyAlignment="1"/>
    <xf numFmtId="184" fontId="132" fillId="10" borderId="0" xfId="21" applyNumberFormat="1" applyFont="1" applyFill="1" applyAlignment="1">
      <alignment horizontal="right"/>
    </xf>
    <xf numFmtId="0" fontId="133" fillId="10" borderId="0" xfId="121" applyFont="1" applyFill="1" applyBorder="1" applyAlignment="1">
      <alignment horizontal="left"/>
    </xf>
    <xf numFmtId="170" fontId="132" fillId="10" borderId="0" xfId="0" applyNumberFormat="1" applyFont="1" applyFill="1" applyAlignment="1">
      <alignment horizontal="right"/>
    </xf>
    <xf numFmtId="0" fontId="132" fillId="10" borderId="0" xfId="0" applyFont="1" applyFill="1" applyAlignment="1">
      <alignment horizontal="right"/>
    </xf>
    <xf numFmtId="0" fontId="135" fillId="10" borderId="0" xfId="0" applyFont="1" applyFill="1"/>
    <xf numFmtId="169" fontId="132" fillId="10" borderId="0" xfId="0" applyNumberFormat="1" applyFont="1" applyFill="1"/>
    <xf numFmtId="2" fontId="132" fillId="10" borderId="0" xfId="0" applyNumberFormat="1" applyFont="1" applyFill="1"/>
    <xf numFmtId="0" fontId="137" fillId="15" borderId="0" xfId="0" applyFont="1" applyFill="1" applyAlignment="1">
      <alignment horizontal="left"/>
    </xf>
    <xf numFmtId="169" fontId="137" fillId="15" borderId="0" xfId="75" applyNumberFormat="1" applyFont="1" applyFill="1" applyAlignment="1">
      <alignment horizontal="center"/>
    </xf>
    <xf numFmtId="0" fontId="137" fillId="15" borderId="0" xfId="0" applyFont="1" applyFill="1" applyAlignment="1">
      <alignment horizontal="center" wrapText="1"/>
    </xf>
    <xf numFmtId="0" fontId="138" fillId="10" borderId="0" xfId="0" applyFont="1" applyFill="1" applyAlignment="1">
      <alignment horizontal="left"/>
    </xf>
    <xf numFmtId="9" fontId="138" fillId="10" borderId="0" xfId="75" applyNumberFormat="1" applyFont="1" applyFill="1"/>
    <xf numFmtId="2" fontId="139" fillId="10" borderId="0" xfId="0" applyNumberFormat="1" applyFont="1" applyFill="1" applyBorder="1" applyAlignment="1">
      <alignment horizontal="right"/>
    </xf>
    <xf numFmtId="2" fontId="139" fillId="10" borderId="5" xfId="0" applyNumberFormat="1" applyFont="1" applyFill="1" applyBorder="1" applyAlignment="1">
      <alignment horizontal="right"/>
    </xf>
    <xf numFmtId="0" fontId="137" fillId="10" borderId="23" xfId="0" applyFont="1" applyFill="1" applyBorder="1" applyAlignment="1">
      <alignment horizontal="left"/>
    </xf>
    <xf numFmtId="9" fontId="137" fillId="10" borderId="23" xfId="75" applyNumberFormat="1" applyFont="1" applyFill="1" applyBorder="1"/>
    <xf numFmtId="2" fontId="140" fillId="10" borderId="0" xfId="0" applyNumberFormat="1" applyFont="1" applyFill="1" applyBorder="1"/>
    <xf numFmtId="0" fontId="138" fillId="10" borderId="0" xfId="0" applyFont="1" applyFill="1" applyBorder="1" applyAlignment="1">
      <alignment horizontal="left"/>
    </xf>
    <xf numFmtId="9" fontId="137" fillId="10" borderId="0" xfId="75" applyNumberFormat="1" applyFont="1" applyFill="1" applyBorder="1"/>
    <xf numFmtId="169" fontId="138" fillId="10" borderId="0" xfId="75" applyNumberFormat="1" applyFont="1" applyFill="1" applyBorder="1"/>
    <xf numFmtId="0" fontId="137" fillId="10" borderId="20" xfId="0" applyFont="1" applyFill="1" applyBorder="1" applyAlignment="1">
      <alignment horizontal="left"/>
    </xf>
    <xf numFmtId="9" fontId="137" fillId="10" borderId="20" xfId="75" applyNumberFormat="1" applyFont="1" applyFill="1" applyBorder="1"/>
    <xf numFmtId="173" fontId="139" fillId="10" borderId="20" xfId="0" applyNumberFormat="1" applyFont="1" applyFill="1" applyBorder="1" applyAlignment="1">
      <alignment horizontal="right"/>
    </xf>
    <xf numFmtId="0" fontId="137" fillId="10" borderId="0" xfId="0" applyFont="1" applyFill="1" applyBorder="1" applyAlignment="1">
      <alignment horizontal="left"/>
    </xf>
    <xf numFmtId="173" fontId="139" fillId="10" borderId="0" xfId="0" applyNumberFormat="1" applyFont="1" applyFill="1" applyBorder="1" applyAlignment="1">
      <alignment horizontal="right"/>
    </xf>
    <xf numFmtId="0" fontId="137" fillId="10" borderId="0" xfId="0" applyFont="1" applyFill="1" applyAlignment="1">
      <alignment horizontal="right"/>
    </xf>
    <xf numFmtId="167" fontId="137" fillId="10" borderId="0" xfId="0" applyNumberFormat="1" applyFont="1" applyFill="1"/>
    <xf numFmtId="169" fontId="138" fillId="10" borderId="0" xfId="75" applyNumberFormat="1" applyFont="1" applyFill="1"/>
    <xf numFmtId="9" fontId="88" fillId="10" borderId="0" xfId="75" applyNumberFormat="1" applyFont="1" applyFill="1" applyBorder="1" applyAlignment="1">
      <alignment horizontal="right"/>
    </xf>
    <xf numFmtId="0" fontId="92" fillId="0" borderId="0" xfId="0" applyFont="1" applyFill="1" applyBorder="1" applyAlignment="1">
      <alignment horizontal="right"/>
    </xf>
    <xf numFmtId="0" fontId="92" fillId="0" borderId="0" xfId="0" applyFont="1" applyFill="1" applyBorder="1" applyAlignment="1">
      <alignment horizontal="left"/>
    </xf>
    <xf numFmtId="0" fontId="102" fillId="0" borderId="0" xfId="0" applyFont="1" applyFill="1" applyBorder="1" applyAlignment="1">
      <alignment horizontal="right"/>
    </xf>
    <xf numFmtId="0" fontId="3" fillId="0" borderId="0" xfId="135" applyFont="1" applyFill="1"/>
    <xf numFmtId="0" fontId="87" fillId="0" borderId="0" xfId="0" applyFont="1" applyFill="1" applyBorder="1"/>
    <xf numFmtId="0" fontId="39" fillId="0" borderId="0" xfId="0" applyFont="1" applyFill="1" applyBorder="1"/>
    <xf numFmtId="2" fontId="6" fillId="0" borderId="0" xfId="0" applyNumberFormat="1" applyFont="1" applyFill="1" applyBorder="1"/>
    <xf numFmtId="2" fontId="37" fillId="0" borderId="0" xfId="0" applyNumberFormat="1" applyFont="1" applyFill="1" applyBorder="1"/>
    <xf numFmtId="169" fontId="65" fillId="0" borderId="0" xfId="0" applyNumberFormat="1" applyFont="1" applyFill="1" applyBorder="1"/>
    <xf numFmtId="175" fontId="62" fillId="0" borderId="0" xfId="0" applyNumberFormat="1" applyFont="1" applyFill="1" applyBorder="1"/>
    <xf numFmtId="0" fontId="65" fillId="0" borderId="0" xfId="0" applyFont="1" applyFill="1" applyBorder="1"/>
    <xf numFmtId="0" fontId="62" fillId="0" borderId="0" xfId="0" applyFont="1" applyFill="1" applyBorder="1"/>
    <xf numFmtId="0" fontId="102" fillId="0" borderId="0" xfId="0" applyFont="1" applyFill="1" applyBorder="1"/>
    <xf numFmtId="0" fontId="58" fillId="0" borderId="0" xfId="0" applyFont="1" applyFill="1" applyBorder="1"/>
    <xf numFmtId="183" fontId="6" fillId="0" borderId="0" xfId="21" applyNumberFormat="1" applyFont="1" applyFill="1" applyBorder="1"/>
    <xf numFmtId="0" fontId="19" fillId="0" borderId="0" xfId="0" applyFont="1" applyFill="1" applyBorder="1" applyAlignment="1">
      <alignment horizontal="right"/>
    </xf>
    <xf numFmtId="183" fontId="2" fillId="0" borderId="0" xfId="21" applyNumberFormat="1" applyFont="1" applyFill="1" applyBorder="1"/>
    <xf numFmtId="0" fontId="136" fillId="10" borderId="0" xfId="121" applyFont="1" applyFill="1" applyBorder="1" applyAlignment="1">
      <alignment horizontal="left" vertical="center"/>
    </xf>
    <xf numFmtId="0" fontId="131" fillId="10" borderId="0" xfId="0" applyFont="1" applyFill="1"/>
    <xf numFmtId="0" fontId="134" fillId="10" borderId="0" xfId="121" applyFont="1" applyFill="1" applyAlignment="1">
      <alignment horizontal="left"/>
    </xf>
    <xf numFmtId="16" fontId="134" fillId="10" borderId="0" xfId="121" quotePrefix="1" applyNumberFormat="1" applyFont="1" applyFill="1" applyAlignment="1">
      <alignment horizontal="right" wrapText="1"/>
    </xf>
    <xf numFmtId="0" fontId="133" fillId="10" borderId="0" xfId="138" applyFont="1" applyFill="1" applyBorder="1" applyAlignment="1"/>
    <xf numFmtId="170" fontId="132" fillId="10" borderId="0" xfId="0" applyNumberFormat="1" applyFont="1" applyFill="1"/>
    <xf numFmtId="169" fontId="132" fillId="10" borderId="0" xfId="75" applyNumberFormat="1" applyFont="1" applyFill="1"/>
    <xf numFmtId="170" fontId="132" fillId="10" borderId="0" xfId="75" applyNumberFormat="1" applyFont="1" applyFill="1"/>
    <xf numFmtId="0" fontId="56" fillId="15" borderId="0" xfId="0" applyFont="1" applyFill="1" applyBorder="1"/>
    <xf numFmtId="0" fontId="48" fillId="15" borderId="0" xfId="0" applyFont="1" applyFill="1" applyBorder="1"/>
    <xf numFmtId="3" fontId="48" fillId="15" borderId="0" xfId="0" applyNumberFormat="1" applyFont="1" applyFill="1" applyBorder="1" applyAlignment="1">
      <alignment horizontal="left" indent="1"/>
    </xf>
    <xf numFmtId="3" fontId="56" fillId="15" borderId="0" xfId="0" applyNumberFormat="1" applyFont="1" applyFill="1" applyBorder="1" applyAlignment="1">
      <alignment horizontal="left" indent="1"/>
    </xf>
    <xf numFmtId="0" fontId="0" fillId="15" borderId="0" xfId="0" applyFill="1" applyAlignment="1">
      <alignment horizontal="left" wrapText="1"/>
    </xf>
    <xf numFmtId="3" fontId="48" fillId="10" borderId="0" xfId="0" applyNumberFormat="1" applyFont="1" applyFill="1" applyBorder="1"/>
    <xf numFmtId="9" fontId="48" fillId="10" borderId="0" xfId="0" applyNumberFormat="1" applyFont="1" applyFill="1" applyBorder="1" applyAlignment="1">
      <alignment horizontal="center"/>
    </xf>
    <xf numFmtId="0" fontId="56" fillId="10" borderId="0" xfId="0" applyFont="1" applyFill="1" applyBorder="1" applyAlignment="1">
      <alignment horizontal="center"/>
    </xf>
    <xf numFmtId="9" fontId="48" fillId="10" borderId="0" xfId="0" applyNumberFormat="1" applyFont="1" applyFill="1" applyBorder="1"/>
    <xf numFmtId="9" fontId="48" fillId="15" borderId="0" xfId="0" applyNumberFormat="1" applyFont="1" applyFill="1" applyBorder="1"/>
    <xf numFmtId="3" fontId="48" fillId="15" borderId="0" xfId="0" applyNumberFormat="1" applyFont="1" applyFill="1" applyBorder="1"/>
    <xf numFmtId="9" fontId="48" fillId="15" borderId="0" xfId="0" applyNumberFormat="1" applyFont="1" applyFill="1" applyBorder="1" applyAlignment="1">
      <alignment horizontal="center"/>
    </xf>
    <xf numFmtId="9" fontId="56" fillId="15" borderId="0" xfId="0" applyNumberFormat="1" applyFont="1" applyFill="1" applyBorder="1"/>
    <xf numFmtId="3" fontId="56" fillId="15" borderId="0" xfId="0" applyNumberFormat="1" applyFont="1" applyFill="1" applyBorder="1"/>
    <xf numFmtId="9" fontId="56" fillId="15" borderId="0" xfId="0" applyNumberFormat="1" applyFont="1" applyFill="1" applyBorder="1" applyAlignment="1">
      <alignment horizontal="center"/>
    </xf>
    <xf numFmtId="0" fontId="0" fillId="15" borderId="0" xfId="0" applyFill="1" applyBorder="1" applyAlignment="1">
      <alignment vertical="top" wrapText="1"/>
    </xf>
    <xf numFmtId="0" fontId="3" fillId="15" borderId="0" xfId="0" applyFont="1" applyFill="1" applyBorder="1" applyAlignment="1">
      <alignment horizontal="left" wrapText="1"/>
    </xf>
    <xf numFmtId="0" fontId="0" fillId="15" borderId="0" xfId="0" applyFill="1" applyBorder="1" applyAlignment="1">
      <alignment horizontal="left" wrapText="1"/>
    </xf>
    <xf numFmtId="0" fontId="6" fillId="10" borderId="0" xfId="0" applyFont="1" applyFill="1" applyAlignment="1">
      <alignment vertical="top" wrapText="1"/>
    </xf>
    <xf numFmtId="0" fontId="2" fillId="10" borderId="0" xfId="0" applyFont="1" applyFill="1" applyAlignment="1"/>
    <xf numFmtId="186" fontId="92" fillId="12" borderId="0" xfId="0" applyNumberFormat="1" applyFont="1" applyFill="1" applyBorder="1" applyAlignment="1">
      <alignment horizontal="right" vertical="center"/>
    </xf>
    <xf numFmtId="38" fontId="0" fillId="10" borderId="0" xfId="0" applyNumberFormat="1" applyFill="1" applyAlignment="1">
      <alignment horizontal="right"/>
    </xf>
    <xf numFmtId="1" fontId="88" fillId="10" borderId="0" xfId="0" applyNumberFormat="1" applyFont="1" applyFill="1" applyBorder="1"/>
    <xf numFmtId="195" fontId="2" fillId="15" borderId="0" xfId="0" applyNumberFormat="1" applyFont="1" applyFill="1" applyBorder="1"/>
    <xf numFmtId="169" fontId="0" fillId="0" borderId="0" xfId="0" applyNumberFormat="1" applyFill="1"/>
    <xf numFmtId="169" fontId="88" fillId="0" borderId="0" xfId="0" applyNumberFormat="1" applyFont="1" applyFill="1" applyBorder="1"/>
    <xf numFmtId="169" fontId="88" fillId="0" borderId="0" xfId="75" applyNumberFormat="1" applyFont="1" applyFill="1" applyBorder="1"/>
    <xf numFmtId="169" fontId="89" fillId="10" borderId="5" xfId="75" applyNumberFormat="1" applyFont="1" applyFill="1" applyBorder="1"/>
    <xf numFmtId="9" fontId="0" fillId="10" borderId="0" xfId="0" applyNumberFormat="1" applyFill="1"/>
    <xf numFmtId="9" fontId="0" fillId="15" borderId="0" xfId="75" applyFont="1" applyFill="1"/>
    <xf numFmtId="170" fontId="2" fillId="0" borderId="35" xfId="0" applyNumberFormat="1" applyFont="1" applyFill="1" applyBorder="1"/>
    <xf numFmtId="167" fontId="0" fillId="0" borderId="0" xfId="0" applyNumberFormat="1" applyFill="1" applyBorder="1"/>
    <xf numFmtId="0" fontId="2" fillId="16" borderId="0" xfId="140" applyFont="1" applyFill="1" applyAlignment="1">
      <alignment vertical="top"/>
    </xf>
    <xf numFmtId="0" fontId="2" fillId="16" borderId="0" xfId="136" applyFill="1" applyAlignment="1">
      <alignment vertical="top"/>
    </xf>
    <xf numFmtId="0" fontId="2" fillId="16" borderId="0" xfId="136" applyFill="1"/>
    <xf numFmtId="0" fontId="53" fillId="16" borderId="0" xfId="140" applyFont="1" applyFill="1" applyAlignment="1">
      <alignment horizontal="left" vertical="top"/>
    </xf>
    <xf numFmtId="0" fontId="2" fillId="16" borderId="0" xfId="136" applyFont="1" applyFill="1" applyAlignment="1">
      <alignment vertical="top"/>
    </xf>
    <xf numFmtId="0" fontId="57" fillId="16" borderId="0" xfId="140" applyFont="1" applyFill="1" applyAlignment="1">
      <alignment vertical="top"/>
    </xf>
    <xf numFmtId="0" fontId="0" fillId="16" borderId="0" xfId="0" applyFill="1" applyAlignment="1">
      <alignment vertical="top"/>
    </xf>
    <xf numFmtId="0" fontId="142" fillId="16" borderId="0" xfId="0" applyFont="1" applyFill="1" applyAlignment="1">
      <alignment vertical="top"/>
    </xf>
    <xf numFmtId="0" fontId="143" fillId="16" borderId="0" xfId="0" applyFont="1" applyFill="1" applyAlignment="1">
      <alignment vertical="top"/>
    </xf>
    <xf numFmtId="0" fontId="142" fillId="16" borderId="38" xfId="0" applyFont="1" applyFill="1" applyBorder="1" applyAlignment="1">
      <alignment vertical="top"/>
    </xf>
    <xf numFmtId="9" fontId="142" fillId="16" borderId="38" xfId="0" applyNumberFormat="1" applyFont="1" applyFill="1" applyBorder="1" applyAlignment="1">
      <alignment vertical="top"/>
    </xf>
    <xf numFmtId="3" fontId="142" fillId="16" borderId="38" xfId="0" applyNumberFormat="1" applyFont="1" applyFill="1" applyBorder="1" applyAlignment="1">
      <alignment vertical="top"/>
    </xf>
    <xf numFmtId="2" fontId="2" fillId="0" borderId="0" xfId="136" applyNumberFormat="1" applyAlignment="1">
      <alignment horizontal="left"/>
    </xf>
    <xf numFmtId="0" fontId="2" fillId="0" borderId="0" xfId="136" applyNumberFormat="1" applyAlignment="1">
      <alignment horizontal="left"/>
    </xf>
    <xf numFmtId="1" fontId="2" fillId="0" borderId="0" xfId="136" applyNumberFormat="1" applyAlignment="1">
      <alignment horizontal="left"/>
    </xf>
    <xf numFmtId="0" fontId="2" fillId="0" borderId="0" xfId="136" applyFont="1"/>
    <xf numFmtId="196" fontId="2" fillId="0" borderId="0" xfId="136" applyNumberFormat="1" applyAlignment="1">
      <alignment horizontal="left"/>
    </xf>
    <xf numFmtId="49" fontId="2" fillId="0" borderId="0" xfId="136" applyNumberFormat="1"/>
    <xf numFmtId="0" fontId="0" fillId="16" borderId="43" xfId="0" applyFill="1" applyBorder="1" applyAlignment="1">
      <alignment vertical="top"/>
    </xf>
    <xf numFmtId="0" fontId="142" fillId="16" borderId="0" xfId="0" applyFont="1" applyFill="1" applyAlignment="1">
      <alignment vertical="top"/>
    </xf>
    <xf numFmtId="0" fontId="142" fillId="16" borderId="39" xfId="0" applyFont="1" applyFill="1" applyBorder="1" applyAlignment="1">
      <alignment vertical="top"/>
    </xf>
    <xf numFmtId="0" fontId="142" fillId="16" borderId="40" xfId="0" applyFont="1" applyFill="1" applyBorder="1" applyAlignment="1">
      <alignment vertical="top"/>
    </xf>
    <xf numFmtId="0" fontId="142" fillId="16" borderId="41" xfId="0" applyFont="1" applyFill="1" applyBorder="1" applyAlignment="1">
      <alignment vertical="top"/>
    </xf>
    <xf numFmtId="0" fontId="143" fillId="16" borderId="0" xfId="0" applyFont="1" applyFill="1" applyAlignment="1">
      <alignment vertical="top"/>
    </xf>
    <xf numFmtId="0" fontId="0" fillId="16" borderId="0" xfId="0" applyFill="1" applyAlignment="1">
      <alignment vertical="top"/>
    </xf>
    <xf numFmtId="0" fontId="0" fillId="16" borderId="42" xfId="0" applyFill="1" applyBorder="1" applyAlignment="1">
      <alignment vertical="top"/>
    </xf>
    <xf numFmtId="0" fontId="82" fillId="15" borderId="25" xfId="0" applyFont="1" applyFill="1" applyBorder="1" applyAlignment="1">
      <alignment horizontal="center"/>
    </xf>
    <xf numFmtId="0" fontId="2" fillId="15" borderId="0" xfId="0" applyFont="1" applyFill="1" applyBorder="1" applyAlignment="1">
      <alignment horizontal="left" vertical="top" wrapText="1"/>
    </xf>
    <xf numFmtId="0" fontId="2" fillId="10" borderId="0" xfId="0" applyFont="1" applyFill="1" applyAlignment="1">
      <alignment horizontal="left" vertical="top" wrapText="1"/>
    </xf>
    <xf numFmtId="0" fontId="6" fillId="10" borderId="0" xfId="0" applyFont="1" applyFill="1" applyAlignment="1">
      <alignment horizontal="left" vertical="top" wrapText="1"/>
    </xf>
    <xf numFmtId="0" fontId="136" fillId="10" borderId="0" xfId="121" applyFont="1" applyFill="1" applyBorder="1" applyAlignment="1">
      <alignment horizontal="left" vertical="center"/>
    </xf>
    <xf numFmtId="0" fontId="3" fillId="10" borderId="32" xfId="0" applyFont="1" applyFill="1" applyBorder="1" applyAlignment="1">
      <alignment horizontal="center"/>
    </xf>
    <xf numFmtId="0" fontId="119" fillId="10" borderId="33" xfId="0" applyFont="1" applyFill="1" applyBorder="1" applyAlignment="1">
      <alignment horizontal="center" vertical="center" wrapText="1"/>
    </xf>
    <xf numFmtId="0" fontId="119" fillId="10" borderId="36" xfId="0" applyFont="1" applyFill="1" applyBorder="1" applyAlignment="1">
      <alignment horizontal="center" vertical="center" wrapText="1"/>
    </xf>
    <xf numFmtId="0" fontId="119" fillId="10" borderId="31" xfId="0" applyFont="1" applyFill="1" applyBorder="1" applyAlignment="1">
      <alignment horizontal="center" vertical="center" wrapText="1"/>
    </xf>
    <xf numFmtId="0" fontId="119" fillId="10" borderId="37" xfId="0" applyFont="1" applyFill="1" applyBorder="1" applyAlignment="1">
      <alignment horizontal="center" vertical="center" wrapText="1"/>
    </xf>
    <xf numFmtId="0" fontId="64" fillId="0" borderId="0" xfId="0" applyFont="1" applyBorder="1" applyAlignment="1">
      <alignment horizontal="right" vertical="top" wrapText="1"/>
    </xf>
    <xf numFmtId="0" fontId="32" fillId="0" borderId="0" xfId="0" applyFont="1" applyAlignment="1">
      <alignment horizontal="center" vertical="center"/>
    </xf>
    <xf numFmtId="0" fontId="100" fillId="13" borderId="0" xfId="0" applyFont="1" applyFill="1" applyAlignment="1">
      <alignment horizontal="center"/>
    </xf>
    <xf numFmtId="0" fontId="78" fillId="0" borderId="0" xfId="0" applyFont="1" applyAlignment="1">
      <alignment horizontal="center"/>
    </xf>
    <xf numFmtId="0" fontId="103" fillId="10" borderId="0" xfId="0" applyFont="1" applyFill="1" applyBorder="1" applyAlignment="1">
      <alignment horizontal="left" vertical="center"/>
    </xf>
    <xf numFmtId="0" fontId="103" fillId="10" borderId="0" xfId="0" applyFont="1" applyFill="1" applyBorder="1" applyAlignment="1">
      <alignment horizontal="left" vertical="center" indent="5"/>
    </xf>
    <xf numFmtId="0" fontId="103" fillId="10" borderId="0" xfId="0" applyFont="1" applyFill="1" applyBorder="1" applyAlignment="1">
      <alignment horizontal="center" vertical="center"/>
    </xf>
  </cellXfs>
  <cellStyles count="141">
    <cellStyle name="_~0034700" xfId="1"/>
    <cellStyle name="_Financials1" xfId="2"/>
    <cellStyle name="_FNC - Model" xfId="3"/>
    <cellStyle name="_HSP - Model" xfId="4"/>
    <cellStyle name="_JFCP-MAYdba" xfId="5"/>
    <cellStyle name="_MAY - Model" xfId="6"/>
    <cellStyle name="_MIA - Model.xls Chart 1" xfId="7"/>
    <cellStyle name="_SHL - Model.xls Chart 1" xfId="8"/>
    <cellStyle name="_SHL - Model.xls Chart 2" xfId="9"/>
    <cellStyle name="_SUMMARY " xfId="124"/>
    <cellStyle name="=C:\WINNT\SYSTEM32\COMMAND.COM" xfId="10"/>
    <cellStyle name="0.0%" xfId="11"/>
    <cellStyle name="0_Capex &amp; Depreciation " xfId="125"/>
    <cellStyle name="0_Valuing BP " xfId="126"/>
    <cellStyle name="1" xfId="12"/>
    <cellStyle name="a" xfId="13"/>
    <cellStyle name="Agara" xfId="14"/>
    <cellStyle name="Analyst_Data" xfId="15"/>
    <cellStyle name="Arial 10" xfId="16"/>
    <cellStyle name="Black" xfId="17"/>
    <cellStyle name="BLUE" xfId="18"/>
    <cellStyle name="Border_Current" xfId="19"/>
    <cellStyle name="BRACKET" xfId="20"/>
    <cellStyle name="c_HardInc " xfId="127"/>
    <cellStyle name="Comma" xfId="21" builtinId="3"/>
    <cellStyle name="Comma 2" xfId="137"/>
    <cellStyle name="Comma 5" xfId="134"/>
    <cellStyle name="Comma(1)" xfId="22"/>
    <cellStyle name="Currency" xfId="23" builtinId="4"/>
    <cellStyle name="Currency 0.0" xfId="24"/>
    <cellStyle name="Currency 2" xfId="123"/>
    <cellStyle name="Currency 3" xfId="132"/>
    <cellStyle name="Currency 4" xfId="133"/>
    <cellStyle name="Currency 5" xfId="139"/>
    <cellStyle name="EDComma0" xfId="25"/>
    <cellStyle name="EDComma0 2" xfId="100"/>
    <cellStyle name="EDComma1" xfId="26"/>
    <cellStyle name="EDComma1 2" xfId="101"/>
    <cellStyle name="EDComma2" xfId="27"/>
    <cellStyle name="EDComma2 2" xfId="102"/>
    <cellStyle name="EDCommaB0" xfId="28"/>
    <cellStyle name="EDCommaB1" xfId="29"/>
    <cellStyle name="EDCommaB2" xfId="30"/>
    <cellStyle name="EDDate" xfId="31"/>
    <cellStyle name="EDDate 2" xfId="103"/>
    <cellStyle name="EDDateB" xfId="32"/>
    <cellStyle name="EDFullDate" xfId="33"/>
    <cellStyle name="EDFullDate 2" xfId="104"/>
    <cellStyle name="EDNormal" xfId="34"/>
    <cellStyle name="EDNormal 2" xfId="105"/>
    <cellStyle name="EDPercent" xfId="35"/>
    <cellStyle name="EDPercent 2" xfId="106"/>
    <cellStyle name="EDPercent1" xfId="36"/>
    <cellStyle name="EDPercent1 2" xfId="107"/>
    <cellStyle name="EDPercent2" xfId="37"/>
    <cellStyle name="EDPercent2 2" xfId="108"/>
    <cellStyle name="EDRightText" xfId="38"/>
    <cellStyle name="EDRightText 2" xfId="109"/>
    <cellStyle name="Font_Actual" xfId="39"/>
    <cellStyle name="Full" xfId="40"/>
    <cellStyle name="Fyear" xfId="41"/>
    <cellStyle name="Gilsans" xfId="42"/>
    <cellStyle name="Gilsansl" xfId="43"/>
    <cellStyle name="HALF" xfId="44"/>
    <cellStyle name="Head 1" xfId="45"/>
    <cellStyle name="Head 2" xfId="46"/>
    <cellStyle name="Head 3" xfId="47"/>
    <cellStyle name="Header" xfId="48"/>
    <cellStyle name="Heading" xfId="49"/>
    <cellStyle name="Heading 1" xfId="50" builtinId="16" customBuiltin="1"/>
    <cellStyle name="Heading 2" xfId="51" builtinId="17" customBuiltin="1"/>
    <cellStyle name="Heading 3" xfId="52" builtinId="18" customBuiltin="1"/>
    <cellStyle name="Heading 3 2" xfId="110"/>
    <cellStyle name="Heading1" xfId="53"/>
    <cellStyle name="Heading2" xfId="54"/>
    <cellStyle name="Hyperlink" xfId="55" builtinId="8"/>
    <cellStyle name="Income" xfId="56"/>
    <cellStyle name="Input" xfId="57" builtinId="20" customBuiltin="1"/>
    <cellStyle name="Inputs" xfId="58"/>
    <cellStyle name="Link" xfId="59"/>
    <cellStyle name="MAG" xfId="60"/>
    <cellStyle name="Name" xfId="61"/>
    <cellStyle name="New" xfId="62"/>
    <cellStyle name="NewAcct" xfId="63"/>
    <cellStyle name="No comma" xfId="64"/>
    <cellStyle name="non-input" xfId="65"/>
    <cellStyle name="non-input 2" xfId="111"/>
    <cellStyle name="Norm" xfId="66"/>
    <cellStyle name="Normal" xfId="0" builtinId="0"/>
    <cellStyle name="Normal - Style1" xfId="67"/>
    <cellStyle name="Normal 0.0" xfId="68"/>
    <cellStyle name="Normal 10" xfId="136"/>
    <cellStyle name="Normal 2" xfId="120"/>
    <cellStyle name="Normal 3" xfId="121"/>
    <cellStyle name="Normal 3 2" xfId="138"/>
    <cellStyle name="Normal_ACH Model" xfId="135"/>
    <cellStyle name="Normal_DisclaimerSheet Samples" xfId="140"/>
    <cellStyle name="Normal_mathan" xfId="69"/>
    <cellStyle name="Normal_NPX" xfId="70"/>
    <cellStyle name="Normal_TEL" xfId="71"/>
    <cellStyle name="Num_Date" xfId="72"/>
    <cellStyle name="p " xfId="128"/>
    <cellStyle name="Pattern_Forecast" xfId="73"/>
    <cellStyle name="patterns" xfId="74"/>
    <cellStyle name="Percent" xfId="75" builtinId="5"/>
    <cellStyle name="Percent 0.0" xfId="76"/>
    <cellStyle name="Percent(1)" xfId="77"/>
    <cellStyle name="PlainDollar" xfId="78"/>
    <cellStyle name="PlainDollar 2" xfId="112"/>
    <cellStyle name="Preffered" xfId="79"/>
    <cellStyle name="Publication_style" xfId="80"/>
    <cellStyle name="RED" xfId="81"/>
    <cellStyle name="RRSInstruction" xfId="122"/>
    <cellStyle name="s_HardInc " xfId="129"/>
    <cellStyle name="s_Valuation " xfId="130"/>
    <cellStyle name="Shade" xfId="82"/>
    <cellStyle name="shade bold" xfId="83"/>
    <cellStyle name="Shade_AMC_fin1b" xfId="84"/>
    <cellStyle name="shading" xfId="85"/>
    <cellStyle name="SSComma0" xfId="86"/>
    <cellStyle name="SSComma0 2" xfId="113"/>
    <cellStyle name="SSComma2" xfId="87"/>
    <cellStyle name="SSComma2 2" xfId="114"/>
    <cellStyle name="SSDecs3" xfId="88"/>
    <cellStyle name="SSDecs3 2" xfId="115"/>
    <cellStyle name="SSDflt" xfId="89"/>
    <cellStyle name="SSDflt 2" xfId="116"/>
    <cellStyle name="SSDfltPct" xfId="90"/>
    <cellStyle name="SSDfltPct 2" xfId="117"/>
    <cellStyle name="SSDfltPct0" xfId="91"/>
    <cellStyle name="SSDfltPct0 2" xfId="118"/>
    <cellStyle name="SSFixed2" xfId="92"/>
    <cellStyle name="SSFixed2 2" xfId="119"/>
    <cellStyle name="ssp " xfId="131"/>
    <cellStyle name="Style 1" xfId="93"/>
    <cellStyle name="TextB" xfId="94"/>
    <cellStyle name="Thou" xfId="95"/>
    <cellStyle name="UnderLine" xfId="96"/>
    <cellStyle name="Valuation" xfId="97"/>
    <cellStyle name="Vpershare" xfId="98"/>
    <cellStyle name="Vstandard" xfId="99"/>
  </cellStyles>
  <dxfs count="7">
    <dxf>
      <font>
        <color rgb="FF9C0006"/>
      </font>
      <fill>
        <patternFill>
          <bgColor rgb="FFFFC7CE"/>
        </patternFill>
      </fill>
    </dxf>
    <dxf>
      <font>
        <color theme="0"/>
      </font>
      <fill>
        <patternFill>
          <bgColor rgb="FFC00000"/>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theme="0"/>
      </font>
      <fill>
        <patternFill>
          <bgColor rgb="FFC00000"/>
        </patternFill>
      </fill>
    </dxf>
    <dxf>
      <font>
        <color theme="0"/>
      </font>
      <fill>
        <patternFill>
          <bgColor rgb="FFC0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000000"/>
      <rgbColor rgb="00ED1C24"/>
      <rgbColor rgb="00939598"/>
      <rgbColor rgb="00790008"/>
      <rgbColor rgb="00BEBEBE"/>
      <rgbColor rgb="00FFFFFF"/>
      <rgbColor rgb="00C0C0C0"/>
      <rgbColor rgb="00808080"/>
      <rgbColor rgb="00790008"/>
      <rgbColor rgb="006D6E71"/>
      <rgbColor rgb="00BCBEC0"/>
      <rgbColor rgb="00ED1C24"/>
      <rgbColor rgb="00939598"/>
      <rgbColor rgb="00000000"/>
      <rgbColor rgb="00EC008C"/>
      <rgbColor rgb="0000A651"/>
      <rgbColor rgb="00790008"/>
      <rgbColor rgb="006D6E71"/>
      <rgbColor rgb="00BCBEC0"/>
      <rgbColor rgb="00ED1C24"/>
      <rgbColor rgb="00939598"/>
      <rgbColor rgb="00000000"/>
      <rgbColor rgb="00EC008C"/>
      <rgbColor rgb="0000A651"/>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0A9"/>
      <color rgb="FF0000FF"/>
      <color rgb="FF00206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externalLinks/externalLink1.xml" Type="http://schemas.openxmlformats.org/officeDocument/2006/relationships/externalLink"/>
<Relationship Id="rId12" Target="externalLinks/externalLink2.xml" Type="http://schemas.openxmlformats.org/officeDocument/2006/relationships/externalLink"/>
<Relationship Id="rId13" Target="externalLinks/externalLink3.xml" Type="http://schemas.openxmlformats.org/officeDocument/2006/relationships/externalLink"/>
<Relationship Id="rId14" Target="externalLinks/externalLink4.xml" Type="http://schemas.openxmlformats.org/officeDocument/2006/relationships/externalLink"/>
<Relationship Id="rId15" Target="externalLinks/externalLink5.xml" Type="http://schemas.openxmlformats.org/officeDocument/2006/relationships/externalLink"/>
<Relationship Id="rId16" Target="theme/theme1.xml" Type="http://schemas.openxmlformats.org/officeDocument/2006/relationships/theme"/>
<Relationship Id="rId17" Target="styles.xml" Type="http://schemas.openxmlformats.org/officeDocument/2006/relationships/styles"/>
<Relationship Id="rId18" Target="sharedStrings.xml" Type="http://schemas.openxmlformats.org/officeDocument/2006/relationships/sharedStrings"/>
<Relationship Id="rId19" Target="calcChain.xml" Type="http://schemas.openxmlformats.org/officeDocument/2006/relationships/calcChain"/>
<Relationship Id="rId2" Target="worksheets/sheet2.xml" Type="http://schemas.openxmlformats.org/officeDocument/2006/relationships/worksheet"/>
<Relationship Id="rId20" Target="vbaProject.bin" Type="http://schemas.microsoft.com/office/2006/relationships/vbaProjec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87501312335958"/>
          <c:y val="4.1666666666666664E-2"/>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21250064850051423"/>
          <c:y val="0.23333428277296051"/>
          <c:w val="0.59375181198673088"/>
          <c:h val="0.45000183106213809"/>
        </c:manualLayout>
      </c:layout>
      <c:pieChart>
        <c:varyColors val="1"/>
        <c:ser>
          <c:idx val="0"/>
          <c:order val="0"/>
          <c:tx>
            <c:v>2008 Earnings Split</c:v>
          </c:tx>
          <c:dLbls>
            <c:dLbl>
              <c:idx val="0"/>
              <c:layout>
                <c:manualLayout>
                  <c:xMode val="edge"/>
                  <c:yMode val="edge"/>
                  <c:x val="0.21250064850051423"/>
                  <c:y val="0.11250045776553452"/>
                </c:manualLayout>
              </c:layout>
              <c:dLblPos val="bestFit"/>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5666-4DD1-A8A3-B902D624C629}"/>
                </c:ext>
              </c:extLst>
            </c:dLbl>
            <c:dLbl>
              <c:idx val="1"/>
              <c:layout>
                <c:manualLayout>
                  <c:xMode val="edge"/>
                  <c:yMode val="edge"/>
                  <c:x val="0.35000106811849402"/>
                  <c:y val="7.5000305177023024E-2"/>
                </c:manualLayout>
              </c:layout>
              <c:dLblPos val="bestFit"/>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5666-4DD1-A8A3-B902D624C629}"/>
                </c:ext>
              </c:extLst>
            </c:dLbl>
            <c:dLbl>
              <c:idx val="2"/>
              <c:layout>
                <c:manualLayout>
                  <c:xMode val="edge"/>
                  <c:yMode val="edge"/>
                  <c:x val="0.40000122070685029"/>
                  <c:y val="9.5833723281751632E-2"/>
                </c:manualLayout>
              </c:layout>
              <c:dLblPos val="bestFit"/>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5666-4DD1-A8A3-B902D624C629}"/>
                </c:ext>
              </c:extLst>
            </c:dLbl>
            <c:spPr>
              <a:noFill/>
              <a:ln w="25400">
                <a:noFill/>
              </a:ln>
            </c:spPr>
            <c:txPr>
              <a:bodyPr/>
              <a:lstStyle/>
              <a:p>
                <a:pPr>
                  <a:defRPr sz="6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1"/>
            <c:extLst xmlns:c16r2="http://schemas.microsoft.com/office/drawing/2015/06/chart">
              <c:ext xmlns:c15="http://schemas.microsoft.com/office/drawing/2012/chart" uri="{CE6537A1-D6FC-4f65-9D91-7224C49458BB}"/>
            </c:extLst>
          </c:dLbls>
          <c:cat>
            <c:strRef>
              <c:f>'Fin Sum'!$B$23:$B$25</c:f>
              <c:strCache>
                <c:ptCount val="3"/>
                <c:pt idx="0">
                  <c:v>Cement, Lime and Concrete</c:v>
                </c:pt>
                <c:pt idx="1">
                  <c:v>Concrete Products</c:v>
                </c:pt>
                <c:pt idx="2">
                  <c:v>Other</c:v>
                </c:pt>
              </c:strCache>
            </c:strRef>
          </c:cat>
          <c:val>
            <c:numRef>
              <c:f>'Fin Sum'!$C$23:$C$25</c:f>
            </c:numRef>
          </c:val>
          <c:extLst xmlns:c16r2="http://schemas.microsoft.com/office/drawing/2015/06/chart">
            <c:ext xmlns:c16="http://schemas.microsoft.com/office/drawing/2014/chart" uri="{C3380CC4-5D6E-409C-BE32-E72D297353CC}">
              <c16:uniqueId val="{00000003-5666-4DD1-A8A3-B902D624C62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46250131233595798"/>
          <c:y val="0.83750349956255465"/>
          <c:w val="0"/>
          <c:h val="4.1666666666666519E-3"/>
        </c:manualLayout>
      </c:layout>
      <c:overlay val="0"/>
      <c:spPr>
        <a:solidFill>
          <a:srgbClr val="FFFFFF"/>
        </a:solidFill>
        <a:ln w="25400">
          <a:noFill/>
        </a:ln>
      </c:spPr>
      <c:txPr>
        <a:bodyPr/>
        <a:lstStyle/>
        <a:p>
          <a:pPr>
            <a:defRPr sz="550" b="0" i="0" u="none" strike="noStrike" baseline="0">
              <a:solidFill>
                <a:srgbClr val="000000"/>
              </a:solidFill>
              <a:latin typeface="Arial"/>
              <a:ea typeface="Arial"/>
              <a:cs typeface="Arial"/>
            </a:defRPr>
          </a:pPr>
          <a:endParaRPr lang="en-US"/>
        </a:p>
      </c:txPr>
    </c:legend>
    <c:plotVisOnly val="1"/>
    <c:dispBlanksAs val="zero"/>
    <c:showDLblsOverMax val="0"/>
  </c:chart>
  <c:spPr>
    <a:noFill/>
    <a:ln w="9525">
      <a:noFill/>
    </a:ln>
  </c:spPr>
  <c:txPr>
    <a:bodyPr/>
    <a:lstStyle/>
    <a:p>
      <a:pPr>
        <a:defRPr sz="6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media/image4.jpeg" Type="http://schemas.openxmlformats.org/officeDocument/2006/relationships/image"/>
<Relationship Id="rId2" Target="#Statements" Type="http://schemas.openxmlformats.org/officeDocument/2006/relationships/hyperlink"/>
<Relationship Id="rId3" Target="#Pershare" Type="http://schemas.openxmlformats.org/officeDocument/2006/relationships/hyperlink"/>
<Relationship Id="rId4" Target="#Drivers" Type="http://schemas.openxmlformats.org/officeDocument/2006/relationships/hyperlink"/>
<Relationship Id="rId5" Target="#Segments" Type="http://schemas.openxmlformats.org/officeDocument/2006/relationships/hyperlink"/>
<Relationship Id="rId6" Target="#Valuation" Type="http://schemas.openxmlformats.org/officeDocument/2006/relationships/hyperlink"/>
<Relationship Id="rId7" Target="#Finsum" Type="http://schemas.openxmlformats.org/officeDocument/2006/relationships/hyperlink"/>
<Relationship Id="rId8" Target="../media/image5.jpeg" Type="http://schemas.openxmlformats.org/officeDocument/2006/relationships/image"/>
</Relationships>

</file>

<file path=xl/drawings/_rels/drawing3.xml.rels><?xml version="1.0" encoding="UTF-8" standalone="yes"?>
<Relationships xmlns="http://schemas.openxmlformats.org/package/2006/relationships">
<Relationship Id="rId1" Target="../charts/chart1.xml" Type="http://schemas.openxmlformats.org/officeDocument/2006/relationships/chart"/>
<Relationship Id="rId2" Target="#Statements" Type="http://schemas.openxmlformats.org/officeDocument/2006/relationships/hyperlink"/>
<Relationship Id="rId3" Target="#Pershare" Type="http://schemas.openxmlformats.org/officeDocument/2006/relationships/hyperlink"/>
<Relationship Id="rId4" Target="#Drivers" Type="http://schemas.openxmlformats.org/officeDocument/2006/relationships/hyperlink"/>
<Relationship Id="rId5" Target="#Segments" Type="http://schemas.openxmlformats.org/officeDocument/2006/relationships/hyperlink"/>
<Relationship Id="rId6" Target="#Valuation" Type="http://schemas.openxmlformats.org/officeDocument/2006/relationships/hyperlink"/>
<Relationship Id="rId7" Target="#Finsum" Type="http://schemas.openxmlformats.org/officeDocument/2006/relationships/hyperlink"/>
<Relationship Id="rId8" Target="../media/image6.jpeg" Type="http://schemas.openxmlformats.org/officeDocument/2006/relationships/image"/>
</Relationships>

</file>

<file path=xl/drawings/_rels/drawing4.xml.rels><?xml version="1.0" encoding="UTF-8" standalone="yes"?>
<Relationships xmlns="http://schemas.openxmlformats.org/package/2006/relationships">
<Relationship Id="rId1" Target="#Finsum" Type="http://schemas.openxmlformats.org/officeDocument/2006/relationships/hyperlink"/>
</Relationships>

</file>

<file path=xl/drawings/_rels/drawing5.xml.rels><?xml version="1.0" encoding="UTF-8" standalone="yes"?>
<Relationships xmlns="http://schemas.openxmlformats.org/package/2006/relationships">
<Relationship Id="rId1" Target="#Finsum" Type="http://schemas.openxmlformats.org/officeDocument/2006/relationships/hyperlink"/>
</Relationships>

</file>

<file path=xl/drawings/_rels/drawing6.xml.rels><?xml version="1.0" encoding="UTF-8" standalone="yes"?>
<Relationships xmlns="http://schemas.openxmlformats.org/package/2006/relationships">
<Relationship Id="rId1" Target="#Finsum" Type="http://schemas.openxmlformats.org/officeDocument/2006/relationships/hyperlink"/>
</Relationships>

</file>

<file path=xl/drawings/_rels/drawing7.xml.rels><?xml version="1.0" encoding="UTF-8" standalone="yes"?>
<Relationships xmlns="http://schemas.openxmlformats.org/package/2006/relationships">
<Relationship Id="rId1" Target="#Finsum" Type="http://schemas.openxmlformats.org/officeDocument/2006/relationships/hyperlink"/>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177</xdr:row>
      <xdr:rowOff>0</xdr:rowOff>
    </xdr:from>
    <xdr:to>
      <xdr:col>7</xdr:col>
      <xdr:colOff>390525</xdr:colOff>
      <xdr:row>200</xdr:row>
      <xdr:rowOff>104775</xdr:rowOff>
    </xdr:to>
    <xdr:pic>
      <xdr:nvPicPr>
        <xdr:cNvPr id="593921" name="Picture 1" descr="C:\Users\dineshs\AppData\Local\Temp\MercuryPriceRatingHistoryChart\ABC.AX_2018_03_02_09_41_15.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12720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243412</xdr:colOff>
      <xdr:row>0</xdr:row>
      <xdr:rowOff>97116</xdr:rowOff>
    </xdr:from>
    <xdr:to>
      <xdr:col>8</xdr:col>
      <xdr:colOff>302719</xdr:colOff>
      <xdr:row>3</xdr:row>
      <xdr:rowOff>144741</xdr:rowOff>
    </xdr:to>
    <xdr:pic>
      <xdr:nvPicPr>
        <xdr:cNvPr id="316571" name="Picture 28" descr="Adelaide Brighton logo">
          <a:extLst>
            <a:ext uri="{FF2B5EF4-FFF2-40B4-BE49-F238E27FC236}">
              <a16:creationId xmlns="" xmlns:a16="http://schemas.microsoft.com/office/drawing/2014/main" id="{00000000-0008-0000-0100-00009BD404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98329" y="97116"/>
          <a:ext cx="2851584" cy="5662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552451</xdr:colOff>
      <xdr:row>3</xdr:row>
      <xdr:rowOff>47625</xdr:rowOff>
    </xdr:from>
    <xdr:to>
      <xdr:col>14</xdr:col>
      <xdr:colOff>47625</xdr:colOff>
      <xdr:row>4</xdr:row>
      <xdr:rowOff>194983</xdr:rowOff>
    </xdr:to>
    <xdr:sp macro="" textlink="">
      <xdr:nvSpPr>
        <xdr:cNvPr id="39" name="AutoShape 13">
          <a:hlinkClick xmlns:r="http://schemas.openxmlformats.org/officeDocument/2006/relationships" r:id="rId2" tooltip="Group Financials"/>
          <a:extLst>
            <a:ext uri="{FF2B5EF4-FFF2-40B4-BE49-F238E27FC236}">
              <a16:creationId xmlns="" xmlns:a16="http://schemas.microsoft.com/office/drawing/2014/main" id="{00000000-0008-0000-0100-000027000000}"/>
            </a:ext>
          </a:extLst>
        </xdr:cNvPr>
        <xdr:cNvSpPr>
          <a:spLocks noChangeArrowheads="1"/>
        </xdr:cNvSpPr>
      </xdr:nvSpPr>
      <xdr:spPr bwMode="auto">
        <a:xfrm>
          <a:off x="7000876" y="571500"/>
          <a:ext cx="1933574" cy="309283"/>
        </a:xfrm>
        <a:prstGeom prst="actionButtonBlank">
          <a:avLst/>
        </a:prstGeom>
        <a:solidFill>
          <a:srgbClr val="002060"/>
        </a:solidFill>
        <a:ln>
          <a:noFill/>
        </a:ln>
        <a:effectLst/>
        <a:extLst/>
      </xdr:spPr>
      <xdr:txBody>
        <a:bodyPr vertOverflow="clip" wrap="square" lIns="91440" tIns="45720" rIns="91440" bIns="45720" anchor="t" upright="1"/>
        <a:lstStyle/>
        <a:p>
          <a:pPr algn="ctr" rtl="0">
            <a:defRPr sz="1000"/>
          </a:pPr>
          <a:r>
            <a:rPr lang="en-GB" sz="1200" b="0" i="0" u="none" strike="noStrike" baseline="0">
              <a:solidFill>
                <a:schemeClr val="bg1"/>
              </a:solidFill>
              <a:latin typeface="Arial"/>
              <a:cs typeface="Arial"/>
            </a:rPr>
            <a:t>BS, CF and P&amp;L</a:t>
          </a:r>
        </a:p>
      </xdr:txBody>
    </xdr:sp>
    <xdr:clientData/>
  </xdr:twoCellAnchor>
  <xdr:twoCellAnchor>
    <xdr:from>
      <xdr:col>10</xdr:col>
      <xdr:colOff>552450</xdr:colOff>
      <xdr:row>5</xdr:row>
      <xdr:rowOff>118222</xdr:rowOff>
    </xdr:from>
    <xdr:to>
      <xdr:col>14</xdr:col>
      <xdr:colOff>47625</xdr:colOff>
      <xdr:row>7</xdr:row>
      <xdr:rowOff>103655</xdr:rowOff>
    </xdr:to>
    <xdr:sp macro="" textlink="">
      <xdr:nvSpPr>
        <xdr:cNvPr id="40" name="AutoShape 14">
          <a:hlinkClick xmlns:r="http://schemas.openxmlformats.org/officeDocument/2006/relationships" r:id="rId3" tooltip="Forecast change table"/>
          <a:extLst>
            <a:ext uri="{FF2B5EF4-FFF2-40B4-BE49-F238E27FC236}">
              <a16:creationId xmlns="" xmlns:a16="http://schemas.microsoft.com/office/drawing/2014/main" id="{00000000-0008-0000-0100-000028000000}"/>
            </a:ext>
          </a:extLst>
        </xdr:cNvPr>
        <xdr:cNvSpPr>
          <a:spLocks noChangeArrowheads="1"/>
        </xdr:cNvSpPr>
      </xdr:nvSpPr>
      <xdr:spPr bwMode="auto">
        <a:xfrm>
          <a:off x="7000875" y="1042147"/>
          <a:ext cx="1933575" cy="309283"/>
        </a:xfrm>
        <a:prstGeom prst="actionButtonBlank">
          <a:avLst/>
        </a:prstGeom>
        <a:solidFill>
          <a:srgbClr val="002060"/>
        </a:solidFill>
        <a:ln>
          <a:noFill/>
        </a:ln>
        <a:effectLst/>
        <a:extLst/>
      </xdr:spPr>
      <xdr:txBody>
        <a:bodyPr vertOverflow="clip" wrap="square" lIns="91440" tIns="45720" rIns="91440" bIns="45720" anchor="t" upright="1"/>
        <a:lstStyle/>
        <a:p>
          <a:pPr algn="ctr" rtl="0">
            <a:defRPr sz="1000"/>
          </a:pPr>
          <a:r>
            <a:rPr lang="en-GB" sz="1200" b="0" i="0" u="none" strike="noStrike" baseline="0">
              <a:solidFill>
                <a:schemeClr val="bg1"/>
              </a:solidFill>
              <a:latin typeface="Arial"/>
              <a:cs typeface="Arial"/>
            </a:rPr>
            <a:t>Per share / ratios</a:t>
          </a:r>
        </a:p>
      </xdr:txBody>
    </xdr:sp>
    <xdr:clientData/>
  </xdr:twoCellAnchor>
  <xdr:twoCellAnchor>
    <xdr:from>
      <xdr:col>10</xdr:col>
      <xdr:colOff>552450</xdr:colOff>
      <xdr:row>8</xdr:row>
      <xdr:rowOff>103094</xdr:rowOff>
    </xdr:from>
    <xdr:to>
      <xdr:col>14</xdr:col>
      <xdr:colOff>47625</xdr:colOff>
      <xdr:row>10</xdr:row>
      <xdr:rowOff>88527</xdr:rowOff>
    </xdr:to>
    <xdr:sp macro="" textlink="">
      <xdr:nvSpPr>
        <xdr:cNvPr id="41" name="AutoShape 15">
          <a:hlinkClick xmlns:r="http://schemas.openxmlformats.org/officeDocument/2006/relationships" r:id="rId4" tooltip="Market Drivers"/>
          <a:extLst>
            <a:ext uri="{FF2B5EF4-FFF2-40B4-BE49-F238E27FC236}">
              <a16:creationId xmlns="" xmlns:a16="http://schemas.microsoft.com/office/drawing/2014/main" id="{00000000-0008-0000-0100-000029000000}"/>
            </a:ext>
          </a:extLst>
        </xdr:cNvPr>
        <xdr:cNvSpPr>
          <a:spLocks noChangeArrowheads="1"/>
        </xdr:cNvSpPr>
      </xdr:nvSpPr>
      <xdr:spPr bwMode="auto">
        <a:xfrm>
          <a:off x="7000875" y="1512794"/>
          <a:ext cx="1933575" cy="309283"/>
        </a:xfrm>
        <a:prstGeom prst="actionButtonBlank">
          <a:avLst/>
        </a:prstGeom>
        <a:solidFill>
          <a:srgbClr val="002060"/>
        </a:solidFill>
        <a:ln>
          <a:noFill/>
        </a:ln>
        <a:effectLst/>
        <a:extLst/>
      </xdr:spPr>
      <xdr:txBody>
        <a:bodyPr vertOverflow="clip" wrap="square" lIns="91440" tIns="45720" rIns="91440" bIns="45720" anchor="t" upright="1"/>
        <a:lstStyle/>
        <a:p>
          <a:pPr algn="ctr" rtl="0">
            <a:defRPr sz="1000"/>
          </a:pPr>
          <a:r>
            <a:rPr lang="en-GB" sz="1200" b="0" i="0" u="none" strike="noStrike" baseline="0">
              <a:solidFill>
                <a:schemeClr val="bg1"/>
              </a:solidFill>
              <a:latin typeface="Arial"/>
              <a:cs typeface="Arial"/>
            </a:rPr>
            <a:t>Drivers</a:t>
          </a:r>
        </a:p>
      </xdr:txBody>
    </xdr:sp>
    <xdr:clientData/>
  </xdr:twoCellAnchor>
  <xdr:twoCellAnchor>
    <xdr:from>
      <xdr:col>10</xdr:col>
      <xdr:colOff>552451</xdr:colOff>
      <xdr:row>11</xdr:row>
      <xdr:rowOff>87966</xdr:rowOff>
    </xdr:from>
    <xdr:to>
      <xdr:col>14</xdr:col>
      <xdr:colOff>53487</xdr:colOff>
      <xdr:row>13</xdr:row>
      <xdr:rowOff>73399</xdr:rowOff>
    </xdr:to>
    <xdr:sp macro="" textlink="">
      <xdr:nvSpPr>
        <xdr:cNvPr id="42" name="AutoShape 16">
          <a:hlinkClick xmlns:r="http://schemas.openxmlformats.org/officeDocument/2006/relationships" r:id="rId5" tooltip="Segments"/>
          <a:extLst>
            <a:ext uri="{FF2B5EF4-FFF2-40B4-BE49-F238E27FC236}">
              <a16:creationId xmlns="" xmlns:a16="http://schemas.microsoft.com/office/drawing/2014/main" id="{00000000-0008-0000-0100-00002A000000}"/>
            </a:ext>
          </a:extLst>
        </xdr:cNvPr>
        <xdr:cNvSpPr>
          <a:spLocks noChangeArrowheads="1"/>
        </xdr:cNvSpPr>
      </xdr:nvSpPr>
      <xdr:spPr bwMode="auto">
        <a:xfrm>
          <a:off x="7000876" y="1983441"/>
          <a:ext cx="1939436" cy="309283"/>
        </a:xfrm>
        <a:prstGeom prst="actionButtonBlank">
          <a:avLst/>
        </a:prstGeom>
        <a:solidFill>
          <a:srgbClr val="002060"/>
        </a:solidFill>
        <a:ln>
          <a:noFill/>
        </a:ln>
        <a:effectLst/>
        <a:extLst/>
      </xdr:spPr>
      <xdr:txBody>
        <a:bodyPr vertOverflow="clip" wrap="square" lIns="91440" tIns="45720" rIns="91440" bIns="45720" anchor="t" upright="1"/>
        <a:lstStyle/>
        <a:p>
          <a:pPr algn="ctr" rtl="0">
            <a:defRPr sz="1000"/>
          </a:pPr>
          <a:r>
            <a:rPr lang="en-GB" sz="1200" b="0" i="0" u="none" strike="noStrike" baseline="0">
              <a:solidFill>
                <a:schemeClr val="bg1"/>
              </a:solidFill>
              <a:latin typeface="Arial"/>
              <a:cs typeface="Arial"/>
            </a:rPr>
            <a:t>Segments</a:t>
          </a:r>
        </a:p>
      </xdr:txBody>
    </xdr:sp>
    <xdr:clientData/>
  </xdr:twoCellAnchor>
  <xdr:twoCellAnchor>
    <xdr:from>
      <xdr:col>10</xdr:col>
      <xdr:colOff>552451</xdr:colOff>
      <xdr:row>14</xdr:row>
      <xdr:rowOff>72838</xdr:rowOff>
    </xdr:from>
    <xdr:to>
      <xdr:col>14</xdr:col>
      <xdr:colOff>46160</xdr:colOff>
      <xdr:row>16</xdr:row>
      <xdr:rowOff>58271</xdr:rowOff>
    </xdr:to>
    <xdr:sp macro="" textlink="">
      <xdr:nvSpPr>
        <xdr:cNvPr id="43" name="AutoShape 17">
          <a:hlinkClick xmlns:r="http://schemas.openxmlformats.org/officeDocument/2006/relationships" r:id="rId6" tooltip="Valuation"/>
          <a:extLst>
            <a:ext uri="{FF2B5EF4-FFF2-40B4-BE49-F238E27FC236}">
              <a16:creationId xmlns="" xmlns:a16="http://schemas.microsoft.com/office/drawing/2014/main" id="{00000000-0008-0000-0100-00002B000000}"/>
            </a:ext>
          </a:extLst>
        </xdr:cNvPr>
        <xdr:cNvSpPr>
          <a:spLocks noChangeArrowheads="1"/>
        </xdr:cNvSpPr>
      </xdr:nvSpPr>
      <xdr:spPr bwMode="auto">
        <a:xfrm>
          <a:off x="7000876" y="2454088"/>
          <a:ext cx="1932109" cy="309283"/>
        </a:xfrm>
        <a:prstGeom prst="actionButtonBlank">
          <a:avLst/>
        </a:prstGeom>
        <a:solidFill>
          <a:srgbClr val="002060"/>
        </a:solidFill>
        <a:ln>
          <a:noFill/>
        </a:ln>
        <a:effectLst/>
        <a:extLst/>
      </xdr:spPr>
      <xdr:txBody>
        <a:bodyPr vertOverflow="clip" wrap="square" lIns="91440" tIns="45720" rIns="91440" bIns="45720" anchor="t" upright="1"/>
        <a:lstStyle/>
        <a:p>
          <a:pPr algn="ctr" rtl="0">
            <a:defRPr sz="1000"/>
          </a:pPr>
          <a:r>
            <a:rPr lang="en-GB" sz="1200" b="0" i="0" u="none" strike="noStrike" baseline="0">
              <a:solidFill>
                <a:schemeClr val="bg1"/>
              </a:solidFill>
              <a:latin typeface="Arial"/>
              <a:cs typeface="Arial"/>
            </a:rPr>
            <a:t>Valuation</a:t>
          </a:r>
        </a:p>
      </xdr:txBody>
    </xdr:sp>
    <xdr:clientData/>
  </xdr:twoCellAnchor>
  <xdr:twoCellAnchor>
    <xdr:from>
      <xdr:col>10</xdr:col>
      <xdr:colOff>63043</xdr:colOff>
      <xdr:row>3</xdr:row>
      <xdr:rowOff>42613</xdr:rowOff>
    </xdr:from>
    <xdr:to>
      <xdr:col>10</xdr:col>
      <xdr:colOff>473045</xdr:colOff>
      <xdr:row>4</xdr:row>
      <xdr:rowOff>197395</xdr:rowOff>
    </xdr:to>
    <xdr:sp macro="" textlink="">
      <xdr:nvSpPr>
        <xdr:cNvPr id="44" name="AutoShape 1">
          <a:hlinkClick xmlns:r="http://schemas.openxmlformats.org/officeDocument/2006/relationships" r:id="rId7" tooltip="Financial Summary"/>
          <a:extLst>
            <a:ext uri="{FF2B5EF4-FFF2-40B4-BE49-F238E27FC236}">
              <a16:creationId xmlns="" xmlns:a16="http://schemas.microsoft.com/office/drawing/2014/main" id="{00000000-0008-0000-0100-00002C000000}"/>
            </a:ext>
          </a:extLst>
        </xdr:cNvPr>
        <xdr:cNvSpPr>
          <a:spLocks noChangeArrowheads="1"/>
        </xdr:cNvSpPr>
      </xdr:nvSpPr>
      <xdr:spPr bwMode="auto">
        <a:xfrm>
          <a:off x="6496081" y="562825"/>
          <a:ext cx="410002" cy="315974"/>
        </a:xfrm>
        <a:prstGeom prst="actionButtonHome">
          <a:avLst/>
        </a:prstGeom>
        <a:solidFill>
          <a:srgbClr val="002060"/>
        </a:solidFill>
        <a:ln>
          <a:solidFill>
            <a:schemeClr val="bg1"/>
          </a:solidFill>
        </a:ln>
        <a:effectLst/>
        <a:extLst/>
      </xdr:spPr>
    </xdr:sp>
    <xdr:clientData/>
  </xdr:twoCellAnchor>
  <xdr:twoCellAnchor>
    <xdr:from>
      <xdr:col>0</xdr:col>
      <xdr:colOff>52920</xdr:colOff>
      <xdr:row>1</xdr:row>
      <xdr:rowOff>74081</xdr:rowOff>
    </xdr:from>
    <xdr:to>
      <xdr:col>2</xdr:col>
      <xdr:colOff>336055</xdr:colOff>
      <xdr:row>3</xdr:row>
      <xdr:rowOff>18488</xdr:rowOff>
    </xdr:to>
    <xdr:pic>
      <xdr:nvPicPr>
        <xdr:cNvPr id="10" name="Picture 2" descr="MS_PCLogo_Gray128"/>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2920" y="232831"/>
          <a:ext cx="2315135" cy="3042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552451</xdr:colOff>
      <xdr:row>17</xdr:row>
      <xdr:rowOff>49196</xdr:rowOff>
    </xdr:from>
    <xdr:to>
      <xdr:col>14</xdr:col>
      <xdr:colOff>46160</xdr:colOff>
      <xdr:row>19</xdr:row>
      <xdr:rowOff>34628</xdr:rowOff>
    </xdr:to>
    <xdr:sp macro="" textlink="">
      <xdr:nvSpPr>
        <xdr:cNvPr id="12" name="AutoShape 17">
          <a:hlinkClick xmlns:r="http://schemas.openxmlformats.org/officeDocument/2006/relationships" r:id="rId7" tooltip="Valuation"/>
          <a:extLst>
            <a:ext uri="{FF2B5EF4-FFF2-40B4-BE49-F238E27FC236}">
              <a16:creationId xmlns="" xmlns:a16="http://schemas.microsoft.com/office/drawing/2014/main" id="{00000000-0008-0000-0100-00002B000000}"/>
            </a:ext>
          </a:extLst>
        </xdr:cNvPr>
        <xdr:cNvSpPr>
          <a:spLocks noChangeArrowheads="1"/>
        </xdr:cNvSpPr>
      </xdr:nvSpPr>
      <xdr:spPr bwMode="auto">
        <a:xfrm>
          <a:off x="8072771" y="2984225"/>
          <a:ext cx="1930337" cy="317700"/>
        </a:xfrm>
        <a:prstGeom prst="actionButtonBlank">
          <a:avLst/>
        </a:prstGeom>
        <a:solidFill>
          <a:srgbClr val="002060"/>
        </a:solidFill>
        <a:ln>
          <a:noFill/>
        </a:ln>
        <a:effectLst/>
        <a:extLst/>
      </xdr:spPr>
      <xdr:txBody>
        <a:bodyPr vertOverflow="clip" wrap="square" lIns="91440" tIns="45720" rIns="91440" bIns="45720" anchor="t" upright="1"/>
        <a:lstStyle/>
        <a:p>
          <a:pPr algn="ctr" rtl="0">
            <a:defRPr sz="1000"/>
          </a:pPr>
          <a:r>
            <a:rPr lang="en-GB" sz="1200" b="0" i="0" u="none" strike="noStrike" baseline="0">
              <a:solidFill>
                <a:schemeClr val="bg1"/>
              </a:solidFill>
              <a:latin typeface="Arial"/>
              <a:cs typeface="Arial"/>
            </a:rPr>
            <a:t>Financial Summary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609600</xdr:colOff>
      <xdr:row>144</xdr:row>
      <xdr:rowOff>85725</xdr:rowOff>
    </xdr:from>
    <xdr:to>
      <xdr:col>2</xdr:col>
      <xdr:colOff>104775</xdr:colOff>
      <xdr:row>158</xdr:row>
      <xdr:rowOff>104775</xdr:rowOff>
    </xdr:to>
    <xdr:graphicFrame macro="">
      <xdr:nvGraphicFramePr>
        <xdr:cNvPr id="288833" name="Chart 3">
          <a:extLst>
            <a:ext uri="{FF2B5EF4-FFF2-40B4-BE49-F238E27FC236}">
              <a16:creationId xmlns="" xmlns:a16="http://schemas.microsoft.com/office/drawing/2014/main" id="{00000000-0008-0000-0400-00004168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xdr:colOff>
      <xdr:row>20</xdr:row>
      <xdr:rowOff>0</xdr:rowOff>
    </xdr:from>
    <xdr:to>
      <xdr:col>24</xdr:col>
      <xdr:colOff>1950509</xdr:colOff>
      <xdr:row>21</xdr:row>
      <xdr:rowOff>149226</xdr:rowOff>
    </xdr:to>
    <xdr:sp macro="" textlink="">
      <xdr:nvSpPr>
        <xdr:cNvPr id="21" name="AutoShape 13">
          <a:hlinkClick xmlns:r="http://schemas.openxmlformats.org/officeDocument/2006/relationships" r:id="rId2" tooltip="Group Financials"/>
          <a:extLst>
            <a:ext uri="{FF2B5EF4-FFF2-40B4-BE49-F238E27FC236}">
              <a16:creationId xmlns="" xmlns:a16="http://schemas.microsoft.com/office/drawing/2014/main" id="{00000000-0008-0000-0100-000027000000}"/>
            </a:ext>
          </a:extLst>
        </xdr:cNvPr>
        <xdr:cNvSpPr>
          <a:spLocks noChangeArrowheads="1"/>
        </xdr:cNvSpPr>
      </xdr:nvSpPr>
      <xdr:spPr bwMode="auto">
        <a:xfrm>
          <a:off x="10690413" y="3137647"/>
          <a:ext cx="1950508" cy="306108"/>
        </a:xfrm>
        <a:prstGeom prst="actionButtonBlank">
          <a:avLst/>
        </a:prstGeom>
        <a:solidFill>
          <a:srgbClr val="002060"/>
        </a:solidFill>
        <a:ln>
          <a:noFill/>
        </a:ln>
        <a:effectLst/>
        <a:extLst/>
      </xdr:spPr>
      <xdr:txBody>
        <a:bodyPr vertOverflow="clip" wrap="square" lIns="91440" tIns="45720" rIns="91440" bIns="45720" anchor="t" upright="1"/>
        <a:lstStyle/>
        <a:p>
          <a:pPr algn="ctr" rtl="0">
            <a:defRPr sz="1000"/>
          </a:pPr>
          <a:r>
            <a:rPr lang="en-GB" sz="1200" b="0" i="0" u="none" strike="noStrike" baseline="0">
              <a:solidFill>
                <a:schemeClr val="bg1"/>
              </a:solidFill>
              <a:latin typeface="Arial"/>
              <a:cs typeface="Arial"/>
            </a:rPr>
            <a:t>BS, CF and P&amp;L</a:t>
          </a:r>
        </a:p>
      </xdr:txBody>
    </xdr:sp>
    <xdr:clientData/>
  </xdr:twoCellAnchor>
  <xdr:twoCellAnchor>
    <xdr:from>
      <xdr:col>24</xdr:col>
      <xdr:colOff>0</xdr:colOff>
      <xdr:row>23</xdr:row>
      <xdr:rowOff>2117</xdr:rowOff>
    </xdr:from>
    <xdr:to>
      <xdr:col>24</xdr:col>
      <xdr:colOff>1950509</xdr:colOff>
      <xdr:row>24</xdr:row>
      <xdr:rowOff>148168</xdr:rowOff>
    </xdr:to>
    <xdr:sp macro="" textlink="">
      <xdr:nvSpPr>
        <xdr:cNvPr id="22" name="AutoShape 14">
          <a:hlinkClick xmlns:r="http://schemas.openxmlformats.org/officeDocument/2006/relationships" r:id="rId3" tooltip="Forecast change table"/>
          <a:extLst>
            <a:ext uri="{FF2B5EF4-FFF2-40B4-BE49-F238E27FC236}">
              <a16:creationId xmlns="" xmlns:a16="http://schemas.microsoft.com/office/drawing/2014/main" id="{00000000-0008-0000-0100-000028000000}"/>
            </a:ext>
          </a:extLst>
        </xdr:cNvPr>
        <xdr:cNvSpPr>
          <a:spLocks noChangeArrowheads="1"/>
        </xdr:cNvSpPr>
      </xdr:nvSpPr>
      <xdr:spPr bwMode="auto">
        <a:xfrm>
          <a:off x="10690412" y="3610411"/>
          <a:ext cx="1950509" cy="302933"/>
        </a:xfrm>
        <a:prstGeom prst="actionButtonBlank">
          <a:avLst/>
        </a:prstGeom>
        <a:solidFill>
          <a:srgbClr val="002060"/>
        </a:solidFill>
        <a:ln>
          <a:noFill/>
        </a:ln>
        <a:effectLst/>
        <a:extLst/>
      </xdr:spPr>
      <xdr:txBody>
        <a:bodyPr vertOverflow="clip" wrap="square" lIns="91440" tIns="45720" rIns="91440" bIns="45720" anchor="t" upright="1"/>
        <a:lstStyle/>
        <a:p>
          <a:pPr algn="ctr" rtl="0">
            <a:defRPr sz="1000"/>
          </a:pPr>
          <a:r>
            <a:rPr lang="en-GB" sz="1200" b="0" i="0" u="none" strike="noStrike" baseline="0">
              <a:solidFill>
                <a:schemeClr val="bg1"/>
              </a:solidFill>
              <a:latin typeface="Arial"/>
              <a:cs typeface="Arial"/>
            </a:rPr>
            <a:t>Per share / ratios</a:t>
          </a:r>
        </a:p>
      </xdr:txBody>
    </xdr:sp>
    <xdr:clientData/>
  </xdr:twoCellAnchor>
  <xdr:twoCellAnchor>
    <xdr:from>
      <xdr:col>24</xdr:col>
      <xdr:colOff>0</xdr:colOff>
      <xdr:row>25</xdr:row>
      <xdr:rowOff>149474</xdr:rowOff>
    </xdr:from>
    <xdr:to>
      <xdr:col>24</xdr:col>
      <xdr:colOff>1950509</xdr:colOff>
      <xdr:row>27</xdr:row>
      <xdr:rowOff>138642</xdr:rowOff>
    </xdr:to>
    <xdr:sp macro="" textlink="">
      <xdr:nvSpPr>
        <xdr:cNvPr id="23" name="AutoShape 15">
          <a:hlinkClick xmlns:r="http://schemas.openxmlformats.org/officeDocument/2006/relationships" r:id="rId4" tooltip="Market Drivers"/>
          <a:extLst>
            <a:ext uri="{FF2B5EF4-FFF2-40B4-BE49-F238E27FC236}">
              <a16:creationId xmlns="" xmlns:a16="http://schemas.microsoft.com/office/drawing/2014/main" id="{00000000-0008-0000-0100-000029000000}"/>
            </a:ext>
          </a:extLst>
        </xdr:cNvPr>
        <xdr:cNvSpPr>
          <a:spLocks noChangeArrowheads="1"/>
        </xdr:cNvSpPr>
      </xdr:nvSpPr>
      <xdr:spPr bwMode="auto">
        <a:xfrm>
          <a:off x="10690412" y="4071533"/>
          <a:ext cx="1950509" cy="302933"/>
        </a:xfrm>
        <a:prstGeom prst="actionButtonBlank">
          <a:avLst/>
        </a:prstGeom>
        <a:solidFill>
          <a:srgbClr val="002060"/>
        </a:solidFill>
        <a:ln>
          <a:noFill/>
        </a:ln>
        <a:effectLst/>
        <a:extLst/>
      </xdr:spPr>
      <xdr:txBody>
        <a:bodyPr vertOverflow="clip" wrap="square" lIns="91440" tIns="45720" rIns="91440" bIns="45720" anchor="t" upright="1"/>
        <a:lstStyle/>
        <a:p>
          <a:pPr algn="ctr" rtl="0">
            <a:defRPr sz="1000"/>
          </a:pPr>
          <a:r>
            <a:rPr lang="en-GB" sz="1200" b="0" i="0" u="none" strike="noStrike" baseline="0">
              <a:solidFill>
                <a:schemeClr val="bg1"/>
              </a:solidFill>
              <a:latin typeface="Arial"/>
              <a:cs typeface="Arial"/>
            </a:rPr>
            <a:t>Drivers</a:t>
          </a:r>
        </a:p>
      </xdr:txBody>
    </xdr:sp>
    <xdr:clientData/>
  </xdr:twoCellAnchor>
  <xdr:twoCellAnchor>
    <xdr:from>
      <xdr:col>24</xdr:col>
      <xdr:colOff>1</xdr:colOff>
      <xdr:row>28</xdr:row>
      <xdr:rowOff>139949</xdr:rowOff>
    </xdr:from>
    <xdr:to>
      <xdr:col>24</xdr:col>
      <xdr:colOff>1956371</xdr:colOff>
      <xdr:row>30</xdr:row>
      <xdr:rowOff>129117</xdr:rowOff>
    </xdr:to>
    <xdr:sp macro="" textlink="">
      <xdr:nvSpPr>
        <xdr:cNvPr id="24" name="AutoShape 16">
          <a:hlinkClick xmlns:r="http://schemas.openxmlformats.org/officeDocument/2006/relationships" r:id="rId5" tooltip="Segments"/>
          <a:extLst>
            <a:ext uri="{FF2B5EF4-FFF2-40B4-BE49-F238E27FC236}">
              <a16:creationId xmlns="" xmlns:a16="http://schemas.microsoft.com/office/drawing/2014/main" id="{00000000-0008-0000-0100-00002A000000}"/>
            </a:ext>
          </a:extLst>
        </xdr:cNvPr>
        <xdr:cNvSpPr>
          <a:spLocks noChangeArrowheads="1"/>
        </xdr:cNvSpPr>
      </xdr:nvSpPr>
      <xdr:spPr bwMode="auto">
        <a:xfrm>
          <a:off x="10690413" y="4532655"/>
          <a:ext cx="1956370" cy="302933"/>
        </a:xfrm>
        <a:prstGeom prst="actionButtonBlank">
          <a:avLst/>
        </a:prstGeom>
        <a:solidFill>
          <a:srgbClr val="002060"/>
        </a:solidFill>
        <a:ln>
          <a:noFill/>
        </a:ln>
        <a:effectLst/>
        <a:extLst/>
      </xdr:spPr>
      <xdr:txBody>
        <a:bodyPr vertOverflow="clip" wrap="square" lIns="91440" tIns="45720" rIns="91440" bIns="45720" anchor="t" upright="1"/>
        <a:lstStyle/>
        <a:p>
          <a:pPr algn="ctr" rtl="0">
            <a:defRPr sz="1000"/>
          </a:pPr>
          <a:r>
            <a:rPr lang="en-GB" sz="1200" b="0" i="0" u="none" strike="noStrike" baseline="0">
              <a:solidFill>
                <a:schemeClr val="bg1"/>
              </a:solidFill>
              <a:latin typeface="Arial"/>
              <a:cs typeface="Arial"/>
            </a:rPr>
            <a:t>Segments</a:t>
          </a:r>
        </a:p>
      </xdr:txBody>
    </xdr:sp>
    <xdr:clientData/>
  </xdr:twoCellAnchor>
  <xdr:twoCellAnchor>
    <xdr:from>
      <xdr:col>24</xdr:col>
      <xdr:colOff>1</xdr:colOff>
      <xdr:row>31</xdr:row>
      <xdr:rowOff>130424</xdr:rowOff>
    </xdr:from>
    <xdr:to>
      <xdr:col>24</xdr:col>
      <xdr:colOff>1949044</xdr:colOff>
      <xdr:row>33</xdr:row>
      <xdr:rowOff>119592</xdr:rowOff>
    </xdr:to>
    <xdr:sp macro="" textlink="">
      <xdr:nvSpPr>
        <xdr:cNvPr id="25" name="AutoShape 17">
          <a:hlinkClick xmlns:r="http://schemas.openxmlformats.org/officeDocument/2006/relationships" r:id="rId6" tooltip="Valuation"/>
          <a:extLst>
            <a:ext uri="{FF2B5EF4-FFF2-40B4-BE49-F238E27FC236}">
              <a16:creationId xmlns="" xmlns:a16="http://schemas.microsoft.com/office/drawing/2014/main" id="{00000000-0008-0000-0100-00002B000000}"/>
            </a:ext>
          </a:extLst>
        </xdr:cNvPr>
        <xdr:cNvSpPr>
          <a:spLocks noChangeArrowheads="1"/>
        </xdr:cNvSpPr>
      </xdr:nvSpPr>
      <xdr:spPr bwMode="auto">
        <a:xfrm>
          <a:off x="10690413" y="4993777"/>
          <a:ext cx="1949043" cy="302933"/>
        </a:xfrm>
        <a:prstGeom prst="actionButtonBlank">
          <a:avLst/>
        </a:prstGeom>
        <a:solidFill>
          <a:srgbClr val="002060"/>
        </a:solidFill>
        <a:ln>
          <a:noFill/>
        </a:ln>
        <a:effectLst/>
        <a:extLst/>
      </xdr:spPr>
      <xdr:txBody>
        <a:bodyPr vertOverflow="clip" wrap="square" lIns="91440" tIns="45720" rIns="91440" bIns="45720" anchor="t" upright="1"/>
        <a:lstStyle/>
        <a:p>
          <a:pPr algn="ctr" rtl="0">
            <a:defRPr sz="1000"/>
          </a:pPr>
          <a:r>
            <a:rPr lang="en-GB" sz="1200" b="0" i="0" u="none" strike="noStrike" baseline="0">
              <a:solidFill>
                <a:schemeClr val="bg1"/>
              </a:solidFill>
              <a:latin typeface="Arial"/>
              <a:cs typeface="Arial"/>
            </a:rPr>
            <a:t>Valuation</a:t>
          </a:r>
        </a:p>
      </xdr:txBody>
    </xdr:sp>
    <xdr:clientData/>
  </xdr:twoCellAnchor>
  <xdr:twoCellAnchor>
    <xdr:from>
      <xdr:col>24</xdr:col>
      <xdr:colOff>1</xdr:colOff>
      <xdr:row>34</xdr:row>
      <xdr:rowOff>115479</xdr:rowOff>
    </xdr:from>
    <xdr:to>
      <xdr:col>24</xdr:col>
      <xdr:colOff>1949044</xdr:colOff>
      <xdr:row>36</xdr:row>
      <xdr:rowOff>104647</xdr:rowOff>
    </xdr:to>
    <xdr:sp macro="" textlink="">
      <xdr:nvSpPr>
        <xdr:cNvPr id="27" name="AutoShape 17">
          <a:hlinkClick xmlns:r="http://schemas.openxmlformats.org/officeDocument/2006/relationships" r:id="rId7" tooltip="Valuation"/>
          <a:extLst>
            <a:ext uri="{FF2B5EF4-FFF2-40B4-BE49-F238E27FC236}">
              <a16:creationId xmlns="" xmlns:a16="http://schemas.microsoft.com/office/drawing/2014/main" id="{00000000-0008-0000-0100-00002B000000}"/>
            </a:ext>
          </a:extLst>
        </xdr:cNvPr>
        <xdr:cNvSpPr>
          <a:spLocks noChangeArrowheads="1"/>
        </xdr:cNvSpPr>
      </xdr:nvSpPr>
      <xdr:spPr bwMode="auto">
        <a:xfrm>
          <a:off x="11934266" y="5617567"/>
          <a:ext cx="1949043" cy="302933"/>
        </a:xfrm>
        <a:prstGeom prst="actionButtonBlank">
          <a:avLst/>
        </a:prstGeom>
        <a:solidFill>
          <a:srgbClr val="002060"/>
        </a:solidFill>
        <a:ln>
          <a:noFill/>
        </a:ln>
        <a:effectLst/>
        <a:extLst/>
      </xdr:spPr>
      <xdr:txBody>
        <a:bodyPr vertOverflow="clip" wrap="square" lIns="91440" tIns="45720" rIns="91440" bIns="45720" anchor="t" upright="1"/>
        <a:lstStyle/>
        <a:p>
          <a:pPr algn="ctr" rtl="0">
            <a:defRPr sz="1000"/>
          </a:pPr>
          <a:r>
            <a:rPr lang="en-GB" sz="1200" b="0" i="0" u="none" strike="noStrike" baseline="0">
              <a:solidFill>
                <a:schemeClr val="bg1"/>
              </a:solidFill>
              <a:latin typeface="Arial"/>
              <a:cs typeface="Arial"/>
            </a:rPr>
            <a:t>Financial Summary</a:t>
          </a:r>
        </a:p>
      </xdr:txBody>
    </xdr:sp>
    <xdr:clientData/>
  </xdr:twoCellAnchor>
  <xdr:twoCellAnchor>
    <xdr:from>
      <xdr:col>1</xdr:col>
      <xdr:colOff>44824</xdr:colOff>
      <xdr:row>1</xdr:row>
      <xdr:rowOff>11208</xdr:rowOff>
    </xdr:from>
    <xdr:to>
      <xdr:col>4</xdr:col>
      <xdr:colOff>22412</xdr:colOff>
      <xdr:row>2</xdr:row>
      <xdr:rowOff>95825</xdr:rowOff>
    </xdr:to>
    <xdr:pic>
      <xdr:nvPicPr>
        <xdr:cNvPr id="29" name="Picture 4" descr="MS_PCLogo_Gray128"/>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01706" y="168090"/>
          <a:ext cx="2106706" cy="2751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152400</xdr:colOff>
      <xdr:row>2</xdr:row>
      <xdr:rowOff>19050</xdr:rowOff>
    </xdr:to>
    <xdr:sp macro="" textlink="">
      <xdr:nvSpPr>
        <xdr:cNvPr id="3" name="AutoShape 1">
          <a:hlinkClick xmlns:r="http://schemas.openxmlformats.org/officeDocument/2006/relationships" r:id="rId1" tooltip="Financial Summary"/>
          <a:extLst>
            <a:ext uri="{FF2B5EF4-FFF2-40B4-BE49-F238E27FC236}">
              <a16:creationId xmlns="" xmlns:a16="http://schemas.microsoft.com/office/drawing/2014/main" id="{00000000-0008-0000-0700-000003000000}"/>
            </a:ext>
          </a:extLst>
        </xdr:cNvPr>
        <xdr:cNvSpPr>
          <a:spLocks noChangeArrowheads="1"/>
        </xdr:cNvSpPr>
      </xdr:nvSpPr>
      <xdr:spPr bwMode="auto">
        <a:xfrm>
          <a:off x="0" y="0"/>
          <a:ext cx="314325" cy="342900"/>
        </a:xfrm>
        <a:prstGeom prst="actionButtonHome">
          <a:avLst/>
        </a:prstGeom>
        <a:solidFill>
          <a:srgbClr val="002060"/>
        </a:solidFill>
        <a:ln>
          <a:solidFill>
            <a:schemeClr val="bg1"/>
          </a:solidFill>
        </a:ln>
        <a:effectLst/>
        <a:extLst/>
      </xdr:spPr>
    </xdr:sp>
    <xdr:clientData/>
  </xdr:twoCellAnchor>
  <xdr:twoCellAnchor>
    <xdr:from>
      <xdr:col>14</xdr:col>
      <xdr:colOff>512799</xdr:colOff>
      <xdr:row>103</xdr:row>
      <xdr:rowOff>120281</xdr:rowOff>
    </xdr:from>
    <xdr:to>
      <xdr:col>17</xdr:col>
      <xdr:colOff>408467</xdr:colOff>
      <xdr:row>104</xdr:row>
      <xdr:rowOff>110756</xdr:rowOff>
    </xdr:to>
    <xdr:sp macro="[0]!pemult" textlink="">
      <xdr:nvSpPr>
        <xdr:cNvPr id="2" name="Pentagon 1">
          <a:extLst>
            <a:ext uri="{FF2B5EF4-FFF2-40B4-BE49-F238E27FC236}">
              <a16:creationId xmlns="" xmlns:a16="http://schemas.microsoft.com/office/drawing/2014/main" id="{00000000-0008-0000-0700-000002000000}"/>
            </a:ext>
          </a:extLst>
        </xdr:cNvPr>
        <xdr:cNvSpPr/>
      </xdr:nvSpPr>
      <xdr:spPr bwMode="auto">
        <a:xfrm>
          <a:off x="10148555" y="18306386"/>
          <a:ext cx="1778517" cy="322742"/>
        </a:xfrm>
        <a:prstGeom prst="homePlate">
          <a:avLst/>
        </a:prstGeom>
        <a:solidFill>
          <a:srgbClr val="002060"/>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ctr" anchorCtr="0" upright="1"/>
        <a:lstStyle/>
        <a:p>
          <a:pPr algn="ctr"/>
          <a:r>
            <a:rPr lang="en-AU" sz="1100">
              <a:solidFill>
                <a:schemeClr val="bg1"/>
              </a:solidFill>
            </a:rPr>
            <a:t>Update model multiples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9525</xdr:colOff>
      <xdr:row>0</xdr:row>
      <xdr:rowOff>0</xdr:rowOff>
    </xdr:from>
    <xdr:to>
      <xdr:col>1</xdr:col>
      <xdr:colOff>190500</xdr:colOff>
      <xdr:row>1</xdr:row>
      <xdr:rowOff>133350</xdr:rowOff>
    </xdr:to>
    <xdr:sp macro="" textlink="">
      <xdr:nvSpPr>
        <xdr:cNvPr id="3" name="AutoShape 1">
          <a:hlinkClick xmlns:r="http://schemas.openxmlformats.org/officeDocument/2006/relationships" r:id="rId1" tooltip="Financial Summary"/>
          <a:extLst>
            <a:ext uri="{FF2B5EF4-FFF2-40B4-BE49-F238E27FC236}">
              <a16:creationId xmlns="" xmlns:a16="http://schemas.microsoft.com/office/drawing/2014/main" id="{00000000-0008-0000-0500-000003000000}"/>
            </a:ext>
          </a:extLst>
        </xdr:cNvPr>
        <xdr:cNvSpPr>
          <a:spLocks noChangeArrowheads="1"/>
        </xdr:cNvSpPr>
      </xdr:nvSpPr>
      <xdr:spPr bwMode="auto">
        <a:xfrm>
          <a:off x="9525" y="0"/>
          <a:ext cx="381000" cy="276225"/>
        </a:xfrm>
        <a:prstGeom prst="actionButtonHome">
          <a:avLst/>
        </a:prstGeom>
        <a:solidFill>
          <a:srgbClr val="002060"/>
        </a:solidFill>
        <a:ln>
          <a:solidFill>
            <a:schemeClr val="bg1"/>
          </a:solidFill>
        </a:ln>
        <a:effectLst/>
        <a:extLst/>
      </xdr:spPr>
    </xdr:sp>
    <xdr:clientData/>
  </xdr:twoCellAnchor>
  <xdr:twoCellAnchor>
    <xdr:from>
      <xdr:col>1</xdr:col>
      <xdr:colOff>1783416</xdr:colOff>
      <xdr:row>0</xdr:row>
      <xdr:rowOff>64994</xdr:rowOff>
    </xdr:from>
    <xdr:to>
      <xdr:col>2</xdr:col>
      <xdr:colOff>34738</xdr:colOff>
      <xdr:row>1</xdr:row>
      <xdr:rowOff>83481</xdr:rowOff>
    </xdr:to>
    <xdr:sp macro="[0]!Interestcalc" textlink="">
      <xdr:nvSpPr>
        <xdr:cNvPr id="4" name="Rounded Rectangle 3"/>
        <xdr:cNvSpPr/>
      </xdr:nvSpPr>
      <xdr:spPr>
        <a:xfrm>
          <a:off x="1985122" y="64994"/>
          <a:ext cx="828675" cy="287428"/>
        </a:xfrm>
        <a:prstGeom prst="roundRect">
          <a:avLst/>
        </a:prstGeom>
        <a:solidFill>
          <a:schemeClr val="bg1">
            <a:lumMod val="50000"/>
          </a:schemeClr>
        </a:solidFill>
        <a:ln>
          <a:noFill/>
        </a:ln>
        <a:scene3d>
          <a:camera prst="orthographicFront"/>
          <a:lightRig rig="threePt" dir="t"/>
        </a:scene3d>
        <a:sp3d contourW="12700" prstMaterial="matte">
          <a:bevelT w="19050"/>
          <a:bevelB w="12700"/>
          <a:contourClr>
            <a:schemeClr val="bg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700">
              <a:latin typeface="Arial" panose="020B0604020202020204" pitchFamily="34" charset="0"/>
              <a:cs typeface="Arial" panose="020B0604020202020204" pitchFamily="34" charset="0"/>
            </a:rPr>
            <a:t>Cash balancer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22413</xdr:rowOff>
    </xdr:from>
    <xdr:to>
      <xdr:col>0</xdr:col>
      <xdr:colOff>395568</xdr:colOff>
      <xdr:row>1</xdr:row>
      <xdr:rowOff>145677</xdr:rowOff>
    </xdr:to>
    <xdr:sp macro="" textlink="">
      <xdr:nvSpPr>
        <xdr:cNvPr id="2" name="AutoShape 1">
          <a:hlinkClick xmlns:r="http://schemas.openxmlformats.org/officeDocument/2006/relationships" r:id="rId1" tooltip="Financial Summary"/>
          <a:extLst>
            <a:ext uri="{FF2B5EF4-FFF2-40B4-BE49-F238E27FC236}">
              <a16:creationId xmlns:a16="http://schemas.microsoft.com/office/drawing/2014/main" xmlns="" id="{00000000-0008-0000-0500-000003000000}"/>
            </a:ext>
          </a:extLst>
        </xdr:cNvPr>
        <xdr:cNvSpPr>
          <a:spLocks noChangeArrowheads="1"/>
        </xdr:cNvSpPr>
      </xdr:nvSpPr>
      <xdr:spPr bwMode="auto">
        <a:xfrm>
          <a:off x="0" y="22413"/>
          <a:ext cx="395568" cy="280146"/>
        </a:xfrm>
        <a:prstGeom prst="actionButtonHome">
          <a:avLst/>
        </a:prstGeom>
        <a:solidFill>
          <a:srgbClr val="002060"/>
        </a:solidFill>
        <a:ln>
          <a:solidFill>
            <a:schemeClr val="bg1"/>
          </a:solidFill>
        </a:ln>
        <a:effectLs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2</xdr:row>
      <xdr:rowOff>11206</xdr:rowOff>
    </xdr:from>
    <xdr:to>
      <xdr:col>1</xdr:col>
      <xdr:colOff>324971</xdr:colOff>
      <xdr:row>2</xdr:row>
      <xdr:rowOff>324971</xdr:rowOff>
    </xdr:to>
    <xdr:sp macro="" textlink="">
      <xdr:nvSpPr>
        <xdr:cNvPr id="3" name="AutoShape 1">
          <a:hlinkClick xmlns:r="http://schemas.openxmlformats.org/officeDocument/2006/relationships" r:id="rId1" tooltip="Financial Summary"/>
          <a:extLst>
            <a:ext uri="{FF2B5EF4-FFF2-40B4-BE49-F238E27FC236}">
              <a16:creationId xmlns="" xmlns:a16="http://schemas.microsoft.com/office/drawing/2014/main" id="{00000000-0008-0000-0600-000003000000}"/>
            </a:ext>
          </a:extLst>
        </xdr:cNvPr>
        <xdr:cNvSpPr>
          <a:spLocks noChangeArrowheads="1"/>
        </xdr:cNvSpPr>
      </xdr:nvSpPr>
      <xdr:spPr bwMode="auto">
        <a:xfrm>
          <a:off x="0" y="11206"/>
          <a:ext cx="324971" cy="313765"/>
        </a:xfrm>
        <a:prstGeom prst="actionButtonHome">
          <a:avLst/>
        </a:prstGeom>
        <a:solidFill>
          <a:srgbClr val="002060"/>
        </a:solidFill>
        <a:ln>
          <a:solidFill>
            <a:schemeClr val="bg1"/>
          </a:solidFill>
        </a:ln>
        <a:effectLst/>
        <a:extLst/>
      </xdr:spPr>
    </xdr:sp>
    <xdr:clientData/>
  </xdr:twoCellAnchor>
</xdr:wsDr>
</file>

<file path=xl/externalLinks/_rels/externalLink1.xml.rels><?xml version="1.0" encoding="UTF-8" standalone="yes"?>
<Relationships xmlns="http://schemas.openxmlformats.org/package/2006/relationships">
<Relationship Id="rId1" Target="Object" TargetMode="External" Type="http://schemas.microsoft.com/office/2006/relationships/xlExternalLinkPath/xlPathMissing"/>
</Relationships>

</file>

<file path=xl/externalLinks/_rels/externalLink2.xml.rels><?xml version="1.0" encoding="UTF-8" standalone="yes"?>
<Relationships xmlns="http://schemas.openxmlformats.org/package/2006/relationships">
<Relationship Id="rId1" Target="file:///D:/BLDdata_Model.xls" TargetMode="External" Type="http://schemas.openxmlformats.org/officeDocument/2006/relationships/externalLinkPath"/>
</Relationships>

</file>

<file path=xl/externalLinks/_rels/externalLink3.xml.rels><?xml version="1.0" encoding="UTF-8" standalone="yes"?>
<Relationships xmlns="http://schemas.openxmlformats.org/package/2006/relationships">
<Relationship Id="rId1" Target="file:///D:/INDUSTR/Basic/BLDMAT/Companies/JHX/Models/JHXdata_IV.xls" TargetMode="External" Type="http://schemas.openxmlformats.org/officeDocument/2006/relationships/externalLinkPath"/>
</Relationships>

</file>

<file path=xl/externalLinks/_rels/externalLink4.xml.rels><?xml version="1.0" encoding="UTF-8" standalone="yes"?>
<Relationships xmlns="http://schemas.openxmlformats.org/package/2006/relationships">
<Relationship Id="rId1" Target="file:///D:/INDUSTR/Basic/BLDMAT/Companies/JHX/Models/JHXdata.xls" TargetMode="External" Type="http://schemas.openxmlformats.org/officeDocument/2006/relationships/externalLinkPath"/>
</Relationships>

</file>

<file path=xl/externalLinks/_rels/externalLink5.xml.rels><?xml version="1.0" encoding="UTF-8" standalone="yes"?>
<Relationships xmlns="http://schemas.openxmlformats.org/package/2006/relationships">
<Relationship Id="rId1" Target="file:///D:/INDUSTR/Basic/BLDMAT/Companies/JHX/Models/JHXdata_SGT.xls" TargetMode="External" Type="http://schemas.openxmlformats.org/officeDocument/2006/relationships/externalLinkPath"/>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ICT Model"/>
      <sheetName val="Consolidation"/>
      <sheetName val="E&amp;D"/>
      <sheetName val="VFC-Q"/>
      <sheetName val="XLNX-BAL"/>
      <sheetName val="AnnIS"/>
      <sheetName val="BkBillold"/>
      <sheetName val="Mo BkBill "/>
      <sheetName val="Geographic"/>
      <sheetName val="QtrBS"/>
      <sheetName val="QtrIS"/>
      <sheetName val="INCOME STATEMENT"/>
      <sheetName val="Inc.St."/>
      <sheetName val="#REF"/>
      <sheetName val="VALUEDH"/>
      <sheetName val="Stats"/>
      <sheetName val="DCF"/>
      <sheetName val="EVA"/>
    </sheetNames>
    <sheetDataSet>
      <sheetData sheetId="0">
        <row r="12">
          <cell r="E12">
            <v>101.25</v>
          </cell>
          <cell r="F12">
            <v>0.03</v>
          </cell>
          <cell r="G12">
            <v>6.39</v>
          </cell>
          <cell r="H12">
            <v>1.6</v>
          </cell>
        </row>
        <row r="13">
          <cell r="E13">
            <v>100.81</v>
          </cell>
          <cell r="F13">
            <v>0.69</v>
          </cell>
          <cell r="G13">
            <v>6.32</v>
          </cell>
        </row>
        <row r="14">
          <cell r="E14">
            <v>100.41</v>
          </cell>
          <cell r="F14">
            <v>0.65</v>
          </cell>
          <cell r="G14">
            <v>6.52</v>
          </cell>
        </row>
        <row r="16">
          <cell r="E16">
            <v>97.96</v>
          </cell>
          <cell r="F16">
            <v>0.68</v>
          </cell>
          <cell r="G16">
            <v>7.28</v>
          </cell>
        </row>
        <row r="17">
          <cell r="E17">
            <v>99.78</v>
          </cell>
          <cell r="F17">
            <v>0.97</v>
          </cell>
          <cell r="G17">
            <v>7.27</v>
          </cell>
        </row>
        <row r="22">
          <cell r="E22">
            <v>103.84</v>
          </cell>
          <cell r="F22">
            <v>0.71</v>
          </cell>
          <cell r="G22">
            <v>7.26</v>
          </cell>
        </row>
        <row r="33">
          <cell r="E33">
            <v>76.819999999999993</v>
          </cell>
          <cell r="F33">
            <v>0.16</v>
          </cell>
          <cell r="G33">
            <v>10.25</v>
          </cell>
        </row>
        <row r="41">
          <cell r="E41">
            <v>49.29</v>
          </cell>
          <cell r="F41">
            <v>1.7</v>
          </cell>
          <cell r="G41">
            <v>15.11</v>
          </cell>
        </row>
        <row r="44">
          <cell r="E44">
            <v>43.9</v>
          </cell>
          <cell r="F44">
            <v>1.79</v>
          </cell>
          <cell r="G44">
            <v>14.15</v>
          </cell>
        </row>
        <row r="46">
          <cell r="E46">
            <v>35.04</v>
          </cell>
          <cell r="F46">
            <v>1.53</v>
          </cell>
          <cell r="G46">
            <v>16.46</v>
          </cell>
        </row>
        <row r="150">
          <cell r="E150">
            <v>99.95</v>
          </cell>
          <cell r="F150">
            <v>0.62</v>
          </cell>
          <cell r="G150">
            <v>8.7899999999999991</v>
          </cell>
        </row>
        <row r="154">
          <cell r="E154">
            <v>104.97</v>
          </cell>
          <cell r="F154">
            <v>0.57999999999999996</v>
          </cell>
          <cell r="G154">
            <v>8.5399999999999991</v>
          </cell>
        </row>
        <row r="155">
          <cell r="E155">
            <v>105.22</v>
          </cell>
          <cell r="F155">
            <v>1.07</v>
          </cell>
          <cell r="G155">
            <v>9.01</v>
          </cell>
        </row>
        <row r="166">
          <cell r="E166">
            <v>108.67</v>
          </cell>
          <cell r="F166">
            <v>0.65</v>
          </cell>
          <cell r="G166">
            <v>9.0500000000000007</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s Sheet"/>
      <sheetName val="Questions"/>
      <sheetName val="Div summ table"/>
      <sheetName val="EBIT Rec"/>
      <sheetName val="PeakBottom cycle "/>
      <sheetName val="Divisional"/>
      <sheetName val="P&amp;L output"/>
      <sheetName val="Ratio analysis"/>
      <sheetName val="One page fins"/>
      <sheetName val="Sheet1"/>
      <sheetName val="Chg forecasts"/>
      <sheetName val="GRD"/>
      <sheetName val="Results analysis HY"/>
      <sheetName val="Results analysis FY"/>
      <sheetName val="P&amp;L"/>
      <sheetName val="BS"/>
      <sheetName val="CF"/>
      <sheetName val="Construction"/>
      <sheetName val="OLD forecast"/>
      <sheetName val="Building"/>
      <sheetName val="USA"/>
      <sheetName val="Asia"/>
      <sheetName val="Depn &amp; Amort"/>
      <sheetName val="Tax"/>
      <sheetName val="Interest"/>
      <sheetName val="Sharecapital"/>
      <sheetName val="Valuation sensitivities"/>
      <sheetName val="NPV of Capex"/>
      <sheetName val="Valuation"/>
      <sheetName val="EX Rate OLD"/>
      <sheetName val="Exchange rate"/>
      <sheetName val="Sheet3"/>
      <sheetName val="LT growth"/>
      <sheetName val="Cement market structure"/>
      <sheetName val="Projects"/>
      <sheetName val="Forecasts"/>
      <sheetName val="RD Sheet"/>
      <sheetName val="Chg forecasts HY07 "/>
      <sheetName val="Chart1"/>
      <sheetName val="HY07 Result"/>
      <sheetName val="Sheet2"/>
      <sheetName val="RD data"/>
      <sheetName val="Charts"/>
      <sheetName v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row r="2">
          <cell r="C2">
            <v>3</v>
          </cell>
          <cell r="D2">
            <v>4</v>
          </cell>
          <cell r="E2">
            <v>5</v>
          </cell>
          <cell r="F2">
            <v>6</v>
          </cell>
          <cell r="G2">
            <v>7</v>
          </cell>
          <cell r="H2">
            <v>8</v>
          </cell>
          <cell r="I2">
            <v>9</v>
          </cell>
          <cell r="J2">
            <v>10</v>
          </cell>
          <cell r="K2">
            <v>11</v>
          </cell>
          <cell r="L2">
            <v>12</v>
          </cell>
          <cell r="M2">
            <v>13</v>
          </cell>
          <cell r="N2">
            <v>14</v>
          </cell>
          <cell r="O2">
            <v>15</v>
          </cell>
          <cell r="P2">
            <v>16</v>
          </cell>
          <cell r="Q2">
            <v>17</v>
          </cell>
          <cell r="R2">
            <v>18</v>
          </cell>
          <cell r="S2">
            <v>19</v>
          </cell>
          <cell r="T2">
            <v>20</v>
          </cell>
          <cell r="U2">
            <v>21</v>
          </cell>
          <cell r="V2">
            <v>22</v>
          </cell>
          <cell r="W2">
            <v>23</v>
          </cell>
          <cell r="X2">
            <v>24</v>
          </cell>
          <cell r="Y2">
            <v>25</v>
          </cell>
          <cell r="Z2">
            <v>26</v>
          </cell>
          <cell r="AA2">
            <v>27</v>
          </cell>
          <cell r="AB2">
            <v>28</v>
          </cell>
          <cell r="AC2">
            <v>29</v>
          </cell>
          <cell r="AD2">
            <v>30</v>
          </cell>
          <cell r="AE2">
            <v>31</v>
          </cell>
          <cell r="AF2">
            <v>32</v>
          </cell>
          <cell r="AG2">
            <v>33</v>
          </cell>
          <cell r="AH2">
            <v>34</v>
          </cell>
          <cell r="AI2">
            <v>35</v>
          </cell>
          <cell r="AJ2">
            <v>36</v>
          </cell>
          <cell r="AK2">
            <v>37</v>
          </cell>
          <cell r="AL2">
            <v>38</v>
          </cell>
          <cell r="AM2">
            <v>39</v>
          </cell>
          <cell r="AN2">
            <v>40</v>
          </cell>
          <cell r="AO2">
            <v>41</v>
          </cell>
          <cell r="AP2">
            <v>42</v>
          </cell>
        </row>
        <row r="297">
          <cell r="A297" t="str">
            <v>Con_Rev</v>
          </cell>
          <cell r="B297" t="str">
            <v>Total revenue</v>
          </cell>
          <cell r="C297">
            <v>1745</v>
          </cell>
          <cell r="D297">
            <v>878.5</v>
          </cell>
          <cell r="E297">
            <v>0</v>
          </cell>
          <cell r="F297">
            <v>1776</v>
          </cell>
          <cell r="G297">
            <v>757</v>
          </cell>
          <cell r="H297">
            <v>0</v>
          </cell>
          <cell r="I297">
            <v>1556</v>
          </cell>
          <cell r="J297">
            <v>825.99999999999989</v>
          </cell>
          <cell r="K297">
            <v>0</v>
          </cell>
          <cell r="L297">
            <v>1640</v>
          </cell>
          <cell r="M297">
            <v>919</v>
          </cell>
          <cell r="N297">
            <v>926.95999999999981</v>
          </cell>
          <cell r="O297">
            <v>1845.9599999999998</v>
          </cell>
          <cell r="P297">
            <v>1035.05</v>
          </cell>
          <cell r="Q297">
            <v>1063.79876992</v>
          </cell>
          <cell r="R297">
            <v>2098.84876992</v>
          </cell>
          <cell r="S297">
            <v>1079.3</v>
          </cell>
          <cell r="T297">
            <v>1080.5</v>
          </cell>
          <cell r="U297">
            <v>2164</v>
          </cell>
          <cell r="V297">
            <v>1179.1789999999999</v>
          </cell>
          <cell r="W297">
            <v>1246.8850089972002</v>
          </cell>
          <cell r="X297">
            <v>2412.4</v>
          </cell>
          <cell r="Y297">
            <v>0</v>
          </cell>
          <cell r="Z297">
            <v>0</v>
          </cell>
          <cell r="AA297">
            <v>2653.023775690619</v>
          </cell>
          <cell r="AB297">
            <v>0</v>
          </cell>
          <cell r="AC297">
            <v>0</v>
          </cell>
          <cell r="AD297">
            <v>2973.7500430065502</v>
          </cell>
          <cell r="AE297">
            <v>0</v>
          </cell>
          <cell r="AF297">
            <v>0</v>
          </cell>
          <cell r="AG297">
            <v>3270.1281979602359</v>
          </cell>
          <cell r="AH297">
            <v>0</v>
          </cell>
          <cell r="AI297">
            <v>0</v>
          </cell>
          <cell r="AJ297">
            <v>3450.0014230846728</v>
          </cell>
          <cell r="AK297">
            <v>0</v>
          </cell>
          <cell r="AL297">
            <v>0</v>
          </cell>
          <cell r="AM297">
            <v>3541.6986882483961</v>
          </cell>
          <cell r="AN297">
            <v>0</v>
          </cell>
          <cell r="AO297">
            <v>0</v>
          </cell>
          <cell r="AP297">
            <v>3675.7057742208563</v>
          </cell>
        </row>
        <row r="299">
          <cell r="A299" t="str">
            <v>Con_EBITDA</v>
          </cell>
          <cell r="B299" t="str">
            <v>EBITDA</v>
          </cell>
          <cell r="C299">
            <v>301</v>
          </cell>
          <cell r="D299">
            <v>3.0747500000000008</v>
          </cell>
          <cell r="E299">
            <v>0</v>
          </cell>
          <cell r="F299">
            <v>267</v>
          </cell>
          <cell r="G299">
            <v>3.028</v>
          </cell>
          <cell r="H299">
            <v>0</v>
          </cell>
          <cell r="I299">
            <v>211</v>
          </cell>
          <cell r="J299">
            <v>2.0650000000000004</v>
          </cell>
          <cell r="K299">
            <v>0</v>
          </cell>
          <cell r="L299">
            <v>237</v>
          </cell>
          <cell r="M299">
            <v>160</v>
          </cell>
          <cell r="N299">
            <v>175</v>
          </cell>
          <cell r="O299">
            <v>335</v>
          </cell>
          <cell r="P299">
            <v>202</v>
          </cell>
          <cell r="Q299">
            <v>209.94692151423999</v>
          </cell>
          <cell r="R299">
            <v>411.94692151423999</v>
          </cell>
          <cell r="S299">
            <v>211.09499999999997</v>
          </cell>
          <cell r="T299">
            <v>205.01599999999996</v>
          </cell>
          <cell r="U299">
            <v>416.11099999999993</v>
          </cell>
          <cell r="V299">
            <v>193.75809035759315</v>
          </cell>
          <cell r="W299">
            <v>207.09534035759319</v>
          </cell>
          <cell r="X299">
            <v>409.25639999999999</v>
          </cell>
          <cell r="Y299">
            <v>1.5251999999999999</v>
          </cell>
          <cell r="AA299">
            <v>445.57886419291896</v>
          </cell>
          <cell r="AD299">
            <v>553.22354047859426</v>
          </cell>
          <cell r="AG299">
            <v>640.76514773215263</v>
          </cell>
          <cell r="AJ299">
            <v>689.37148463150356</v>
          </cell>
          <cell r="AM299">
            <v>726.0959888940796</v>
          </cell>
          <cell r="AP299">
            <v>768.63306437291976</v>
          </cell>
        </row>
        <row r="301">
          <cell r="A301" t="str">
            <v>Con_EBIT</v>
          </cell>
          <cell r="B301" t="str">
            <v>Total EBIT</v>
          </cell>
          <cell r="C301">
            <v>194.96885</v>
          </cell>
          <cell r="D301">
            <v>83.9846</v>
          </cell>
          <cell r="E301">
            <v>0</v>
          </cell>
          <cell r="F301">
            <v>166.96176000000003</v>
          </cell>
          <cell r="G301">
            <v>53.535040000000002</v>
          </cell>
          <cell r="H301">
            <v>0</v>
          </cell>
          <cell r="I301">
            <v>116.93339999999999</v>
          </cell>
          <cell r="J301">
            <v>62.973019999999991</v>
          </cell>
          <cell r="K301">
            <v>0</v>
          </cell>
          <cell r="L301">
            <v>142.9752</v>
          </cell>
          <cell r="M301">
            <v>113.01900000000001</v>
          </cell>
          <cell r="N301">
            <v>124.94640000000001</v>
          </cell>
          <cell r="O301">
            <v>237.96540000000002</v>
          </cell>
          <cell r="P301">
            <v>153.18975</v>
          </cell>
          <cell r="Q301">
            <v>153.75717151423999</v>
          </cell>
          <cell r="R301">
            <v>306.94692151423999</v>
          </cell>
          <cell r="S301">
            <v>156.09499999999997</v>
          </cell>
          <cell r="T301">
            <v>149.01599999999996</v>
          </cell>
          <cell r="U301">
            <v>305.11099999999993</v>
          </cell>
          <cell r="V301">
            <v>136.05957499999997</v>
          </cell>
          <cell r="W301">
            <v>149.39682500000001</v>
          </cell>
          <cell r="X301">
            <v>285.45639999999997</v>
          </cell>
          <cell r="Y301">
            <v>0</v>
          </cell>
          <cell r="Z301">
            <v>0</v>
          </cell>
          <cell r="AA301">
            <v>311.02834744291897</v>
          </cell>
          <cell r="AB301">
            <v>0</v>
          </cell>
          <cell r="AC301">
            <v>0</v>
          </cell>
          <cell r="AD301">
            <v>396.56456268528177</v>
          </cell>
          <cell r="AE301">
            <v>0</v>
          </cell>
          <cell r="AF301">
            <v>0</v>
          </cell>
          <cell r="AG301">
            <v>461.06269727670576</v>
          </cell>
          <cell r="AH301">
            <v>50</v>
          </cell>
          <cell r="AI301">
            <v>50</v>
          </cell>
          <cell r="AJ301">
            <v>485.80391974781884</v>
          </cell>
          <cell r="AK301">
            <v>50</v>
          </cell>
          <cell r="AL301">
            <v>50</v>
          </cell>
          <cell r="AM301">
            <v>497.97249680153078</v>
          </cell>
          <cell r="AN301">
            <v>50</v>
          </cell>
          <cell r="AO301">
            <v>50</v>
          </cell>
          <cell r="AP301">
            <v>515.41031033435013</v>
          </cell>
        </row>
      </sheetData>
      <sheetData sheetId="18"/>
      <sheetData sheetId="19" refreshError="1">
        <row r="2">
          <cell r="C2">
            <v>3</v>
          </cell>
        </row>
      </sheetData>
      <sheetData sheetId="20" refreshError="1">
        <row r="2">
          <cell r="D2">
            <v>4</v>
          </cell>
          <cell r="E2">
            <v>5</v>
          </cell>
          <cell r="G2">
            <v>7</v>
          </cell>
          <cell r="H2">
            <v>8</v>
          </cell>
          <cell r="J2">
            <v>10</v>
          </cell>
          <cell r="K2">
            <v>11</v>
          </cell>
          <cell r="M2">
            <v>13</v>
          </cell>
          <cell r="N2">
            <v>14</v>
          </cell>
          <cell r="P2">
            <v>16</v>
          </cell>
          <cell r="Q2">
            <v>17</v>
          </cell>
          <cell r="S2">
            <v>19</v>
          </cell>
          <cell r="T2">
            <v>20</v>
          </cell>
          <cell r="V2">
            <v>22</v>
          </cell>
          <cell r="W2">
            <v>23</v>
          </cell>
          <cell r="Y2">
            <v>25</v>
          </cell>
          <cell r="Z2">
            <v>26</v>
          </cell>
          <cell r="AB2">
            <v>28</v>
          </cell>
          <cell r="AC2">
            <v>29</v>
          </cell>
          <cell r="AE2">
            <v>31</v>
          </cell>
          <cell r="AF2">
            <v>32</v>
          </cell>
          <cell r="AH2">
            <v>34</v>
          </cell>
          <cell r="AI2">
            <v>35</v>
          </cell>
          <cell r="AK2">
            <v>37</v>
          </cell>
          <cell r="AL2">
            <v>38</v>
          </cell>
          <cell r="AN2">
            <v>40</v>
          </cell>
          <cell r="AO2">
            <v>41</v>
          </cell>
        </row>
      </sheetData>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 sheetId="39"/>
      <sheetData sheetId="40"/>
      <sheetData sheetId="41"/>
      <sheetData sheetId="42"/>
      <sheetData sheetId="4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s Sheet"/>
      <sheetName val="Graphs and Tables"/>
      <sheetName val="P&amp;L output"/>
      <sheetName val="Divisional"/>
      <sheetName val="Ratio analysis"/>
      <sheetName val="One page fins"/>
      <sheetName val="Chg forecasts"/>
      <sheetName val="GRD"/>
      <sheetName val="GRD OLD 050526"/>
      <sheetName val="QICdata"/>
      <sheetName val="BS"/>
      <sheetName val="CF"/>
      <sheetName val="P&amp;L"/>
      <sheetName val="Front page"/>
      <sheetName val="Output table"/>
      <sheetName val="Charts"/>
      <sheetName val="Result Day 05"/>
      <sheetName val="Result Day 06"/>
      <sheetName val="Asia Pacific"/>
      <sheetName val="USA"/>
      <sheetName val="Asbestos scenarios"/>
      <sheetName val="Asbestos"/>
      <sheetName val="Asbestos short NPV"/>
      <sheetName val="Depn &amp; Amort"/>
      <sheetName val="Interest"/>
      <sheetName val="Tax"/>
      <sheetName val="Sharecapital"/>
      <sheetName val="Valuation sensitivities"/>
      <sheetName val="Valuation"/>
      <sheetName val="Old X Rate"/>
      <sheetName val="Exchange rate"/>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row r="54">
          <cell r="A54" t="str">
            <v>SCI_Costs</v>
          </cell>
          <cell r="B54" t="str">
            <v>SCI costs</v>
          </cell>
          <cell r="U54">
            <v>-35</v>
          </cell>
          <cell r="V54">
            <v>-7.5</v>
          </cell>
          <cell r="W54">
            <v>-9.8999999999999986</v>
          </cell>
          <cell r="X54">
            <v>-17.399999999999999</v>
          </cell>
          <cell r="AA54">
            <v>-10</v>
          </cell>
        </row>
        <row r="81">
          <cell r="A81" t="str">
            <v>NPAT_EX_ALL</v>
          </cell>
          <cell r="B81" t="str">
            <v>NPAT ex SCI ex asbestos</v>
          </cell>
          <cell r="F81">
            <v>103.48631832</v>
          </cell>
          <cell r="I81">
            <v>62.322008000000011</v>
          </cell>
          <cell r="L81">
            <v>31.127457668285903</v>
          </cell>
          <cell r="O81">
            <v>78.619590437835896</v>
          </cell>
          <cell r="R81">
            <v>111.89926619686398</v>
          </cell>
          <cell r="U81">
            <v>158.23971235697459</v>
          </cell>
          <cell r="V81">
            <v>126.94499999999999</v>
          </cell>
          <cell r="X81">
            <v>212.70824999999999</v>
          </cell>
          <cell r="Y81">
            <v>10</v>
          </cell>
          <cell r="Z81">
            <v>200.87449002562846</v>
          </cell>
          <cell r="AA81">
            <v>212.68595232651344</v>
          </cell>
          <cell r="AB81">
            <v>0</v>
          </cell>
          <cell r="AC81">
            <v>0</v>
          </cell>
          <cell r="AD81">
            <v>229.72765174145292</v>
          </cell>
          <cell r="AE81">
            <v>0</v>
          </cell>
          <cell r="AF81">
            <v>0</v>
          </cell>
          <cell r="AG81">
            <v>265.72150184845663</v>
          </cell>
          <cell r="AH81">
            <v>0</v>
          </cell>
          <cell r="AI81">
            <v>0</v>
          </cell>
          <cell r="AJ81">
            <v>302.60412803510167</v>
          </cell>
          <cell r="AK81">
            <v>0</v>
          </cell>
          <cell r="AL81">
            <v>0</v>
          </cell>
          <cell r="AM81">
            <v>342.676120957975</v>
          </cell>
          <cell r="AN81">
            <v>0</v>
          </cell>
          <cell r="AO81">
            <v>0</v>
          </cell>
          <cell r="AP81">
            <v>392.86921224361407</v>
          </cell>
          <cell r="AQ81">
            <v>0</v>
          </cell>
          <cell r="AR81">
            <v>0</v>
          </cell>
          <cell r="AS81">
            <v>400.91017285579471</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 do"/>
      <sheetName val="P&amp;L output"/>
      <sheetName val="Divisional"/>
      <sheetName val="Ratio analysis"/>
      <sheetName val="One page fins"/>
      <sheetName val="Chg forecasts"/>
      <sheetName val="GRD"/>
      <sheetName val="GRD OLD 050526"/>
      <sheetName val="QICdata"/>
      <sheetName val="P&amp;L"/>
      <sheetName val="BS"/>
      <sheetName val="CF"/>
      <sheetName val="Front page"/>
      <sheetName val="Output table"/>
      <sheetName val="Charts"/>
      <sheetName val="USA"/>
      <sheetName val="Asia Pacific"/>
      <sheetName val="Asbestos scenarios"/>
      <sheetName val="Asbestos"/>
      <sheetName val="Depn &amp; Amort"/>
      <sheetName val="Interest"/>
      <sheetName val="Tax"/>
      <sheetName val="Sharecapital"/>
      <sheetName val="Valuation sensitivities"/>
      <sheetName val="Valuation"/>
      <sheetName val="Exchange rate"/>
      <sheetName val="Result Day"/>
    </sheetNames>
    <sheetDataSet>
      <sheetData sheetId="0"/>
      <sheetData sheetId="1"/>
      <sheetData sheetId="2"/>
      <sheetData sheetId="3"/>
      <sheetData sheetId="4"/>
      <sheetData sheetId="5"/>
      <sheetData sheetId="6"/>
      <sheetData sheetId="7"/>
      <sheetData sheetId="8"/>
      <sheetData sheetId="9" refreshError="1">
        <row r="39">
          <cell r="A39" t="str">
            <v>Total_EBITDA</v>
          </cell>
          <cell r="B39" t="str">
            <v xml:space="preserve">Total EBITDA </v>
          </cell>
          <cell r="D39">
            <v>0</v>
          </cell>
          <cell r="E39">
            <v>0</v>
          </cell>
          <cell r="F39">
            <v>226.697452</v>
          </cell>
          <cell r="G39">
            <v>0</v>
          </cell>
          <cell r="H39">
            <v>0</v>
          </cell>
          <cell r="I39">
            <v>141.93143999999998</v>
          </cell>
          <cell r="J39">
            <v>0</v>
          </cell>
          <cell r="K39">
            <v>0</v>
          </cell>
          <cell r="L39">
            <v>83.067796668979867</v>
          </cell>
          <cell r="M39">
            <v>0</v>
          </cell>
          <cell r="N39">
            <v>0</v>
          </cell>
          <cell r="O39">
            <v>156.29139949838768</v>
          </cell>
          <cell r="P39">
            <v>0</v>
          </cell>
          <cell r="Q39">
            <v>0</v>
          </cell>
          <cell r="R39">
            <v>208.57284956067244</v>
          </cell>
          <cell r="S39">
            <v>0</v>
          </cell>
          <cell r="T39">
            <v>0</v>
          </cell>
          <cell r="U39">
            <v>232.45673193853514</v>
          </cell>
          <cell r="V39">
            <v>0</v>
          </cell>
          <cell r="W39">
            <v>0</v>
          </cell>
          <cell r="X39">
            <v>334.40335377683806</v>
          </cell>
          <cell r="Y39">
            <v>0</v>
          </cell>
          <cell r="Z39">
            <v>0</v>
          </cell>
          <cell r="AA39">
            <v>368.72309631659363</v>
          </cell>
          <cell r="AB39">
            <v>0</v>
          </cell>
          <cell r="AC39">
            <v>0</v>
          </cell>
          <cell r="AD39">
            <v>442.1785974501214</v>
          </cell>
          <cell r="AE39">
            <v>0</v>
          </cell>
          <cell r="AF39">
            <v>0</v>
          </cell>
          <cell r="AG39">
            <v>517.70614820641345</v>
          </cell>
          <cell r="AH39">
            <v>0</v>
          </cell>
          <cell r="AI39">
            <v>0</v>
          </cell>
          <cell r="AJ39">
            <v>606.32207993044904</v>
          </cell>
          <cell r="AK39">
            <v>0</v>
          </cell>
          <cell r="AL39">
            <v>0</v>
          </cell>
          <cell r="AM39">
            <v>704.21498338220863</v>
          </cell>
          <cell r="AN39">
            <v>0</v>
          </cell>
          <cell r="AO39">
            <v>0</v>
          </cell>
          <cell r="AP39">
            <v>773.74134553468377</v>
          </cell>
        </row>
      </sheetData>
      <sheetData sheetId="10" refreshError="1">
        <row r="20">
          <cell r="A20" t="str">
            <v>total_CA</v>
          </cell>
          <cell r="B20" t="str">
            <v>Total current assets</v>
          </cell>
          <cell r="C20">
            <v>245.97863999999998</v>
          </cell>
          <cell r="D20">
            <v>0</v>
          </cell>
          <cell r="E20">
            <v>0</v>
          </cell>
          <cell r="F20">
            <v>364.09107</v>
          </cell>
          <cell r="G20">
            <v>289.10000000000002</v>
          </cell>
          <cell r="I20">
            <v>257.70000000000005</v>
          </cell>
          <cell r="J20">
            <v>284.60000000000002</v>
          </cell>
          <cell r="L20">
            <v>238.10000000000002</v>
          </cell>
          <cell r="M20">
            <v>488.8</v>
          </cell>
          <cell r="O20">
            <v>271.8</v>
          </cell>
          <cell r="P20">
            <v>0</v>
          </cell>
          <cell r="Q20">
            <v>0</v>
          </cell>
          <cell r="R20">
            <v>365.2</v>
          </cell>
          <cell r="S20">
            <v>367.7</v>
          </cell>
          <cell r="U20">
            <v>378.6</v>
          </cell>
          <cell r="V20" t="e">
            <v>#DIV/0!</v>
          </cell>
          <cell r="X20">
            <v>384.08238564378667</v>
          </cell>
          <cell r="Y20" t="e">
            <v>#DIV/0!</v>
          </cell>
          <cell r="AA20">
            <v>373.2474826822363</v>
          </cell>
          <cell r="AB20" t="e">
            <v>#DIV/0!</v>
          </cell>
          <cell r="AD20">
            <v>513.35301127767593</v>
          </cell>
          <cell r="AE20" t="e">
            <v>#DIV/0!</v>
          </cell>
          <cell r="AG20">
            <v>697.80898759547108</v>
          </cell>
          <cell r="AH20" t="e">
            <v>#DIV/0!</v>
          </cell>
          <cell r="AJ20">
            <v>926.21954836579016</v>
          </cell>
          <cell r="AK20" t="e">
            <v>#DIV/0!</v>
          </cell>
          <cell r="AM20">
            <v>1293.7754556297527</v>
          </cell>
          <cell r="AN20" t="e">
            <v>#DIV/0!</v>
          </cell>
          <cell r="AP20">
            <v>1700.455762363433</v>
          </cell>
        </row>
        <row r="38">
          <cell r="A38" t="str">
            <v>total_CL</v>
          </cell>
          <cell r="B38" t="str">
            <v>Total current liabilities</v>
          </cell>
          <cell r="C38">
            <v>168.2148</v>
          </cell>
          <cell r="D38">
            <v>0</v>
          </cell>
          <cell r="E38">
            <v>0</v>
          </cell>
          <cell r="F38">
            <v>188.66042999999999</v>
          </cell>
          <cell r="G38">
            <v>144</v>
          </cell>
          <cell r="I38">
            <v>172.8</v>
          </cell>
          <cell r="J38">
            <v>139.5</v>
          </cell>
          <cell r="L38">
            <v>123.10000000000001</v>
          </cell>
          <cell r="M38">
            <v>175.59999999999997</v>
          </cell>
          <cell r="O38">
            <v>136.6</v>
          </cell>
          <cell r="P38">
            <v>0</v>
          </cell>
          <cell r="Q38">
            <v>0</v>
          </cell>
          <cell r="R38">
            <v>169.3</v>
          </cell>
          <cell r="S38">
            <v>192.2</v>
          </cell>
          <cell r="U38">
            <v>198.4</v>
          </cell>
          <cell r="V38">
            <v>169.18</v>
          </cell>
          <cell r="X38">
            <v>164.38600000000002</v>
          </cell>
          <cell r="Y38">
            <v>166.20771999999999</v>
          </cell>
          <cell r="AA38">
            <v>294.26500440000001</v>
          </cell>
          <cell r="AB38">
            <v>169.96119188800003</v>
          </cell>
          <cell r="AD38">
            <v>379.18953582576006</v>
          </cell>
          <cell r="AE38">
            <v>173.86630404027522</v>
          </cell>
          <cell r="AG38">
            <v>494.82872002408061</v>
          </cell>
          <cell r="AH38">
            <v>177.92918272350232</v>
          </cell>
          <cell r="AJ38">
            <v>615.60650517806243</v>
          </cell>
          <cell r="AK38">
            <v>182.15620170553183</v>
          </cell>
          <cell r="AM38">
            <v>741.33166290373606</v>
          </cell>
          <cell r="AN38">
            <v>186.55399225443529</v>
          </cell>
          <cell r="AP38">
            <v>872.14263057854009</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 do"/>
      <sheetName val="P&amp;L output"/>
      <sheetName val="Divisional"/>
      <sheetName val="Ratio analysis"/>
      <sheetName val="One page fins"/>
      <sheetName val="Chg forecasts"/>
      <sheetName val="GRD"/>
      <sheetName val="GRD OLD 050526"/>
      <sheetName val="QICdata"/>
      <sheetName val="P&amp;L"/>
      <sheetName val="BS"/>
      <sheetName val="CF"/>
      <sheetName val="Front page"/>
      <sheetName val="Output table"/>
      <sheetName val="Charts"/>
      <sheetName val="Result Day"/>
      <sheetName val="USA"/>
      <sheetName val="Asia Pacific"/>
      <sheetName val="Asbestos scenarios"/>
      <sheetName val="Asbestos"/>
      <sheetName val="Depn &amp; Amort"/>
      <sheetName val="Interest"/>
      <sheetName val="Tax"/>
      <sheetName val="Sharecapital"/>
      <sheetName val="Valuation sensitivities"/>
      <sheetName val="Valuation"/>
      <sheetName val="Exchange rat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row r="2">
          <cell r="C2">
            <v>3</v>
          </cell>
          <cell r="H2">
            <v>8</v>
          </cell>
          <cell r="M2">
            <v>13</v>
          </cell>
          <cell r="R2">
            <v>18</v>
          </cell>
          <cell r="W2">
            <v>23</v>
          </cell>
          <cell r="AB2">
            <v>28</v>
          </cell>
          <cell r="AG2">
            <v>33</v>
          </cell>
          <cell r="AL2">
            <v>38</v>
          </cell>
          <cell r="AQ2">
            <v>43</v>
          </cell>
          <cell r="AV2">
            <v>48</v>
          </cell>
          <cell r="BA2">
            <v>53</v>
          </cell>
          <cell r="BF2">
            <v>58</v>
          </cell>
          <cell r="BK2">
            <v>63</v>
          </cell>
          <cell r="BP2">
            <v>68</v>
          </cell>
        </row>
        <row r="69">
          <cell r="A69" t="str">
            <v>USA_revenue</v>
          </cell>
          <cell r="B69" t="str">
            <v>Revenue</v>
          </cell>
          <cell r="C69">
            <v>245.53399999999999</v>
          </cell>
          <cell r="D69">
            <v>77.885000000000005</v>
          </cell>
          <cell r="E69">
            <v>78.507000000000005</v>
          </cell>
          <cell r="F69">
            <v>72.67</v>
          </cell>
          <cell r="G69">
            <v>81.158000000000001</v>
          </cell>
          <cell r="H69">
            <v>310.3</v>
          </cell>
          <cell r="I69">
            <v>94.16</v>
          </cell>
          <cell r="J69">
            <v>98.111999999999995</v>
          </cell>
          <cell r="K69">
            <v>90.814999999999998</v>
          </cell>
          <cell r="L69">
            <v>89.486000000000004</v>
          </cell>
          <cell r="M69">
            <v>372.738</v>
          </cell>
          <cell r="N69">
            <v>111.264</v>
          </cell>
          <cell r="O69">
            <v>113.16</v>
          </cell>
          <cell r="P69">
            <v>102.377</v>
          </cell>
          <cell r="Q69">
            <v>117.13</v>
          </cell>
          <cell r="R69">
            <v>444.78787499999999</v>
          </cell>
          <cell r="S69">
            <v>152.66</v>
          </cell>
          <cell r="T69">
            <v>154.68299999999999</v>
          </cell>
          <cell r="U69">
            <v>142.44399999999999</v>
          </cell>
          <cell r="V69">
            <v>146.31800000000001</v>
          </cell>
          <cell r="W69">
            <v>599.58299999999997</v>
          </cell>
          <cell r="X69">
            <v>187.01599999999999</v>
          </cell>
          <cell r="Y69">
            <v>191.59</v>
          </cell>
          <cell r="Z69">
            <v>175.06200000000001</v>
          </cell>
          <cell r="AA69">
            <v>185.47200000000001</v>
          </cell>
          <cell r="AB69">
            <v>738.56799999999998</v>
          </cell>
          <cell r="AC69">
            <v>240.68832</v>
          </cell>
          <cell r="AD69">
            <v>231.38</v>
          </cell>
          <cell r="AE69">
            <v>220.32035871120002</v>
          </cell>
          <cell r="AF69">
            <v>247.24617603839999</v>
          </cell>
          <cell r="AG69">
            <v>939.2875471415</v>
          </cell>
          <cell r="AH69">
            <v>287.48403999999999</v>
          </cell>
          <cell r="AI69">
            <v>283.47567200000009</v>
          </cell>
          <cell r="AJ69">
            <v>271.7628453357537</v>
          </cell>
          <cell r="AK69">
            <v>306.07534733816135</v>
          </cell>
          <cell r="AL69">
            <v>1168.5925186063132</v>
          </cell>
          <cell r="AQ69">
            <v>1420.4315100692149</v>
          </cell>
          <cell r="AV69">
            <v>1651.5712275452283</v>
          </cell>
          <cell r="BA69">
            <v>1940.9265066111523</v>
          </cell>
          <cell r="BF69">
            <v>2260.7911949006702</v>
          </cell>
          <cell r="BK69">
            <v>2633.3695838203007</v>
          </cell>
          <cell r="BP69">
            <v>3012.5748038904239</v>
          </cell>
        </row>
        <row r="79">
          <cell r="A79" t="str">
            <v>USA_EBITDA</v>
          </cell>
          <cell r="B79" t="str">
            <v>EBITDA</v>
          </cell>
          <cell r="C79">
            <v>95.02021719999999</v>
          </cell>
          <cell r="D79">
            <v>17.60201</v>
          </cell>
          <cell r="E79">
            <v>19.626750000000001</v>
          </cell>
          <cell r="F79">
            <v>16.106670000000001</v>
          </cell>
          <cell r="G79">
            <v>18.962022000000001</v>
          </cell>
          <cell r="H79">
            <v>121.697452</v>
          </cell>
          <cell r="I79">
            <v>18.832000000000001</v>
          </cell>
          <cell r="J79">
            <v>17.463935999999997</v>
          </cell>
          <cell r="K79" t="e">
            <v>#REF!</v>
          </cell>
          <cell r="L79" t="e">
            <v>#REF!</v>
          </cell>
          <cell r="M79">
            <v>84.643140000000002</v>
          </cell>
          <cell r="N79">
            <v>23.4</v>
          </cell>
          <cell r="O79">
            <v>28.2</v>
          </cell>
          <cell r="P79" t="e">
            <v>#REF!</v>
          </cell>
          <cell r="Q79" t="e">
            <v>#REF!</v>
          </cell>
          <cell r="R79">
            <v>112.89999999999999</v>
          </cell>
          <cell r="S79">
            <v>38.799999999999997</v>
          </cell>
          <cell r="T79">
            <v>40.700000000000003</v>
          </cell>
          <cell r="U79">
            <v>36.799999999999997</v>
          </cell>
          <cell r="V79">
            <v>37.9</v>
          </cell>
          <cell r="W79">
            <v>173.3</v>
          </cell>
          <cell r="X79">
            <v>54.5</v>
          </cell>
          <cell r="Y79">
            <v>53.3</v>
          </cell>
          <cell r="Z79">
            <v>44.6</v>
          </cell>
          <cell r="AA79">
            <v>43.2</v>
          </cell>
          <cell r="AB79">
            <v>220.70000000000002</v>
          </cell>
          <cell r="AC79">
            <v>63</v>
          </cell>
          <cell r="AD79">
            <v>49</v>
          </cell>
          <cell r="AE79">
            <v>52.215925014554401</v>
          </cell>
          <cell r="AF79">
            <v>77.140806923980804</v>
          </cell>
          <cell r="AG79">
            <v>264.55673193853517</v>
          </cell>
          <cell r="AL79">
            <v>341.30195529842985</v>
          </cell>
          <cell r="AQ79">
            <v>393.02676413082452</v>
          </cell>
          <cell r="AV79">
            <v>448.50276059298926</v>
          </cell>
          <cell r="BA79">
            <v>513.40428714881284</v>
          </cell>
          <cell r="BF79">
            <v>594.21563903607307</v>
          </cell>
          <cell r="BK79">
            <v>688.23077147530785</v>
          </cell>
          <cell r="BP79">
            <v>753.80297971954133</v>
          </cell>
        </row>
        <row r="83">
          <cell r="A83" t="str">
            <v>USA_EBIT</v>
          </cell>
          <cell r="B83" t="str">
            <v>EBIT</v>
          </cell>
          <cell r="C83">
            <v>45.620217199999999</v>
          </cell>
          <cell r="D83">
            <v>17.60201</v>
          </cell>
          <cell r="E83">
            <v>19.626750000000001</v>
          </cell>
          <cell r="F83">
            <v>16.106670000000001</v>
          </cell>
          <cell r="G83">
            <v>18.962022000000001</v>
          </cell>
          <cell r="H83">
            <v>72.297452000000007</v>
          </cell>
          <cell r="I83">
            <v>18.832000000000001</v>
          </cell>
          <cell r="J83">
            <v>17.463935999999997</v>
          </cell>
          <cell r="K83">
            <v>18.344630000000002</v>
          </cell>
          <cell r="L83">
            <v>18.702573999999998</v>
          </cell>
          <cell r="M83">
            <v>73.343140000000005</v>
          </cell>
          <cell r="N83">
            <v>23.4</v>
          </cell>
          <cell r="O83">
            <v>28.2</v>
          </cell>
          <cell r="P83">
            <v>21.8</v>
          </cell>
          <cell r="Q83">
            <v>24.2</v>
          </cell>
          <cell r="R83">
            <v>98.399999999999991</v>
          </cell>
          <cell r="S83">
            <v>38.799999999999997</v>
          </cell>
          <cell r="T83">
            <v>40.700000000000003</v>
          </cell>
          <cell r="U83">
            <v>36.799999999999997</v>
          </cell>
          <cell r="V83">
            <v>37.9</v>
          </cell>
          <cell r="W83">
            <v>155.1</v>
          </cell>
          <cell r="X83">
            <v>54.5</v>
          </cell>
          <cell r="Y83">
            <v>53.3</v>
          </cell>
          <cell r="Z83">
            <v>44.6</v>
          </cell>
          <cell r="AA83">
            <v>43.2</v>
          </cell>
          <cell r="AB83">
            <v>195.60000000000002</v>
          </cell>
          <cell r="AC83">
            <v>63</v>
          </cell>
          <cell r="AD83">
            <v>49</v>
          </cell>
          <cell r="AE83">
            <v>52.215925014554401</v>
          </cell>
          <cell r="AF83">
            <v>77.140806923980804</v>
          </cell>
          <cell r="AG83">
            <v>241.45673193853517</v>
          </cell>
          <cell r="AH83">
            <v>94.007281079999998</v>
          </cell>
          <cell r="AI83">
            <v>56.695134400000022</v>
          </cell>
          <cell r="AL83">
            <v>315.51998002370459</v>
          </cell>
          <cell r="AQ83">
            <v>366.47132959785745</v>
          </cell>
          <cell r="AV83">
            <v>421.15066302403324</v>
          </cell>
          <cell r="BA83">
            <v>485.23162665278807</v>
          </cell>
          <cell r="BF83">
            <v>565.19779872516756</v>
          </cell>
          <cell r="BK83">
            <v>658.34239595507518</v>
          </cell>
          <cell r="BP83">
            <v>723.01795293370174</v>
          </cell>
        </row>
      </sheetData>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mailto:AdelaideBrighton@adbri.com.au" TargetMode="External" Type="http://schemas.openxmlformats.org/officeDocument/2006/relationships/hyperlink"/>
<Relationship Id="rId2" Target="../printerSettings/printerSettings2.bin" Type="http://schemas.openxmlformats.org/officeDocument/2006/relationships/printerSettings"/>
<Relationship Id="rId3" Target="../drawings/drawing2.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drawing3.xml" Type="http://schemas.openxmlformats.org/officeDocument/2006/relationships/drawing"/>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drawing4.xml" Type="http://schemas.openxmlformats.org/officeDocument/2006/relationships/drawing"/>
<Relationship Id="rId3" Target="../drawings/vmlDrawing1.vml" Type="http://schemas.openxmlformats.org/officeDocument/2006/relationships/vmlDrawing"/>
<Relationship Id="rId4" Target="../comments1.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5.xml" Type="http://schemas.openxmlformats.org/officeDocument/2006/relationships/drawing"/>
<Relationship Id="rId3" Target="../drawings/vmlDrawing2.vml" Type="http://schemas.openxmlformats.org/officeDocument/2006/relationships/vmlDrawing"/>
<Relationship Id="rId4" Target="../comments2.xml" Type="http://schemas.openxmlformats.org/officeDocument/2006/relationships/comments"/>
</Relationships>

</file>

<file path=xl/worksheets/_rels/sheet7.xml.rels><?xml version="1.0" encoding="UTF-8" standalone="yes"?>
<Relationships xmlns="http://schemas.openxmlformats.org/package/2006/relationships">
<Relationship Id="rId1" Target="../drawings/drawing6.xml" Type="http://schemas.openxmlformats.org/officeDocument/2006/relationships/drawing"/>
</Relationships>

</file>

<file path=xl/worksheets/_rels/sheet8.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drawing7.xml" Type="http://schemas.openxmlformats.org/officeDocument/2006/relationships/drawing"/>
<Relationship Id="rId3" Target="../drawings/vmlDrawing3.vml" Type="http://schemas.openxmlformats.org/officeDocument/2006/relationships/vmlDrawing"/>
<Relationship Id="rId4" Target="../comments3.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94"/>
  <sheetViews>
    <sheetView showGridLines="0" tabSelected="1" workbookViewId="0">
      <selection activeCell="Z1" sqref="Z1"/>
    </sheetView>
  </sheetViews>
  <sheetFormatPr defaultRowHeight="12.75"/>
  <cols>
    <col min="1" max="1" width="25.7109375" style="660" customWidth="1"/>
    <col min="2" max="5" width="9.140625" style="660"/>
    <col min="6" max="6" width="18.7109375" style="660" customWidth="1"/>
    <col min="7" max="256" width="9.140625" style="660"/>
    <col min="257" max="257" width="100.7109375" style="660" customWidth="1"/>
    <col min="258" max="512" width="9.140625" style="660"/>
    <col min="513" max="513" width="100.7109375" style="660" customWidth="1"/>
    <col min="514" max="768" width="9.140625" style="660"/>
    <col min="769" max="769" width="100.7109375" style="660" customWidth="1"/>
    <col min="770" max="1024" width="9.140625" style="660"/>
    <col min="1025" max="1025" width="100.7109375" style="660" customWidth="1"/>
    <col min="1026" max="1280" width="9.140625" style="660"/>
    <col min="1281" max="1281" width="100.7109375" style="660" customWidth="1"/>
    <col min="1282" max="1536" width="9.140625" style="660"/>
    <col min="1537" max="1537" width="100.7109375" style="660" customWidth="1"/>
    <col min="1538" max="1792" width="9.140625" style="660"/>
    <col min="1793" max="1793" width="100.7109375" style="660" customWidth="1"/>
    <col min="1794" max="2048" width="9.140625" style="660"/>
    <col min="2049" max="2049" width="100.7109375" style="660" customWidth="1"/>
    <col min="2050" max="2304" width="9.140625" style="660"/>
    <col min="2305" max="2305" width="100.7109375" style="660" customWidth="1"/>
    <col min="2306" max="2560" width="9.140625" style="660"/>
    <col min="2561" max="2561" width="100.7109375" style="660" customWidth="1"/>
    <col min="2562" max="2816" width="9.140625" style="660"/>
    <col min="2817" max="2817" width="100.7109375" style="660" customWidth="1"/>
    <col min="2818" max="3072" width="9.140625" style="660"/>
    <col min="3073" max="3073" width="100.7109375" style="660" customWidth="1"/>
    <col min="3074" max="3328" width="9.140625" style="660"/>
    <col min="3329" max="3329" width="100.7109375" style="660" customWidth="1"/>
    <col min="3330" max="3584" width="9.140625" style="660"/>
    <col min="3585" max="3585" width="100.7109375" style="660" customWidth="1"/>
    <col min="3586" max="3840" width="9.140625" style="660"/>
    <col min="3841" max="3841" width="100.7109375" style="660" customWidth="1"/>
    <col min="3842" max="4096" width="9.140625" style="660"/>
    <col min="4097" max="4097" width="100.7109375" style="660" customWidth="1"/>
    <col min="4098" max="4352" width="9.140625" style="660"/>
    <col min="4353" max="4353" width="100.7109375" style="660" customWidth="1"/>
    <col min="4354" max="4608" width="9.140625" style="660"/>
    <col min="4609" max="4609" width="100.7109375" style="660" customWidth="1"/>
    <col min="4610" max="4864" width="9.140625" style="660"/>
    <col min="4865" max="4865" width="100.7109375" style="660" customWidth="1"/>
    <col min="4866" max="5120" width="9.140625" style="660"/>
    <col min="5121" max="5121" width="100.7109375" style="660" customWidth="1"/>
    <col min="5122" max="5376" width="9.140625" style="660"/>
    <col min="5377" max="5377" width="100.7109375" style="660" customWidth="1"/>
    <col min="5378" max="5632" width="9.140625" style="660"/>
    <col min="5633" max="5633" width="100.7109375" style="660" customWidth="1"/>
    <col min="5634" max="5888" width="9.140625" style="660"/>
    <col min="5889" max="5889" width="100.7109375" style="660" customWidth="1"/>
    <col min="5890" max="6144" width="9.140625" style="660"/>
    <col min="6145" max="6145" width="100.7109375" style="660" customWidth="1"/>
    <col min="6146" max="6400" width="9.140625" style="660"/>
    <col min="6401" max="6401" width="100.7109375" style="660" customWidth="1"/>
    <col min="6402" max="6656" width="9.140625" style="660"/>
    <col min="6657" max="6657" width="100.7109375" style="660" customWidth="1"/>
    <col min="6658" max="6912" width="9.140625" style="660"/>
    <col min="6913" max="6913" width="100.7109375" style="660" customWidth="1"/>
    <col min="6914" max="7168" width="9.140625" style="660"/>
    <col min="7169" max="7169" width="100.7109375" style="660" customWidth="1"/>
    <col min="7170" max="7424" width="9.140625" style="660"/>
    <col min="7425" max="7425" width="100.7109375" style="660" customWidth="1"/>
    <col min="7426" max="7680" width="9.140625" style="660"/>
    <col min="7681" max="7681" width="100.7109375" style="660" customWidth="1"/>
    <col min="7682" max="7936" width="9.140625" style="660"/>
    <col min="7937" max="7937" width="100.7109375" style="660" customWidth="1"/>
    <col min="7938" max="8192" width="9.140625" style="660"/>
    <col min="8193" max="8193" width="100.7109375" style="660" customWidth="1"/>
    <col min="8194" max="8448" width="9.140625" style="660"/>
    <col min="8449" max="8449" width="100.7109375" style="660" customWidth="1"/>
    <col min="8450" max="8704" width="9.140625" style="660"/>
    <col min="8705" max="8705" width="100.7109375" style="660" customWidth="1"/>
    <col min="8706" max="8960" width="9.140625" style="660"/>
    <col min="8961" max="8961" width="100.7109375" style="660" customWidth="1"/>
    <col min="8962" max="9216" width="9.140625" style="660"/>
    <col min="9217" max="9217" width="100.7109375" style="660" customWidth="1"/>
    <col min="9218" max="9472" width="9.140625" style="660"/>
    <col min="9473" max="9473" width="100.7109375" style="660" customWidth="1"/>
    <col min="9474" max="9728" width="9.140625" style="660"/>
    <col min="9729" max="9729" width="100.7109375" style="660" customWidth="1"/>
    <col min="9730" max="9984" width="9.140625" style="660"/>
    <col min="9985" max="9985" width="100.7109375" style="660" customWidth="1"/>
    <col min="9986" max="10240" width="9.140625" style="660"/>
    <col min="10241" max="10241" width="100.7109375" style="660" customWidth="1"/>
    <col min="10242" max="10496" width="9.140625" style="660"/>
    <col min="10497" max="10497" width="100.7109375" style="660" customWidth="1"/>
    <col min="10498" max="10752" width="9.140625" style="660"/>
    <col min="10753" max="10753" width="100.7109375" style="660" customWidth="1"/>
    <col min="10754" max="11008" width="9.140625" style="660"/>
    <col min="11009" max="11009" width="100.7109375" style="660" customWidth="1"/>
    <col min="11010" max="11264" width="9.140625" style="660"/>
    <col min="11265" max="11265" width="100.7109375" style="660" customWidth="1"/>
    <col min="11266" max="11520" width="9.140625" style="660"/>
    <col min="11521" max="11521" width="100.7109375" style="660" customWidth="1"/>
    <col min="11522" max="11776" width="9.140625" style="660"/>
    <col min="11777" max="11777" width="100.7109375" style="660" customWidth="1"/>
    <col min="11778" max="12032" width="9.140625" style="660"/>
    <col min="12033" max="12033" width="100.7109375" style="660" customWidth="1"/>
    <col min="12034" max="12288" width="9.140625" style="660"/>
    <col min="12289" max="12289" width="100.7109375" style="660" customWidth="1"/>
    <col min="12290" max="12544" width="9.140625" style="660"/>
    <col min="12545" max="12545" width="100.7109375" style="660" customWidth="1"/>
    <col min="12546" max="12800" width="9.140625" style="660"/>
    <col min="12801" max="12801" width="100.7109375" style="660" customWidth="1"/>
    <col min="12802" max="13056" width="9.140625" style="660"/>
    <col min="13057" max="13057" width="100.7109375" style="660" customWidth="1"/>
    <col min="13058" max="13312" width="9.140625" style="660"/>
    <col min="13313" max="13313" width="100.7109375" style="660" customWidth="1"/>
    <col min="13314" max="13568" width="9.140625" style="660"/>
    <col min="13569" max="13569" width="100.7109375" style="660" customWidth="1"/>
    <col min="13570" max="13824" width="9.140625" style="660"/>
    <col min="13825" max="13825" width="100.7109375" style="660" customWidth="1"/>
    <col min="13826" max="14080" width="9.140625" style="660"/>
    <col min="14081" max="14081" width="100.7109375" style="660" customWidth="1"/>
    <col min="14082" max="14336" width="9.140625" style="660"/>
    <col min="14337" max="14337" width="100.7109375" style="660" customWidth="1"/>
    <col min="14338" max="14592" width="9.140625" style="660"/>
    <col min="14593" max="14593" width="100.7109375" style="660" customWidth="1"/>
    <col min="14594" max="14848" width="9.140625" style="660"/>
    <col min="14849" max="14849" width="100.7109375" style="660" customWidth="1"/>
    <col min="14850" max="15104" width="9.140625" style="660"/>
    <col min="15105" max="15105" width="100.7109375" style="660" customWidth="1"/>
    <col min="15106" max="15360" width="9.140625" style="660"/>
    <col min="15361" max="15361" width="100.7109375" style="660" customWidth="1"/>
    <col min="15362" max="15616" width="9.140625" style="660"/>
    <col min="15617" max="15617" width="100.7109375" style="660" customWidth="1"/>
    <col min="15618" max="15872" width="9.140625" style="660"/>
    <col min="15873" max="15873" width="100.7109375" style="660" customWidth="1"/>
    <col min="15874" max="16128" width="9.140625" style="660"/>
    <col min="16129" max="16129" width="100.7109375" style="660" customWidth="1"/>
    <col min="16130" max="16384" width="9.140625" style="660"/>
  </cols>
  <sheetData>
    <row r="1" spans="1:8" ht="30" customHeight="1">
      <c r="A1" s="658"/>
      <c r="B1" s="659"/>
      <c r="C1" s="659"/>
      <c r="D1" s="659"/>
      <c r="E1" s="659"/>
      <c r="F1" s="659"/>
      <c r="G1" s="659"/>
      <c r="H1" s="659"/>
    </row>
    <row r="2" spans="1:8" ht="14.25">
      <c r="A2" s="661" t="s">
        <v>715</v>
      </c>
      <c r="B2" s="659"/>
      <c r="C2" s="659"/>
      <c r="D2" s="659"/>
      <c r="E2" s="659"/>
      <c r="F2" s="659"/>
      <c r="G2" s="659"/>
      <c r="H2" s="659"/>
    </row>
    <row r="3" spans="1:8" ht="14.25">
      <c r="A3" s="661" t="s">
        <v>716</v>
      </c>
      <c r="B3" s="659"/>
      <c r="C3" s="659"/>
      <c r="D3" s="659"/>
      <c r="E3" s="659"/>
      <c r="F3" s="659"/>
      <c r="G3" s="659"/>
      <c r="H3" s="659"/>
    </row>
    <row r="4" spans="1:8" ht="14.25">
      <c r="A4" s="661" t="s">
        <v>717</v>
      </c>
      <c r="B4" s="659"/>
      <c r="C4" s="659"/>
      <c r="D4" s="659"/>
      <c r="E4" s="659"/>
      <c r="F4" s="659"/>
      <c r="G4" s="659"/>
      <c r="H4" s="659"/>
    </row>
    <row r="5" spans="1:8" ht="14.25">
      <c r="A5" s="661" t="s">
        <v>718</v>
      </c>
      <c r="B5" s="659"/>
      <c r="C5" s="659"/>
      <c r="D5" s="659"/>
      <c r="E5" s="659"/>
      <c r="F5" s="659"/>
      <c r="G5" s="659"/>
      <c r="H5" s="659"/>
    </row>
    <row r="6" spans="1:8" ht="14.25">
      <c r="A6" s="661"/>
      <c r="B6" s="659"/>
      <c r="C6" s="659"/>
      <c r="D6" s="659"/>
      <c r="E6" s="659"/>
      <c r="F6" s="659"/>
      <c r="G6" s="659"/>
      <c r="H6" s="659"/>
    </row>
    <row r="7" spans="1:8">
      <c r="A7" s="658" t="s">
        <v>719</v>
      </c>
      <c r="B7" s="659"/>
      <c r="C7" s="659"/>
      <c r="D7" s="659"/>
      <c r="E7" s="659"/>
      <c r="F7" s="659"/>
      <c r="G7" s="659"/>
      <c r="H7" s="659"/>
    </row>
    <row r="8" spans="1:8">
      <c r="A8" s="658" t="s">
        <v>720</v>
      </c>
      <c r="B8" s="659"/>
      <c r="C8" s="659"/>
      <c r="D8" s="659"/>
      <c r="E8" s="659"/>
      <c r="F8" s="659"/>
      <c r="G8" s="659"/>
      <c r="H8" s="659"/>
    </row>
    <row r="9" spans="1:8">
      <c r="A9" s="658"/>
      <c r="B9" s="659"/>
      <c r="C9" s="659"/>
      <c r="D9" s="659"/>
      <c r="E9" s="659"/>
      <c r="F9" s="659"/>
      <c r="G9" s="659"/>
      <c r="H9" s="659"/>
    </row>
    <row r="10" spans="1:8">
      <c r="A10" s="662" t="s">
        <v>721</v>
      </c>
      <c r="B10" s="659"/>
      <c r="C10" s="659"/>
      <c r="D10" s="659"/>
      <c r="E10" s="659"/>
      <c r="F10" s="659"/>
      <c r="G10" s="659"/>
      <c r="H10" s="659"/>
    </row>
    <row r="11" spans="1:8">
      <c r="A11" s="662" t="s">
        <v>722</v>
      </c>
      <c r="B11" s="659"/>
      <c r="C11" s="659"/>
      <c r="D11" s="659"/>
      <c r="E11" s="659"/>
      <c r="F11" s="659"/>
      <c r="G11" s="659"/>
      <c r="H11" s="659"/>
    </row>
    <row r="12" spans="1:8">
      <c r="A12" s="662" t="s">
        <v>723</v>
      </c>
      <c r="B12" s="659"/>
      <c r="C12" s="659"/>
      <c r="D12" s="659"/>
      <c r="E12" s="659"/>
      <c r="F12" s="659"/>
      <c r="G12" s="659"/>
      <c r="H12" s="659"/>
    </row>
    <row r="13" spans="1:8">
      <c r="A13" s="662" t="s">
        <v>724</v>
      </c>
      <c r="B13" s="659"/>
      <c r="C13" s="659"/>
      <c r="D13" s="659"/>
      <c r="E13" s="659"/>
      <c r="F13" s="659"/>
      <c r="G13" s="659"/>
      <c r="H13" s="659"/>
    </row>
    <row r="14" spans="1:8">
      <c r="A14" s="662" t="s">
        <v>725</v>
      </c>
      <c r="B14" s="659"/>
      <c r="C14" s="659"/>
      <c r="D14" s="659"/>
      <c r="E14" s="659"/>
      <c r="F14" s="659"/>
      <c r="G14" s="659"/>
      <c r="H14" s="659"/>
    </row>
    <row r="15" spans="1:8">
      <c r="A15" s="662" t="s">
        <v>726</v>
      </c>
      <c r="B15" s="659"/>
      <c r="C15" s="659"/>
      <c r="D15" s="659"/>
      <c r="E15" s="659"/>
      <c r="F15" s="659"/>
      <c r="G15" s="659"/>
      <c r="H15" s="659"/>
    </row>
    <row r="16" spans="1:8">
      <c r="A16" s="662"/>
      <c r="B16" s="659"/>
      <c r="C16" s="659"/>
      <c r="D16" s="659"/>
      <c r="E16" s="659"/>
      <c r="F16" s="659"/>
      <c r="G16" s="659"/>
      <c r="H16" s="659"/>
    </row>
    <row r="17" spans="1:8">
      <c r="A17" s="662" t="s">
        <v>712</v>
      </c>
      <c r="B17" s="659"/>
      <c r="C17" s="659"/>
      <c r="D17" s="659"/>
      <c r="E17" s="659"/>
      <c r="F17" s="659"/>
      <c r="G17" s="659"/>
      <c r="H17" s="659"/>
    </row>
    <row r="18" spans="1:8">
      <c r="A18" s="662"/>
      <c r="B18" s="659"/>
      <c r="C18" s="659"/>
      <c r="D18" s="659"/>
      <c r="E18" s="659"/>
      <c r="F18" s="659"/>
      <c r="G18" s="659"/>
      <c r="H18" s="659"/>
    </row>
    <row r="19" spans="1:8">
      <c r="A19" s="662" t="s">
        <v>713</v>
      </c>
      <c r="B19" s="659"/>
      <c r="C19" s="659"/>
      <c r="D19" s="659"/>
      <c r="E19" s="659"/>
      <c r="F19" s="659"/>
      <c r="G19" s="659"/>
      <c r="H19" s="659"/>
    </row>
    <row r="20" spans="1:8">
      <c r="A20" s="658"/>
      <c r="B20" s="659"/>
      <c r="C20" s="659"/>
      <c r="D20" s="659"/>
      <c r="E20" s="659"/>
      <c r="F20" s="659"/>
      <c r="G20" s="659"/>
      <c r="H20" s="659"/>
    </row>
    <row r="21" spans="1:8">
      <c r="A21" s="663" t="s">
        <v>714</v>
      </c>
      <c r="B21" s="659"/>
      <c r="C21" s="659"/>
      <c r="D21" s="659"/>
      <c r="E21" s="659"/>
      <c r="F21" s="659"/>
      <c r="G21" s="659"/>
      <c r="H21" s="659"/>
    </row>
    <row r="22" spans="1:8">
      <c r="A22" s="664"/>
      <c r="B22" s="664"/>
      <c r="C22" s="664"/>
      <c r="D22" s="664"/>
      <c r="E22" s="664"/>
      <c r="F22" s="664"/>
      <c r="G22" s="664"/>
      <c r="H22" s="664"/>
    </row>
    <row r="23" spans="1:8">
      <c r="A23" s="665" t="s">
        <v>1011</v>
      </c>
      <c r="B23" s="664"/>
      <c r="C23" s="664"/>
      <c r="D23" s="664"/>
      <c r="E23" s="664"/>
      <c r="F23" s="664"/>
      <c r="G23" s="664"/>
      <c r="H23" s="664"/>
    </row>
    <row r="24" spans="1:8">
      <c r="A24" s="665" t="s">
        <v>1012</v>
      </c>
      <c r="B24" s="664"/>
      <c r="C24" s="664"/>
      <c r="D24" s="664"/>
      <c r="E24" s="664"/>
      <c r="F24" s="664"/>
      <c r="G24" s="664"/>
      <c r="H24" s="664"/>
    </row>
    <row r="25" spans="1:8">
      <c r="A25" s="665" t="s">
        <v>1013</v>
      </c>
      <c r="B25" s="664"/>
      <c r="C25" s="664"/>
      <c r="D25" s="664"/>
      <c r="E25" s="664"/>
      <c r="F25" s="664"/>
      <c r="G25" s="664"/>
      <c r="H25" s="664"/>
    </row>
    <row r="26" spans="1:8">
      <c r="A26" s="665" t="s">
        <v>1014</v>
      </c>
      <c r="B26" s="664"/>
      <c r="C26" s="664"/>
      <c r="D26" s="664"/>
      <c r="E26" s="664"/>
      <c r="F26" s="664"/>
      <c r="G26" s="664"/>
      <c r="H26" s="664"/>
    </row>
    <row r="27" spans="1:8">
      <c r="A27" s="664"/>
      <c r="B27" s="664"/>
      <c r="C27" s="664"/>
      <c r="D27" s="664"/>
      <c r="E27" s="664"/>
      <c r="F27" s="664"/>
      <c r="G27" s="664"/>
      <c r="H27" s="664"/>
    </row>
    <row r="28" spans="1:8">
      <c r="A28" s="664"/>
      <c r="B28" s="664"/>
      <c r="C28" s="664"/>
      <c r="D28" s="664"/>
      <c r="E28" s="664"/>
      <c r="F28" s="664"/>
      <c r="G28" s="664"/>
      <c r="H28" s="664"/>
    </row>
    <row r="29" spans="1:8">
      <c r="A29" s="665" t="s">
        <v>994</v>
      </c>
      <c r="B29" s="664"/>
      <c r="C29" s="664"/>
      <c r="D29" s="664"/>
      <c r="E29" s="664"/>
      <c r="F29" s="664"/>
      <c r="G29" s="664"/>
      <c r="H29" s="664"/>
    </row>
    <row r="30" spans="1:8">
      <c r="A30" s="665" t="s">
        <v>995</v>
      </c>
      <c r="B30" s="664"/>
      <c r="C30" s="664"/>
      <c r="D30" s="664"/>
      <c r="E30" s="664"/>
      <c r="F30" s="664"/>
      <c r="G30" s="664"/>
      <c r="H30" s="664"/>
    </row>
    <row r="31" spans="1:8">
      <c r="A31" s="665" t="s">
        <v>996</v>
      </c>
      <c r="B31" s="664"/>
      <c r="C31" s="664"/>
      <c r="D31" s="664"/>
      <c r="E31" s="664"/>
      <c r="F31" s="664"/>
      <c r="G31" s="664"/>
      <c r="H31" s="664"/>
    </row>
    <row r="32" spans="1:8">
      <c r="A32" s="665" t="s">
        <v>997</v>
      </c>
      <c r="B32" s="664"/>
      <c r="C32" s="664"/>
      <c r="D32" s="664"/>
      <c r="E32" s="664"/>
      <c r="F32" s="664"/>
      <c r="G32" s="664"/>
      <c r="H32" s="664"/>
    </row>
    <row r="33" spans="1:8">
      <c r="A33" s="665" t="s">
        <v>998</v>
      </c>
      <c r="B33" s="664"/>
      <c r="C33" s="664"/>
      <c r="D33" s="664"/>
      <c r="E33" s="664"/>
      <c r="F33" s="664"/>
      <c r="G33" s="664"/>
      <c r="H33" s="664"/>
    </row>
    <row r="34" spans="1:8">
      <c r="A34" s="665" t="s">
        <v>999</v>
      </c>
      <c r="B34" s="664"/>
      <c r="C34" s="664"/>
      <c r="D34" s="664"/>
      <c r="E34" s="664"/>
      <c r="F34" s="664"/>
      <c r="G34" s="664"/>
      <c r="H34" s="664"/>
    </row>
    <row r="35" spans="1:8">
      <c r="A35" s="665" t="s">
        <v>1000</v>
      </c>
      <c r="B35" s="664"/>
      <c r="C35" s="664"/>
      <c r="D35" s="664"/>
      <c r="E35" s="664"/>
      <c r="F35" s="664"/>
      <c r="G35" s="664"/>
      <c r="H35" s="664"/>
    </row>
    <row r="36" spans="1:8">
      <c r="A36" s="665" t="s">
        <v>1001</v>
      </c>
      <c r="B36" s="664"/>
      <c r="C36" s="664"/>
      <c r="D36" s="664"/>
      <c r="E36" s="664"/>
      <c r="F36" s="664"/>
      <c r="G36" s="664"/>
      <c r="H36" s="664"/>
    </row>
    <row r="37" spans="1:8">
      <c r="A37" s="665" t="s">
        <v>1002</v>
      </c>
      <c r="B37" s="664"/>
      <c r="C37" s="664"/>
      <c r="D37" s="664"/>
      <c r="E37" s="664"/>
      <c r="F37" s="664"/>
      <c r="G37" s="664"/>
      <c r="H37" s="664"/>
    </row>
    <row r="38" spans="1:8">
      <c r="A38" s="665" t="s">
        <v>1003</v>
      </c>
      <c r="B38" s="664"/>
      <c r="C38" s="664"/>
      <c r="D38" s="664"/>
      <c r="E38" s="664"/>
      <c r="F38" s="664"/>
      <c r="G38" s="664"/>
      <c r="H38" s="664"/>
    </row>
    <row r="39" spans="1:8">
      <c r="A39" s="665" t="s">
        <v>1004</v>
      </c>
      <c r="B39" s="664"/>
      <c r="C39" s="664"/>
      <c r="D39" s="664"/>
      <c r="E39" s="664"/>
      <c r="F39" s="664"/>
      <c r="G39" s="664"/>
      <c r="H39" s="664"/>
    </row>
    <row r="40" spans="1:8">
      <c r="A40" s="665" t="s">
        <v>1005</v>
      </c>
      <c r="B40" s="664"/>
      <c r="C40" s="664"/>
      <c r="D40" s="664"/>
      <c r="E40" s="664"/>
      <c r="F40" s="664"/>
      <c r="G40" s="664"/>
      <c r="H40" s="664"/>
    </row>
    <row r="41" spans="1:8">
      <c r="A41" s="665" t="s">
        <v>1006</v>
      </c>
      <c r="B41" s="664"/>
      <c r="C41" s="664"/>
      <c r="D41" s="664"/>
      <c r="E41" s="664"/>
      <c r="F41" s="664"/>
      <c r="G41" s="664"/>
      <c r="H41" s="664"/>
    </row>
    <row r="42" spans="1:8">
      <c r="A42" s="665" t="s">
        <v>1007</v>
      </c>
      <c r="B42" s="664"/>
      <c r="C42" s="664"/>
      <c r="D42" s="664"/>
      <c r="E42" s="664"/>
      <c r="F42" s="664"/>
      <c r="G42" s="664"/>
      <c r="H42" s="664"/>
    </row>
    <row r="43" spans="1:8">
      <c r="A43" s="665" t="s">
        <v>1008</v>
      </c>
      <c r="B43" s="664"/>
      <c r="C43" s="664"/>
      <c r="D43" s="664"/>
      <c r="E43" s="664"/>
      <c r="F43" s="664"/>
      <c r="G43" s="664"/>
      <c r="H43" s="664"/>
    </row>
    <row r="44" spans="1:8">
      <c r="A44" s="665" t="s">
        <v>1009</v>
      </c>
      <c r="B44" s="664"/>
      <c r="C44" s="664"/>
      <c r="D44" s="664"/>
      <c r="E44" s="664"/>
      <c r="F44" s="664"/>
      <c r="G44" s="664"/>
      <c r="H44" s="664"/>
    </row>
    <row r="45" spans="1:8">
      <c r="A45" s="665" t="s">
        <v>1010</v>
      </c>
      <c r="B45" s="664"/>
      <c r="C45" s="664"/>
      <c r="D45" s="664"/>
      <c r="E45" s="664"/>
      <c r="F45" s="664"/>
      <c r="G45" s="664"/>
      <c r="H45" s="664"/>
    </row>
    <row r="46" spans="1:8">
      <c r="A46" s="664"/>
      <c r="B46" s="664"/>
      <c r="C46" s="664"/>
      <c r="D46" s="664"/>
      <c r="E46" s="664"/>
      <c r="F46" s="664"/>
      <c r="G46" s="664"/>
      <c r="H46" s="664"/>
    </row>
    <row r="47" spans="1:8">
      <c r="A47" s="665" t="s">
        <v>990</v>
      </c>
      <c r="B47" s="664"/>
      <c r="C47" s="664"/>
      <c r="D47" s="664"/>
      <c r="E47" s="664"/>
      <c r="F47" s="664"/>
      <c r="G47" s="664"/>
      <c r="H47" s="664"/>
    </row>
    <row r="48" spans="1:8">
      <c r="A48" s="665" t="s">
        <v>991</v>
      </c>
      <c r="B48" s="664"/>
      <c r="C48" s="664"/>
      <c r="D48" s="664"/>
      <c r="E48" s="664"/>
      <c r="F48" s="664"/>
      <c r="G48" s="664"/>
      <c r="H48" s="664"/>
    </row>
    <row r="49" spans="1:8">
      <c r="A49" s="665" t="s">
        <v>992</v>
      </c>
      <c r="B49" s="664"/>
      <c r="C49" s="664"/>
      <c r="D49" s="664"/>
      <c r="E49" s="664"/>
      <c r="F49" s="664"/>
      <c r="G49" s="664"/>
      <c r="H49" s="664"/>
    </row>
    <row r="50" spans="1:8">
      <c r="A50" s="665" t="s">
        <v>993</v>
      </c>
      <c r="B50" s="664"/>
      <c r="C50" s="664"/>
      <c r="D50" s="664"/>
      <c r="E50" s="664"/>
      <c r="F50" s="664"/>
      <c r="G50" s="664"/>
      <c r="H50" s="664"/>
    </row>
    <row r="51" spans="1:8">
      <c r="A51" s="664"/>
      <c r="B51" s="664"/>
      <c r="C51" s="664"/>
      <c r="D51" s="664"/>
      <c r="E51" s="664"/>
      <c r="F51" s="664"/>
      <c r="G51" s="664"/>
      <c r="H51" s="664"/>
    </row>
    <row r="52" spans="1:8">
      <c r="A52" s="665" t="s">
        <v>984</v>
      </c>
      <c r="B52" s="664"/>
      <c r="C52" s="664"/>
      <c r="D52" s="664"/>
      <c r="E52" s="664"/>
      <c r="F52" s="664"/>
      <c r="G52" s="664"/>
      <c r="H52" s="664"/>
    </row>
    <row r="53" spans="1:8">
      <c r="A53" s="665" t="s">
        <v>985</v>
      </c>
      <c r="B53" s="664"/>
      <c r="C53" s="664"/>
      <c r="D53" s="664"/>
      <c r="E53" s="664"/>
      <c r="F53" s="664"/>
      <c r="G53" s="664"/>
      <c r="H53" s="664"/>
    </row>
    <row r="54" spans="1:8">
      <c r="A54" s="665" t="s">
        <v>986</v>
      </c>
      <c r="B54" s="664"/>
      <c r="C54" s="664"/>
      <c r="D54" s="664"/>
      <c r="E54" s="664"/>
      <c r="F54" s="664"/>
      <c r="G54" s="664"/>
      <c r="H54" s="664"/>
    </row>
    <row r="55" spans="1:8">
      <c r="A55" s="665" t="s">
        <v>987</v>
      </c>
      <c r="B55" s="664"/>
      <c r="C55" s="664"/>
      <c r="D55" s="664"/>
      <c r="E55" s="664"/>
      <c r="F55" s="664"/>
      <c r="G55" s="664"/>
      <c r="H55" s="664"/>
    </row>
    <row r="56" spans="1:8">
      <c r="A56" s="665" t="s">
        <v>988</v>
      </c>
      <c r="B56" s="664"/>
      <c r="C56" s="664"/>
      <c r="D56" s="664"/>
      <c r="E56" s="664"/>
      <c r="F56" s="664"/>
      <c r="G56" s="664"/>
      <c r="H56" s="664"/>
    </row>
    <row r="57" spans="1:8">
      <c r="A57" s="665" t="s">
        <v>989</v>
      </c>
      <c r="B57" s="664"/>
      <c r="C57" s="664"/>
      <c r="D57" s="664"/>
      <c r="E57" s="664"/>
      <c r="F57" s="664"/>
      <c r="G57" s="664"/>
      <c r="H57" s="664"/>
    </row>
    <row r="58" spans="1:8">
      <c r="A58" s="664"/>
      <c r="B58" s="664"/>
      <c r="C58" s="664"/>
      <c r="D58" s="664"/>
      <c r="E58" s="664"/>
      <c r="F58" s="664"/>
      <c r="G58" s="664"/>
      <c r="H58" s="664"/>
    </row>
    <row r="59" spans="1:8" ht="15.75">
      <c r="A59" s="666" t="s">
        <v>727</v>
      </c>
      <c r="B59" s="664"/>
      <c r="C59" s="664"/>
      <c r="D59" s="664"/>
      <c r="E59" s="664"/>
      <c r="F59" s="664"/>
      <c r="G59" s="664"/>
      <c r="H59" s="664"/>
    </row>
    <row r="60" spans="1:8">
      <c r="A60" s="664"/>
      <c r="B60" s="664"/>
      <c r="C60" s="664"/>
      <c r="D60" s="664"/>
      <c r="E60" s="664"/>
      <c r="F60" s="664"/>
      <c r="G60" s="664"/>
      <c r="H60" s="664"/>
    </row>
    <row r="61" spans="1:8">
      <c r="A61" s="665" t="s">
        <v>980</v>
      </c>
      <c r="B61" s="664"/>
      <c r="C61" s="664"/>
      <c r="D61" s="664"/>
      <c r="E61" s="664"/>
      <c r="F61" s="664"/>
      <c r="G61" s="664"/>
      <c r="H61" s="664"/>
    </row>
    <row r="62" spans="1:8">
      <c r="A62" s="665" t="s">
        <v>981</v>
      </c>
      <c r="B62" s="664"/>
      <c r="C62" s="664"/>
      <c r="D62" s="664"/>
      <c r="E62" s="664"/>
      <c r="F62" s="664"/>
      <c r="G62" s="664"/>
      <c r="H62" s="664"/>
    </row>
    <row r="63" spans="1:8">
      <c r="A63" s="665" t="s">
        <v>982</v>
      </c>
      <c r="B63" s="664"/>
      <c r="C63" s="664"/>
      <c r="D63" s="664"/>
      <c r="E63" s="664"/>
      <c r="F63" s="664"/>
      <c r="G63" s="664"/>
      <c r="H63" s="664"/>
    </row>
    <row r="64" spans="1:8">
      <c r="A64" s="665" t="s">
        <v>983</v>
      </c>
      <c r="B64" s="664"/>
      <c r="C64" s="664"/>
      <c r="D64" s="664"/>
      <c r="E64" s="664"/>
      <c r="F64" s="664"/>
      <c r="G64" s="664"/>
      <c r="H64" s="664"/>
    </row>
    <row r="65" spans="1:8">
      <c r="A65" s="664"/>
      <c r="B65" s="664"/>
      <c r="C65" s="664"/>
      <c r="D65" s="664"/>
      <c r="E65" s="664"/>
      <c r="F65" s="664"/>
      <c r="G65" s="664"/>
      <c r="H65" s="664"/>
    </row>
    <row r="66" spans="1:8">
      <c r="A66" s="665" t="s">
        <v>728</v>
      </c>
      <c r="B66" s="664"/>
      <c r="C66" s="664"/>
      <c r="D66" s="664"/>
      <c r="E66" s="664"/>
      <c r="F66" s="664"/>
      <c r="G66" s="664"/>
      <c r="H66" s="664"/>
    </row>
    <row r="67" spans="1:8">
      <c r="A67" s="664"/>
      <c r="B67" s="664"/>
      <c r="C67" s="664"/>
      <c r="D67" s="664"/>
      <c r="E67" s="664"/>
      <c r="F67" s="664"/>
      <c r="G67" s="664"/>
      <c r="H67" s="664"/>
    </row>
    <row r="68" spans="1:8" ht="15.75">
      <c r="A68" s="666" t="s">
        <v>729</v>
      </c>
      <c r="B68" s="664"/>
      <c r="C68" s="664"/>
      <c r="D68" s="664"/>
      <c r="E68" s="664"/>
      <c r="F68" s="664"/>
      <c r="G68" s="664"/>
      <c r="H68" s="664"/>
    </row>
    <row r="69" spans="1:8">
      <c r="A69" s="664"/>
      <c r="B69" s="664"/>
      <c r="C69" s="664"/>
      <c r="D69" s="664"/>
      <c r="E69" s="664"/>
      <c r="F69" s="664"/>
      <c r="G69" s="664"/>
      <c r="H69" s="664"/>
    </row>
    <row r="70" spans="1:8">
      <c r="A70" s="665" t="s">
        <v>978</v>
      </c>
      <c r="B70" s="664"/>
      <c r="C70" s="664"/>
      <c r="D70" s="664"/>
      <c r="E70" s="664"/>
      <c r="F70" s="664"/>
      <c r="G70" s="664"/>
      <c r="H70" s="664"/>
    </row>
    <row r="71" spans="1:8">
      <c r="A71" s="665" t="s">
        <v>979</v>
      </c>
      <c r="B71" s="664"/>
      <c r="C71" s="664"/>
      <c r="D71" s="664"/>
      <c r="E71" s="664"/>
      <c r="F71" s="664"/>
      <c r="G71" s="664"/>
      <c r="H71" s="664"/>
    </row>
    <row r="72" spans="1:8">
      <c r="A72" s="664"/>
      <c r="B72" s="664"/>
      <c r="C72" s="664"/>
      <c r="D72" s="664"/>
      <c r="E72" s="664"/>
      <c r="F72" s="664"/>
      <c r="G72" s="664"/>
      <c r="H72" s="664"/>
    </row>
    <row r="73" spans="1:8" ht="15.75">
      <c r="A73" s="666" t="s">
        <v>730</v>
      </c>
      <c r="B73" s="664"/>
      <c r="C73" s="664"/>
      <c r="D73" s="664"/>
      <c r="E73" s="664"/>
      <c r="F73" s="664"/>
      <c r="G73" s="664"/>
      <c r="H73" s="664"/>
    </row>
    <row r="74" spans="1:8">
      <c r="A74" s="664"/>
      <c r="B74" s="664"/>
      <c r="C74" s="664"/>
      <c r="D74" s="664"/>
      <c r="E74" s="664"/>
      <c r="F74" s="664"/>
      <c r="G74" s="664"/>
      <c r="H74" s="664"/>
    </row>
    <row r="75" spans="1:8">
      <c r="A75" s="665" t="s">
        <v>976</v>
      </c>
      <c r="B75" s="664"/>
      <c r="C75" s="664"/>
      <c r="D75" s="664"/>
      <c r="E75" s="664"/>
      <c r="F75" s="664"/>
      <c r="G75" s="664"/>
      <c r="H75" s="664"/>
    </row>
    <row r="76" spans="1:8">
      <c r="A76" s="665" t="s">
        <v>977</v>
      </c>
      <c r="B76" s="664"/>
      <c r="C76" s="664"/>
      <c r="D76" s="664"/>
      <c r="E76" s="664"/>
      <c r="F76" s="664"/>
      <c r="G76" s="664"/>
      <c r="H76" s="664"/>
    </row>
    <row r="77" spans="1:8">
      <c r="A77" s="664"/>
      <c r="B77" s="664"/>
      <c r="C77" s="664"/>
      <c r="D77" s="664"/>
      <c r="E77" s="664"/>
      <c r="F77" s="664"/>
      <c r="G77" s="664"/>
      <c r="H77" s="664"/>
    </row>
    <row r="78" spans="1:8">
      <c r="A78" s="665" t="s">
        <v>974</v>
      </c>
      <c r="B78" s="664"/>
      <c r="C78" s="664"/>
      <c r="D78" s="664"/>
      <c r="E78" s="664"/>
      <c r="F78" s="664"/>
      <c r="G78" s="664"/>
      <c r="H78" s="664"/>
    </row>
    <row r="79" spans="1:8">
      <c r="A79" s="665" t="s">
        <v>975</v>
      </c>
      <c r="B79" s="664"/>
      <c r="C79" s="664"/>
      <c r="D79" s="664"/>
      <c r="E79" s="664"/>
      <c r="F79" s="664"/>
      <c r="G79" s="664"/>
      <c r="H79" s="664"/>
    </row>
    <row r="80" spans="1:8">
      <c r="A80" s="664"/>
      <c r="B80" s="664"/>
      <c r="C80" s="664"/>
      <c r="D80" s="664"/>
      <c r="E80" s="664"/>
      <c r="F80" s="664"/>
      <c r="G80" s="664"/>
      <c r="H80" s="664"/>
    </row>
    <row r="81" spans="1:8">
      <c r="A81" s="665" t="s">
        <v>969</v>
      </c>
      <c r="B81" s="664"/>
      <c r="C81" s="664"/>
      <c r="D81" s="664"/>
      <c r="E81" s="664"/>
      <c r="F81" s="664"/>
      <c r="G81" s="664"/>
      <c r="H81" s="664"/>
    </row>
    <row r="82" spans="1:8">
      <c r="A82" s="665" t="s">
        <v>970</v>
      </c>
      <c r="B82" s="664"/>
      <c r="C82" s="664"/>
      <c r="D82" s="664"/>
      <c r="E82" s="664"/>
      <c r="F82" s="664"/>
      <c r="G82" s="664"/>
      <c r="H82" s="664"/>
    </row>
    <row r="83" spans="1:8">
      <c r="A83" s="665" t="s">
        <v>971</v>
      </c>
      <c r="B83" s="664"/>
      <c r="C83" s="664"/>
      <c r="D83" s="664"/>
      <c r="E83" s="664"/>
      <c r="F83" s="664"/>
      <c r="G83" s="664"/>
      <c r="H83" s="664"/>
    </row>
    <row r="84" spans="1:8">
      <c r="A84" s="665" t="s">
        <v>972</v>
      </c>
      <c r="B84" s="664"/>
      <c r="C84" s="664"/>
      <c r="D84" s="664"/>
      <c r="E84" s="664"/>
      <c r="F84" s="664"/>
      <c r="G84" s="664"/>
      <c r="H84" s="664"/>
    </row>
    <row r="85" spans="1:8">
      <c r="A85" s="665" t="s">
        <v>973</v>
      </c>
      <c r="B85" s="664"/>
      <c r="C85" s="664"/>
      <c r="D85" s="664"/>
      <c r="E85" s="664"/>
      <c r="F85" s="664"/>
      <c r="G85" s="664"/>
      <c r="H85" s="664"/>
    </row>
    <row r="86" spans="1:8">
      <c r="A86" s="665" t="s">
        <v>858</v>
      </c>
      <c r="B86" s="664"/>
      <c r="C86" s="664"/>
      <c r="D86" s="664"/>
      <c r="E86" s="664"/>
      <c r="F86" s="664"/>
      <c r="G86" s="664"/>
      <c r="H86" s="664"/>
    </row>
    <row r="87" spans="1:8">
      <c r="A87" s="664"/>
      <c r="B87" s="664"/>
      <c r="C87" s="664"/>
      <c r="D87" s="664"/>
      <c r="E87" s="664"/>
      <c r="F87" s="664"/>
      <c r="G87" s="664"/>
      <c r="H87" s="664"/>
    </row>
    <row r="88" spans="1:8">
      <c r="A88" s="665" t="s">
        <v>962</v>
      </c>
      <c r="B88" s="664"/>
      <c r="C88" s="664"/>
      <c r="D88" s="664"/>
      <c r="E88" s="664"/>
      <c r="F88" s="664"/>
      <c r="G88" s="664"/>
      <c r="H88" s="664"/>
    </row>
    <row r="89" spans="1:8">
      <c r="A89" s="665" t="s">
        <v>963</v>
      </c>
      <c r="B89" s="664"/>
      <c r="C89" s="664"/>
      <c r="D89" s="664"/>
      <c r="E89" s="664"/>
      <c r="F89" s="664"/>
      <c r="G89" s="664"/>
      <c r="H89" s="664"/>
    </row>
    <row r="90" spans="1:8">
      <c r="A90" s="665" t="s">
        <v>964</v>
      </c>
      <c r="B90" s="664"/>
      <c r="C90" s="664"/>
      <c r="D90" s="664"/>
      <c r="E90" s="664"/>
      <c r="F90" s="664"/>
      <c r="G90" s="664"/>
      <c r="H90" s="664"/>
    </row>
    <row r="91" spans="1:8">
      <c r="A91" s="665" t="s">
        <v>965</v>
      </c>
      <c r="B91" s="664"/>
      <c r="C91" s="664"/>
      <c r="D91" s="664"/>
      <c r="E91" s="664"/>
      <c r="F91" s="664"/>
      <c r="G91" s="664"/>
      <c r="H91" s="664"/>
    </row>
    <row r="92" spans="1:8">
      <c r="A92" s="665" t="s">
        <v>966</v>
      </c>
      <c r="B92" s="664"/>
      <c r="C92" s="664"/>
      <c r="D92" s="664"/>
      <c r="E92" s="664"/>
      <c r="F92" s="664"/>
      <c r="G92" s="664"/>
      <c r="H92" s="664"/>
    </row>
    <row r="93" spans="1:8">
      <c r="A93" s="665" t="s">
        <v>967</v>
      </c>
      <c r="B93" s="664"/>
      <c r="C93" s="664"/>
      <c r="D93" s="664"/>
      <c r="E93" s="664"/>
      <c r="F93" s="664"/>
      <c r="G93" s="664"/>
      <c r="H93" s="664"/>
    </row>
    <row r="94" spans="1:8">
      <c r="A94" s="665" t="s">
        <v>968</v>
      </c>
      <c r="B94" s="664"/>
      <c r="C94" s="664"/>
      <c r="D94" s="664"/>
      <c r="E94" s="664"/>
      <c r="F94" s="664"/>
      <c r="G94" s="664"/>
      <c r="H94" s="664"/>
    </row>
    <row r="95" spans="1:8">
      <c r="A95" s="664"/>
      <c r="B95" s="664"/>
      <c r="C95" s="664"/>
      <c r="D95" s="664"/>
      <c r="E95" s="664"/>
      <c r="F95" s="664"/>
      <c r="G95" s="664"/>
      <c r="H95" s="664"/>
    </row>
    <row r="96" spans="1:8">
      <c r="A96" s="665" t="s">
        <v>960</v>
      </c>
      <c r="B96" s="664"/>
      <c r="C96" s="664"/>
      <c r="D96" s="664"/>
      <c r="E96" s="664"/>
      <c r="F96" s="664"/>
      <c r="G96" s="664"/>
      <c r="H96" s="664"/>
    </row>
    <row r="97" spans="1:8">
      <c r="A97" s="665" t="s">
        <v>961</v>
      </c>
      <c r="B97" s="664"/>
      <c r="C97" s="664"/>
      <c r="D97" s="664"/>
      <c r="E97" s="664"/>
      <c r="F97" s="664"/>
      <c r="G97" s="664"/>
      <c r="H97" s="664"/>
    </row>
    <row r="98" spans="1:8">
      <c r="A98" s="664"/>
      <c r="B98" s="664"/>
      <c r="C98" s="664"/>
      <c r="D98" s="664"/>
      <c r="E98" s="664"/>
      <c r="F98" s="664"/>
      <c r="G98" s="664"/>
      <c r="H98" s="664"/>
    </row>
    <row r="99" spans="1:8" ht="15.75">
      <c r="A99" s="666" t="s">
        <v>731</v>
      </c>
      <c r="B99" s="664"/>
      <c r="C99" s="664"/>
      <c r="D99" s="664"/>
      <c r="E99" s="664"/>
      <c r="F99" s="664"/>
      <c r="G99" s="664"/>
      <c r="H99" s="664"/>
    </row>
    <row r="100" spans="1:8">
      <c r="A100" s="664"/>
      <c r="B100" s="664"/>
      <c r="C100" s="664"/>
      <c r="D100" s="664"/>
      <c r="E100" s="664"/>
      <c r="F100" s="664"/>
      <c r="G100" s="664"/>
      <c r="H100" s="664"/>
    </row>
    <row r="101" spans="1:8">
      <c r="A101" s="665" t="s">
        <v>951</v>
      </c>
      <c r="B101" s="664"/>
      <c r="C101" s="664"/>
      <c r="D101" s="664"/>
      <c r="E101" s="664"/>
      <c r="F101" s="664"/>
      <c r="G101" s="664"/>
      <c r="H101" s="664"/>
    </row>
    <row r="102" spans="1:8">
      <c r="A102" s="665" t="s">
        <v>952</v>
      </c>
      <c r="B102" s="664"/>
      <c r="C102" s="664"/>
      <c r="D102" s="664"/>
      <c r="E102" s="664"/>
      <c r="F102" s="664"/>
      <c r="G102" s="664"/>
      <c r="H102" s="664"/>
    </row>
    <row r="103" spans="1:8">
      <c r="A103" s="665" t="s">
        <v>953</v>
      </c>
      <c r="B103" s="664"/>
      <c r="C103" s="664"/>
      <c r="D103" s="664"/>
      <c r="E103" s="664"/>
      <c r="F103" s="664"/>
      <c r="G103" s="664"/>
      <c r="H103" s="664"/>
    </row>
    <row r="104" spans="1:8">
      <c r="A104" s="665" t="s">
        <v>954</v>
      </c>
      <c r="B104" s="664"/>
      <c r="C104" s="664"/>
      <c r="D104" s="664"/>
      <c r="E104" s="664"/>
      <c r="F104" s="664"/>
      <c r="G104" s="664"/>
      <c r="H104" s="664"/>
    </row>
    <row r="105" spans="1:8">
      <c r="A105" s="665" t="s">
        <v>955</v>
      </c>
      <c r="B105" s="664"/>
      <c r="C105" s="664"/>
      <c r="D105" s="664"/>
      <c r="E105" s="664"/>
      <c r="F105" s="664"/>
      <c r="G105" s="664"/>
      <c r="H105" s="664"/>
    </row>
    <row r="106" spans="1:8">
      <c r="A106" s="665" t="s">
        <v>956</v>
      </c>
      <c r="B106" s="664"/>
      <c r="C106" s="664"/>
      <c r="D106" s="664"/>
      <c r="E106" s="664"/>
      <c r="F106" s="664"/>
      <c r="G106" s="664"/>
      <c r="H106" s="664"/>
    </row>
    <row r="107" spans="1:8">
      <c r="A107" s="665" t="s">
        <v>957</v>
      </c>
      <c r="B107" s="664"/>
      <c r="C107" s="664"/>
      <c r="D107" s="664"/>
      <c r="E107" s="664"/>
      <c r="F107" s="664"/>
      <c r="G107" s="664"/>
      <c r="H107" s="664"/>
    </row>
    <row r="108" spans="1:8">
      <c r="A108" s="665" t="s">
        <v>958</v>
      </c>
      <c r="B108" s="664"/>
      <c r="C108" s="664"/>
      <c r="D108" s="664"/>
      <c r="E108" s="664"/>
      <c r="F108" s="664"/>
      <c r="G108" s="664"/>
      <c r="H108" s="664"/>
    </row>
    <row r="109" spans="1:8">
      <c r="A109" s="665" t="s">
        <v>959</v>
      </c>
      <c r="B109" s="664"/>
      <c r="C109" s="664"/>
      <c r="D109" s="664"/>
      <c r="E109" s="664"/>
      <c r="F109" s="664"/>
      <c r="G109" s="664"/>
      <c r="H109" s="664"/>
    </row>
    <row r="110" spans="1:8">
      <c r="A110" s="664"/>
      <c r="B110" s="664"/>
      <c r="C110" s="664"/>
      <c r="D110" s="664"/>
      <c r="E110" s="664"/>
      <c r="F110" s="664"/>
      <c r="G110" s="664"/>
      <c r="H110" s="664"/>
    </row>
    <row r="111" spans="1:8" ht="15.75">
      <c r="A111" s="681" t="s">
        <v>732</v>
      </c>
      <c r="B111" s="681"/>
      <c r="C111" s="681"/>
      <c r="D111" s="681"/>
      <c r="E111" s="681"/>
      <c r="F111" s="681"/>
      <c r="G111" s="681"/>
      <c r="H111" s="681"/>
    </row>
    <row r="112" spans="1:8">
      <c r="A112" s="677" t="s">
        <v>733</v>
      </c>
      <c r="B112" s="677"/>
      <c r="C112" s="677"/>
      <c r="D112" s="677"/>
      <c r="E112" s="677"/>
      <c r="F112" s="677"/>
      <c r="G112" s="677"/>
      <c r="H112" s="677"/>
    </row>
    <row r="113" spans="1:8">
      <c r="A113" s="682"/>
      <c r="B113" s="682"/>
      <c r="C113" s="682"/>
      <c r="D113" s="682"/>
      <c r="E113" s="682"/>
      <c r="F113" s="682"/>
      <c r="G113" s="682"/>
      <c r="H113" s="682"/>
    </row>
    <row r="114" spans="1:8">
      <c r="A114" s="677" t="s">
        <v>949</v>
      </c>
      <c r="B114" s="677"/>
      <c r="C114" s="677"/>
      <c r="D114" s="677"/>
      <c r="E114" s="677"/>
      <c r="F114" s="677"/>
      <c r="G114" s="677"/>
      <c r="H114" s="677"/>
    </row>
    <row r="115" spans="1:8">
      <c r="A115" s="665" t="s">
        <v>950</v>
      </c>
      <c r="B115" s="665"/>
      <c r="C115" s="665"/>
      <c r="D115" s="665"/>
      <c r="E115" s="665"/>
      <c r="F115" s="665"/>
      <c r="G115" s="665"/>
      <c r="H115" s="665"/>
    </row>
    <row r="116" spans="1:8">
      <c r="A116" s="682"/>
      <c r="B116" s="682"/>
      <c r="C116" s="682"/>
      <c r="D116" s="682"/>
      <c r="E116" s="682"/>
      <c r="F116" s="682"/>
      <c r="G116" s="682"/>
      <c r="H116" s="682"/>
    </row>
    <row r="117" spans="1:8">
      <c r="A117" s="677" t="s">
        <v>942</v>
      </c>
      <c r="B117" s="677"/>
      <c r="C117" s="677"/>
      <c r="D117" s="677"/>
      <c r="E117" s="677"/>
      <c r="F117" s="677"/>
      <c r="G117" s="677"/>
      <c r="H117" s="677"/>
    </row>
    <row r="118" spans="1:8">
      <c r="A118" s="665" t="s">
        <v>943</v>
      </c>
      <c r="B118" s="665"/>
      <c r="C118" s="665"/>
      <c r="D118" s="665"/>
      <c r="E118" s="665"/>
      <c r="F118" s="665"/>
      <c r="G118" s="665"/>
      <c r="H118" s="665"/>
    </row>
    <row r="119" spans="1:8">
      <c r="A119" s="665" t="s">
        <v>944</v>
      </c>
      <c r="B119" s="665"/>
      <c r="C119" s="665"/>
      <c r="D119" s="665"/>
      <c r="E119" s="665"/>
      <c r="F119" s="665"/>
      <c r="G119" s="665"/>
      <c r="H119" s="665"/>
    </row>
    <row r="120" spans="1:8">
      <c r="A120" s="665" t="s">
        <v>945</v>
      </c>
      <c r="B120" s="665"/>
      <c r="C120" s="665"/>
      <c r="D120" s="665"/>
      <c r="E120" s="665"/>
      <c r="F120" s="665"/>
      <c r="G120" s="665"/>
      <c r="H120" s="665"/>
    </row>
    <row r="121" spans="1:8">
      <c r="A121" s="665" t="s">
        <v>946</v>
      </c>
      <c r="B121" s="665"/>
      <c r="C121" s="665"/>
      <c r="D121" s="665"/>
      <c r="E121" s="665"/>
      <c r="F121" s="665"/>
      <c r="G121" s="665"/>
      <c r="H121" s="665"/>
    </row>
    <row r="122" spans="1:8">
      <c r="A122" s="665" t="s">
        <v>947</v>
      </c>
      <c r="B122" s="665"/>
      <c r="C122" s="665"/>
      <c r="D122" s="665"/>
      <c r="E122" s="665"/>
      <c r="F122" s="665"/>
      <c r="G122" s="665"/>
      <c r="H122" s="665"/>
    </row>
    <row r="123" spans="1:8">
      <c r="A123" s="665" t="s">
        <v>948</v>
      </c>
      <c r="B123" s="665"/>
      <c r="C123" s="665"/>
      <c r="D123" s="665"/>
      <c r="E123" s="665"/>
      <c r="F123" s="665"/>
      <c r="G123" s="665"/>
      <c r="H123" s="665"/>
    </row>
    <row r="124" spans="1:8">
      <c r="A124" s="683"/>
      <c r="B124" s="683"/>
      <c r="C124" s="683"/>
      <c r="D124" s="683"/>
      <c r="E124" s="683"/>
      <c r="F124" s="683"/>
      <c r="G124" s="683"/>
      <c r="H124" s="683"/>
    </row>
    <row r="125" spans="1:8">
      <c r="A125" s="667"/>
      <c r="B125" s="678" t="s">
        <v>734</v>
      </c>
      <c r="C125" s="679"/>
      <c r="D125" s="678" t="s">
        <v>735</v>
      </c>
      <c r="E125" s="680"/>
      <c r="F125" s="679"/>
      <c r="G125" s="678" t="s">
        <v>736</v>
      </c>
      <c r="H125" s="679"/>
    </row>
    <row r="126" spans="1:8">
      <c r="A126" s="667" t="s">
        <v>737</v>
      </c>
      <c r="B126" s="667" t="s">
        <v>582</v>
      </c>
      <c r="C126" s="667" t="s">
        <v>738</v>
      </c>
      <c r="D126" s="667" t="s">
        <v>582</v>
      </c>
      <c r="E126" s="667" t="s">
        <v>739</v>
      </c>
      <c r="F126" s="667" t="s">
        <v>740</v>
      </c>
      <c r="G126" s="667" t="s">
        <v>582</v>
      </c>
      <c r="H126" s="667" t="s">
        <v>741</v>
      </c>
    </row>
    <row r="127" spans="1:8">
      <c r="A127" s="667" t="s">
        <v>742</v>
      </c>
      <c r="B127" s="667">
        <v>1175</v>
      </c>
      <c r="C127" s="668">
        <v>0.37</v>
      </c>
      <c r="D127" s="667">
        <v>315</v>
      </c>
      <c r="E127" s="668">
        <v>0.41</v>
      </c>
      <c r="F127" s="668">
        <v>0.27</v>
      </c>
      <c r="G127" s="667">
        <v>555</v>
      </c>
      <c r="H127" s="668">
        <v>0.39</v>
      </c>
    </row>
    <row r="128" spans="1:8">
      <c r="A128" s="667" t="s">
        <v>743</v>
      </c>
      <c r="B128" s="667">
        <v>1369</v>
      </c>
      <c r="C128" s="668">
        <v>0.43</v>
      </c>
      <c r="D128" s="667">
        <v>357</v>
      </c>
      <c r="E128" s="668">
        <v>0.47</v>
      </c>
      <c r="F128" s="668">
        <v>0.26</v>
      </c>
      <c r="G128" s="667">
        <v>643</v>
      </c>
      <c r="H128" s="668">
        <v>0.45</v>
      </c>
    </row>
    <row r="129" spans="1:8">
      <c r="A129" s="667" t="s">
        <v>744</v>
      </c>
      <c r="B129" s="667">
        <v>53</v>
      </c>
      <c r="C129" s="668">
        <v>0.02</v>
      </c>
      <c r="D129" s="667">
        <v>5</v>
      </c>
      <c r="E129" s="668">
        <v>0.01</v>
      </c>
      <c r="F129" s="668">
        <v>0.09</v>
      </c>
      <c r="G129" s="667">
        <v>7</v>
      </c>
      <c r="H129" s="668">
        <v>0</v>
      </c>
    </row>
    <row r="130" spans="1:8">
      <c r="A130" s="667" t="s">
        <v>745</v>
      </c>
      <c r="B130" s="667">
        <v>552</v>
      </c>
      <c r="C130" s="668">
        <v>0.18</v>
      </c>
      <c r="D130" s="667">
        <v>87</v>
      </c>
      <c r="E130" s="668">
        <v>0.11</v>
      </c>
      <c r="F130" s="668">
        <v>0.16</v>
      </c>
      <c r="G130" s="667">
        <v>222</v>
      </c>
      <c r="H130" s="668">
        <v>0.16</v>
      </c>
    </row>
    <row r="131" spans="1:8">
      <c r="A131" s="667" t="s">
        <v>330</v>
      </c>
      <c r="B131" s="669">
        <v>3149</v>
      </c>
      <c r="C131" s="667"/>
      <c r="D131" s="667">
        <v>764</v>
      </c>
      <c r="E131" s="667"/>
      <c r="F131" s="667"/>
      <c r="G131" s="667">
        <v>1427</v>
      </c>
      <c r="H131" s="667"/>
    </row>
    <row r="132" spans="1:8">
      <c r="A132" s="676"/>
      <c r="B132" s="676"/>
      <c r="C132" s="676"/>
      <c r="D132" s="676"/>
      <c r="E132" s="676"/>
      <c r="F132" s="676"/>
      <c r="G132" s="676"/>
      <c r="H132" s="676"/>
    </row>
    <row r="133" spans="1:8">
      <c r="A133" s="677" t="s">
        <v>938</v>
      </c>
      <c r="B133" s="677"/>
      <c r="C133" s="677"/>
      <c r="D133" s="677"/>
      <c r="E133" s="677"/>
      <c r="F133" s="677"/>
      <c r="G133" s="677"/>
      <c r="H133" s="677"/>
    </row>
    <row r="134" spans="1:8">
      <c r="A134" s="665" t="s">
        <v>939</v>
      </c>
      <c r="B134" s="665"/>
      <c r="C134" s="665"/>
      <c r="D134" s="665"/>
      <c r="E134" s="665"/>
      <c r="F134" s="665"/>
      <c r="G134" s="665"/>
      <c r="H134" s="665"/>
    </row>
    <row r="135" spans="1:8">
      <c r="A135" s="665" t="s">
        <v>940</v>
      </c>
      <c r="B135" s="665"/>
      <c r="C135" s="665"/>
      <c r="D135" s="665"/>
      <c r="E135" s="665"/>
      <c r="F135" s="665"/>
      <c r="G135" s="665"/>
      <c r="H135" s="665"/>
    </row>
    <row r="136" spans="1:8">
      <c r="A136" s="665" t="s">
        <v>941</v>
      </c>
      <c r="B136" s="665"/>
      <c r="C136" s="665"/>
      <c r="D136" s="665"/>
      <c r="E136" s="665"/>
      <c r="F136" s="665"/>
      <c r="G136" s="665"/>
      <c r="H136" s="665"/>
    </row>
    <row r="137" spans="1:8">
      <c r="A137" s="664"/>
      <c r="B137" s="664"/>
      <c r="C137" s="664"/>
      <c r="D137" s="664"/>
      <c r="E137" s="664"/>
      <c r="F137" s="664"/>
      <c r="G137" s="664"/>
      <c r="H137" s="664"/>
    </row>
    <row r="138" spans="1:8" ht="15.75">
      <c r="A138" s="666" t="s">
        <v>746</v>
      </c>
      <c r="B138" s="664"/>
      <c r="C138" s="664"/>
      <c r="D138" s="664"/>
      <c r="E138" s="664"/>
      <c r="F138" s="664"/>
      <c r="G138" s="664"/>
      <c r="H138" s="664"/>
    </row>
    <row r="139" spans="1:8">
      <c r="A139" s="664"/>
      <c r="B139" s="664"/>
      <c r="C139" s="664"/>
      <c r="D139" s="664"/>
      <c r="E139" s="664"/>
      <c r="F139" s="664"/>
      <c r="G139" s="664"/>
      <c r="H139" s="664"/>
    </row>
    <row r="140" spans="1:8">
      <c r="A140" s="665" t="s">
        <v>936</v>
      </c>
      <c r="B140" s="664"/>
      <c r="C140" s="664"/>
      <c r="D140" s="664"/>
      <c r="E140" s="664"/>
      <c r="F140" s="664"/>
      <c r="G140" s="664"/>
      <c r="H140" s="664"/>
    </row>
    <row r="141" spans="1:8">
      <c r="A141" s="665" t="s">
        <v>937</v>
      </c>
      <c r="B141" s="664"/>
      <c r="C141" s="664"/>
      <c r="D141" s="664"/>
      <c r="E141" s="664"/>
      <c r="F141" s="664"/>
      <c r="G141" s="664"/>
      <c r="H141" s="664"/>
    </row>
    <row r="142" spans="1:8">
      <c r="A142" s="664"/>
      <c r="B142" s="664"/>
      <c r="C142" s="664"/>
      <c r="D142" s="664"/>
      <c r="E142" s="664"/>
      <c r="F142" s="664"/>
      <c r="G142" s="664"/>
      <c r="H142" s="664"/>
    </row>
    <row r="143" spans="1:8">
      <c r="A143" s="665" t="s">
        <v>933</v>
      </c>
      <c r="B143" s="664"/>
      <c r="C143" s="664"/>
      <c r="D143" s="664"/>
      <c r="E143" s="664"/>
      <c r="F143" s="664"/>
      <c r="G143" s="664"/>
      <c r="H143" s="664"/>
    </row>
    <row r="144" spans="1:8">
      <c r="A144" s="665" t="s">
        <v>934</v>
      </c>
      <c r="B144" s="664"/>
      <c r="C144" s="664"/>
      <c r="D144" s="664"/>
      <c r="E144" s="664"/>
      <c r="F144" s="664"/>
      <c r="G144" s="664"/>
      <c r="H144" s="664"/>
    </row>
    <row r="145" spans="1:8">
      <c r="A145" s="665" t="s">
        <v>935</v>
      </c>
      <c r="B145" s="664"/>
      <c r="C145" s="664"/>
      <c r="D145" s="664"/>
      <c r="E145" s="664"/>
      <c r="F145" s="664"/>
      <c r="G145" s="664"/>
      <c r="H145" s="664"/>
    </row>
    <row r="146" spans="1:8">
      <c r="A146" s="664"/>
      <c r="B146" s="664"/>
      <c r="C146" s="664"/>
      <c r="D146" s="664"/>
      <c r="E146" s="664"/>
      <c r="F146" s="664"/>
      <c r="G146" s="664"/>
      <c r="H146" s="664"/>
    </row>
    <row r="147" spans="1:8">
      <c r="A147" s="665" t="s">
        <v>930</v>
      </c>
      <c r="B147" s="664"/>
      <c r="C147" s="664"/>
      <c r="D147" s="664"/>
      <c r="E147" s="664"/>
      <c r="F147" s="664"/>
      <c r="G147" s="664"/>
      <c r="H147" s="664"/>
    </row>
    <row r="148" spans="1:8">
      <c r="A148" s="665" t="s">
        <v>931</v>
      </c>
      <c r="B148" s="664"/>
      <c r="C148" s="664"/>
      <c r="D148" s="664"/>
      <c r="E148" s="664"/>
      <c r="F148" s="664"/>
      <c r="G148" s="664"/>
      <c r="H148" s="664"/>
    </row>
    <row r="149" spans="1:8">
      <c r="A149" s="665" t="s">
        <v>932</v>
      </c>
      <c r="B149" s="664"/>
      <c r="C149" s="664"/>
      <c r="D149" s="664"/>
      <c r="E149" s="664"/>
      <c r="F149" s="664"/>
      <c r="G149" s="664"/>
      <c r="H149" s="664"/>
    </row>
    <row r="150" spans="1:8">
      <c r="A150" s="664"/>
      <c r="B150" s="664"/>
      <c r="C150" s="664"/>
      <c r="D150" s="664"/>
      <c r="E150" s="664"/>
      <c r="F150" s="664"/>
      <c r="G150" s="664"/>
      <c r="H150" s="664"/>
    </row>
    <row r="151" spans="1:8">
      <c r="A151" s="665" t="s">
        <v>927</v>
      </c>
      <c r="B151" s="664"/>
      <c r="C151" s="664"/>
      <c r="D151" s="664"/>
      <c r="E151" s="664"/>
      <c r="F151" s="664"/>
      <c r="G151" s="664"/>
      <c r="H151" s="664"/>
    </row>
    <row r="152" spans="1:8">
      <c r="A152" s="665" t="s">
        <v>928</v>
      </c>
      <c r="B152" s="664"/>
      <c r="C152" s="664"/>
      <c r="D152" s="664"/>
      <c r="E152" s="664"/>
      <c r="F152" s="664"/>
      <c r="G152" s="664"/>
      <c r="H152" s="664"/>
    </row>
    <row r="153" spans="1:8">
      <c r="A153" s="665" t="s">
        <v>929</v>
      </c>
      <c r="B153" s="664"/>
      <c r="C153" s="664"/>
      <c r="D153" s="664"/>
      <c r="E153" s="664"/>
      <c r="F153" s="664"/>
      <c r="G153" s="664"/>
      <c r="H153" s="664"/>
    </row>
    <row r="154" spans="1:8">
      <c r="A154" s="664"/>
      <c r="B154" s="664"/>
      <c r="C154" s="664"/>
      <c r="D154" s="664"/>
      <c r="E154" s="664"/>
      <c r="F154" s="664"/>
      <c r="G154" s="664"/>
      <c r="H154" s="664"/>
    </row>
    <row r="155" spans="1:8">
      <c r="A155" s="665" t="s">
        <v>925</v>
      </c>
      <c r="B155" s="664"/>
      <c r="C155" s="664"/>
      <c r="D155" s="664"/>
      <c r="E155" s="664"/>
      <c r="F155" s="664"/>
      <c r="G155" s="664"/>
      <c r="H155" s="664"/>
    </row>
    <row r="156" spans="1:8">
      <c r="A156" s="665" t="s">
        <v>926</v>
      </c>
      <c r="B156" s="664"/>
      <c r="C156" s="664"/>
      <c r="D156" s="664"/>
      <c r="E156" s="664"/>
      <c r="F156" s="664"/>
      <c r="G156" s="664"/>
      <c r="H156" s="664"/>
    </row>
    <row r="157" spans="1:8">
      <c r="A157" s="664"/>
      <c r="B157" s="664"/>
      <c r="C157" s="664"/>
      <c r="D157" s="664"/>
      <c r="E157" s="664"/>
      <c r="F157" s="664"/>
      <c r="G157" s="664"/>
      <c r="H157" s="664"/>
    </row>
    <row r="158" spans="1:8" ht="15.75">
      <c r="A158" s="666" t="s">
        <v>747</v>
      </c>
      <c r="B158" s="664"/>
      <c r="C158" s="664"/>
      <c r="D158" s="664"/>
      <c r="E158" s="664"/>
      <c r="F158" s="664"/>
      <c r="G158" s="664"/>
      <c r="H158" s="664"/>
    </row>
    <row r="159" spans="1:8">
      <c r="A159" s="664"/>
      <c r="B159" s="664"/>
      <c r="C159" s="664"/>
      <c r="D159" s="664"/>
      <c r="E159" s="664"/>
      <c r="F159" s="664"/>
      <c r="G159" s="664"/>
      <c r="H159" s="664"/>
    </row>
    <row r="160" spans="1:8">
      <c r="A160" s="665" t="s">
        <v>923</v>
      </c>
      <c r="B160" s="664"/>
      <c r="C160" s="664"/>
      <c r="D160" s="664"/>
      <c r="E160" s="664"/>
      <c r="F160" s="664"/>
      <c r="G160" s="664"/>
      <c r="H160" s="664"/>
    </row>
    <row r="161" spans="1:8">
      <c r="A161" s="665" t="s">
        <v>924</v>
      </c>
      <c r="B161" s="664"/>
      <c r="C161" s="664"/>
      <c r="D161" s="664"/>
      <c r="E161" s="664"/>
      <c r="F161" s="664"/>
      <c r="G161" s="664"/>
      <c r="H161" s="664"/>
    </row>
    <row r="162" spans="1:8">
      <c r="A162" s="664"/>
      <c r="B162" s="664"/>
      <c r="C162" s="664"/>
      <c r="D162" s="664"/>
      <c r="E162" s="664"/>
      <c r="F162" s="664"/>
      <c r="G162" s="664"/>
      <c r="H162" s="664"/>
    </row>
    <row r="163" spans="1:8">
      <c r="A163" s="665" t="s">
        <v>921</v>
      </c>
      <c r="B163" s="664"/>
      <c r="C163" s="664"/>
      <c r="D163" s="664"/>
      <c r="E163" s="664"/>
      <c r="F163" s="664"/>
      <c r="G163" s="664"/>
      <c r="H163" s="664"/>
    </row>
    <row r="164" spans="1:8">
      <c r="A164" s="665" t="s">
        <v>922</v>
      </c>
      <c r="B164" s="664"/>
      <c r="C164" s="664"/>
      <c r="D164" s="664"/>
      <c r="E164" s="664"/>
      <c r="F164" s="664"/>
      <c r="G164" s="664"/>
      <c r="H164" s="664"/>
    </row>
    <row r="165" spans="1:8">
      <c r="A165" s="664"/>
      <c r="B165" s="664"/>
      <c r="C165" s="664"/>
      <c r="D165" s="664"/>
      <c r="E165" s="664"/>
      <c r="F165" s="664"/>
      <c r="G165" s="664"/>
      <c r="H165" s="664"/>
    </row>
    <row r="166" spans="1:8">
      <c r="A166" s="665" t="s">
        <v>919</v>
      </c>
      <c r="B166" s="664"/>
      <c r="C166" s="664"/>
      <c r="D166" s="664"/>
      <c r="E166" s="664"/>
      <c r="F166" s="664"/>
      <c r="G166" s="664"/>
      <c r="H166" s="664"/>
    </row>
    <row r="167" spans="1:8">
      <c r="A167" s="665" t="s">
        <v>920</v>
      </c>
      <c r="B167" s="664"/>
      <c r="C167" s="664"/>
      <c r="D167" s="664"/>
      <c r="E167" s="664"/>
      <c r="F167" s="664"/>
      <c r="G167" s="664"/>
      <c r="H167" s="664"/>
    </row>
    <row r="168" spans="1:8">
      <c r="A168" s="664"/>
      <c r="B168" s="664"/>
      <c r="C168" s="664"/>
      <c r="D168" s="664"/>
      <c r="E168" s="664"/>
      <c r="F168" s="664"/>
      <c r="G168" s="664"/>
      <c r="H168" s="664"/>
    </row>
    <row r="169" spans="1:8">
      <c r="A169" s="665" t="s">
        <v>916</v>
      </c>
      <c r="B169" s="664"/>
      <c r="C169" s="664"/>
      <c r="D169" s="664"/>
      <c r="E169" s="664"/>
      <c r="F169" s="664"/>
      <c r="G169" s="664"/>
      <c r="H169" s="664"/>
    </row>
    <row r="170" spans="1:8">
      <c r="A170" s="665" t="s">
        <v>917</v>
      </c>
      <c r="B170" s="664"/>
      <c r="C170" s="664"/>
      <c r="D170" s="664"/>
      <c r="E170" s="664"/>
      <c r="F170" s="664"/>
      <c r="G170" s="664"/>
      <c r="H170" s="664"/>
    </row>
    <row r="171" spans="1:8">
      <c r="A171" s="665" t="s">
        <v>918</v>
      </c>
      <c r="B171" s="664"/>
      <c r="C171" s="664"/>
      <c r="D171" s="664"/>
      <c r="E171" s="664"/>
      <c r="F171" s="664"/>
      <c r="G171" s="664"/>
      <c r="H171" s="664"/>
    </row>
    <row r="172" spans="1:8">
      <c r="A172" s="664"/>
      <c r="B172" s="664"/>
      <c r="C172" s="664"/>
      <c r="D172" s="664"/>
      <c r="E172" s="664"/>
      <c r="F172" s="664"/>
      <c r="G172" s="664"/>
      <c r="H172" s="664"/>
    </row>
    <row r="173" spans="1:8">
      <c r="A173" s="664"/>
      <c r="B173" s="664"/>
      <c r="C173" s="664"/>
      <c r="D173" s="664"/>
      <c r="E173" s="664"/>
      <c r="F173" s="664"/>
      <c r="G173" s="664"/>
      <c r="H173" s="664"/>
    </row>
    <row r="174" spans="1:8">
      <c r="A174" s="665" t="s">
        <v>748</v>
      </c>
      <c r="B174" s="664"/>
      <c r="C174" s="664"/>
      <c r="D174" s="664"/>
      <c r="E174" s="664"/>
      <c r="F174" s="664"/>
      <c r="G174" s="664"/>
      <c r="H174" s="664"/>
    </row>
    <row r="175" spans="1:8">
      <c r="A175" s="664"/>
      <c r="B175" s="664"/>
      <c r="C175" s="664"/>
      <c r="D175" s="664"/>
      <c r="E175" s="664"/>
      <c r="F175" s="664"/>
      <c r="G175" s="664"/>
      <c r="H175" s="664"/>
    </row>
    <row r="176" spans="1:8" ht="15.75">
      <c r="A176" s="666" t="s">
        <v>749</v>
      </c>
      <c r="B176" s="664"/>
      <c r="C176" s="664"/>
      <c r="D176" s="664"/>
      <c r="E176" s="664"/>
      <c r="F176" s="664"/>
      <c r="G176" s="664"/>
      <c r="H176" s="664"/>
    </row>
    <row r="177" spans="1:8">
      <c r="A177" s="664"/>
      <c r="B177" s="664"/>
      <c r="C177" s="664"/>
      <c r="D177" s="664"/>
      <c r="E177" s="664"/>
      <c r="F177" s="664"/>
      <c r="G177" s="664"/>
      <c r="H177" s="664"/>
    </row>
    <row r="178" spans="1:8">
      <c r="A178" s="664"/>
      <c r="B178" s="664"/>
      <c r="C178" s="664"/>
      <c r="D178" s="664"/>
      <c r="E178" s="664"/>
      <c r="F178" s="664"/>
      <c r="G178" s="664"/>
      <c r="H178" s="664"/>
    </row>
    <row r="179" spans="1:8">
      <c r="A179" s="664"/>
      <c r="B179" s="664"/>
      <c r="C179" s="664"/>
      <c r="D179" s="664"/>
      <c r="E179" s="664"/>
      <c r="F179" s="664"/>
      <c r="G179" s="664"/>
      <c r="H179" s="664"/>
    </row>
    <row r="180" spans="1:8">
      <c r="A180" s="664"/>
      <c r="B180" s="664"/>
      <c r="C180" s="664"/>
      <c r="D180" s="664"/>
      <c r="E180" s="664"/>
      <c r="F180" s="664"/>
      <c r="G180" s="664"/>
      <c r="H180" s="664"/>
    </row>
    <row r="181" spans="1:8">
      <c r="A181" s="664"/>
      <c r="B181" s="664"/>
      <c r="C181" s="664"/>
      <c r="D181" s="664"/>
      <c r="E181" s="664"/>
      <c r="F181" s="664"/>
      <c r="G181" s="664"/>
      <c r="H181" s="664"/>
    </row>
    <row r="182" spans="1:8">
      <c r="A182" s="664"/>
      <c r="B182" s="664"/>
      <c r="C182" s="664"/>
      <c r="D182" s="664"/>
      <c r="E182" s="664"/>
      <c r="F182" s="664"/>
      <c r="G182" s="664"/>
      <c r="H182" s="664"/>
    </row>
    <row r="183" spans="1:8">
      <c r="A183" s="664"/>
      <c r="B183" s="664"/>
      <c r="C183" s="664"/>
      <c r="D183" s="664"/>
      <c r="E183" s="664"/>
      <c r="F183" s="664"/>
      <c r="G183" s="664"/>
      <c r="H183" s="664"/>
    </row>
    <row r="184" spans="1:8">
      <c r="A184" s="664"/>
      <c r="B184" s="664"/>
      <c r="C184" s="664"/>
      <c r="D184" s="664"/>
      <c r="E184" s="664"/>
      <c r="F184" s="664"/>
      <c r="G184" s="664"/>
      <c r="H184" s="664"/>
    </row>
    <row r="185" spans="1:8">
      <c r="A185" s="664"/>
      <c r="B185" s="664"/>
      <c r="C185" s="664"/>
      <c r="D185" s="664"/>
      <c r="E185" s="664"/>
      <c r="F185" s="664"/>
      <c r="G185" s="664"/>
      <c r="H185" s="664"/>
    </row>
    <row r="186" spans="1:8">
      <c r="A186" s="664"/>
      <c r="B186" s="664"/>
      <c r="C186" s="664"/>
      <c r="D186" s="664"/>
      <c r="E186" s="664"/>
      <c r="F186" s="664"/>
      <c r="G186" s="664"/>
      <c r="H186" s="664"/>
    </row>
    <row r="187" spans="1:8">
      <c r="A187" s="664"/>
      <c r="B187" s="664"/>
      <c r="C187" s="664"/>
      <c r="D187" s="664"/>
      <c r="E187" s="664"/>
      <c r="F187" s="664"/>
      <c r="G187" s="664"/>
      <c r="H187" s="664"/>
    </row>
    <row r="188" spans="1:8">
      <c r="A188" s="664"/>
      <c r="B188" s="664"/>
      <c r="C188" s="664"/>
      <c r="D188" s="664"/>
      <c r="E188" s="664"/>
      <c r="F188" s="664"/>
      <c r="G188" s="664"/>
      <c r="H188" s="664"/>
    </row>
    <row r="189" spans="1:8">
      <c r="A189" s="664"/>
      <c r="B189" s="664"/>
      <c r="C189" s="664"/>
      <c r="D189" s="664"/>
      <c r="E189" s="664"/>
      <c r="F189" s="664"/>
      <c r="G189" s="664"/>
      <c r="H189" s="664"/>
    </row>
    <row r="190" spans="1:8">
      <c r="A190" s="664"/>
      <c r="B190" s="664"/>
      <c r="C190" s="664"/>
      <c r="D190" s="664"/>
      <c r="E190" s="664"/>
      <c r="F190" s="664"/>
      <c r="G190" s="664"/>
      <c r="H190" s="664"/>
    </row>
    <row r="191" spans="1:8">
      <c r="A191" s="664"/>
      <c r="B191" s="664"/>
      <c r="C191" s="664"/>
      <c r="D191" s="664"/>
      <c r="E191" s="664"/>
      <c r="F191" s="664"/>
      <c r="G191" s="664"/>
      <c r="H191" s="664"/>
    </row>
    <row r="192" spans="1:8">
      <c r="A192" s="664"/>
      <c r="B192" s="664"/>
      <c r="C192" s="664"/>
      <c r="D192" s="664"/>
      <c r="E192" s="664"/>
      <c r="F192" s="664"/>
      <c r="G192" s="664"/>
      <c r="H192" s="664"/>
    </row>
    <row r="193" spans="1:8">
      <c r="A193" s="664"/>
      <c r="B193" s="664"/>
      <c r="C193" s="664"/>
      <c r="D193" s="664"/>
      <c r="E193" s="664"/>
      <c r="F193" s="664"/>
      <c r="G193" s="664"/>
      <c r="H193" s="664"/>
    </row>
    <row r="194" spans="1:8">
      <c r="A194" s="664"/>
      <c r="B194" s="664"/>
      <c r="C194" s="664"/>
      <c r="D194" s="664"/>
      <c r="E194" s="664"/>
      <c r="F194" s="664"/>
      <c r="G194" s="664"/>
      <c r="H194" s="664"/>
    </row>
    <row r="195" spans="1:8">
      <c r="A195" s="664"/>
      <c r="B195" s="664"/>
      <c r="C195" s="664"/>
      <c r="D195" s="664"/>
      <c r="E195" s="664"/>
      <c r="F195" s="664"/>
      <c r="G195" s="664"/>
      <c r="H195" s="664"/>
    </row>
    <row r="196" spans="1:8">
      <c r="A196" s="664"/>
      <c r="B196" s="664"/>
      <c r="C196" s="664"/>
      <c r="D196" s="664"/>
      <c r="E196" s="664"/>
      <c r="F196" s="664"/>
      <c r="G196" s="664"/>
      <c r="H196" s="664"/>
    </row>
    <row r="197" spans="1:8">
      <c r="A197" s="664"/>
      <c r="B197" s="664"/>
      <c r="C197" s="664"/>
      <c r="D197" s="664"/>
      <c r="E197" s="664"/>
      <c r="F197" s="664"/>
      <c r="G197" s="664"/>
      <c r="H197" s="664"/>
    </row>
    <row r="198" spans="1:8">
      <c r="A198" s="664"/>
      <c r="B198" s="664"/>
      <c r="C198" s="664"/>
      <c r="D198" s="664"/>
      <c r="E198" s="664"/>
      <c r="F198" s="664"/>
      <c r="G198" s="664"/>
      <c r="H198" s="664"/>
    </row>
    <row r="199" spans="1:8">
      <c r="A199" s="664"/>
      <c r="B199" s="664"/>
      <c r="C199" s="664"/>
      <c r="D199" s="664"/>
      <c r="E199" s="664"/>
      <c r="F199" s="664"/>
      <c r="G199" s="664"/>
      <c r="H199" s="664"/>
    </row>
    <row r="200" spans="1:8">
      <c r="A200" s="664"/>
      <c r="B200" s="664"/>
      <c r="C200" s="664"/>
      <c r="D200" s="664"/>
      <c r="E200" s="664"/>
      <c r="F200" s="664"/>
      <c r="G200" s="664"/>
      <c r="H200" s="664"/>
    </row>
    <row r="201" spans="1:8">
      <c r="A201" s="664"/>
      <c r="B201" s="664"/>
      <c r="C201" s="664"/>
      <c r="D201" s="664"/>
      <c r="E201" s="664"/>
      <c r="F201" s="664"/>
      <c r="G201" s="664"/>
      <c r="H201" s="664"/>
    </row>
    <row r="202" spans="1:8">
      <c r="A202" s="664"/>
      <c r="B202" s="664"/>
      <c r="C202" s="664"/>
      <c r="D202" s="664"/>
      <c r="E202" s="664"/>
      <c r="F202" s="664"/>
      <c r="G202" s="664"/>
      <c r="H202" s="664"/>
    </row>
    <row r="203" spans="1:8" ht="15.75">
      <c r="A203" s="666" t="s">
        <v>750</v>
      </c>
      <c r="B203" s="664"/>
      <c r="C203" s="664"/>
      <c r="D203" s="664"/>
      <c r="E203" s="664"/>
      <c r="F203" s="664"/>
      <c r="G203" s="664"/>
      <c r="H203" s="664"/>
    </row>
    <row r="204" spans="1:8">
      <c r="A204" s="664"/>
      <c r="B204" s="664"/>
      <c r="C204" s="664"/>
      <c r="D204" s="664"/>
      <c r="E204" s="664"/>
      <c r="F204" s="664"/>
      <c r="G204" s="664"/>
      <c r="H204" s="664"/>
    </row>
    <row r="205" spans="1:8">
      <c r="A205" s="665" t="s">
        <v>911</v>
      </c>
      <c r="B205" s="664"/>
      <c r="C205" s="664"/>
      <c r="D205" s="664"/>
      <c r="E205" s="664"/>
      <c r="F205" s="664"/>
      <c r="G205" s="664"/>
      <c r="H205" s="664"/>
    </row>
    <row r="206" spans="1:8">
      <c r="A206" s="665" t="s">
        <v>912</v>
      </c>
      <c r="B206" s="664"/>
      <c r="C206" s="664"/>
      <c r="D206" s="664"/>
      <c r="E206" s="664"/>
      <c r="F206" s="664"/>
      <c r="G206" s="664"/>
      <c r="H206" s="664"/>
    </row>
    <row r="207" spans="1:8">
      <c r="A207" s="665" t="s">
        <v>913</v>
      </c>
      <c r="B207" s="664"/>
      <c r="C207" s="664"/>
      <c r="D207" s="664"/>
      <c r="E207" s="664"/>
      <c r="F207" s="664"/>
      <c r="G207" s="664"/>
      <c r="H207" s="664"/>
    </row>
    <row r="208" spans="1:8">
      <c r="A208" s="665" t="s">
        <v>914</v>
      </c>
      <c r="B208" s="664"/>
      <c r="C208" s="664"/>
      <c r="D208" s="664"/>
      <c r="E208" s="664"/>
      <c r="F208" s="664"/>
      <c r="G208" s="664"/>
      <c r="H208" s="664"/>
    </row>
    <row r="209" spans="1:8">
      <c r="A209" s="665" t="s">
        <v>915</v>
      </c>
      <c r="B209" s="664"/>
      <c r="C209" s="664"/>
      <c r="D209" s="664"/>
      <c r="E209" s="664"/>
      <c r="F209" s="664"/>
      <c r="G209" s="664"/>
      <c r="H209" s="664"/>
    </row>
    <row r="210" spans="1:8">
      <c r="A210" s="664"/>
      <c r="B210" s="664"/>
      <c r="C210" s="664"/>
      <c r="D210" s="664"/>
      <c r="E210" s="664"/>
      <c r="F210" s="664"/>
      <c r="G210" s="664"/>
      <c r="H210" s="664"/>
    </row>
    <row r="211" spans="1:8">
      <c r="A211" s="665" t="s">
        <v>908</v>
      </c>
      <c r="B211" s="664"/>
      <c r="C211" s="664"/>
      <c r="D211" s="664"/>
      <c r="E211" s="664"/>
      <c r="F211" s="664"/>
      <c r="G211" s="664"/>
      <c r="H211" s="664"/>
    </row>
    <row r="212" spans="1:8">
      <c r="A212" s="665" t="s">
        <v>909</v>
      </c>
      <c r="B212" s="664"/>
      <c r="C212" s="664"/>
      <c r="D212" s="664"/>
      <c r="E212" s="664"/>
      <c r="F212" s="664"/>
      <c r="G212" s="664"/>
      <c r="H212" s="664"/>
    </row>
    <row r="213" spans="1:8">
      <c r="A213" s="665" t="s">
        <v>910</v>
      </c>
      <c r="B213" s="664"/>
      <c r="C213" s="664"/>
      <c r="D213" s="664"/>
      <c r="E213" s="664"/>
      <c r="F213" s="664"/>
      <c r="G213" s="664"/>
      <c r="H213" s="664"/>
    </row>
    <row r="214" spans="1:8" ht="15.75">
      <c r="A214" s="666" t="s">
        <v>751</v>
      </c>
      <c r="B214" s="664"/>
      <c r="C214" s="664"/>
      <c r="D214" s="664"/>
      <c r="E214" s="664"/>
      <c r="F214" s="664"/>
      <c r="G214" s="664"/>
      <c r="H214" s="664"/>
    </row>
    <row r="215" spans="1:8">
      <c r="A215" s="664"/>
      <c r="B215" s="664"/>
      <c r="C215" s="664"/>
      <c r="D215" s="664"/>
      <c r="E215" s="664"/>
      <c r="F215" s="664"/>
      <c r="G215" s="664"/>
      <c r="H215" s="664"/>
    </row>
    <row r="216" spans="1:8">
      <c r="A216" s="665" t="s">
        <v>901</v>
      </c>
      <c r="B216" s="664"/>
      <c r="C216" s="664"/>
      <c r="D216" s="664"/>
      <c r="E216" s="664"/>
      <c r="F216" s="664"/>
      <c r="G216" s="664"/>
      <c r="H216" s="664"/>
    </row>
    <row r="217" spans="1:8">
      <c r="A217" s="665" t="s">
        <v>902</v>
      </c>
      <c r="B217" s="664"/>
      <c r="C217" s="664"/>
      <c r="D217" s="664"/>
      <c r="E217" s="664"/>
      <c r="F217" s="664"/>
      <c r="G217" s="664"/>
      <c r="H217" s="664"/>
    </row>
    <row r="218" spans="1:8">
      <c r="A218" s="665" t="s">
        <v>903</v>
      </c>
      <c r="B218" s="664"/>
      <c r="C218" s="664"/>
      <c r="D218" s="664"/>
      <c r="E218" s="664"/>
      <c r="F218" s="664"/>
      <c r="G218" s="664"/>
      <c r="H218" s="664"/>
    </row>
    <row r="219" spans="1:8">
      <c r="A219" s="665" t="s">
        <v>904</v>
      </c>
      <c r="B219" s="664"/>
      <c r="C219" s="664"/>
      <c r="D219" s="664"/>
      <c r="E219" s="664"/>
      <c r="F219" s="664"/>
      <c r="G219" s="664"/>
      <c r="H219" s="664"/>
    </row>
    <row r="220" spans="1:8">
      <c r="A220" s="665" t="s">
        <v>905</v>
      </c>
      <c r="B220" s="664"/>
      <c r="C220" s="664"/>
      <c r="D220" s="664"/>
      <c r="E220" s="664"/>
      <c r="F220" s="664"/>
      <c r="G220" s="664"/>
      <c r="H220" s="664"/>
    </row>
    <row r="221" spans="1:8">
      <c r="A221" s="665" t="s">
        <v>906</v>
      </c>
      <c r="B221" s="664"/>
      <c r="C221" s="664"/>
      <c r="D221" s="664"/>
      <c r="E221" s="664"/>
      <c r="F221" s="664"/>
      <c r="G221" s="664"/>
      <c r="H221" s="664"/>
    </row>
    <row r="222" spans="1:8">
      <c r="A222" s="665" t="s">
        <v>907</v>
      </c>
      <c r="B222" s="664"/>
      <c r="C222" s="664"/>
      <c r="D222" s="664"/>
      <c r="E222" s="664"/>
      <c r="F222" s="664"/>
      <c r="G222" s="664"/>
      <c r="H222" s="664"/>
    </row>
    <row r="223" spans="1:8">
      <c r="A223" s="664"/>
      <c r="B223" s="664"/>
      <c r="C223" s="664"/>
      <c r="D223" s="664"/>
      <c r="E223" s="664"/>
      <c r="F223" s="664"/>
      <c r="G223" s="664"/>
      <c r="H223" s="664"/>
    </row>
    <row r="224" spans="1:8">
      <c r="A224" s="665" t="s">
        <v>898</v>
      </c>
      <c r="B224" s="664"/>
      <c r="C224" s="664"/>
      <c r="D224" s="664"/>
      <c r="E224" s="664"/>
      <c r="F224" s="664"/>
      <c r="G224" s="664"/>
      <c r="H224" s="664"/>
    </row>
    <row r="225" spans="1:8">
      <c r="A225" s="665" t="s">
        <v>899</v>
      </c>
      <c r="B225" s="664"/>
      <c r="C225" s="664"/>
      <c r="D225" s="664"/>
      <c r="E225" s="664"/>
      <c r="F225" s="664"/>
      <c r="G225" s="664"/>
      <c r="H225" s="664"/>
    </row>
    <row r="226" spans="1:8">
      <c r="A226" s="665" t="s">
        <v>900</v>
      </c>
      <c r="B226" s="664"/>
      <c r="C226" s="664"/>
      <c r="D226" s="664"/>
      <c r="E226" s="664"/>
      <c r="F226" s="664"/>
      <c r="G226" s="664"/>
      <c r="H226" s="664"/>
    </row>
    <row r="227" spans="1:8">
      <c r="A227" s="664"/>
      <c r="B227" s="664"/>
      <c r="C227" s="664"/>
      <c r="D227" s="664"/>
      <c r="E227" s="664"/>
      <c r="F227" s="664"/>
      <c r="G227" s="664"/>
      <c r="H227" s="664"/>
    </row>
    <row r="228" spans="1:8">
      <c r="A228" s="665" t="s">
        <v>893</v>
      </c>
      <c r="B228" s="664"/>
      <c r="C228" s="664"/>
      <c r="D228" s="664"/>
      <c r="E228" s="664"/>
      <c r="F228" s="664"/>
      <c r="G228" s="664"/>
      <c r="H228" s="664"/>
    </row>
    <row r="229" spans="1:8">
      <c r="A229" s="665" t="s">
        <v>894</v>
      </c>
      <c r="B229" s="664"/>
      <c r="C229" s="664"/>
      <c r="D229" s="664"/>
      <c r="E229" s="664"/>
      <c r="F229" s="664"/>
      <c r="G229" s="664"/>
      <c r="H229" s="664"/>
    </row>
    <row r="230" spans="1:8">
      <c r="A230" s="665" t="s">
        <v>895</v>
      </c>
      <c r="B230" s="664"/>
      <c r="C230" s="664"/>
      <c r="D230" s="664"/>
      <c r="E230" s="664"/>
      <c r="F230" s="664"/>
      <c r="G230" s="664"/>
      <c r="H230" s="664"/>
    </row>
    <row r="231" spans="1:8">
      <c r="A231" s="665" t="s">
        <v>896</v>
      </c>
      <c r="B231" s="664"/>
      <c r="C231" s="664"/>
      <c r="D231" s="664"/>
      <c r="E231" s="664"/>
      <c r="F231" s="664"/>
      <c r="G231" s="664"/>
      <c r="H231" s="664"/>
    </row>
    <row r="232" spans="1:8">
      <c r="A232" s="665" t="s">
        <v>897</v>
      </c>
      <c r="B232" s="664"/>
      <c r="C232" s="664"/>
      <c r="D232" s="664"/>
      <c r="E232" s="664"/>
      <c r="F232" s="664"/>
      <c r="G232" s="664"/>
      <c r="H232" s="664"/>
    </row>
    <row r="233" spans="1:8">
      <c r="A233" s="664"/>
      <c r="B233" s="664"/>
      <c r="C233" s="664"/>
      <c r="D233" s="664"/>
      <c r="E233" s="664"/>
      <c r="F233" s="664"/>
      <c r="G233" s="664"/>
      <c r="H233" s="664"/>
    </row>
    <row r="234" spans="1:8">
      <c r="A234" s="665" t="s">
        <v>887</v>
      </c>
      <c r="B234" s="664"/>
      <c r="C234" s="664"/>
      <c r="D234" s="664"/>
      <c r="E234" s="664"/>
      <c r="F234" s="664"/>
      <c r="G234" s="664"/>
      <c r="H234" s="664"/>
    </row>
    <row r="235" spans="1:8">
      <c r="A235" s="665" t="s">
        <v>888</v>
      </c>
      <c r="B235" s="664"/>
      <c r="C235" s="664"/>
      <c r="D235" s="664"/>
      <c r="E235" s="664"/>
      <c r="F235" s="664"/>
      <c r="G235" s="664"/>
      <c r="H235" s="664"/>
    </row>
    <row r="236" spans="1:8">
      <c r="A236" s="665" t="s">
        <v>889</v>
      </c>
      <c r="B236" s="664"/>
      <c r="C236" s="664"/>
      <c r="D236" s="664"/>
      <c r="E236" s="664"/>
      <c r="F236" s="664"/>
      <c r="G236" s="664"/>
      <c r="H236" s="664"/>
    </row>
    <row r="237" spans="1:8">
      <c r="A237" s="665" t="s">
        <v>890</v>
      </c>
      <c r="B237" s="664"/>
      <c r="C237" s="664"/>
      <c r="D237" s="664"/>
      <c r="E237" s="664"/>
      <c r="F237" s="664"/>
      <c r="G237" s="664"/>
      <c r="H237" s="664"/>
    </row>
    <row r="238" spans="1:8">
      <c r="A238" s="665" t="s">
        <v>891</v>
      </c>
      <c r="B238" s="664"/>
      <c r="C238" s="664"/>
      <c r="D238" s="664"/>
      <c r="E238" s="664"/>
      <c r="F238" s="664"/>
      <c r="G238" s="664"/>
      <c r="H238" s="664"/>
    </row>
    <row r="239" spans="1:8">
      <c r="A239" s="665" t="s">
        <v>892</v>
      </c>
      <c r="B239" s="664"/>
      <c r="C239" s="664"/>
      <c r="D239" s="664"/>
      <c r="E239" s="664"/>
      <c r="F239" s="664"/>
      <c r="G239" s="664"/>
      <c r="H239" s="664"/>
    </row>
    <row r="240" spans="1:8">
      <c r="A240" s="664"/>
      <c r="B240" s="664"/>
      <c r="C240" s="664"/>
      <c r="D240" s="664"/>
      <c r="E240" s="664"/>
      <c r="F240" s="664"/>
      <c r="G240" s="664"/>
      <c r="H240" s="664"/>
    </row>
    <row r="241" spans="1:8">
      <c r="A241" s="665" t="s">
        <v>877</v>
      </c>
      <c r="B241" s="664"/>
      <c r="C241" s="664"/>
      <c r="D241" s="664"/>
      <c r="E241" s="664"/>
      <c r="F241" s="664"/>
      <c r="G241" s="664"/>
      <c r="H241" s="664"/>
    </row>
    <row r="242" spans="1:8">
      <c r="A242" s="665" t="s">
        <v>878</v>
      </c>
      <c r="B242" s="664"/>
      <c r="C242" s="664"/>
      <c r="D242" s="664"/>
      <c r="E242" s="664"/>
      <c r="F242" s="664"/>
      <c r="G242" s="664"/>
      <c r="H242" s="664"/>
    </row>
    <row r="243" spans="1:8">
      <c r="A243" s="665" t="s">
        <v>879</v>
      </c>
      <c r="B243" s="664"/>
      <c r="C243" s="664"/>
      <c r="D243" s="664"/>
      <c r="E243" s="664"/>
      <c r="F243" s="664"/>
      <c r="G243" s="664"/>
      <c r="H243" s="664"/>
    </row>
    <row r="244" spans="1:8">
      <c r="A244" s="665" t="s">
        <v>880</v>
      </c>
      <c r="B244" s="664"/>
      <c r="C244" s="664"/>
      <c r="D244" s="664"/>
      <c r="E244" s="664"/>
      <c r="F244" s="664"/>
      <c r="G244" s="664"/>
      <c r="H244" s="664"/>
    </row>
    <row r="245" spans="1:8">
      <c r="A245" s="665" t="s">
        <v>881</v>
      </c>
      <c r="B245" s="664"/>
      <c r="C245" s="664"/>
      <c r="D245" s="664"/>
      <c r="E245" s="664"/>
      <c r="F245" s="664"/>
      <c r="G245" s="664"/>
      <c r="H245" s="664"/>
    </row>
    <row r="246" spans="1:8">
      <c r="A246" s="665" t="s">
        <v>882</v>
      </c>
      <c r="B246" s="664"/>
      <c r="C246" s="664"/>
      <c r="D246" s="664"/>
      <c r="E246" s="664"/>
      <c r="F246" s="664"/>
      <c r="G246" s="664"/>
      <c r="H246" s="664"/>
    </row>
    <row r="247" spans="1:8">
      <c r="A247" s="665" t="s">
        <v>883</v>
      </c>
      <c r="B247" s="664"/>
      <c r="C247" s="664"/>
      <c r="D247" s="664"/>
      <c r="E247" s="664"/>
      <c r="F247" s="664"/>
      <c r="G247" s="664"/>
      <c r="H247" s="664"/>
    </row>
    <row r="248" spans="1:8">
      <c r="A248" s="665" t="s">
        <v>884</v>
      </c>
      <c r="B248" s="664"/>
      <c r="C248" s="664"/>
      <c r="D248" s="664"/>
      <c r="E248" s="664"/>
      <c r="F248" s="664"/>
      <c r="G248" s="664"/>
      <c r="H248" s="664"/>
    </row>
    <row r="249" spans="1:8">
      <c r="A249" s="665" t="s">
        <v>885</v>
      </c>
      <c r="B249" s="664"/>
      <c r="C249" s="664"/>
      <c r="D249" s="664"/>
      <c r="E249" s="664"/>
      <c r="F249" s="664"/>
      <c r="G249" s="664"/>
      <c r="H249" s="664"/>
    </row>
    <row r="250" spans="1:8">
      <c r="A250" s="665" t="s">
        <v>886</v>
      </c>
      <c r="B250" s="664"/>
      <c r="C250" s="664"/>
      <c r="D250" s="664"/>
      <c r="E250" s="664"/>
      <c r="F250" s="664"/>
      <c r="G250" s="664"/>
      <c r="H250" s="664"/>
    </row>
    <row r="251" spans="1:8">
      <c r="A251" s="664"/>
      <c r="B251" s="664"/>
      <c r="C251" s="664"/>
      <c r="D251" s="664"/>
      <c r="E251" s="664"/>
      <c r="F251" s="664"/>
      <c r="G251" s="664"/>
      <c r="H251" s="664"/>
    </row>
    <row r="252" spans="1:8">
      <c r="A252" s="665" t="s">
        <v>875</v>
      </c>
      <c r="B252" s="664"/>
      <c r="C252" s="664"/>
      <c r="D252" s="664"/>
      <c r="E252" s="664"/>
      <c r="F252" s="664"/>
      <c r="G252" s="664"/>
      <c r="H252" s="664"/>
    </row>
    <row r="253" spans="1:8">
      <c r="A253" s="665" t="s">
        <v>876</v>
      </c>
      <c r="B253" s="664"/>
      <c r="C253" s="664"/>
      <c r="D253" s="664"/>
      <c r="E253" s="664"/>
      <c r="F253" s="664"/>
      <c r="G253" s="664"/>
      <c r="H253" s="664"/>
    </row>
    <row r="254" spans="1:8">
      <c r="A254" s="664"/>
      <c r="B254" s="664"/>
      <c r="C254" s="664"/>
      <c r="D254" s="664"/>
      <c r="E254" s="664"/>
      <c r="F254" s="664"/>
      <c r="G254" s="664"/>
      <c r="H254" s="664"/>
    </row>
    <row r="255" spans="1:8">
      <c r="A255" s="665" t="s">
        <v>859</v>
      </c>
      <c r="B255" s="664"/>
      <c r="C255" s="664"/>
      <c r="D255" s="664"/>
      <c r="E255" s="664"/>
      <c r="F255" s="664"/>
      <c r="G255" s="664"/>
      <c r="H255" s="664"/>
    </row>
    <row r="256" spans="1:8">
      <c r="A256" s="665" t="s">
        <v>860</v>
      </c>
      <c r="B256" s="664"/>
      <c r="C256" s="664"/>
      <c r="D256" s="664"/>
      <c r="E256" s="664"/>
      <c r="F256" s="664"/>
      <c r="G256" s="664"/>
      <c r="H256" s="664"/>
    </row>
    <row r="257" spans="1:8">
      <c r="A257" s="665" t="s">
        <v>861</v>
      </c>
      <c r="B257" s="664"/>
      <c r="C257" s="664"/>
      <c r="D257" s="664"/>
      <c r="E257" s="664"/>
      <c r="F257" s="664"/>
      <c r="G257" s="664"/>
      <c r="H257" s="664"/>
    </row>
    <row r="258" spans="1:8">
      <c r="A258" s="665" t="s">
        <v>862</v>
      </c>
      <c r="B258" s="664"/>
      <c r="C258" s="664"/>
      <c r="D258" s="664"/>
      <c r="E258" s="664"/>
      <c r="F258" s="664"/>
      <c r="G258" s="664"/>
      <c r="H258" s="664"/>
    </row>
    <row r="259" spans="1:8">
      <c r="A259" s="665" t="s">
        <v>863</v>
      </c>
      <c r="B259" s="664"/>
      <c r="C259" s="664"/>
      <c r="D259" s="664"/>
      <c r="E259" s="664"/>
      <c r="F259" s="664"/>
      <c r="G259" s="664"/>
      <c r="H259" s="664"/>
    </row>
    <row r="260" spans="1:8">
      <c r="A260" s="665" t="s">
        <v>864</v>
      </c>
      <c r="B260" s="664"/>
      <c r="C260" s="664"/>
      <c r="D260" s="664"/>
      <c r="E260" s="664"/>
      <c r="F260" s="664"/>
      <c r="G260" s="664"/>
      <c r="H260" s="664"/>
    </row>
    <row r="261" spans="1:8">
      <c r="A261" s="665" t="s">
        <v>865</v>
      </c>
      <c r="B261" s="664"/>
      <c r="C261" s="664"/>
      <c r="D261" s="664"/>
      <c r="E261" s="664"/>
      <c r="F261" s="664"/>
      <c r="G261" s="664"/>
      <c r="H261" s="664"/>
    </row>
    <row r="262" spans="1:8">
      <c r="A262" s="665" t="s">
        <v>866</v>
      </c>
      <c r="B262" s="664"/>
      <c r="C262" s="664"/>
      <c r="D262" s="664"/>
      <c r="E262" s="664"/>
      <c r="F262" s="664"/>
      <c r="G262" s="664"/>
      <c r="H262" s="664"/>
    </row>
    <row r="263" spans="1:8">
      <c r="A263" s="665" t="s">
        <v>867</v>
      </c>
      <c r="B263" s="664"/>
      <c r="C263" s="664"/>
      <c r="D263" s="664"/>
      <c r="E263" s="664"/>
      <c r="F263" s="664"/>
      <c r="G263" s="664"/>
      <c r="H263" s="664"/>
    </row>
    <row r="264" spans="1:8">
      <c r="A264" s="665" t="s">
        <v>868</v>
      </c>
      <c r="B264" s="664"/>
      <c r="C264" s="664"/>
      <c r="D264" s="664"/>
      <c r="E264" s="664"/>
      <c r="F264" s="664"/>
      <c r="G264" s="664"/>
      <c r="H264" s="664"/>
    </row>
    <row r="265" spans="1:8">
      <c r="A265" s="665" t="s">
        <v>869</v>
      </c>
      <c r="B265" s="664"/>
      <c r="C265" s="664"/>
      <c r="D265" s="664"/>
      <c r="E265" s="664"/>
      <c r="F265" s="664"/>
      <c r="G265" s="664"/>
      <c r="H265" s="664"/>
    </row>
    <row r="266" spans="1:8">
      <c r="A266" s="665" t="s">
        <v>870</v>
      </c>
      <c r="B266" s="664"/>
      <c r="C266" s="664"/>
      <c r="D266" s="664"/>
      <c r="E266" s="664"/>
      <c r="F266" s="664"/>
      <c r="G266" s="664"/>
      <c r="H266" s="664"/>
    </row>
    <row r="267" spans="1:8">
      <c r="A267" s="665" t="s">
        <v>871</v>
      </c>
      <c r="B267" s="664"/>
      <c r="C267" s="664"/>
      <c r="D267" s="664"/>
      <c r="E267" s="664"/>
      <c r="F267" s="664"/>
      <c r="G267" s="664"/>
      <c r="H267" s="664"/>
    </row>
    <row r="268" spans="1:8">
      <c r="A268" s="665" t="s">
        <v>872</v>
      </c>
      <c r="B268" s="664"/>
      <c r="C268" s="664"/>
      <c r="D268" s="664"/>
      <c r="E268" s="664"/>
      <c r="F268" s="664"/>
      <c r="G268" s="664"/>
      <c r="H268" s="664"/>
    </row>
    <row r="269" spans="1:8">
      <c r="A269" s="665" t="s">
        <v>873</v>
      </c>
      <c r="B269" s="664"/>
      <c r="C269" s="664"/>
      <c r="D269" s="664"/>
      <c r="E269" s="664"/>
      <c r="F269" s="664"/>
      <c r="G269" s="664"/>
      <c r="H269" s="664"/>
    </row>
    <row r="270" spans="1:8">
      <c r="A270" s="665" t="s">
        <v>874</v>
      </c>
      <c r="B270" s="664"/>
      <c r="C270" s="664"/>
      <c r="D270" s="664"/>
      <c r="E270" s="664"/>
      <c r="F270" s="664"/>
      <c r="G270" s="664"/>
      <c r="H270" s="664"/>
    </row>
    <row r="271" spans="1:8">
      <c r="A271" s="664"/>
      <c r="B271" s="664"/>
      <c r="C271" s="664"/>
      <c r="D271" s="664"/>
      <c r="E271" s="664"/>
      <c r="F271" s="664"/>
      <c r="G271" s="664"/>
      <c r="H271" s="664"/>
    </row>
    <row r="272" spans="1:8">
      <c r="A272" s="665" t="s">
        <v>852</v>
      </c>
      <c r="B272" s="664"/>
      <c r="C272" s="664"/>
      <c r="D272" s="664"/>
      <c r="E272" s="664"/>
      <c r="F272" s="664"/>
      <c r="G272" s="664"/>
      <c r="H272" s="664"/>
    </row>
    <row r="273" spans="1:8">
      <c r="A273" s="665" t="s">
        <v>853</v>
      </c>
      <c r="B273" s="664"/>
      <c r="C273" s="664"/>
      <c r="D273" s="664"/>
      <c r="E273" s="664"/>
      <c r="F273" s="664"/>
      <c r="G273" s="664"/>
      <c r="H273" s="664"/>
    </row>
    <row r="274" spans="1:8">
      <c r="A274" s="665" t="s">
        <v>854</v>
      </c>
      <c r="B274" s="664"/>
      <c r="C274" s="664"/>
      <c r="D274" s="664"/>
      <c r="E274" s="664"/>
      <c r="F274" s="664"/>
      <c r="G274" s="664"/>
      <c r="H274" s="664"/>
    </row>
    <row r="275" spans="1:8">
      <c r="A275" s="665" t="s">
        <v>855</v>
      </c>
      <c r="B275" s="664"/>
      <c r="C275" s="664"/>
      <c r="D275" s="664"/>
      <c r="E275" s="664"/>
      <c r="F275" s="664"/>
      <c r="G275" s="664"/>
      <c r="H275" s="664"/>
    </row>
    <row r="276" spans="1:8">
      <c r="A276" s="665" t="s">
        <v>856</v>
      </c>
      <c r="B276" s="664"/>
      <c r="C276" s="664"/>
      <c r="D276" s="664"/>
      <c r="E276" s="664"/>
      <c r="F276" s="664"/>
      <c r="G276" s="664"/>
      <c r="H276" s="664"/>
    </row>
    <row r="277" spans="1:8">
      <c r="A277" s="665" t="s">
        <v>857</v>
      </c>
      <c r="B277" s="664"/>
      <c r="C277" s="664"/>
      <c r="D277" s="664"/>
      <c r="E277" s="664"/>
      <c r="F277" s="664"/>
      <c r="G277" s="664"/>
      <c r="H277" s="664"/>
    </row>
    <row r="278" spans="1:8">
      <c r="A278" s="665" t="s">
        <v>858</v>
      </c>
      <c r="B278" s="664"/>
      <c r="C278" s="664"/>
      <c r="D278" s="664"/>
      <c r="E278" s="664"/>
      <c r="F278" s="664"/>
      <c r="G278" s="664"/>
      <c r="H278" s="664"/>
    </row>
    <row r="279" spans="1:8">
      <c r="A279" s="664"/>
      <c r="B279" s="664"/>
      <c r="C279" s="664"/>
      <c r="D279" s="664"/>
      <c r="E279" s="664"/>
      <c r="F279" s="664"/>
      <c r="G279" s="664"/>
      <c r="H279" s="664"/>
    </row>
    <row r="280" spans="1:8">
      <c r="A280" s="665" t="s">
        <v>843</v>
      </c>
      <c r="B280" s="664"/>
      <c r="C280" s="664"/>
      <c r="D280" s="664"/>
      <c r="E280" s="664"/>
      <c r="F280" s="664"/>
      <c r="G280" s="664"/>
      <c r="H280" s="664"/>
    </row>
    <row r="281" spans="1:8">
      <c r="A281" s="665" t="s">
        <v>844</v>
      </c>
      <c r="B281" s="664"/>
      <c r="C281" s="664"/>
      <c r="D281" s="664"/>
      <c r="E281" s="664"/>
      <c r="F281" s="664"/>
      <c r="G281" s="664"/>
      <c r="H281" s="664"/>
    </row>
    <row r="282" spans="1:8">
      <c r="A282" s="665" t="s">
        <v>845</v>
      </c>
      <c r="B282" s="664"/>
      <c r="C282" s="664"/>
      <c r="D282" s="664"/>
      <c r="E282" s="664"/>
      <c r="F282" s="664"/>
      <c r="G282" s="664"/>
      <c r="H282" s="664"/>
    </row>
    <row r="283" spans="1:8">
      <c r="A283" s="665" t="s">
        <v>846</v>
      </c>
      <c r="B283" s="664"/>
      <c r="C283" s="664"/>
      <c r="D283" s="664"/>
      <c r="E283" s="664"/>
      <c r="F283" s="664"/>
      <c r="G283" s="664"/>
      <c r="H283" s="664"/>
    </row>
    <row r="284" spans="1:8">
      <c r="A284" s="665" t="s">
        <v>847</v>
      </c>
      <c r="B284" s="664"/>
      <c r="C284" s="664"/>
      <c r="D284" s="664"/>
      <c r="E284" s="664"/>
      <c r="F284" s="664"/>
      <c r="G284" s="664"/>
      <c r="H284" s="664"/>
    </row>
    <row r="285" spans="1:8">
      <c r="A285" s="665" t="s">
        <v>848</v>
      </c>
      <c r="B285" s="664"/>
      <c r="C285" s="664"/>
      <c r="D285" s="664"/>
      <c r="E285" s="664"/>
      <c r="F285" s="664"/>
      <c r="G285" s="664"/>
      <c r="H285" s="664"/>
    </row>
    <row r="286" spans="1:8">
      <c r="A286" s="665" t="s">
        <v>849</v>
      </c>
      <c r="B286" s="664"/>
      <c r="C286" s="664"/>
      <c r="D286" s="664"/>
      <c r="E286" s="664"/>
      <c r="F286" s="664"/>
      <c r="G286" s="664"/>
      <c r="H286" s="664"/>
    </row>
    <row r="287" spans="1:8">
      <c r="A287" s="665" t="s">
        <v>850</v>
      </c>
      <c r="B287" s="664"/>
      <c r="C287" s="664"/>
      <c r="D287" s="664"/>
      <c r="E287" s="664"/>
      <c r="F287" s="664"/>
      <c r="G287" s="664"/>
      <c r="H287" s="664"/>
    </row>
    <row r="288" spans="1:8">
      <c r="A288" s="665" t="s">
        <v>851</v>
      </c>
      <c r="B288" s="664"/>
      <c r="C288" s="664"/>
      <c r="D288" s="664"/>
      <c r="E288" s="664"/>
      <c r="F288" s="664"/>
      <c r="G288" s="664"/>
      <c r="H288" s="664"/>
    </row>
    <row r="289" spans="1:8">
      <c r="A289" s="664"/>
      <c r="B289" s="664"/>
      <c r="C289" s="664"/>
      <c r="D289" s="664"/>
      <c r="E289" s="664"/>
      <c r="F289" s="664"/>
      <c r="G289" s="664"/>
      <c r="H289" s="664"/>
    </row>
    <row r="290" spans="1:8">
      <c r="A290" s="665" t="s">
        <v>836</v>
      </c>
      <c r="B290" s="664"/>
      <c r="C290" s="664"/>
      <c r="D290" s="664"/>
      <c r="E290" s="664"/>
      <c r="F290" s="664"/>
      <c r="G290" s="664"/>
      <c r="H290" s="664"/>
    </row>
    <row r="291" spans="1:8">
      <c r="A291" s="665" t="s">
        <v>837</v>
      </c>
      <c r="B291" s="664"/>
      <c r="C291" s="664"/>
      <c r="D291" s="664"/>
      <c r="E291" s="664"/>
      <c r="F291" s="664"/>
      <c r="G291" s="664"/>
      <c r="H291" s="664"/>
    </row>
    <row r="292" spans="1:8">
      <c r="A292" s="665" t="s">
        <v>838</v>
      </c>
      <c r="B292" s="664"/>
      <c r="C292" s="664"/>
      <c r="D292" s="664"/>
      <c r="E292" s="664"/>
      <c r="F292" s="664"/>
      <c r="G292" s="664"/>
      <c r="H292" s="664"/>
    </row>
    <row r="293" spans="1:8">
      <c r="A293" s="665" t="s">
        <v>839</v>
      </c>
      <c r="B293" s="664"/>
      <c r="C293" s="664"/>
      <c r="D293" s="664"/>
      <c r="E293" s="664"/>
      <c r="F293" s="664"/>
      <c r="G293" s="664"/>
      <c r="H293" s="664"/>
    </row>
    <row r="294" spans="1:8">
      <c r="A294" s="665" t="s">
        <v>840</v>
      </c>
      <c r="B294" s="664"/>
      <c r="C294" s="664"/>
      <c r="D294" s="664"/>
      <c r="E294" s="664"/>
      <c r="F294" s="664"/>
      <c r="G294" s="664"/>
      <c r="H294" s="664"/>
    </row>
    <row r="295" spans="1:8">
      <c r="A295" s="665" t="s">
        <v>841</v>
      </c>
      <c r="B295" s="664"/>
      <c r="C295" s="664"/>
      <c r="D295" s="664"/>
      <c r="E295" s="664"/>
      <c r="F295" s="664"/>
      <c r="G295" s="664"/>
      <c r="H295" s="664"/>
    </row>
    <row r="296" spans="1:8">
      <c r="A296" s="665" t="s">
        <v>842</v>
      </c>
      <c r="B296" s="664"/>
      <c r="C296" s="664"/>
      <c r="D296" s="664"/>
      <c r="E296" s="664"/>
      <c r="F296" s="664"/>
      <c r="G296" s="664"/>
      <c r="H296" s="664"/>
    </row>
    <row r="297" spans="1:8">
      <c r="A297" s="664"/>
      <c r="B297" s="664"/>
      <c r="C297" s="664"/>
      <c r="D297" s="664"/>
      <c r="E297" s="664"/>
      <c r="F297" s="664"/>
      <c r="G297" s="664"/>
      <c r="H297" s="664"/>
    </row>
    <row r="298" spans="1:8">
      <c r="A298" s="665" t="s">
        <v>833</v>
      </c>
      <c r="B298" s="664"/>
      <c r="C298" s="664"/>
      <c r="D298" s="664"/>
      <c r="E298" s="664"/>
      <c r="F298" s="664"/>
      <c r="G298" s="664"/>
      <c r="H298" s="664"/>
    </row>
    <row r="299" spans="1:8">
      <c r="A299" s="665" t="s">
        <v>834</v>
      </c>
      <c r="B299" s="664"/>
      <c r="C299" s="664"/>
      <c r="D299" s="664"/>
      <c r="E299" s="664"/>
      <c r="F299" s="664"/>
      <c r="G299" s="664"/>
      <c r="H299" s="664"/>
    </row>
    <row r="300" spans="1:8">
      <c r="A300" s="665" t="s">
        <v>835</v>
      </c>
      <c r="B300" s="664"/>
      <c r="C300" s="664"/>
      <c r="D300" s="664"/>
      <c r="E300" s="664"/>
      <c r="F300" s="664"/>
      <c r="G300" s="664"/>
      <c r="H300" s="664"/>
    </row>
    <row r="301" spans="1:8">
      <c r="A301" s="664"/>
      <c r="B301" s="664"/>
      <c r="C301" s="664"/>
      <c r="D301" s="664"/>
      <c r="E301" s="664"/>
      <c r="F301" s="664"/>
      <c r="G301" s="664"/>
      <c r="H301" s="664"/>
    </row>
    <row r="302" spans="1:8">
      <c r="A302" s="665" t="s">
        <v>831</v>
      </c>
      <c r="B302" s="664"/>
      <c r="C302" s="664"/>
      <c r="D302" s="664"/>
      <c r="E302" s="664"/>
      <c r="F302" s="664"/>
      <c r="G302" s="664"/>
      <c r="H302" s="664"/>
    </row>
    <row r="303" spans="1:8">
      <c r="A303" s="665" t="s">
        <v>832</v>
      </c>
      <c r="B303" s="664"/>
      <c r="C303" s="664"/>
      <c r="D303" s="664"/>
      <c r="E303" s="664"/>
      <c r="F303" s="664"/>
      <c r="G303" s="664"/>
      <c r="H303" s="664"/>
    </row>
    <row r="304" spans="1:8">
      <c r="A304" s="664"/>
      <c r="B304" s="664"/>
      <c r="C304" s="664"/>
      <c r="D304" s="664"/>
      <c r="E304" s="664"/>
      <c r="F304" s="664"/>
      <c r="G304" s="664"/>
      <c r="H304" s="664"/>
    </row>
    <row r="305" spans="1:8">
      <c r="A305" s="665" t="s">
        <v>818</v>
      </c>
      <c r="B305" s="664"/>
      <c r="C305" s="664"/>
      <c r="D305" s="664"/>
      <c r="E305" s="664"/>
      <c r="F305" s="664"/>
      <c r="G305" s="664"/>
      <c r="H305" s="664"/>
    </row>
    <row r="306" spans="1:8">
      <c r="A306" s="665" t="s">
        <v>819</v>
      </c>
      <c r="B306" s="664"/>
      <c r="C306" s="664"/>
      <c r="D306" s="664"/>
      <c r="E306" s="664"/>
      <c r="F306" s="664"/>
      <c r="G306" s="664"/>
      <c r="H306" s="664"/>
    </row>
    <row r="307" spans="1:8">
      <c r="A307" s="665" t="s">
        <v>820</v>
      </c>
      <c r="B307" s="664"/>
      <c r="C307" s="664"/>
      <c r="D307" s="664"/>
      <c r="E307" s="664"/>
      <c r="F307" s="664"/>
      <c r="G307" s="664"/>
      <c r="H307" s="664"/>
    </row>
    <row r="308" spans="1:8">
      <c r="A308" s="665" t="s">
        <v>821</v>
      </c>
      <c r="B308" s="664"/>
      <c r="C308" s="664"/>
      <c r="D308" s="664"/>
      <c r="E308" s="664"/>
      <c r="F308" s="664"/>
      <c r="G308" s="664"/>
      <c r="H308" s="664"/>
    </row>
    <row r="309" spans="1:8">
      <c r="A309" s="665" t="s">
        <v>822</v>
      </c>
      <c r="B309" s="664"/>
      <c r="C309" s="664"/>
      <c r="D309" s="664"/>
      <c r="E309" s="664"/>
      <c r="F309" s="664"/>
      <c r="G309" s="664"/>
      <c r="H309" s="664"/>
    </row>
    <row r="310" spans="1:8">
      <c r="A310" s="665" t="s">
        <v>823</v>
      </c>
      <c r="B310" s="664"/>
      <c r="C310" s="664"/>
      <c r="D310" s="664"/>
      <c r="E310" s="664"/>
      <c r="F310" s="664"/>
      <c r="G310" s="664"/>
      <c r="H310" s="664"/>
    </row>
    <row r="311" spans="1:8">
      <c r="A311" s="665" t="s">
        <v>824</v>
      </c>
      <c r="B311" s="664"/>
      <c r="C311" s="664"/>
      <c r="D311" s="664"/>
      <c r="E311" s="664"/>
      <c r="F311" s="664"/>
      <c r="G311" s="664"/>
      <c r="H311" s="664"/>
    </row>
    <row r="312" spans="1:8">
      <c r="A312" s="665" t="s">
        <v>825</v>
      </c>
      <c r="B312" s="664"/>
      <c r="C312" s="664"/>
      <c r="D312" s="664"/>
      <c r="E312" s="664"/>
      <c r="F312" s="664"/>
      <c r="G312" s="664"/>
      <c r="H312" s="664"/>
    </row>
    <row r="313" spans="1:8">
      <c r="A313" s="665" t="s">
        <v>826</v>
      </c>
      <c r="B313" s="664"/>
      <c r="C313" s="664"/>
      <c r="D313" s="664"/>
      <c r="E313" s="664"/>
      <c r="F313" s="664"/>
      <c r="G313" s="664"/>
      <c r="H313" s="664"/>
    </row>
    <row r="314" spans="1:8">
      <c r="A314" s="665" t="s">
        <v>827</v>
      </c>
      <c r="B314" s="664"/>
      <c r="C314" s="664"/>
      <c r="D314" s="664"/>
      <c r="E314" s="664"/>
      <c r="F314" s="664"/>
      <c r="G314" s="664"/>
      <c r="H314" s="664"/>
    </row>
    <row r="315" spans="1:8">
      <c r="A315" s="665" t="s">
        <v>828</v>
      </c>
      <c r="B315" s="664"/>
      <c r="C315" s="664"/>
      <c r="D315" s="664"/>
      <c r="E315" s="664"/>
      <c r="F315" s="664"/>
      <c r="G315" s="664"/>
      <c r="H315" s="664"/>
    </row>
    <row r="316" spans="1:8">
      <c r="A316" s="665" t="s">
        <v>829</v>
      </c>
      <c r="B316" s="664"/>
      <c r="C316" s="664"/>
      <c r="D316" s="664"/>
      <c r="E316" s="664"/>
      <c r="F316" s="664"/>
      <c r="G316" s="664"/>
      <c r="H316" s="664"/>
    </row>
    <row r="317" spans="1:8">
      <c r="A317" s="665" t="s">
        <v>830</v>
      </c>
      <c r="B317" s="664"/>
      <c r="C317" s="664"/>
      <c r="D317" s="664"/>
      <c r="E317" s="664"/>
      <c r="F317" s="664"/>
      <c r="G317" s="664"/>
      <c r="H317" s="664"/>
    </row>
    <row r="318" spans="1:8">
      <c r="A318" s="664"/>
      <c r="B318" s="664"/>
      <c r="C318" s="664"/>
      <c r="D318" s="664"/>
      <c r="E318" s="664"/>
      <c r="F318" s="664"/>
      <c r="G318" s="664"/>
      <c r="H318" s="664"/>
    </row>
    <row r="319" spans="1:8">
      <c r="A319" s="665" t="s">
        <v>816</v>
      </c>
      <c r="B319" s="664"/>
      <c r="C319" s="664"/>
      <c r="D319" s="664"/>
      <c r="E319" s="664"/>
      <c r="F319" s="664"/>
      <c r="G319" s="664"/>
      <c r="H319" s="664"/>
    </row>
    <row r="320" spans="1:8">
      <c r="A320" s="665" t="s">
        <v>817</v>
      </c>
      <c r="B320" s="664"/>
      <c r="C320" s="664"/>
      <c r="D320" s="664"/>
      <c r="E320" s="664"/>
      <c r="F320" s="664"/>
      <c r="G320" s="664"/>
      <c r="H320" s="664"/>
    </row>
    <row r="321" spans="1:8">
      <c r="A321" s="664"/>
      <c r="B321" s="664"/>
      <c r="C321" s="664"/>
      <c r="D321" s="664"/>
      <c r="E321" s="664"/>
      <c r="F321" s="664"/>
      <c r="G321" s="664"/>
      <c r="H321" s="664"/>
    </row>
    <row r="322" spans="1:8">
      <c r="A322" s="665" t="s">
        <v>808</v>
      </c>
      <c r="B322" s="664"/>
      <c r="C322" s="664"/>
      <c r="D322" s="664"/>
      <c r="E322" s="664"/>
      <c r="F322" s="664"/>
      <c r="G322" s="664"/>
      <c r="H322" s="664"/>
    </row>
    <row r="323" spans="1:8">
      <c r="A323" s="665" t="s">
        <v>809</v>
      </c>
      <c r="B323" s="664"/>
      <c r="C323" s="664"/>
      <c r="D323" s="664"/>
      <c r="E323" s="664"/>
      <c r="F323" s="664"/>
      <c r="G323" s="664"/>
      <c r="H323" s="664"/>
    </row>
    <row r="324" spans="1:8">
      <c r="A324" s="665" t="s">
        <v>810</v>
      </c>
      <c r="B324" s="664"/>
      <c r="C324" s="664"/>
      <c r="D324" s="664"/>
      <c r="E324" s="664"/>
      <c r="F324" s="664"/>
      <c r="G324" s="664"/>
      <c r="H324" s="664"/>
    </row>
    <row r="325" spans="1:8">
      <c r="A325" s="665" t="s">
        <v>811</v>
      </c>
      <c r="B325" s="664"/>
      <c r="C325" s="664"/>
      <c r="D325" s="664"/>
      <c r="E325" s="664"/>
      <c r="F325" s="664"/>
      <c r="G325" s="664"/>
      <c r="H325" s="664"/>
    </row>
    <row r="326" spans="1:8">
      <c r="A326" s="665" t="s">
        <v>812</v>
      </c>
      <c r="B326" s="664"/>
      <c r="C326" s="664"/>
      <c r="D326" s="664"/>
      <c r="E326" s="664"/>
      <c r="F326" s="664"/>
      <c r="G326" s="664"/>
      <c r="H326" s="664"/>
    </row>
    <row r="327" spans="1:8">
      <c r="A327" s="665" t="s">
        <v>813</v>
      </c>
      <c r="B327" s="664"/>
      <c r="C327" s="664"/>
      <c r="D327" s="664"/>
      <c r="E327" s="664"/>
      <c r="F327" s="664"/>
      <c r="G327" s="664"/>
      <c r="H327" s="664"/>
    </row>
    <row r="328" spans="1:8">
      <c r="A328" s="665" t="s">
        <v>814</v>
      </c>
      <c r="B328" s="664"/>
      <c r="C328" s="664"/>
      <c r="D328" s="664"/>
      <c r="E328" s="664"/>
      <c r="F328" s="664"/>
      <c r="G328" s="664"/>
      <c r="H328" s="664"/>
    </row>
    <row r="329" spans="1:8">
      <c r="A329" s="665" t="s">
        <v>815</v>
      </c>
      <c r="B329" s="664"/>
      <c r="C329" s="664"/>
      <c r="D329" s="664"/>
      <c r="E329" s="664"/>
      <c r="F329" s="664"/>
      <c r="G329" s="664"/>
      <c r="H329" s="664"/>
    </row>
    <row r="330" spans="1:8">
      <c r="A330" s="664"/>
      <c r="B330" s="664"/>
      <c r="C330" s="664"/>
      <c r="D330" s="664"/>
      <c r="E330" s="664"/>
      <c r="F330" s="664"/>
      <c r="G330" s="664"/>
      <c r="H330" s="664"/>
    </row>
    <row r="331" spans="1:8">
      <c r="A331" s="665" t="s">
        <v>773</v>
      </c>
      <c r="B331" s="664"/>
      <c r="C331" s="664"/>
      <c r="D331" s="664"/>
      <c r="E331" s="664"/>
      <c r="F331" s="664"/>
      <c r="G331" s="664"/>
      <c r="H331" s="664"/>
    </row>
    <row r="332" spans="1:8">
      <c r="A332" s="665" t="s">
        <v>774</v>
      </c>
      <c r="B332" s="664"/>
      <c r="C332" s="664"/>
      <c r="D332" s="664"/>
      <c r="E332" s="664"/>
      <c r="F332" s="664"/>
      <c r="G332" s="664"/>
      <c r="H332" s="664"/>
    </row>
    <row r="333" spans="1:8">
      <c r="A333" s="665" t="s">
        <v>775</v>
      </c>
      <c r="B333" s="664"/>
      <c r="C333" s="664"/>
      <c r="D333" s="664"/>
      <c r="E333" s="664"/>
      <c r="F333" s="664"/>
      <c r="G333" s="664"/>
      <c r="H333" s="664"/>
    </row>
    <row r="334" spans="1:8">
      <c r="A334" s="665" t="s">
        <v>776</v>
      </c>
      <c r="B334" s="664"/>
      <c r="C334" s="664"/>
      <c r="D334" s="664"/>
      <c r="E334" s="664"/>
      <c r="F334" s="664"/>
      <c r="G334" s="664"/>
      <c r="H334" s="664"/>
    </row>
    <row r="335" spans="1:8">
      <c r="A335" s="665" t="s">
        <v>777</v>
      </c>
      <c r="B335" s="664"/>
      <c r="C335" s="664"/>
      <c r="D335" s="664"/>
      <c r="E335" s="664"/>
      <c r="F335" s="664"/>
      <c r="G335" s="664"/>
      <c r="H335" s="664"/>
    </row>
    <row r="336" spans="1:8">
      <c r="A336" s="665" t="s">
        <v>778</v>
      </c>
      <c r="B336" s="664"/>
      <c r="C336" s="664"/>
      <c r="D336" s="664"/>
      <c r="E336" s="664"/>
      <c r="F336" s="664"/>
      <c r="G336" s="664"/>
      <c r="H336" s="664"/>
    </row>
    <row r="337" spans="1:8">
      <c r="A337" s="665" t="s">
        <v>779</v>
      </c>
      <c r="B337" s="664"/>
      <c r="C337" s="664"/>
      <c r="D337" s="664"/>
      <c r="E337" s="664"/>
      <c r="F337" s="664"/>
      <c r="G337" s="664"/>
      <c r="H337" s="664"/>
    </row>
    <row r="338" spans="1:8">
      <c r="A338" s="665" t="s">
        <v>780</v>
      </c>
      <c r="B338" s="664"/>
      <c r="C338" s="664"/>
      <c r="D338" s="664"/>
      <c r="E338" s="664"/>
      <c r="F338" s="664"/>
      <c r="G338" s="664"/>
      <c r="H338" s="664"/>
    </row>
    <row r="339" spans="1:8">
      <c r="A339" s="665" t="s">
        <v>781</v>
      </c>
      <c r="B339" s="664"/>
      <c r="C339" s="664"/>
      <c r="D339" s="664"/>
      <c r="E339" s="664"/>
      <c r="F339" s="664"/>
      <c r="G339" s="664"/>
      <c r="H339" s="664"/>
    </row>
    <row r="340" spans="1:8">
      <c r="A340" s="665" t="s">
        <v>782</v>
      </c>
      <c r="B340" s="664"/>
      <c r="C340" s="664"/>
      <c r="D340" s="664"/>
      <c r="E340" s="664"/>
      <c r="F340" s="664"/>
      <c r="G340" s="664"/>
      <c r="H340" s="664"/>
    </row>
    <row r="341" spans="1:8">
      <c r="A341" s="665" t="s">
        <v>783</v>
      </c>
      <c r="B341" s="664"/>
      <c r="C341" s="664"/>
      <c r="D341" s="664"/>
      <c r="E341" s="664"/>
      <c r="F341" s="664"/>
      <c r="G341" s="664"/>
      <c r="H341" s="664"/>
    </row>
    <row r="342" spans="1:8">
      <c r="A342" s="665" t="s">
        <v>784</v>
      </c>
      <c r="B342" s="664"/>
      <c r="C342" s="664"/>
      <c r="D342" s="664"/>
      <c r="E342" s="664"/>
      <c r="F342" s="664"/>
      <c r="G342" s="664"/>
      <c r="H342" s="664"/>
    </row>
    <row r="343" spans="1:8">
      <c r="A343" s="665" t="s">
        <v>785</v>
      </c>
      <c r="B343" s="664"/>
      <c r="C343" s="664"/>
      <c r="D343" s="664"/>
      <c r="E343" s="664"/>
      <c r="F343" s="664"/>
      <c r="G343" s="664"/>
      <c r="H343" s="664"/>
    </row>
    <row r="344" spans="1:8">
      <c r="A344" s="665" t="s">
        <v>786</v>
      </c>
      <c r="B344" s="664"/>
      <c r="C344" s="664"/>
      <c r="D344" s="664"/>
      <c r="E344" s="664"/>
      <c r="F344" s="664"/>
      <c r="G344" s="664"/>
      <c r="H344" s="664"/>
    </row>
    <row r="345" spans="1:8">
      <c r="A345" s="665" t="s">
        <v>787</v>
      </c>
      <c r="B345" s="664"/>
      <c r="C345" s="664"/>
      <c r="D345" s="664"/>
      <c r="E345" s="664"/>
      <c r="F345" s="664"/>
      <c r="G345" s="664"/>
      <c r="H345" s="664"/>
    </row>
    <row r="346" spans="1:8">
      <c r="A346" s="665" t="s">
        <v>788</v>
      </c>
      <c r="B346" s="664"/>
      <c r="C346" s="664"/>
      <c r="D346" s="664"/>
      <c r="E346" s="664"/>
      <c r="F346" s="664"/>
      <c r="G346" s="664"/>
      <c r="H346" s="664"/>
    </row>
    <row r="347" spans="1:8">
      <c r="A347" s="665" t="s">
        <v>789</v>
      </c>
      <c r="B347" s="664"/>
      <c r="C347" s="664"/>
      <c r="D347" s="664"/>
      <c r="E347" s="664"/>
      <c r="F347" s="664"/>
      <c r="G347" s="664"/>
      <c r="H347" s="664"/>
    </row>
    <row r="348" spans="1:8">
      <c r="A348" s="665" t="s">
        <v>790</v>
      </c>
      <c r="B348" s="664"/>
      <c r="C348" s="664"/>
      <c r="D348" s="664"/>
      <c r="E348" s="664"/>
      <c r="F348" s="664"/>
      <c r="G348" s="664"/>
      <c r="H348" s="664"/>
    </row>
    <row r="349" spans="1:8">
      <c r="A349" s="665" t="s">
        <v>791</v>
      </c>
      <c r="B349" s="664"/>
      <c r="C349" s="664"/>
      <c r="D349" s="664"/>
      <c r="E349" s="664"/>
      <c r="F349" s="664"/>
      <c r="G349" s="664"/>
      <c r="H349" s="664"/>
    </row>
    <row r="350" spans="1:8">
      <c r="A350" s="665" t="s">
        <v>792</v>
      </c>
      <c r="B350" s="664"/>
      <c r="C350" s="664"/>
      <c r="D350" s="664"/>
      <c r="E350" s="664"/>
      <c r="F350" s="664"/>
      <c r="G350" s="664"/>
      <c r="H350" s="664"/>
    </row>
    <row r="351" spans="1:8">
      <c r="A351" s="665" t="s">
        <v>793</v>
      </c>
      <c r="B351" s="664"/>
      <c r="C351" s="664"/>
      <c r="D351" s="664"/>
      <c r="E351" s="664"/>
      <c r="F351" s="664"/>
      <c r="G351" s="664"/>
      <c r="H351" s="664"/>
    </row>
    <row r="352" spans="1:8">
      <c r="A352" s="665" t="s">
        <v>794</v>
      </c>
      <c r="B352" s="664"/>
      <c r="C352" s="664"/>
      <c r="D352" s="664"/>
      <c r="E352" s="664"/>
      <c r="F352" s="664"/>
      <c r="G352" s="664"/>
      <c r="H352" s="664"/>
    </row>
    <row r="353" spans="1:8">
      <c r="A353" s="665" t="s">
        <v>795</v>
      </c>
      <c r="B353" s="664"/>
      <c r="C353" s="664"/>
      <c r="D353" s="664"/>
      <c r="E353" s="664"/>
      <c r="F353" s="664"/>
      <c r="G353" s="664"/>
      <c r="H353" s="664"/>
    </row>
    <row r="354" spans="1:8">
      <c r="A354" s="665" t="s">
        <v>796</v>
      </c>
      <c r="B354" s="664"/>
      <c r="C354" s="664"/>
      <c r="D354" s="664"/>
      <c r="E354" s="664"/>
      <c r="F354" s="664"/>
      <c r="G354" s="664"/>
      <c r="H354" s="664"/>
    </row>
    <row r="355" spans="1:8">
      <c r="A355" s="665" t="s">
        <v>797</v>
      </c>
      <c r="B355" s="664"/>
      <c r="C355" s="664"/>
      <c r="D355" s="664"/>
      <c r="E355" s="664"/>
      <c r="F355" s="664"/>
      <c r="G355" s="664"/>
      <c r="H355" s="664"/>
    </row>
    <row r="356" spans="1:8">
      <c r="A356" s="665" t="s">
        <v>798</v>
      </c>
      <c r="B356" s="664"/>
      <c r="C356" s="664"/>
      <c r="D356" s="664"/>
      <c r="E356" s="664"/>
      <c r="F356" s="664"/>
      <c r="G356" s="664"/>
      <c r="H356" s="664"/>
    </row>
    <row r="357" spans="1:8">
      <c r="A357" s="665" t="s">
        <v>799</v>
      </c>
      <c r="B357" s="664"/>
      <c r="C357" s="664"/>
      <c r="D357" s="664"/>
      <c r="E357" s="664"/>
      <c r="F357" s="664"/>
      <c r="G357" s="664"/>
      <c r="H357" s="664"/>
    </row>
    <row r="358" spans="1:8">
      <c r="A358" s="665" t="s">
        <v>800</v>
      </c>
      <c r="B358" s="664"/>
      <c r="C358" s="664"/>
      <c r="D358" s="664"/>
      <c r="E358" s="664"/>
      <c r="F358" s="664"/>
      <c r="G358" s="664"/>
      <c r="H358" s="664"/>
    </row>
    <row r="359" spans="1:8">
      <c r="A359" s="665" t="s">
        <v>801</v>
      </c>
      <c r="B359" s="664"/>
      <c r="C359" s="664"/>
      <c r="D359" s="664"/>
      <c r="E359" s="664"/>
      <c r="F359" s="664"/>
      <c r="G359" s="664"/>
      <c r="H359" s="664"/>
    </row>
    <row r="360" spans="1:8">
      <c r="A360" s="665" t="s">
        <v>802</v>
      </c>
      <c r="B360" s="664"/>
      <c r="C360" s="664"/>
      <c r="D360" s="664"/>
      <c r="E360" s="664"/>
      <c r="F360" s="664"/>
      <c r="G360" s="664"/>
      <c r="H360" s="664"/>
    </row>
    <row r="361" spans="1:8">
      <c r="A361" s="665" t="s">
        <v>803</v>
      </c>
      <c r="B361" s="664"/>
      <c r="C361" s="664"/>
      <c r="D361" s="664"/>
      <c r="E361" s="664"/>
      <c r="F361" s="664"/>
      <c r="G361" s="664"/>
      <c r="H361" s="664"/>
    </row>
    <row r="362" spans="1:8">
      <c r="A362" s="665" t="s">
        <v>804</v>
      </c>
      <c r="B362" s="664"/>
      <c r="C362" s="664"/>
      <c r="D362" s="664"/>
      <c r="E362" s="664"/>
      <c r="F362" s="664"/>
      <c r="G362" s="664"/>
      <c r="H362" s="664"/>
    </row>
    <row r="363" spans="1:8">
      <c r="A363" s="665" t="s">
        <v>805</v>
      </c>
      <c r="B363" s="664"/>
      <c r="C363" s="664"/>
      <c r="D363" s="664"/>
      <c r="E363" s="664"/>
      <c r="F363" s="664"/>
      <c r="G363" s="664"/>
      <c r="H363" s="664"/>
    </row>
    <row r="364" spans="1:8">
      <c r="A364" s="665" t="s">
        <v>806</v>
      </c>
      <c r="B364" s="664"/>
      <c r="C364" s="664"/>
      <c r="D364" s="664"/>
      <c r="E364" s="664"/>
      <c r="F364" s="664"/>
      <c r="G364" s="664"/>
      <c r="H364" s="664"/>
    </row>
    <row r="365" spans="1:8">
      <c r="A365" s="665" t="s">
        <v>807</v>
      </c>
      <c r="B365" s="664"/>
      <c r="C365" s="664"/>
      <c r="D365" s="664"/>
      <c r="E365" s="664"/>
      <c r="F365" s="664"/>
      <c r="G365" s="664"/>
      <c r="H365" s="664"/>
    </row>
    <row r="366" spans="1:8">
      <c r="A366" s="664"/>
      <c r="B366" s="664"/>
      <c r="C366" s="664"/>
      <c r="D366" s="664"/>
      <c r="E366" s="664"/>
      <c r="F366" s="664"/>
      <c r="G366" s="664"/>
      <c r="H366" s="664"/>
    </row>
    <row r="367" spans="1:8">
      <c r="A367" s="665" t="s">
        <v>765</v>
      </c>
      <c r="B367" s="664"/>
      <c r="C367" s="664"/>
      <c r="D367" s="664"/>
      <c r="E367" s="664"/>
      <c r="F367" s="664"/>
      <c r="G367" s="664"/>
      <c r="H367" s="664"/>
    </row>
    <row r="368" spans="1:8">
      <c r="A368" s="665" t="s">
        <v>769</v>
      </c>
      <c r="B368" s="664"/>
      <c r="C368" s="664"/>
      <c r="D368" s="664"/>
      <c r="E368" s="664"/>
      <c r="F368" s="664"/>
      <c r="G368" s="664"/>
      <c r="H368" s="664"/>
    </row>
    <row r="369" spans="1:8">
      <c r="A369" s="665" t="s">
        <v>770</v>
      </c>
      <c r="B369" s="664"/>
      <c r="C369" s="664"/>
      <c r="D369" s="664"/>
      <c r="E369" s="664"/>
      <c r="F369" s="664"/>
      <c r="G369" s="664"/>
      <c r="H369" s="664"/>
    </row>
    <row r="370" spans="1:8">
      <c r="A370" s="665" t="s">
        <v>771</v>
      </c>
      <c r="B370" s="664"/>
      <c r="C370" s="664"/>
      <c r="D370" s="664"/>
      <c r="E370" s="664"/>
      <c r="F370" s="664"/>
      <c r="G370" s="664"/>
      <c r="H370" s="664"/>
    </row>
    <row r="371" spans="1:8">
      <c r="A371" s="665" t="s">
        <v>772</v>
      </c>
      <c r="B371" s="664"/>
      <c r="C371" s="664"/>
      <c r="D371" s="664"/>
      <c r="E371" s="664"/>
      <c r="F371" s="664"/>
      <c r="G371" s="664"/>
      <c r="H371" s="664"/>
    </row>
    <row r="372" spans="1:8">
      <c r="A372" s="664"/>
      <c r="B372" s="664"/>
      <c r="C372" s="664"/>
      <c r="D372" s="664"/>
      <c r="E372" s="664"/>
      <c r="F372" s="664"/>
      <c r="G372" s="664"/>
      <c r="H372" s="664"/>
    </row>
    <row r="373" spans="1:8">
      <c r="A373" s="665" t="s">
        <v>765</v>
      </c>
      <c r="B373" s="664"/>
      <c r="C373" s="664"/>
      <c r="D373" s="664"/>
      <c r="E373" s="664"/>
      <c r="F373" s="664"/>
      <c r="G373" s="664"/>
      <c r="H373" s="664"/>
    </row>
    <row r="374" spans="1:8">
      <c r="A374" s="665" t="s">
        <v>766</v>
      </c>
      <c r="B374" s="664"/>
      <c r="C374" s="664"/>
      <c r="D374" s="664"/>
      <c r="E374" s="664"/>
      <c r="F374" s="664"/>
      <c r="G374" s="664"/>
      <c r="H374" s="664"/>
    </row>
    <row r="375" spans="1:8">
      <c r="A375" s="665" t="s">
        <v>767</v>
      </c>
      <c r="B375" s="664"/>
      <c r="C375" s="664"/>
      <c r="D375" s="664"/>
      <c r="E375" s="664"/>
      <c r="F375" s="664"/>
      <c r="G375" s="664"/>
      <c r="H375" s="664"/>
    </row>
    <row r="376" spans="1:8">
      <c r="A376" s="665" t="s">
        <v>768</v>
      </c>
      <c r="B376" s="664"/>
      <c r="C376" s="664"/>
      <c r="D376" s="664"/>
      <c r="E376" s="664"/>
      <c r="F376" s="664"/>
      <c r="G376" s="664"/>
      <c r="H376" s="664"/>
    </row>
    <row r="377" spans="1:8">
      <c r="A377" s="664"/>
      <c r="B377" s="664"/>
      <c r="C377" s="664"/>
      <c r="D377" s="664"/>
      <c r="E377" s="664"/>
      <c r="F377" s="664"/>
      <c r="G377" s="664"/>
      <c r="H377" s="664"/>
    </row>
    <row r="378" spans="1:8">
      <c r="A378" s="665" t="s">
        <v>759</v>
      </c>
      <c r="B378" s="664"/>
      <c r="C378" s="664"/>
      <c r="D378" s="664"/>
      <c r="E378" s="664"/>
      <c r="F378" s="664"/>
      <c r="G378" s="664"/>
      <c r="H378" s="664"/>
    </row>
    <row r="379" spans="1:8">
      <c r="A379" s="665" t="s">
        <v>760</v>
      </c>
      <c r="B379" s="664"/>
      <c r="C379" s="664"/>
      <c r="D379" s="664"/>
      <c r="E379" s="664"/>
      <c r="F379" s="664"/>
      <c r="G379" s="664"/>
      <c r="H379" s="664"/>
    </row>
    <row r="380" spans="1:8">
      <c r="A380" s="665" t="s">
        <v>761</v>
      </c>
      <c r="B380" s="664"/>
      <c r="C380" s="664"/>
      <c r="D380" s="664"/>
      <c r="E380" s="664"/>
      <c r="F380" s="664"/>
      <c r="G380" s="664"/>
      <c r="H380" s="664"/>
    </row>
    <row r="381" spans="1:8">
      <c r="A381" s="665" t="s">
        <v>762</v>
      </c>
      <c r="B381" s="664"/>
      <c r="C381" s="664"/>
      <c r="D381" s="664"/>
      <c r="E381" s="664"/>
      <c r="F381" s="664"/>
      <c r="G381" s="664"/>
      <c r="H381" s="664"/>
    </row>
    <row r="382" spans="1:8">
      <c r="A382" s="665" t="s">
        <v>763</v>
      </c>
      <c r="B382" s="664"/>
      <c r="C382" s="664"/>
      <c r="D382" s="664"/>
      <c r="E382" s="664"/>
      <c r="F382" s="664"/>
      <c r="G382" s="664"/>
      <c r="H382" s="664"/>
    </row>
    <row r="383" spans="1:8">
      <c r="A383" s="665" t="s">
        <v>764</v>
      </c>
      <c r="B383" s="664"/>
      <c r="C383" s="664"/>
      <c r="D383" s="664"/>
      <c r="E383" s="664"/>
      <c r="F383" s="664"/>
      <c r="G383" s="664"/>
      <c r="H383" s="664"/>
    </row>
    <row r="384" spans="1:8">
      <c r="A384" s="664"/>
      <c r="B384" s="664"/>
      <c r="C384" s="664"/>
      <c r="D384" s="664"/>
      <c r="E384" s="664"/>
      <c r="F384" s="664"/>
      <c r="G384" s="664"/>
      <c r="H384" s="664"/>
    </row>
    <row r="385" spans="1:8">
      <c r="A385" s="665" t="s">
        <v>754</v>
      </c>
      <c r="B385" s="664"/>
      <c r="C385" s="664"/>
      <c r="D385" s="664"/>
      <c r="E385" s="664"/>
      <c r="F385" s="664"/>
      <c r="G385" s="664"/>
      <c r="H385" s="664"/>
    </row>
    <row r="386" spans="1:8">
      <c r="A386" s="665" t="s">
        <v>755</v>
      </c>
      <c r="B386" s="664"/>
      <c r="C386" s="664"/>
      <c r="D386" s="664"/>
      <c r="E386" s="664"/>
      <c r="F386" s="664"/>
      <c r="G386" s="664"/>
      <c r="H386" s="664"/>
    </row>
    <row r="387" spans="1:8">
      <c r="A387" s="665" t="s">
        <v>756</v>
      </c>
      <c r="B387" s="664"/>
      <c r="C387" s="664"/>
      <c r="D387" s="664"/>
      <c r="E387" s="664"/>
      <c r="F387" s="664"/>
      <c r="G387" s="664"/>
      <c r="H387" s="664"/>
    </row>
    <row r="388" spans="1:8">
      <c r="A388" s="665" t="s">
        <v>757</v>
      </c>
      <c r="B388" s="664"/>
      <c r="C388" s="664"/>
      <c r="D388" s="664"/>
      <c r="E388" s="664"/>
      <c r="F388" s="664"/>
      <c r="G388" s="664"/>
      <c r="H388" s="664"/>
    </row>
    <row r="389" spans="1:8">
      <c r="A389" s="665" t="s">
        <v>758</v>
      </c>
      <c r="B389" s="664"/>
      <c r="C389" s="664"/>
      <c r="D389" s="664"/>
      <c r="E389" s="664"/>
      <c r="F389" s="664"/>
      <c r="G389" s="664"/>
      <c r="H389" s="664"/>
    </row>
    <row r="390" spans="1:8">
      <c r="A390" s="664"/>
      <c r="B390" s="664"/>
      <c r="C390" s="664"/>
      <c r="D390" s="664"/>
      <c r="E390" s="664"/>
      <c r="F390" s="664"/>
      <c r="G390" s="664"/>
      <c r="H390" s="664"/>
    </row>
    <row r="391" spans="1:8">
      <c r="A391" s="665" t="s">
        <v>752</v>
      </c>
      <c r="B391" s="664"/>
      <c r="C391" s="664"/>
      <c r="D391" s="664"/>
      <c r="E391" s="664"/>
      <c r="F391" s="664"/>
      <c r="G391" s="664"/>
      <c r="H391" s="664"/>
    </row>
    <row r="392" spans="1:8">
      <c r="A392" s="665" t="s">
        <v>753</v>
      </c>
      <c r="B392" s="664"/>
      <c r="C392" s="664"/>
      <c r="D392" s="664"/>
      <c r="E392" s="664"/>
      <c r="F392" s="664"/>
      <c r="G392" s="664"/>
      <c r="H392" s="664"/>
    </row>
    <row r="394" spans="1:8">
      <c r="A394" s="660" t="s">
        <v>1015</v>
      </c>
    </row>
  </sheetData>
  <mergeCells count="12">
    <mergeCell ref="A117:H117"/>
    <mergeCell ref="A124:H124"/>
    <mergeCell ref="A111:H111"/>
    <mergeCell ref="A112:H112"/>
    <mergeCell ref="A113:H113"/>
    <mergeCell ref="A114:H114"/>
    <mergeCell ref="A116:H116"/>
    <mergeCell ref="A132:H132"/>
    <mergeCell ref="A133:H133"/>
    <mergeCell ref="B125:C125"/>
    <mergeCell ref="D125:F125"/>
    <mergeCell ref="G125:H125"/>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FFFF00"/>
    <pageSetUpPr fitToPage="1"/>
  </sheetPr>
  <dimension ref="A1:V74"/>
  <sheetViews>
    <sheetView zoomScale="86" zoomScaleNormal="86" workbookViewId="0"/>
  </sheetViews>
  <sheetFormatPr defaultRowHeight="12.75"/>
  <cols>
    <col min="1" max="1" width="15.140625" style="263" customWidth="1"/>
    <col min="2" max="2" width="18.28515625" style="263" customWidth="1"/>
    <col min="3" max="3" width="10.28515625" style="263" customWidth="1"/>
    <col min="4" max="4" width="15.42578125" style="263" customWidth="1"/>
    <col min="5" max="5" width="10.140625" style="263" customWidth="1"/>
    <col min="6" max="6" width="13.140625" style="263" customWidth="1"/>
    <col min="7" max="9" width="9.140625" style="263"/>
    <col min="10" max="10" width="3" style="263" customWidth="1"/>
    <col min="11" max="11" width="9.5703125" style="263" bestFit="1" customWidth="1"/>
    <col min="12" max="16384" width="9.140625" style="263"/>
  </cols>
  <sheetData>
    <row r="1" spans="1:14">
      <c r="A1" s="39"/>
      <c r="B1" s="39"/>
      <c r="C1" s="39"/>
      <c r="D1" s="39"/>
      <c r="E1" s="39"/>
      <c r="F1" s="39"/>
      <c r="G1" s="39"/>
      <c r="H1" s="39"/>
      <c r="I1" s="39"/>
      <c r="J1" s="39"/>
    </row>
    <row r="2" spans="1:14">
      <c r="A2" s="39"/>
      <c r="B2" s="39"/>
      <c r="C2" s="39"/>
      <c r="D2" s="39"/>
      <c r="E2" s="39"/>
      <c r="F2" s="39"/>
      <c r="G2" s="39"/>
      <c r="H2" s="39"/>
      <c r="I2" s="39"/>
      <c r="J2" s="39"/>
    </row>
    <row r="3" spans="1:14" ht="15.75">
      <c r="A3" s="39"/>
      <c r="B3" s="39"/>
      <c r="C3" s="39"/>
      <c r="D3" s="39"/>
      <c r="E3" s="39"/>
      <c r="F3" s="39"/>
      <c r="G3" s="39"/>
      <c r="H3" s="39"/>
      <c r="I3" s="39"/>
      <c r="J3" s="39"/>
      <c r="K3" s="684" t="s">
        <v>520</v>
      </c>
      <c r="L3" s="684"/>
      <c r="M3" s="684"/>
      <c r="N3" s="684"/>
    </row>
    <row r="4" spans="1:14">
      <c r="A4" s="39"/>
      <c r="B4" s="39"/>
      <c r="C4" s="39"/>
      <c r="D4" s="39"/>
      <c r="E4" s="39"/>
      <c r="F4" s="39"/>
      <c r="G4" s="39"/>
      <c r="H4" s="39"/>
      <c r="I4" s="39"/>
      <c r="J4" s="39"/>
    </row>
    <row r="5" spans="1:14" ht="18.75" thickBot="1">
      <c r="A5" s="46" t="s">
        <v>276</v>
      </c>
      <c r="B5" s="47"/>
      <c r="C5" s="47"/>
      <c r="D5" s="47"/>
      <c r="E5" s="47"/>
      <c r="F5" s="47"/>
      <c r="G5" s="47"/>
      <c r="H5" s="47"/>
      <c r="I5" s="47"/>
      <c r="J5" s="39"/>
    </row>
    <row r="6" spans="1:14">
      <c r="A6" s="48" t="s">
        <v>277</v>
      </c>
      <c r="B6" s="48" t="s">
        <v>278</v>
      </c>
      <c r="C6" s="48"/>
      <c r="D6" s="48" t="s">
        <v>521</v>
      </c>
      <c r="E6" s="39"/>
      <c r="F6" s="48" t="s">
        <v>503</v>
      </c>
      <c r="G6" s="39"/>
      <c r="H6" s="49"/>
      <c r="I6" s="49"/>
      <c r="J6" s="39"/>
    </row>
    <row r="7" spans="1:14">
      <c r="A7" s="39"/>
      <c r="B7" s="39"/>
      <c r="C7" s="39"/>
      <c r="D7" s="39"/>
      <c r="E7" s="39"/>
      <c r="F7" s="39"/>
      <c r="G7" s="39"/>
      <c r="H7" s="39"/>
      <c r="I7" s="39"/>
      <c r="J7" s="39"/>
    </row>
    <row r="8" spans="1:14">
      <c r="A8" s="41" t="s">
        <v>271</v>
      </c>
      <c r="B8" s="39" t="s">
        <v>560</v>
      </c>
      <c r="C8" s="39"/>
      <c r="D8" s="39"/>
      <c r="E8" s="39"/>
      <c r="F8" s="39"/>
      <c r="G8" s="39"/>
      <c r="H8" s="39"/>
      <c r="I8" s="39"/>
      <c r="J8" s="39"/>
    </row>
    <row r="9" spans="1:14">
      <c r="A9" s="41" t="s">
        <v>269</v>
      </c>
      <c r="B9" s="39" t="s">
        <v>270</v>
      </c>
      <c r="C9" s="39"/>
      <c r="D9" s="39"/>
      <c r="E9" s="39"/>
      <c r="F9" s="39"/>
      <c r="G9" s="39"/>
      <c r="H9" s="39"/>
      <c r="I9" s="39"/>
      <c r="J9" s="39"/>
    </row>
    <row r="10" spans="1:14">
      <c r="A10" s="41" t="s">
        <v>272</v>
      </c>
      <c r="B10" s="39" t="s">
        <v>273</v>
      </c>
      <c r="C10" s="39"/>
      <c r="D10" s="39" t="s">
        <v>274</v>
      </c>
      <c r="E10" s="39"/>
      <c r="F10" s="42" t="s">
        <v>504</v>
      </c>
      <c r="G10" s="39"/>
      <c r="H10" s="39"/>
      <c r="I10" s="39"/>
      <c r="J10" s="39"/>
    </row>
    <row r="11" spans="1:14">
      <c r="A11" s="39"/>
      <c r="B11" s="39"/>
      <c r="C11" s="39"/>
      <c r="D11" s="39" t="s">
        <v>275</v>
      </c>
      <c r="E11" s="39"/>
      <c r="F11" s="39"/>
      <c r="G11" s="39"/>
      <c r="H11" s="39"/>
      <c r="I11" s="39"/>
      <c r="J11" s="39"/>
    </row>
    <row r="12" spans="1:14">
      <c r="A12" s="48" t="s">
        <v>317</v>
      </c>
      <c r="B12" s="39"/>
      <c r="C12" s="39"/>
      <c r="D12" s="39"/>
      <c r="E12" s="39"/>
      <c r="F12" s="39"/>
      <c r="G12" s="39"/>
      <c r="H12" s="39"/>
      <c r="I12" s="39"/>
      <c r="J12" s="39"/>
    </row>
    <row r="13" spans="1:14">
      <c r="A13" s="41" t="s">
        <v>502</v>
      </c>
      <c r="B13" s="39" t="s">
        <v>319</v>
      </c>
      <c r="C13" s="39"/>
      <c r="D13" s="39"/>
      <c r="E13" s="39"/>
      <c r="F13" s="43"/>
      <c r="G13" s="39"/>
      <c r="H13" s="39"/>
      <c r="I13" s="39"/>
      <c r="J13" s="39"/>
    </row>
    <row r="14" spans="1:14">
      <c r="A14" s="39"/>
      <c r="B14" s="39" t="s">
        <v>318</v>
      </c>
      <c r="C14" s="39"/>
      <c r="D14" s="39"/>
      <c r="E14" s="39"/>
      <c r="F14" s="39"/>
      <c r="G14" s="39"/>
      <c r="H14" s="39"/>
      <c r="I14" s="39"/>
      <c r="J14" s="39"/>
    </row>
    <row r="15" spans="1:14">
      <c r="A15" s="39"/>
      <c r="B15" s="39" t="s">
        <v>321</v>
      </c>
      <c r="C15" s="39"/>
      <c r="D15" s="39"/>
      <c r="E15" s="39"/>
      <c r="F15" s="39"/>
      <c r="G15" s="39"/>
      <c r="H15" s="39"/>
      <c r="I15" s="39"/>
      <c r="J15" s="39"/>
    </row>
    <row r="16" spans="1:14">
      <c r="A16" s="39"/>
      <c r="B16" s="39" t="s">
        <v>320</v>
      </c>
      <c r="C16" s="39"/>
      <c r="D16" s="39"/>
      <c r="E16" s="39"/>
      <c r="F16" s="39"/>
      <c r="G16" s="39"/>
      <c r="H16" s="39"/>
      <c r="I16" s="39"/>
      <c r="J16" s="39"/>
    </row>
    <row r="17" spans="1:10">
      <c r="A17" s="39"/>
      <c r="B17" s="39" t="s">
        <v>322</v>
      </c>
      <c r="C17" s="39"/>
      <c r="D17" s="39"/>
      <c r="E17" s="39"/>
      <c r="F17" s="39"/>
      <c r="G17" s="39"/>
      <c r="H17" s="39"/>
      <c r="I17" s="39"/>
      <c r="J17" s="39"/>
    </row>
    <row r="18" spans="1:10">
      <c r="A18" s="39"/>
      <c r="B18" s="39" t="s">
        <v>568</v>
      </c>
      <c r="C18" s="39"/>
      <c r="D18" s="39"/>
      <c r="E18" s="39"/>
      <c r="F18" s="39"/>
      <c r="G18" s="39"/>
      <c r="H18" s="39"/>
      <c r="I18" s="39"/>
      <c r="J18" s="39"/>
    </row>
    <row r="19" spans="1:10">
      <c r="A19" s="39"/>
      <c r="B19" s="43" t="s">
        <v>704</v>
      </c>
      <c r="C19" s="39"/>
      <c r="D19" s="39"/>
      <c r="E19" s="39"/>
      <c r="F19" s="39"/>
      <c r="G19" s="39"/>
      <c r="H19" s="39"/>
      <c r="I19" s="39"/>
      <c r="J19" s="39"/>
    </row>
    <row r="20" spans="1:10">
      <c r="A20" s="39"/>
      <c r="B20" s="43" t="s">
        <v>705</v>
      </c>
      <c r="C20" s="39"/>
      <c r="D20" s="39"/>
      <c r="E20" s="39"/>
      <c r="F20" s="39"/>
      <c r="G20" s="39"/>
      <c r="H20" s="39"/>
      <c r="I20" s="39"/>
      <c r="J20" s="39"/>
    </row>
    <row r="21" spans="1:10">
      <c r="A21" s="39"/>
      <c r="B21" s="39"/>
      <c r="C21" s="39"/>
      <c r="D21" s="39"/>
      <c r="E21" s="39"/>
      <c r="F21" s="39"/>
      <c r="G21" s="39"/>
      <c r="H21" s="39"/>
      <c r="I21" s="39"/>
      <c r="J21" s="39"/>
    </row>
    <row r="22" spans="1:10">
      <c r="A22" s="48" t="s">
        <v>323</v>
      </c>
      <c r="B22" s="39"/>
      <c r="C22" s="39"/>
      <c r="D22" s="39"/>
      <c r="E22" s="39"/>
      <c r="F22" s="39"/>
      <c r="G22" s="39"/>
      <c r="H22" s="39"/>
      <c r="I22" s="39"/>
      <c r="J22" s="39"/>
    </row>
    <row r="23" spans="1:10">
      <c r="A23" s="43" t="s">
        <v>324</v>
      </c>
      <c r="B23" s="39"/>
      <c r="C23" s="39"/>
      <c r="D23" s="39"/>
      <c r="E23" s="39"/>
      <c r="F23" s="39"/>
      <c r="G23" s="39"/>
      <c r="H23" s="39"/>
      <c r="I23" s="39"/>
      <c r="J23" s="39"/>
    </row>
    <row r="24" spans="1:10">
      <c r="A24" s="44"/>
      <c r="B24" s="39"/>
      <c r="C24" s="39"/>
      <c r="D24" s="39"/>
      <c r="E24" s="39"/>
      <c r="F24" s="39"/>
      <c r="G24" s="39"/>
      <c r="H24" s="39"/>
      <c r="I24" s="39"/>
      <c r="J24" s="39"/>
    </row>
    <row r="25" spans="1:10">
      <c r="A25" s="48" t="s">
        <v>501</v>
      </c>
      <c r="B25" s="39"/>
      <c r="C25" s="39"/>
      <c r="D25" s="39"/>
      <c r="E25" s="39"/>
      <c r="F25" s="39"/>
      <c r="G25" s="39"/>
      <c r="H25" s="39"/>
      <c r="I25" s="39"/>
      <c r="J25" s="39"/>
    </row>
    <row r="26" spans="1:10" ht="12.75" customHeight="1">
      <c r="A26" s="686" t="s">
        <v>522</v>
      </c>
      <c r="B26" s="687"/>
      <c r="C26" s="687"/>
      <c r="D26" s="687"/>
      <c r="E26" s="687"/>
      <c r="F26" s="687"/>
      <c r="G26" s="687"/>
      <c r="H26" s="687"/>
      <c r="I26" s="687"/>
      <c r="J26" s="39"/>
    </row>
    <row r="27" spans="1:10">
      <c r="A27" s="687"/>
      <c r="B27" s="687"/>
      <c r="C27" s="687"/>
      <c r="D27" s="687"/>
      <c r="E27" s="687"/>
      <c r="F27" s="687"/>
      <c r="G27" s="687"/>
      <c r="H27" s="687"/>
      <c r="I27" s="687"/>
      <c r="J27" s="39"/>
    </row>
    <row r="28" spans="1:10">
      <c r="A28" s="644"/>
      <c r="B28" s="644"/>
      <c r="C28" s="644"/>
      <c r="D28" s="644"/>
      <c r="E28" s="644"/>
      <c r="F28" s="644"/>
      <c r="G28" s="644"/>
      <c r="H28" s="644"/>
      <c r="I28" s="644"/>
      <c r="J28" s="39"/>
    </row>
    <row r="29" spans="1:10">
      <c r="A29" s="48" t="s">
        <v>325</v>
      </c>
      <c r="B29" s="644"/>
      <c r="C29" s="644"/>
      <c r="D29" s="644"/>
      <c r="E29" s="644"/>
      <c r="F29" s="644"/>
      <c r="G29" s="644"/>
      <c r="H29" s="644"/>
      <c r="I29" s="644"/>
      <c r="J29" s="39"/>
    </row>
    <row r="30" spans="1:10">
      <c r="A30" s="645" t="s">
        <v>693</v>
      </c>
      <c r="B30" s="39"/>
      <c r="C30" s="39"/>
      <c r="D30" s="39"/>
      <c r="E30" s="39"/>
      <c r="F30" s="39"/>
      <c r="G30" s="39"/>
      <c r="H30" s="39"/>
      <c r="I30" s="39"/>
      <c r="J30" s="39"/>
    </row>
    <row r="31" spans="1:10" ht="12.75" customHeight="1">
      <c r="A31" s="645" t="s">
        <v>694</v>
      </c>
      <c r="B31" s="246"/>
      <c r="C31" s="246"/>
      <c r="D31" s="246"/>
      <c r="E31" s="246"/>
      <c r="F31" s="246"/>
      <c r="G31" s="246"/>
      <c r="H31" s="246"/>
      <c r="I31" s="246"/>
      <c r="J31" s="39"/>
    </row>
    <row r="32" spans="1:10">
      <c r="A32" s="645" t="s">
        <v>695</v>
      </c>
      <c r="B32" s="246"/>
      <c r="C32" s="246"/>
      <c r="D32" s="246"/>
      <c r="E32" s="246"/>
      <c r="F32" s="246"/>
      <c r="G32" s="246"/>
      <c r="H32" s="246"/>
      <c r="I32" s="246"/>
      <c r="J32" s="39"/>
    </row>
    <row r="33" spans="1:22">
      <c r="A33" s="246"/>
      <c r="B33" s="246"/>
      <c r="C33" s="246"/>
      <c r="D33" s="246"/>
      <c r="E33" s="246"/>
      <c r="F33" s="246"/>
      <c r="G33" s="246"/>
      <c r="H33" s="246"/>
      <c r="I33" s="246"/>
      <c r="J33" s="39"/>
    </row>
    <row r="34" spans="1:22">
      <c r="A34" s="48" t="s">
        <v>692</v>
      </c>
      <c r="B34" s="246"/>
      <c r="C34" s="246"/>
      <c r="D34" s="246"/>
      <c r="E34" s="246"/>
      <c r="F34" s="246"/>
      <c r="G34" s="246"/>
      <c r="H34" s="246"/>
      <c r="I34" s="246"/>
      <c r="J34" s="39"/>
    </row>
    <row r="35" spans="1:22">
      <c r="A35" s="257" t="s">
        <v>563</v>
      </c>
      <c r="B35" s="186"/>
      <c r="C35" s="186"/>
      <c r="D35" s="186"/>
      <c r="E35" s="186"/>
      <c r="F35" s="186"/>
      <c r="G35" s="186"/>
      <c r="H35" s="186"/>
      <c r="I35" s="186"/>
      <c r="J35" s="186"/>
    </row>
    <row r="36" spans="1:22">
      <c r="A36" s="257" t="s">
        <v>413</v>
      </c>
      <c r="B36" s="452"/>
      <c r="C36" s="451"/>
      <c r="D36" s="451"/>
      <c r="E36" s="451"/>
      <c r="F36" s="633"/>
      <c r="G36" s="451"/>
      <c r="H36" s="451"/>
      <c r="I36" s="452"/>
      <c r="J36" s="186"/>
    </row>
    <row r="37" spans="1:22">
      <c r="A37" s="39"/>
      <c r="B37" s="265"/>
      <c r="C37" s="634"/>
      <c r="D37" s="631"/>
      <c r="E37" s="634"/>
      <c r="F37" s="632"/>
      <c r="G37" s="186"/>
      <c r="H37" s="453"/>
      <c r="I37" s="265"/>
      <c r="J37" s="186"/>
    </row>
    <row r="38" spans="1:22">
      <c r="A38" s="627"/>
      <c r="B38" s="628"/>
      <c r="C38" s="635"/>
      <c r="D38" s="636"/>
      <c r="E38" s="635"/>
      <c r="F38" s="637"/>
      <c r="G38" s="264"/>
      <c r="H38" s="627"/>
      <c r="I38" s="628"/>
      <c r="J38" s="264"/>
    </row>
    <row r="39" spans="1:22">
      <c r="A39" s="627"/>
      <c r="B39" s="628"/>
      <c r="C39" s="635"/>
      <c r="D39" s="636"/>
      <c r="E39" s="635"/>
      <c r="F39" s="637"/>
      <c r="G39" s="264"/>
      <c r="H39" s="627"/>
      <c r="I39" s="628"/>
      <c r="J39" s="264"/>
    </row>
    <row r="40" spans="1:22">
      <c r="A40" s="627"/>
      <c r="B40" s="628"/>
      <c r="C40" s="635"/>
      <c r="D40" s="636"/>
      <c r="E40" s="635"/>
      <c r="F40" s="637"/>
      <c r="G40" s="264"/>
      <c r="H40" s="627"/>
      <c r="I40" s="628"/>
      <c r="J40" s="264"/>
      <c r="V40" s="263" t="s">
        <v>15</v>
      </c>
    </row>
    <row r="41" spans="1:22">
      <c r="A41" s="627"/>
      <c r="B41" s="628"/>
      <c r="C41" s="635"/>
      <c r="D41" s="636"/>
      <c r="E41" s="635"/>
      <c r="F41" s="637"/>
      <c r="G41" s="264"/>
      <c r="H41" s="627"/>
      <c r="I41" s="628"/>
      <c r="J41" s="264"/>
    </row>
    <row r="42" spans="1:22" ht="12.75" customHeight="1">
      <c r="A42" s="626"/>
      <c r="B42" s="629"/>
      <c r="C42" s="638"/>
      <c r="D42" s="639"/>
      <c r="E42" s="638"/>
      <c r="F42" s="640"/>
      <c r="G42" s="264"/>
      <c r="H42" s="627"/>
      <c r="I42" s="629"/>
      <c r="J42" s="264"/>
    </row>
    <row r="43" spans="1:22">
      <c r="A43" s="264"/>
      <c r="B43" s="264"/>
      <c r="C43" s="264"/>
      <c r="D43" s="264"/>
      <c r="E43" s="264"/>
      <c r="F43" s="264"/>
      <c r="G43" s="264"/>
      <c r="H43" s="264"/>
      <c r="I43" s="264"/>
      <c r="J43" s="264"/>
      <c r="K43" s="655"/>
    </row>
    <row r="44" spans="1:22" ht="12.75" customHeight="1">
      <c r="A44" s="685"/>
      <c r="B44" s="685"/>
      <c r="C44" s="685"/>
      <c r="D44" s="685"/>
      <c r="E44" s="685"/>
      <c r="F44" s="685"/>
      <c r="G44" s="685"/>
      <c r="H44" s="685"/>
      <c r="I44" s="685"/>
      <c r="J44" s="264"/>
    </row>
    <row r="45" spans="1:22">
      <c r="A45" s="685"/>
      <c r="B45" s="685"/>
      <c r="C45" s="685"/>
      <c r="D45" s="685"/>
      <c r="E45" s="685"/>
      <c r="F45" s="685"/>
      <c r="G45" s="685"/>
      <c r="H45" s="685"/>
      <c r="I45" s="685"/>
      <c r="J45" s="264"/>
    </row>
    <row r="46" spans="1:22">
      <c r="A46" s="685"/>
      <c r="B46" s="685"/>
      <c r="C46" s="685"/>
      <c r="D46" s="685"/>
      <c r="E46" s="685"/>
      <c r="F46" s="685"/>
      <c r="G46" s="685"/>
      <c r="H46" s="685"/>
      <c r="I46" s="685"/>
      <c r="J46" s="264"/>
    </row>
    <row r="47" spans="1:22">
      <c r="A47" s="685"/>
      <c r="B47" s="685"/>
      <c r="C47" s="685"/>
      <c r="D47" s="685"/>
      <c r="E47" s="685"/>
      <c r="F47" s="685"/>
      <c r="G47" s="685"/>
      <c r="H47" s="685"/>
      <c r="I47" s="685"/>
      <c r="J47" s="264"/>
    </row>
    <row r="48" spans="1:22">
      <c r="A48" s="685"/>
      <c r="B48" s="685"/>
      <c r="C48" s="685"/>
      <c r="D48" s="685"/>
      <c r="E48" s="685"/>
      <c r="F48" s="685"/>
      <c r="G48" s="685"/>
      <c r="H48" s="685"/>
      <c r="I48" s="685"/>
      <c r="J48" s="264"/>
    </row>
    <row r="49" spans="1:14">
      <c r="A49" s="685"/>
      <c r="B49" s="685"/>
      <c r="C49" s="685"/>
      <c r="D49" s="685"/>
      <c r="E49" s="685"/>
      <c r="F49" s="685"/>
      <c r="G49" s="685"/>
      <c r="H49" s="685"/>
      <c r="I49" s="685"/>
      <c r="J49" s="264"/>
    </row>
    <row r="50" spans="1:14">
      <c r="A50" s="685"/>
      <c r="B50" s="685"/>
      <c r="C50" s="685"/>
      <c r="D50" s="685"/>
      <c r="E50" s="685"/>
      <c r="F50" s="685"/>
      <c r="G50" s="685"/>
      <c r="H50" s="685"/>
      <c r="I50" s="685"/>
      <c r="J50" s="264"/>
    </row>
    <row r="51" spans="1:14">
      <c r="A51" s="685"/>
      <c r="B51" s="685"/>
      <c r="C51" s="685"/>
      <c r="D51" s="685"/>
      <c r="E51" s="685"/>
      <c r="F51" s="685"/>
      <c r="G51" s="685"/>
      <c r="H51" s="685"/>
      <c r="I51" s="685"/>
      <c r="J51" s="264"/>
    </row>
    <row r="52" spans="1:14">
      <c r="A52" s="685"/>
      <c r="B52" s="685"/>
      <c r="C52" s="685"/>
      <c r="D52" s="685"/>
      <c r="E52" s="685"/>
      <c r="F52" s="685"/>
      <c r="G52" s="685"/>
      <c r="H52" s="685"/>
      <c r="I52" s="685"/>
      <c r="J52" s="264"/>
      <c r="N52" s="264"/>
    </row>
    <row r="53" spans="1:14">
      <c r="A53" s="685"/>
      <c r="B53" s="685"/>
      <c r="C53" s="685"/>
      <c r="D53" s="685"/>
      <c r="E53" s="685"/>
      <c r="F53" s="685"/>
      <c r="G53" s="685"/>
      <c r="H53" s="685"/>
      <c r="I53" s="685"/>
      <c r="J53" s="264"/>
      <c r="N53" s="264"/>
    </row>
    <row r="54" spans="1:14">
      <c r="A54" s="685"/>
      <c r="B54" s="685"/>
      <c r="C54" s="685"/>
      <c r="D54" s="685"/>
      <c r="E54" s="685"/>
      <c r="F54" s="685"/>
      <c r="G54" s="685"/>
      <c r="H54" s="685"/>
      <c r="I54" s="685"/>
      <c r="J54" s="264"/>
      <c r="N54" s="264"/>
    </row>
    <row r="55" spans="1:14">
      <c r="A55" s="685"/>
      <c r="B55" s="685"/>
      <c r="C55" s="685"/>
      <c r="D55" s="685"/>
      <c r="E55" s="685"/>
      <c r="F55" s="685"/>
      <c r="G55" s="685"/>
      <c r="H55" s="685"/>
      <c r="I55" s="685"/>
      <c r="J55" s="264"/>
      <c r="N55" s="264"/>
    </row>
    <row r="56" spans="1:14">
      <c r="A56" s="641"/>
      <c r="B56" s="641"/>
      <c r="C56" s="641"/>
      <c r="D56" s="641"/>
      <c r="E56" s="641"/>
      <c r="F56" s="641"/>
      <c r="G56" s="641"/>
      <c r="H56" s="641"/>
      <c r="I56" s="641"/>
      <c r="J56" s="264"/>
    </row>
    <row r="57" spans="1:14" ht="12.75" hidden="1" customHeight="1">
      <c r="A57" s="641"/>
      <c r="B57" s="641"/>
      <c r="C57" s="641"/>
      <c r="D57" s="641"/>
      <c r="E57" s="641"/>
      <c r="F57" s="641"/>
      <c r="G57" s="641"/>
      <c r="H57" s="641"/>
      <c r="I57" s="641"/>
      <c r="J57" s="264"/>
    </row>
    <row r="58" spans="1:14" ht="12.75" hidden="1" customHeight="1">
      <c r="A58" s="641"/>
      <c r="B58" s="641"/>
      <c r="C58" s="641"/>
      <c r="D58" s="641"/>
      <c r="E58" s="641"/>
      <c r="F58" s="641"/>
      <c r="G58" s="641"/>
      <c r="H58" s="641"/>
      <c r="I58" s="641"/>
      <c r="J58" s="264"/>
    </row>
    <row r="59" spans="1:14" ht="12.75" hidden="1" customHeight="1">
      <c r="A59" s="641"/>
      <c r="B59" s="641"/>
      <c r="C59" s="641"/>
      <c r="D59" s="641"/>
      <c r="E59" s="641"/>
      <c r="F59" s="641"/>
      <c r="G59" s="641"/>
      <c r="H59" s="641"/>
      <c r="I59" s="641"/>
      <c r="J59" s="264"/>
    </row>
    <row r="60" spans="1:14" ht="12.75" hidden="1" customHeight="1">
      <c r="A60" s="641"/>
      <c r="B60" s="641"/>
      <c r="C60" s="641"/>
      <c r="D60" s="641"/>
      <c r="E60" s="641"/>
      <c r="F60" s="641"/>
      <c r="G60" s="641"/>
      <c r="H60" s="641"/>
      <c r="I60" s="641"/>
      <c r="J60" s="264"/>
    </row>
    <row r="61" spans="1:14">
      <c r="A61" s="642"/>
      <c r="B61" s="643"/>
      <c r="C61" s="643"/>
      <c r="D61" s="643"/>
      <c r="E61" s="643"/>
      <c r="F61" s="643"/>
      <c r="G61" s="643"/>
      <c r="H61" s="643"/>
      <c r="I61" s="643"/>
      <c r="J61" s="264"/>
    </row>
    <row r="62" spans="1:14">
      <c r="A62" s="643"/>
      <c r="B62" s="643"/>
      <c r="C62" s="643"/>
      <c r="D62" s="643"/>
      <c r="E62" s="643"/>
      <c r="F62" s="643"/>
      <c r="G62" s="643"/>
      <c r="H62" s="643"/>
      <c r="I62" s="643"/>
      <c r="J62" s="264"/>
    </row>
    <row r="63" spans="1:14">
      <c r="A63" s="630"/>
      <c r="B63" s="630"/>
      <c r="C63" s="630"/>
      <c r="D63" s="630"/>
      <c r="E63" s="630"/>
      <c r="F63" s="630"/>
      <c r="G63" s="630"/>
      <c r="H63" s="630"/>
      <c r="I63" s="630"/>
    </row>
    <row r="64" spans="1:14">
      <c r="A64" s="630"/>
      <c r="B64" s="630"/>
      <c r="C64" s="630"/>
      <c r="D64" s="630"/>
      <c r="E64" s="630"/>
      <c r="F64" s="630"/>
      <c r="G64" s="630"/>
      <c r="H64" s="630"/>
      <c r="I64" s="630"/>
    </row>
    <row r="65" spans="1:9">
      <c r="A65" s="630"/>
      <c r="B65" s="630"/>
      <c r="C65" s="630"/>
      <c r="D65" s="630"/>
      <c r="E65" s="630"/>
      <c r="F65" s="630"/>
      <c r="G65" s="630"/>
      <c r="H65" s="630"/>
      <c r="I65" s="630"/>
    </row>
    <row r="66" spans="1:9">
      <c r="A66" s="630"/>
      <c r="B66" s="630"/>
      <c r="C66" s="630"/>
      <c r="D66" s="630"/>
      <c r="E66" s="630"/>
      <c r="F66" s="630"/>
      <c r="G66" s="630"/>
      <c r="H66" s="630"/>
      <c r="I66" s="630"/>
    </row>
    <row r="67" spans="1:9">
      <c r="A67" s="630"/>
      <c r="B67" s="630"/>
      <c r="C67" s="630"/>
      <c r="D67" s="630"/>
      <c r="E67" s="630"/>
      <c r="F67" s="630"/>
    </row>
    <row r="68" spans="1:9">
      <c r="A68" s="630"/>
      <c r="B68" s="630"/>
      <c r="C68" s="630"/>
      <c r="D68" s="630"/>
      <c r="E68" s="630"/>
      <c r="F68" s="630"/>
    </row>
    <row r="69" spans="1:9">
      <c r="A69" s="630"/>
      <c r="B69" s="630"/>
      <c r="C69" s="630"/>
      <c r="D69" s="630"/>
      <c r="E69" s="630"/>
      <c r="F69" s="630"/>
    </row>
    <row r="70" spans="1:9">
      <c r="A70" s="630"/>
      <c r="B70" s="630"/>
      <c r="C70" s="630"/>
      <c r="D70" s="630"/>
      <c r="E70" s="630"/>
      <c r="F70" s="630"/>
    </row>
    <row r="71" spans="1:9">
      <c r="A71" s="630"/>
      <c r="B71" s="630"/>
      <c r="C71" s="630"/>
      <c r="D71" s="630"/>
      <c r="E71" s="630"/>
      <c r="F71" s="630"/>
    </row>
    <row r="72" spans="1:9">
      <c r="A72" s="630"/>
      <c r="B72" s="630"/>
      <c r="C72" s="630"/>
      <c r="D72" s="630"/>
      <c r="E72" s="630"/>
      <c r="F72" s="630"/>
    </row>
    <row r="73" spans="1:9">
      <c r="A73" s="630"/>
      <c r="B73" s="630"/>
      <c r="C73" s="630"/>
      <c r="D73" s="630"/>
      <c r="E73" s="630"/>
      <c r="F73" s="630"/>
    </row>
    <row r="74" spans="1:9">
      <c r="A74" s="630"/>
      <c r="B74" s="630"/>
      <c r="C74" s="630"/>
      <c r="D74" s="630"/>
      <c r="E74" s="630"/>
      <c r="F74" s="630"/>
    </row>
  </sheetData>
  <mergeCells count="3">
    <mergeCell ref="K3:N3"/>
    <mergeCell ref="A44:I55"/>
    <mergeCell ref="A26:I27"/>
  </mergeCells>
  <phoneticPr fontId="19" type="noConversion"/>
  <hyperlinks>
    <hyperlink ref="F10" r:id="rId1" display="mailto:AdelaideBrighton@adbri.com.au"/>
  </hyperlinks>
  <pageMargins left="0.75" right="0.75" top="1" bottom="1" header="0.5" footer="0.5"/>
  <pageSetup paperSize="9" scale="42" orientation="portrait" r:id="rId2"/>
  <headerFooter alignWithMargins="0"/>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pageSetUpPr fitToPage="1"/>
  </sheetPr>
  <dimension ref="B1:AY231"/>
  <sheetViews>
    <sheetView showGridLines="0" zoomScale="85" zoomScaleNormal="85" zoomScaleSheetLayoutView="55" workbookViewId="0"/>
  </sheetViews>
  <sheetFormatPr defaultRowHeight="12.75"/>
  <cols>
    <col min="1" max="1" width="2.42578125" style="39" customWidth="1"/>
    <col min="2" max="2" width="32" style="39" customWidth="1"/>
    <col min="3" max="3" width="11.28515625" style="39" hidden="1" customWidth="1"/>
    <col min="4" max="4" width="0" style="39" hidden="1" customWidth="1"/>
    <col min="5" max="5" width="8.7109375" style="39" hidden="1" customWidth="1"/>
    <col min="6" max="10" width="8.7109375" style="39" customWidth="1"/>
    <col min="11" max="11" width="8.7109375" style="39" hidden="1" customWidth="1"/>
    <col min="12" max="12" width="2.5703125" style="39" customWidth="1"/>
    <col min="13" max="13" width="31.5703125" style="39" customWidth="1"/>
    <col min="14" max="14" width="10" style="39" hidden="1" customWidth="1"/>
    <col min="15" max="15" width="9" style="39" hidden="1" customWidth="1"/>
    <col min="16" max="16" width="8.7109375" style="39" hidden="1" customWidth="1"/>
    <col min="17" max="21" width="8.7109375" style="39" customWidth="1"/>
    <col min="22" max="22" width="2.28515625" style="39" customWidth="1"/>
    <col min="23" max="23" width="11.28515625" style="39" customWidth="1"/>
    <col min="24" max="24" width="9.5703125" style="39" bestFit="1" customWidth="1"/>
    <col min="25" max="25" width="37.7109375" style="39" customWidth="1"/>
    <col min="26" max="26" width="8.140625" style="39" customWidth="1"/>
    <col min="27" max="16384" width="9.140625" style="39"/>
  </cols>
  <sheetData>
    <row r="1" spans="2:51">
      <c r="AB1" s="420" t="s">
        <v>89</v>
      </c>
      <c r="AC1" s="420" t="s">
        <v>91</v>
      </c>
      <c r="AD1" s="420" t="s">
        <v>92</v>
      </c>
      <c r="AE1" s="420" t="s">
        <v>94</v>
      </c>
      <c r="AF1" s="420" t="s">
        <v>95</v>
      </c>
      <c r="AG1" s="420" t="s">
        <v>97</v>
      </c>
      <c r="AH1" s="420" t="s">
        <v>288</v>
      </c>
      <c r="AI1" s="420" t="s">
        <v>290</v>
      </c>
      <c r="AJ1" s="420" t="s">
        <v>165</v>
      </c>
      <c r="AK1" s="420" t="s">
        <v>167</v>
      </c>
      <c r="AL1" s="420" t="s">
        <v>234</v>
      </c>
      <c r="AM1" s="420" t="s">
        <v>236</v>
      </c>
      <c r="AN1" s="420" t="s">
        <v>237</v>
      </c>
      <c r="AO1" s="420" t="s">
        <v>239</v>
      </c>
      <c r="AP1" s="420" t="s">
        <v>240</v>
      </c>
      <c r="AQ1" s="420" t="s">
        <v>242</v>
      </c>
      <c r="AR1" s="420" t="s">
        <v>243</v>
      </c>
      <c r="AS1" s="420" t="s">
        <v>382</v>
      </c>
      <c r="AT1" s="420" t="s">
        <v>383</v>
      </c>
      <c r="AU1" s="420" t="s">
        <v>385</v>
      </c>
      <c r="AV1" s="420" t="s">
        <v>386</v>
      </c>
      <c r="AW1" s="420" t="s">
        <v>388</v>
      </c>
      <c r="AX1" s="420" t="s">
        <v>395</v>
      </c>
      <c r="AY1" s="420" t="s">
        <v>397</v>
      </c>
    </row>
    <row r="2" spans="2:51" ht="15">
      <c r="B2" s="182"/>
      <c r="W2" s="654"/>
    </row>
    <row r="3" spans="2:51" ht="15">
      <c r="B3" s="182"/>
      <c r="I3" s="544"/>
      <c r="J3" s="544"/>
      <c r="K3" s="544"/>
      <c r="W3" s="187"/>
    </row>
    <row r="4" spans="2:51" ht="15.75" customHeight="1">
      <c r="B4" s="207" t="str">
        <f>+"Adelaide Brighton - Financial Summary" &amp; "  (" &amp; TEXT("PT",3) &amp; ":" &amp; TEXT(U8,"$0.00") &amp; ")"</f>
        <v>Adelaide Brighton - Financial Summary  (PT:$6.00)</v>
      </c>
      <c r="E4" s="184"/>
      <c r="F4" s="184"/>
      <c r="G4" s="184"/>
      <c r="H4" s="184"/>
      <c r="I4" s="184"/>
      <c r="J4" s="184"/>
      <c r="K4" s="184"/>
    </row>
    <row r="5" spans="2:51" ht="15.75" customHeight="1">
      <c r="B5" s="299" t="s">
        <v>644</v>
      </c>
      <c r="C5" s="186"/>
      <c r="D5" s="186"/>
      <c r="E5" s="191"/>
      <c r="F5" s="191"/>
      <c r="G5" s="191"/>
      <c r="H5" s="191"/>
      <c r="I5" s="191"/>
      <c r="J5" s="191"/>
      <c r="K5" s="191"/>
      <c r="S5" s="414"/>
      <c r="T5" s="414"/>
      <c r="U5" s="414" t="s">
        <v>710</v>
      </c>
      <c r="V5" s="414"/>
      <c r="W5" s="414"/>
      <c r="Y5" s="421"/>
    </row>
    <row r="6" spans="2:51">
      <c r="B6" s="251" t="s">
        <v>526</v>
      </c>
      <c r="C6" s="252" t="s">
        <v>65</v>
      </c>
      <c r="D6" s="252" t="s">
        <v>66</v>
      </c>
      <c r="E6" s="253" t="s">
        <v>561</v>
      </c>
      <c r="F6" s="253" t="s">
        <v>566</v>
      </c>
      <c r="G6" s="253" t="s">
        <v>696</v>
      </c>
      <c r="H6" s="255" t="s">
        <v>552</v>
      </c>
      <c r="I6" s="255" t="s">
        <v>553</v>
      </c>
      <c r="J6" s="255" t="s">
        <v>554</v>
      </c>
      <c r="K6" s="646"/>
      <c r="L6" s="186"/>
      <c r="M6" s="251" t="s">
        <v>540</v>
      </c>
      <c r="N6" s="252"/>
      <c r="O6" s="252"/>
      <c r="P6" s="253"/>
      <c r="Q6" s="253"/>
      <c r="R6" s="253"/>
      <c r="S6" s="255"/>
      <c r="T6" s="255"/>
      <c r="U6" s="255" t="s">
        <v>519</v>
      </c>
      <c r="V6" s="415"/>
      <c r="W6" s="422" t="s">
        <v>670</v>
      </c>
      <c r="X6" s="423">
        <f ca="1">TODAY()</f>
        <v>43162</v>
      </c>
    </row>
    <row r="7" spans="2:51">
      <c r="B7" s="193" t="s">
        <v>438</v>
      </c>
      <c r="C7" s="131">
        <f>'BS, CF and P&amp;L'!AD21</f>
        <v>1242.7</v>
      </c>
      <c r="D7" s="127">
        <f>'BS, CF and P&amp;L'!AG21</f>
        <v>1218.3</v>
      </c>
      <c r="E7" s="127">
        <f>'BS, CF and P&amp;L'!AY26</f>
        <v>1413.1</v>
      </c>
      <c r="F7" s="127">
        <f>'BS, CF and P&amp;L'!BB26</f>
        <v>1396.2</v>
      </c>
      <c r="G7" s="127">
        <f>'BS, CF and P&amp;L'!BE26</f>
        <v>1560</v>
      </c>
      <c r="H7" s="127">
        <f>'BS, CF and P&amp;L'!BH26</f>
        <v>1647.8311836643493</v>
      </c>
      <c r="I7" s="127">
        <f>'BS, CF and P&amp;L'!BK26</f>
        <v>1700.1657052089761</v>
      </c>
      <c r="J7" s="127">
        <f>'BS, CF and P&amp;L'!BN26</f>
        <v>1743.7222408249984</v>
      </c>
      <c r="K7" s="127"/>
      <c r="M7" s="186" t="s">
        <v>541</v>
      </c>
      <c r="N7" s="186"/>
      <c r="O7" s="186"/>
      <c r="P7" s="197"/>
      <c r="Q7" s="197"/>
      <c r="R7" s="197"/>
      <c r="S7" s="197"/>
      <c r="U7" s="197">
        <f>X7</f>
        <v>6.58</v>
      </c>
      <c r="V7" s="197"/>
      <c r="W7" s="422" t="s">
        <v>671</v>
      </c>
      <c r="X7" s="657">
        <v>6.58</v>
      </c>
      <c r="Y7" s="424"/>
    </row>
    <row r="8" spans="2:51">
      <c r="B8" s="65" t="s">
        <v>439</v>
      </c>
      <c r="C8" s="189">
        <f>'BS, CF and P&amp;L'!AD43</f>
        <v>245.90000000000003</v>
      </c>
      <c r="D8" s="189">
        <f>'BS, CF and P&amp;L'!AG43</f>
        <v>242.10000000000002</v>
      </c>
      <c r="E8" s="189">
        <f>'BS, CF and P&amp;L'!AY43</f>
        <v>378.09999999999997</v>
      </c>
      <c r="F8" s="189">
        <f>'BS, CF and P&amp;L'!BB43</f>
        <v>344.19999999999993</v>
      </c>
      <c r="G8" s="189">
        <f>'BS, CF and P&amp;L'!BE43</f>
        <v>371.30000000000007</v>
      </c>
      <c r="H8" s="189">
        <f>'BS, CF and P&amp;L'!BH43</f>
        <v>384.42310846557041</v>
      </c>
      <c r="I8" s="189">
        <f>'BS, CF and P&amp;L'!BK43</f>
        <v>408.64174003180932</v>
      </c>
      <c r="J8" s="189">
        <f>'BS, CF and P&amp;L'!BN43</f>
        <v>427.08547849509898</v>
      </c>
      <c r="K8" s="189"/>
      <c r="M8" s="186" t="s">
        <v>10</v>
      </c>
      <c r="N8" s="186"/>
      <c r="O8" s="186"/>
      <c r="P8" s="197"/>
      <c r="Q8" s="197"/>
      <c r="R8" s="17"/>
      <c r="S8" s="197"/>
      <c r="U8" s="197">
        <f>Valuation!$J$140</f>
        <v>6</v>
      </c>
      <c r="V8" s="197"/>
      <c r="W8" s="132" t="s">
        <v>672</v>
      </c>
      <c r="X8" s="197">
        <f>Valuation!$J$140</f>
        <v>6</v>
      </c>
      <c r="Y8" s="41"/>
      <c r="Z8" s="69"/>
    </row>
    <row r="9" spans="2:51">
      <c r="B9" s="65" t="s">
        <v>527</v>
      </c>
      <c r="C9" s="189">
        <f>'BS, CF and P&amp;L'!AD41</f>
        <v>56.8</v>
      </c>
      <c r="D9" s="189">
        <f>'BS, CF and P&amp;L'!AG41</f>
        <v>56.800000000000004</v>
      </c>
      <c r="E9" s="189">
        <f>'BS, CF and P&amp;L'!AY41</f>
        <v>77.8</v>
      </c>
      <c r="F9" s="189">
        <f>'BS, CF and P&amp;L'!BB41</f>
        <v>78.099999999999994</v>
      </c>
      <c r="G9" s="189">
        <f>'BS, CF and P&amp;L'!BE41</f>
        <v>82.5</v>
      </c>
      <c r="H9" s="189">
        <f>'BS, CF and P&amp;L'!BH41</f>
        <v>86.86</v>
      </c>
      <c r="I9" s="189">
        <f>'BS, CF and P&amp;L'!BK41</f>
        <v>89.513374999999996</v>
      </c>
      <c r="J9" s="189">
        <f>'BS, CF and P&amp;L'!BN41</f>
        <v>91.336209374999996</v>
      </c>
      <c r="K9" s="189"/>
      <c r="M9" s="40" t="s">
        <v>546</v>
      </c>
      <c r="N9" s="186"/>
      <c r="O9" s="186"/>
      <c r="P9" s="132"/>
      <c r="Q9" s="132"/>
      <c r="R9" s="17"/>
      <c r="S9" s="132"/>
      <c r="U9" s="132">
        <f>U8/U7-1</f>
        <v>-8.8145896656534939E-2</v>
      </c>
      <c r="V9" s="132"/>
      <c r="Y9" s="41"/>
      <c r="Z9" s="261"/>
    </row>
    <row r="10" spans="2:51">
      <c r="B10" s="40" t="s">
        <v>440</v>
      </c>
      <c r="C10" s="110">
        <f>'BS, CF and P&amp;L'!AD51</f>
        <v>189.10000000000002</v>
      </c>
      <c r="D10" s="110">
        <f>'BS, CF and P&amp;L'!AG51</f>
        <v>185.3</v>
      </c>
      <c r="E10" s="110">
        <f>'BS, CF and P&amp;L'!AY51</f>
        <v>300.29999999999995</v>
      </c>
      <c r="F10" s="110">
        <f>'BS, CF and P&amp;L'!BB51</f>
        <v>266.09999999999997</v>
      </c>
      <c r="G10" s="110">
        <f>'BS, CF and P&amp;L'!BE51</f>
        <v>288.8</v>
      </c>
      <c r="H10" s="110">
        <f>'BS, CF and P&amp;L'!BH51</f>
        <v>297.56310846557034</v>
      </c>
      <c r="I10" s="110">
        <f>'BS, CF and P&amp;L'!BK51</f>
        <v>319.12836503180927</v>
      </c>
      <c r="J10" s="110">
        <f>'BS, CF and P&amp;L'!BN51</f>
        <v>335.74926912009903</v>
      </c>
      <c r="K10" s="110"/>
      <c r="M10" s="11" t="s">
        <v>547</v>
      </c>
      <c r="N10" s="21"/>
      <c r="O10" s="21"/>
      <c r="P10" s="186"/>
      <c r="Q10" s="186"/>
      <c r="R10" s="17"/>
      <c r="S10" s="219"/>
      <c r="U10" s="219">
        <f>+U9+Q35</f>
        <v>-4.5592705167173231E-2</v>
      </c>
      <c r="V10" s="219"/>
      <c r="W10" s="689" t="s">
        <v>673</v>
      </c>
      <c r="X10" s="689"/>
      <c r="Y10" s="40"/>
      <c r="Z10" s="425"/>
    </row>
    <row r="11" spans="2:51" ht="12.75" customHeight="1">
      <c r="B11" s="65" t="s">
        <v>379</v>
      </c>
      <c r="C11" s="189">
        <f>'BS, CF and P&amp;L'!AD66</f>
        <v>-33.799999999999997</v>
      </c>
      <c r="D11" s="189">
        <f>'BS, CF and P&amp;L'!AG66</f>
        <v>-16.7</v>
      </c>
      <c r="E11" s="189">
        <f>'BS, CF and P&amp;L'!AY66</f>
        <v>-13</v>
      </c>
      <c r="F11" s="189">
        <f>'BS, CF and P&amp;L'!BB66</f>
        <v>-11.5</v>
      </c>
      <c r="G11" s="189">
        <f>'BS, CF and P&amp;L'!BE66</f>
        <v>-12.1</v>
      </c>
      <c r="H11" s="189">
        <f>'BS, CF and P&amp;L'!BH66</f>
        <v>-11.936358273511841</v>
      </c>
      <c r="I11" s="189">
        <f>'BS, CF and P&amp;L'!BK66</f>
        <v>-11.758257618386194</v>
      </c>
      <c r="J11" s="189">
        <f>'BS, CF and P&amp;L'!BN66</f>
        <v>-10.710414628724436</v>
      </c>
      <c r="K11" s="189"/>
      <c r="M11" s="186" t="s">
        <v>193</v>
      </c>
      <c r="N11" s="186"/>
      <c r="O11" s="186"/>
      <c r="P11" s="189"/>
      <c r="Q11" s="189"/>
      <c r="R11" s="17"/>
      <c r="S11" s="189"/>
      <c r="U11" s="189">
        <f>Valuation!D88</f>
        <v>650.06749200000002</v>
      </c>
      <c r="V11" s="189"/>
      <c r="W11" s="690" t="str">
        <f>'BS, CF and P&amp;L'!C1</f>
        <v>&lt;-- Run cash balancer</v>
      </c>
      <c r="X11" s="691"/>
      <c r="Y11" s="40"/>
      <c r="Z11" s="186"/>
    </row>
    <row r="12" spans="2:51" ht="12.75" customHeight="1">
      <c r="B12" s="65" t="s">
        <v>505</v>
      </c>
      <c r="C12" s="189">
        <f>'BS, CF and P&amp;L'!AD68</f>
        <v>155.30000000000001</v>
      </c>
      <c r="D12" s="189">
        <f>'BS, CF and P&amp;L'!AG68</f>
        <v>168.60000000000002</v>
      </c>
      <c r="E12" s="189">
        <f>'BS, CF and P&amp;L'!AY68</f>
        <v>287.29999999999995</v>
      </c>
      <c r="F12" s="189">
        <f>'BS, CF and P&amp;L'!BB68</f>
        <v>254.59999999999997</v>
      </c>
      <c r="G12" s="189">
        <f>'BS, CF and P&amp;L'!BE68</f>
        <v>276.70000000000005</v>
      </c>
      <c r="H12" s="189">
        <f>'BS, CF and P&amp;L'!BH68</f>
        <v>285.62675019205858</v>
      </c>
      <c r="I12" s="189">
        <f>'BS, CF and P&amp;L'!BK68</f>
        <v>307.37010741342317</v>
      </c>
      <c r="J12" s="189">
        <f>'BS, CF and P&amp;L'!BN68</f>
        <v>325.03885449137459</v>
      </c>
      <c r="K12" s="189"/>
      <c r="M12" s="65" t="s">
        <v>139</v>
      </c>
      <c r="N12" s="186"/>
      <c r="O12" s="186"/>
      <c r="P12" s="189"/>
      <c r="Q12" s="189"/>
      <c r="R12" s="17"/>
      <c r="S12" s="250"/>
      <c r="U12" s="250">
        <f>U11*U7</f>
        <v>4277.4440973600003</v>
      </c>
      <c r="V12" s="250"/>
      <c r="W12" s="692" t="str">
        <f>'BS, CF and P&amp;L'!C2</f>
        <v>Balancing error</v>
      </c>
      <c r="X12" s="693"/>
      <c r="Y12" s="186"/>
      <c r="Z12" s="186"/>
    </row>
    <row r="13" spans="2:51">
      <c r="B13" s="65" t="s">
        <v>248</v>
      </c>
      <c r="C13" s="189">
        <f>'BS, CF and P&amp;L'!AD69</f>
        <v>-34.5</v>
      </c>
      <c r="D13" s="189">
        <f>'BS, CF and P&amp;L'!AG69</f>
        <v>-45.4</v>
      </c>
      <c r="E13" s="189">
        <f>'BS, CF and P&amp;L'!AY69</f>
        <v>-78.2</v>
      </c>
      <c r="F13" s="189">
        <f>'BS, CF and P&amp;L'!BB69</f>
        <v>-68.400000000000006</v>
      </c>
      <c r="G13" s="189">
        <f>'BS, CF and P&amp;L'!BE69</f>
        <v>-78.900000000000006</v>
      </c>
      <c r="H13" s="189">
        <f>'BS, CF and P&amp;L'!BH69</f>
        <v>-74.889267895573667</v>
      </c>
      <c r="I13" s="189">
        <f>'BS, CF and P&amp;L'!BK69</f>
        <v>-80.562334348767479</v>
      </c>
      <c r="J13" s="189">
        <f>'BS, CF and P&amp;L'!BN69</f>
        <v>-85.302929401978616</v>
      </c>
      <c r="K13" s="189"/>
      <c r="Y13" s="40"/>
      <c r="Z13" s="191"/>
    </row>
    <row r="14" spans="2:51">
      <c r="B14" s="40" t="s">
        <v>557</v>
      </c>
      <c r="C14" s="110">
        <f>'BS, CF and P&amp;L'!AD72</f>
        <v>120.80000000000001</v>
      </c>
      <c r="D14" s="110">
        <f>'BS, CF and P&amp;L'!AG72</f>
        <v>123.10000000000002</v>
      </c>
      <c r="E14" s="110">
        <f>'BS, CF and P&amp;L'!AY72</f>
        <v>209.09999999999997</v>
      </c>
      <c r="F14" s="110">
        <f>'BS, CF and P&amp;L'!BB72</f>
        <v>186.19999999999996</v>
      </c>
      <c r="G14" s="110">
        <f>'BS, CF and P&amp;L'!BE72</f>
        <v>197.70000000000007</v>
      </c>
      <c r="H14" s="110">
        <f>'BS, CF and P&amp;L'!BH72</f>
        <v>210.73683762816307</v>
      </c>
      <c r="I14" s="110">
        <f>'BS, CF and P&amp;L'!BK72</f>
        <v>226.80776802238529</v>
      </c>
      <c r="J14" s="110">
        <f>'BS, CF and P&amp;L'!BN72</f>
        <v>239.7359250864597</v>
      </c>
      <c r="K14" s="110"/>
      <c r="M14" s="251" t="s">
        <v>701</v>
      </c>
      <c r="N14" s="252"/>
      <c r="O14" s="252"/>
      <c r="P14" s="253"/>
      <c r="Q14" s="253"/>
      <c r="R14" s="254"/>
      <c r="S14" s="255"/>
      <c r="T14" s="255"/>
      <c r="U14" s="255" t="s">
        <v>519</v>
      </c>
      <c r="V14" s="415"/>
      <c r="W14" s="415"/>
      <c r="Y14" s="186"/>
      <c r="Z14" s="186"/>
    </row>
    <row r="15" spans="2:51">
      <c r="B15" s="40" t="s">
        <v>558</v>
      </c>
      <c r="C15" s="110">
        <f>'BS, CF and P&amp;L'!AD300</f>
        <v>21.846809912087913</v>
      </c>
      <c r="D15" s="110">
        <f>'BS, CF and P&amp;L'!AG300</f>
        <v>20.306468656107846</v>
      </c>
      <c r="E15" s="110">
        <f>'BS, CF and P&amp;L'!AY300</f>
        <v>32.234649800799033</v>
      </c>
      <c r="F15" s="110">
        <f>'BS, CF and P&amp;L'!BB300</f>
        <v>28.672802701881</v>
      </c>
      <c r="G15" s="110">
        <f>'BS, CF and P&amp;L'!BE300</f>
        <v>30.4122267969062</v>
      </c>
      <c r="H15" s="110">
        <f>'BS, CF and P&amp;L'!BH300</f>
        <v>32.417685889784977</v>
      </c>
      <c r="I15" s="110">
        <f>'BS, CF and P&amp;L'!BK300</f>
        <v>34.889880022240106</v>
      </c>
      <c r="J15" s="110">
        <f>'BS, CF and P&amp;L'!BN300</f>
        <v>36.878620764266692</v>
      </c>
      <c r="K15" s="110"/>
      <c r="M15" s="186" t="s">
        <v>151</v>
      </c>
      <c r="N15" s="186"/>
      <c r="O15" s="186"/>
      <c r="P15" s="197"/>
      <c r="Q15" s="197"/>
      <c r="R15" s="17"/>
      <c r="S15" s="198"/>
      <c r="U15" s="198">
        <f>Valuation!J136</f>
        <v>6.1161989935103422</v>
      </c>
      <c r="V15" s="198"/>
      <c r="W15" s="198"/>
      <c r="Y15" s="186"/>
      <c r="Z15" s="186"/>
    </row>
    <row r="16" spans="2:51">
      <c r="B16" s="65" t="s">
        <v>559</v>
      </c>
      <c r="C16" s="189">
        <f>'BS, CF and P&amp;L'!AD79+'BS, CF and P&amp;L'!AD80</f>
        <v>0</v>
      </c>
      <c r="D16" s="189">
        <f>'BS, CF and P&amp;L'!AG79+'BS, CF and P&amp;L'!AG80</f>
        <v>0</v>
      </c>
      <c r="E16" s="189">
        <f>'BS, CF and P&amp;L'!AY79+'BS, CF and P&amp;L'!AY80</f>
        <v>-1.2999999999999998</v>
      </c>
      <c r="F16" s="189">
        <f>'BS, CF and P&amp;L'!BB79+'BS, CF and P&amp;L'!BB80</f>
        <v>0</v>
      </c>
      <c r="G16" s="189">
        <f>'BS, CF and P&amp;L'!BE79+'BS, CF and P&amp;L'!BE80</f>
        <v>-5.8</v>
      </c>
      <c r="H16" s="189">
        <f>'BS, CF and P&amp;L'!BH79+'BS, CF and P&amp;L'!BH80</f>
        <v>0</v>
      </c>
      <c r="I16" s="189">
        <f>'BS, CF and P&amp;L'!BK79+'BS, CF and P&amp;L'!BK80</f>
        <v>0</v>
      </c>
      <c r="J16" s="189">
        <f>'BS, CF and P&amp;L'!BN79+'BS, CF and P&amp;L'!BN80</f>
        <v>0</v>
      </c>
      <c r="K16" s="189"/>
      <c r="M16" s="186" t="s">
        <v>542</v>
      </c>
      <c r="N16" s="186"/>
      <c r="O16" s="186"/>
      <c r="P16" s="197"/>
      <c r="Q16" s="197"/>
      <c r="R16" s="17"/>
      <c r="S16" s="198"/>
      <c r="U16" s="198">
        <f>Valuation!J135</f>
        <v>6.4058131635068927</v>
      </c>
      <c r="V16" s="198"/>
      <c r="W16" s="198"/>
      <c r="Y16" s="426"/>
      <c r="Z16" s="187"/>
    </row>
    <row r="17" spans="2:25">
      <c r="B17" s="40" t="s">
        <v>249</v>
      </c>
      <c r="C17" s="189">
        <f t="shared" ref="C17:I17" si="0">C14+C16</f>
        <v>120.80000000000001</v>
      </c>
      <c r="D17" s="189">
        <f t="shared" si="0"/>
        <v>123.10000000000002</v>
      </c>
      <c r="E17" s="189">
        <f t="shared" si="0"/>
        <v>207.79999999999995</v>
      </c>
      <c r="F17" s="189">
        <f t="shared" si="0"/>
        <v>186.19999999999996</v>
      </c>
      <c r="G17" s="189">
        <f t="shared" si="0"/>
        <v>191.90000000000006</v>
      </c>
      <c r="H17" s="189">
        <f t="shared" si="0"/>
        <v>210.73683762816307</v>
      </c>
      <c r="I17" s="189">
        <f t="shared" si="0"/>
        <v>226.80776802238529</v>
      </c>
      <c r="J17" s="189">
        <f t="shared" ref="J17" si="1">J14+J16</f>
        <v>239.7359250864597</v>
      </c>
      <c r="K17" s="189"/>
      <c r="M17" s="257" t="s">
        <v>638</v>
      </c>
      <c r="N17" s="186"/>
      <c r="O17" s="186"/>
      <c r="P17" s="197"/>
      <c r="Q17" s="197"/>
      <c r="R17" s="17"/>
      <c r="S17" s="198"/>
      <c r="U17" s="198">
        <f>Valuation!J134</f>
        <v>6.0977667158685538</v>
      </c>
      <c r="V17" s="198"/>
      <c r="W17" s="198"/>
    </row>
    <row r="18" spans="2:25">
      <c r="B18" s="40" t="s">
        <v>14</v>
      </c>
      <c r="C18" s="189">
        <f>'BS, CF and P&amp;L'!AD299</f>
        <v>21.846809912087913</v>
      </c>
      <c r="D18" s="189">
        <f>'BS, CF and P&amp;L'!AG299</f>
        <v>20.306468656107846</v>
      </c>
      <c r="E18" s="189">
        <f>'BS, CF and P&amp;L'!AY299</f>
        <v>32.034243082764419</v>
      </c>
      <c r="F18" s="189">
        <f>'BS, CF and P&amp;L'!BB299</f>
        <v>28.672802701881</v>
      </c>
      <c r="G18" s="189">
        <f>'BS, CF and P&amp;L'!BE299</f>
        <v>29.520011746718765</v>
      </c>
      <c r="H18" s="189">
        <f>'BS, CF and P&amp;L'!BH299</f>
        <v>32.417685889784977</v>
      </c>
      <c r="I18" s="189">
        <f>'BS, CF and P&amp;L'!BK299</f>
        <v>34.889880022240106</v>
      </c>
      <c r="J18" s="189">
        <f>'BS, CF and P&amp;L'!BN299</f>
        <v>36.878620764266692</v>
      </c>
      <c r="K18" s="189"/>
      <c r="M18" s="40" t="s">
        <v>105</v>
      </c>
      <c r="N18" s="186"/>
      <c r="O18" s="186"/>
      <c r="P18" s="197"/>
      <c r="Q18" s="197"/>
      <c r="R18" s="17"/>
      <c r="S18" s="220"/>
      <c r="U18" s="220">
        <f>AVERAGE(U15:U17)</f>
        <v>6.2065929576285965</v>
      </c>
      <c r="V18" s="220"/>
      <c r="W18" s="220"/>
    </row>
    <row r="19" spans="2:25" ht="13.5" thickBot="1">
      <c r="B19" s="65" t="s">
        <v>101</v>
      </c>
      <c r="C19" s="189">
        <f>'BS, CF and P&amp;L'!AD307</f>
        <v>15</v>
      </c>
      <c r="D19" s="189">
        <f>'BS, CF and P&amp;L'!AG307</f>
        <v>13.5</v>
      </c>
      <c r="E19" s="189">
        <f>'BS, CF and P&amp;L'!AY307</f>
        <v>27</v>
      </c>
      <c r="F19" s="189">
        <f>'BS, CF and P&amp;L'!BB307</f>
        <v>28</v>
      </c>
      <c r="G19" s="189">
        <f>'BS, CF and P&amp;L'!BE307</f>
        <v>24.5</v>
      </c>
      <c r="H19" s="189">
        <f>'BS, CF and P&amp;L'!BH307</f>
        <v>30</v>
      </c>
      <c r="I19" s="189">
        <f>'BS, CF and P&amp;L'!BK307</f>
        <v>33</v>
      </c>
      <c r="J19" s="189">
        <f>'BS, CF and P&amp;L'!BN307</f>
        <v>34</v>
      </c>
      <c r="K19" s="189"/>
      <c r="M19" s="302" t="s">
        <v>646</v>
      </c>
      <c r="U19" s="187">
        <f>Valuation!D138</f>
        <v>0</v>
      </c>
      <c r="V19" s="186"/>
      <c r="W19" s="186"/>
      <c r="Y19" s="427" t="s">
        <v>520</v>
      </c>
    </row>
    <row r="20" spans="2:25">
      <c r="B20" s="65" t="s">
        <v>250</v>
      </c>
      <c r="C20" s="192">
        <f>'BS, CF and P&amp;L'!AD320</f>
        <v>1</v>
      </c>
      <c r="D20" s="192">
        <f>'BS, CF and P&amp;L'!AG320</f>
        <v>1</v>
      </c>
      <c r="E20" s="192">
        <f>'BS, CF and P&amp;L'!AY320</f>
        <v>1</v>
      </c>
      <c r="F20" s="192">
        <f>'BS, CF and P&amp;L'!BB320</f>
        <v>1</v>
      </c>
      <c r="G20" s="192">
        <f>'BS, CF and P&amp;L'!BE320</f>
        <v>1</v>
      </c>
      <c r="H20" s="192">
        <f>'BS, CF and P&amp;L'!BH320</f>
        <v>1</v>
      </c>
      <c r="I20" s="192">
        <f>'BS, CF and P&amp;L'!BK320</f>
        <v>1</v>
      </c>
      <c r="J20" s="192">
        <f>'BS, CF and P&amp;L'!BN320</f>
        <v>1</v>
      </c>
      <c r="K20" s="192"/>
      <c r="M20" s="419" t="s">
        <v>685</v>
      </c>
      <c r="U20" s="197">
        <f>Valuation!$J$140</f>
        <v>6</v>
      </c>
      <c r="V20" s="186"/>
      <c r="W20" s="186"/>
    </row>
    <row r="21" spans="2:25">
      <c r="B21" s="186"/>
      <c r="C21" s="186"/>
      <c r="D21" s="186"/>
      <c r="E21" s="186"/>
      <c r="F21" s="186"/>
      <c r="G21" s="186"/>
      <c r="H21" s="186"/>
      <c r="I21" s="186"/>
      <c r="J21" s="186"/>
      <c r="K21" s="186"/>
      <c r="L21" s="186"/>
      <c r="M21" s="298" t="s">
        <v>541</v>
      </c>
      <c r="N21" s="186"/>
      <c r="O21" s="186"/>
      <c r="P21" s="186"/>
      <c r="Q21" s="186"/>
      <c r="R21" s="186"/>
      <c r="S21" s="186"/>
      <c r="U21" s="416">
        <f>X7</f>
        <v>6.58</v>
      </c>
    </row>
    <row r="22" spans="2:25">
      <c r="B22" s="251" t="s">
        <v>528</v>
      </c>
      <c r="C22" s="252" t="s">
        <v>65</v>
      </c>
      <c r="D22" s="252" t="s">
        <v>66</v>
      </c>
      <c r="E22" s="253" t="str">
        <f t="shared" ref="E22:J22" si="2">+E6</f>
        <v>FY15A</v>
      </c>
      <c r="F22" s="253" t="str">
        <f t="shared" si="2"/>
        <v>FY16A</v>
      </c>
      <c r="G22" s="253" t="str">
        <f t="shared" si="2"/>
        <v>FY17A</v>
      </c>
      <c r="H22" s="255" t="str">
        <f t="shared" si="2"/>
        <v>FY18E</v>
      </c>
      <c r="I22" s="255" t="str">
        <f t="shared" si="2"/>
        <v>FY19E</v>
      </c>
      <c r="J22" s="255" t="str">
        <f t="shared" si="2"/>
        <v>FY20E</v>
      </c>
      <c r="K22" s="646"/>
      <c r="L22" s="186"/>
      <c r="M22" s="298" t="s">
        <v>639</v>
      </c>
      <c r="N22" s="186"/>
      <c r="O22" s="186"/>
      <c r="P22" s="186"/>
      <c r="Q22" s="186"/>
      <c r="R22" s="186"/>
      <c r="S22" s="186"/>
      <c r="U22" s="417">
        <f>U20/U21-1</f>
        <v>-8.8145896656534939E-2</v>
      </c>
    </row>
    <row r="23" spans="2:25">
      <c r="B23" s="65" t="s">
        <v>303</v>
      </c>
      <c r="C23" s="189">
        <f>'BS, CF and P&amp;L'!AD48</f>
        <v>191.8</v>
      </c>
      <c r="D23" s="189">
        <f>'BS, CF and P&amp;L'!AG48</f>
        <v>185.1</v>
      </c>
      <c r="E23" s="189">
        <f>'BS, CF and P&amp;L'!AY48</f>
        <v>321.7</v>
      </c>
      <c r="F23" s="189">
        <f>'BS, CF and P&amp;L'!BB48</f>
        <v>287.8</v>
      </c>
      <c r="G23" s="189">
        <f>'BS, CF and P&amp;L'!BE48</f>
        <v>308.90000000000003</v>
      </c>
      <c r="H23" s="189">
        <f>'BS, CF and P&amp;L'!BH48</f>
        <v>318.16547782822113</v>
      </c>
      <c r="I23" s="189">
        <f>'BS, CF and P&amp;L'!BK48</f>
        <v>339.90774032372417</v>
      </c>
      <c r="J23" s="189">
        <f>'BS, CF and P&amp;L'!BN48</f>
        <v>356.13471520868899</v>
      </c>
      <c r="K23" s="189"/>
      <c r="M23" s="43" t="s">
        <v>640</v>
      </c>
      <c r="U23" s="650">
        <f>S35</f>
        <v>4.5592705167173252E-2</v>
      </c>
    </row>
    <row r="24" spans="2:25">
      <c r="B24" s="65" t="s">
        <v>413</v>
      </c>
      <c r="C24" s="189">
        <f>'BS, CF and P&amp;L'!AD49</f>
        <v>8.5</v>
      </c>
      <c r="D24" s="189">
        <f>'BS, CF and P&amp;L'!AG49</f>
        <v>4.4000000000000004</v>
      </c>
      <c r="E24" s="189">
        <f>'BS, CF and P&amp;L'!AY49</f>
        <v>11.4</v>
      </c>
      <c r="F24" s="189">
        <f>'BS, CF and P&amp;L'!BB49</f>
        <v>11.4</v>
      </c>
      <c r="G24" s="189">
        <f>'BS, CF and P&amp;L'!BE49</f>
        <v>10.199999999999999</v>
      </c>
      <c r="H24" s="189">
        <f>'BS, CF and P&amp;L'!BH49</f>
        <v>10.455130637349217</v>
      </c>
      <c r="I24" s="189">
        <f>'BS, CF and P&amp;L'!BK49</f>
        <v>10.278124708085125</v>
      </c>
      <c r="J24" s="189">
        <f>'BS, CF and P&amp;L'!BN49</f>
        <v>10.67205391141005</v>
      </c>
      <c r="K24" s="189"/>
      <c r="M24" s="41" t="s">
        <v>641</v>
      </c>
      <c r="U24" s="418">
        <f>U22+U23</f>
        <v>-4.2553191489361687E-2</v>
      </c>
      <c r="V24" s="415"/>
      <c r="W24" s="415"/>
    </row>
    <row r="25" spans="2:25">
      <c r="B25" s="65" t="s">
        <v>493</v>
      </c>
      <c r="C25" s="189">
        <f>'BS, CF and P&amp;L'!AD50</f>
        <v>-11.2</v>
      </c>
      <c r="D25" s="189">
        <f>'BS, CF and P&amp;L'!AG50</f>
        <v>-4.2</v>
      </c>
      <c r="E25" s="189">
        <f>'BS, CF and P&amp;L'!AY50</f>
        <v>-32.800000000000004</v>
      </c>
      <c r="F25" s="189">
        <f>'BS, CF and P&amp;L'!BB50</f>
        <v>-33.1</v>
      </c>
      <c r="G25" s="189">
        <f>'BS, CF and P&amp;L'!BE50</f>
        <v>-30.3</v>
      </c>
      <c r="H25" s="189">
        <f>'BS, CF and P&amp;L'!BH50</f>
        <v>-31.057499999999997</v>
      </c>
      <c r="I25" s="189">
        <f>'BS, CF and P&amp;L'!BK50</f>
        <v>-31.057499999999997</v>
      </c>
      <c r="J25" s="189">
        <f>'BS, CF and P&amp;L'!BN50</f>
        <v>-31.057499999999997</v>
      </c>
      <c r="K25" s="189"/>
      <c r="V25" s="189"/>
      <c r="W25" s="189"/>
    </row>
    <row r="26" spans="2:25">
      <c r="B26" s="40" t="s">
        <v>251</v>
      </c>
      <c r="C26" s="110">
        <f>'BS, CF and P&amp;L'!AD51</f>
        <v>189.10000000000002</v>
      </c>
      <c r="D26" s="110">
        <f>'BS, CF and P&amp;L'!AG51</f>
        <v>185.3</v>
      </c>
      <c r="E26" s="110">
        <f>'BS, CF and P&amp;L'!AY51</f>
        <v>300.29999999999995</v>
      </c>
      <c r="F26" s="110">
        <f>'BS, CF and P&amp;L'!BB51</f>
        <v>266.09999999999997</v>
      </c>
      <c r="G26" s="110">
        <f>'BS, CF and P&amp;L'!BE51</f>
        <v>288.8</v>
      </c>
      <c r="H26" s="110">
        <f>'BS, CF and P&amp;L'!BH51</f>
        <v>297.56310846557034</v>
      </c>
      <c r="I26" s="110">
        <f>'BS, CF and P&amp;L'!BK51</f>
        <v>319.12836503180927</v>
      </c>
      <c r="J26" s="110">
        <f>'BS, CF and P&amp;L'!BN51</f>
        <v>335.74926912009903</v>
      </c>
      <c r="K26" s="110"/>
      <c r="M26" s="251" t="s">
        <v>700</v>
      </c>
      <c r="N26" s="252" t="s">
        <v>65</v>
      </c>
      <c r="O26" s="252" t="s">
        <v>66</v>
      </c>
      <c r="P26" s="253" t="str">
        <f t="shared" ref="P26:U26" si="3">E6</f>
        <v>FY15A</v>
      </c>
      <c r="Q26" s="253" t="str">
        <f t="shared" si="3"/>
        <v>FY16A</v>
      </c>
      <c r="R26" s="253" t="str">
        <f t="shared" si="3"/>
        <v>FY17A</v>
      </c>
      <c r="S26" s="255" t="str">
        <f t="shared" si="3"/>
        <v>FY18E</v>
      </c>
      <c r="T26" s="255" t="str">
        <f t="shared" si="3"/>
        <v>FY19E</v>
      </c>
      <c r="U26" s="255" t="str">
        <f t="shared" si="3"/>
        <v>FY20E</v>
      </c>
      <c r="V26" s="189"/>
      <c r="W26" s="189"/>
    </row>
    <row r="27" spans="2:25">
      <c r="B27" s="186"/>
      <c r="C27" s="186"/>
      <c r="D27" s="186"/>
      <c r="E27" s="186"/>
      <c r="F27" s="186"/>
      <c r="G27" s="186"/>
      <c r="H27" s="186"/>
      <c r="I27" s="186"/>
      <c r="J27" s="186"/>
      <c r="K27" s="186"/>
      <c r="L27" s="186"/>
      <c r="M27" s="186" t="s">
        <v>439</v>
      </c>
      <c r="N27" s="189">
        <f>Valuation!$D$28/'BS, CF and P&amp;L'!AD43</f>
        <v>18.906238704188695</v>
      </c>
      <c r="O27" s="189">
        <f>Valuation!$D$28/'BS, CF and P&amp;L'!AG43</f>
        <v>19.202990901941348</v>
      </c>
      <c r="P27" s="189">
        <f>Valuation!$D$28/'BS, CF and P&amp;L'!AY43</f>
        <v>12.295805600000003</v>
      </c>
      <c r="Q27" s="189">
        <f>Valuation!$D$28/'BS, CF and P&amp;L'!BB43</f>
        <v>13.506810277048233</v>
      </c>
      <c r="R27" s="189">
        <f>Valuation!$D$28/'BS, CF and P&amp;L'!BE43</f>
        <v>12.52099137452195</v>
      </c>
      <c r="S27" s="189">
        <f>Valuation!$D$28/'BS, CF and P&amp;L'!BH43</f>
        <v>12.093560441558047</v>
      </c>
      <c r="T27" s="189">
        <f>Valuation!$D$28/'BS, CF and P&amp;L'!BK43</f>
        <v>11.376821410847828</v>
      </c>
      <c r="U27" s="189">
        <f>Valuation!$D$28/'BS, CF and P&amp;L'!BN43</f>
        <v>10.885511991045957</v>
      </c>
      <c r="V27" s="189"/>
    </row>
    <row r="28" spans="2:25">
      <c r="B28" s="251" t="s">
        <v>529</v>
      </c>
      <c r="C28" s="252" t="s">
        <v>65</v>
      </c>
      <c r="D28" s="252" t="s">
        <v>66</v>
      </c>
      <c r="E28" s="253" t="str">
        <f>+P26</f>
        <v>FY15A</v>
      </c>
      <c r="F28" s="253" t="str">
        <f>+F22</f>
        <v>FY16A</v>
      </c>
      <c r="G28" s="253" t="str">
        <f>+G22</f>
        <v>FY17A</v>
      </c>
      <c r="H28" s="255" t="str">
        <f>+H22</f>
        <v>FY18E</v>
      </c>
      <c r="I28" s="255" t="str">
        <f>+I22</f>
        <v>FY19E</v>
      </c>
      <c r="J28" s="255" t="str">
        <f>+J22</f>
        <v>FY20E</v>
      </c>
      <c r="K28" s="646"/>
      <c r="L28" s="186"/>
      <c r="M28" s="65" t="s">
        <v>440</v>
      </c>
      <c r="N28" s="189">
        <f>Valuation!$D$28/'BS, CF and P&amp;L'!AD51</f>
        <v>24.585108923109466</v>
      </c>
      <c r="O28" s="189">
        <f>Valuation!$D$28/'BS, CF and P&amp;L'!AG51</f>
        <v>25.089282770426337</v>
      </c>
      <c r="P28" s="189">
        <f>Valuation!$D$28/'BS, CF and P&amp;L'!AY51</f>
        <v>15.48133232554113</v>
      </c>
      <c r="Q28" s="189">
        <f>Valuation!$D$28/'BS, CF and P&amp;L'!BB51</f>
        <v>17.471041327921839</v>
      </c>
      <c r="R28" s="189">
        <f>Valuation!$D$28/'BS, CF and P&amp;L'!BE51</f>
        <v>16.097798121052634</v>
      </c>
      <c r="S28" s="189">
        <f>Valuation!$D$28/'BS, CF and P&amp;L'!BH51</f>
        <v>15.62372473299364</v>
      </c>
      <c r="T28" s="189">
        <f>Valuation!$D$28/'BS, CF and P&amp;L'!BK51</f>
        <v>14.567943833186389</v>
      </c>
      <c r="U28" s="189">
        <f>Valuation!$D$28/'BS, CF and P&amp;L'!BN51</f>
        <v>13.846773544865162</v>
      </c>
    </row>
    <row r="29" spans="2:25">
      <c r="B29" s="257" t="s">
        <v>689</v>
      </c>
      <c r="C29" s="189">
        <f>'BS, CF and P&amp;L'!AD123</f>
        <v>245.90000000000003</v>
      </c>
      <c r="D29" s="189">
        <f>'BS, CF and P&amp;L'!AG123</f>
        <v>242.10000000000002</v>
      </c>
      <c r="E29" s="189">
        <f>'BS, CF and P&amp;L'!AY123</f>
        <v>376.79999999999995</v>
      </c>
      <c r="F29" s="189">
        <f>'BS, CF and P&amp;L'!BB123</f>
        <v>344.19999999999993</v>
      </c>
      <c r="G29" s="189">
        <f>'BS, CF and P&amp;L'!BE123</f>
        <v>365.40000000000003</v>
      </c>
      <c r="H29" s="189">
        <f>'BS, CF and P&amp;L'!BH123</f>
        <v>384.42246379724855</v>
      </c>
      <c r="I29" s="189">
        <f>'BS, CF and P&amp;L'!BK123</f>
        <v>408.64173498953897</v>
      </c>
      <c r="J29" s="189">
        <f>'BS, CF and P&amp;L'!BN123</f>
        <v>427.08547849216274</v>
      </c>
      <c r="K29" s="189"/>
      <c r="M29" s="186" t="s">
        <v>12</v>
      </c>
      <c r="N29" s="189">
        <f>$S$7/('BS, CF and P&amp;L'!AD300)*100</f>
        <v>0</v>
      </c>
      <c r="O29" s="189">
        <f>$S$7/('BS, CF and P&amp;L'!AG300)*100</f>
        <v>0</v>
      </c>
      <c r="P29" s="189">
        <f>$U$7/('BS, CF and P&amp;L'!AY300)*100</f>
        <v>20.412816769105692</v>
      </c>
      <c r="Q29" s="189">
        <f>$U$7/('BS, CF and P&amp;L'!BB300)*100</f>
        <v>22.948576281203014</v>
      </c>
      <c r="R29" s="189">
        <f>$U$7/('BS, CF and P&amp;L'!BE300)*100</f>
        <v>21.63603488801213</v>
      </c>
      <c r="S29" s="189">
        <f>$U$7/('BS, CF and P&amp;L'!BH300)*100</f>
        <v>20.297562331780757</v>
      </c>
      <c r="T29" s="189">
        <f>$U$7/('BS, CF and P&amp;L'!BK300)*100</f>
        <v>18.859336850128646</v>
      </c>
      <c r="U29" s="189">
        <f>$U$7/('BS, CF and P&amp;L'!BN300)*100</f>
        <v>17.842315855737343</v>
      </c>
      <c r="V29" s="415"/>
    </row>
    <row r="30" spans="2:25">
      <c r="B30" s="186" t="s">
        <v>192</v>
      </c>
      <c r="C30" s="189">
        <f>'BS, CF and P&amp;L'!AD124</f>
        <v>-29.5</v>
      </c>
      <c r="D30" s="189">
        <f>'BS, CF and P&amp;L'!AG124</f>
        <v>-14.200000000000001</v>
      </c>
      <c r="E30" s="189">
        <f>'BS, CF and P&amp;L'!AY124</f>
        <v>-13</v>
      </c>
      <c r="F30" s="189">
        <f>'BS, CF and P&amp;L'!BB124</f>
        <v>-12.1</v>
      </c>
      <c r="G30" s="189">
        <f>'BS, CF and P&amp;L'!BE124</f>
        <v>-13</v>
      </c>
      <c r="H30" s="189">
        <f>'BS, CF and P&amp;L'!BH124</f>
        <v>-11.936358273511841</v>
      </c>
      <c r="I30" s="189">
        <f>'BS, CF and P&amp;L'!BK124</f>
        <v>-11.758257618386194</v>
      </c>
      <c r="J30" s="189">
        <f>'BS, CF and P&amp;L'!BN124</f>
        <v>-10.710414628724436</v>
      </c>
      <c r="K30" s="189"/>
      <c r="V30" s="199"/>
      <c r="W30" s="199"/>
      <c r="Y30" s="428"/>
    </row>
    <row r="31" spans="2:25">
      <c r="B31" s="186" t="s">
        <v>159</v>
      </c>
      <c r="C31" s="189">
        <f>'BS, CF and P&amp;L'!AD125</f>
        <v>-40.799999999999997</v>
      </c>
      <c r="D31" s="189">
        <f>'BS, CF and P&amp;L'!AG125</f>
        <v>-30.9</v>
      </c>
      <c r="E31" s="189">
        <f>'BS, CF and P&amp;L'!AY125</f>
        <v>-58.5</v>
      </c>
      <c r="F31" s="189">
        <f>'BS, CF and P&amp;L'!BB125</f>
        <v>-67.2</v>
      </c>
      <c r="G31" s="189">
        <f>'BS, CF and P&amp;L'!BE125</f>
        <v>-81.3</v>
      </c>
      <c r="H31" s="189">
        <f>'BS, CF and P&amp;L'!BH125</f>
        <v>-74.889267895573667</v>
      </c>
      <c r="I31" s="189">
        <f>'BS, CF and P&amp;L'!BK125</f>
        <v>-80.562334348767479</v>
      </c>
      <c r="J31" s="189">
        <f>'BS, CF and P&amp;L'!BN125</f>
        <v>-85.302929401978616</v>
      </c>
      <c r="K31" s="189"/>
      <c r="M31" s="251" t="s">
        <v>543</v>
      </c>
      <c r="N31" s="252"/>
      <c r="O31" s="252"/>
      <c r="P31" s="253" t="str">
        <f>+P26</f>
        <v>FY15A</v>
      </c>
      <c r="Q31" s="253" t="str">
        <f>+Q26</f>
        <v>FY16A</v>
      </c>
      <c r="R31" s="253" t="str">
        <f>R26</f>
        <v>FY17A</v>
      </c>
      <c r="S31" s="255" t="str">
        <f>S26</f>
        <v>FY18E</v>
      </c>
      <c r="T31" s="255" t="str">
        <f>T26</f>
        <v>FY19E</v>
      </c>
      <c r="U31" s="255" t="str">
        <f>U26</f>
        <v>FY20E</v>
      </c>
      <c r="V31" s="199"/>
      <c r="W31" s="199"/>
      <c r="Y31" s="429"/>
    </row>
    <row r="32" spans="2:25">
      <c r="B32" s="186" t="s">
        <v>461</v>
      </c>
      <c r="C32" s="189">
        <f>'BS, CF and P&amp;L'!AD126</f>
        <v>0</v>
      </c>
      <c r="D32" s="189">
        <f>'BS, CF and P&amp;L'!AG126</f>
        <v>5.1999999999999602</v>
      </c>
      <c r="E32" s="189">
        <f>'BS, CF and P&amp;L'!AY126</f>
        <v>-13.300000000000011</v>
      </c>
      <c r="F32" s="189">
        <f>'BS, CF and P&amp;L'!BB126</f>
        <v>-0.89999999999994884</v>
      </c>
      <c r="G32" s="189">
        <f>'BS, CF and P&amp;L'!BE126</f>
        <v>-21.700000000000045</v>
      </c>
      <c r="H32" s="189">
        <f>'BS, CF and P&amp;L'!BH126</f>
        <v>-11.915326823884186</v>
      </c>
      <c r="I32" s="189">
        <f>'BS, CF and P&amp;L'!BK126</f>
        <v>-3.512419507453842</v>
      </c>
      <c r="J32" s="189">
        <f>'BS, CF and P&amp;L'!BN126</f>
        <v>-7.5481565071828527</v>
      </c>
      <c r="K32" s="189"/>
      <c r="M32" s="186" t="s">
        <v>252</v>
      </c>
      <c r="N32" s="199"/>
      <c r="O32" s="199">
        <f>'BS, CF and P&amp;L'!AG94</f>
        <v>-3.4428794992175216E-2</v>
      </c>
      <c r="P32" s="199">
        <f>'BS, CF and P&amp;L'!AY94</f>
        <v>5.6286440424577533E-2</v>
      </c>
      <c r="Q32" s="199">
        <f>'BS, CF and P&amp;L'!BB94</f>
        <v>-1.1959521619135161E-2</v>
      </c>
      <c r="R32" s="199">
        <f>'BS, CF and P&amp;L'!BE94</f>
        <v>0.11731843575418988</v>
      </c>
      <c r="S32" s="199">
        <f>'BS, CF and P&amp;L'!BH94</f>
        <v>5.6302040810480403E-2</v>
      </c>
      <c r="T32" s="199">
        <f>'BS, CF and P&amp;L'!BK94</f>
        <v>3.1759637797512896E-2</v>
      </c>
      <c r="U32" s="199">
        <f>'BS, CF and P&amp;L'!BN94</f>
        <v>2.5618994361886971E-2</v>
      </c>
      <c r="V32" s="199"/>
      <c r="Y32" s="429"/>
    </row>
    <row r="33" spans="2:25">
      <c r="B33" s="222" t="s">
        <v>493</v>
      </c>
      <c r="C33" s="221">
        <f>'BS, CF and P&amp;L'!AD128</f>
        <v>-25.500000000000028</v>
      </c>
      <c r="D33" s="221">
        <f>'BS, CF and P&amp;L'!AG128</f>
        <v>-14.099999999999994</v>
      </c>
      <c r="E33" s="221">
        <f t="shared" ref="E33:J33" si="4">E34-SUM(E29:E32)</f>
        <v>-62.099999999999937</v>
      </c>
      <c r="F33" s="221">
        <f t="shared" si="4"/>
        <v>-15.599999999999994</v>
      </c>
      <c r="G33" s="221">
        <f t="shared" si="4"/>
        <v>-25.199999999999989</v>
      </c>
      <c r="H33" s="221">
        <f t="shared" si="4"/>
        <v>0.57147742230495169</v>
      </c>
      <c r="I33" s="221">
        <f t="shared" si="4"/>
        <v>-0.17821288900319132</v>
      </c>
      <c r="J33" s="221">
        <f t="shared" si="4"/>
        <v>-1.4882643247630654</v>
      </c>
      <c r="K33" s="189"/>
      <c r="M33" s="65" t="s">
        <v>544</v>
      </c>
      <c r="N33" s="186" t="s">
        <v>15</v>
      </c>
      <c r="O33" s="199">
        <f>'BS, CF and P&amp;L'!AG302</f>
        <v>-7.0506461226075401E-2</v>
      </c>
      <c r="P33" s="199">
        <f>'BS, CF and P&amp;L'!AY302</f>
        <v>0.24243980644009544</v>
      </c>
      <c r="Q33" s="199">
        <f>'BS, CF and P&amp;L'!BB302</f>
        <v>-0.11049746533401894</v>
      </c>
      <c r="R33" s="199">
        <f>'BS, CF and P&amp;L'!BE302</f>
        <v>6.0664599589739021E-2</v>
      </c>
      <c r="S33" s="199">
        <f>'BS, CF and P&amp;L'!BH302</f>
        <v>6.594252720365712E-2</v>
      </c>
      <c r="T33" s="199">
        <f>'BS, CF and P&amp;L'!BK302</f>
        <v>7.6260660333997921E-2</v>
      </c>
      <c r="U33" s="199">
        <f>'BS, CF and P&amp;L'!BN302</f>
        <v>5.7000503892787435E-2</v>
      </c>
      <c r="V33" s="199"/>
      <c r="Y33" s="429"/>
    </row>
    <row r="34" spans="2:25">
      <c r="B34" s="40" t="s">
        <v>407</v>
      </c>
      <c r="C34" s="110">
        <f>SUM(C29:C33)</f>
        <v>150.1</v>
      </c>
      <c r="D34" s="110">
        <f>SUM(D29:D33)</f>
        <v>188.1</v>
      </c>
      <c r="E34" s="110">
        <f>'BS, CF and P&amp;L'!AY129</f>
        <v>229.9</v>
      </c>
      <c r="F34" s="110">
        <f>'BS, CF and P&amp;L'!BB129</f>
        <v>248.4</v>
      </c>
      <c r="G34" s="110">
        <f>'BS, CF and P&amp;L'!BE129</f>
        <v>224.2</v>
      </c>
      <c r="H34" s="110">
        <f>'BS, CF and P&amp;L'!BH129</f>
        <v>286.25298822658385</v>
      </c>
      <c r="I34" s="110">
        <f>'BS, CF and P&amp;L'!BK129</f>
        <v>312.63051062592825</v>
      </c>
      <c r="J34" s="110">
        <f>'BS, CF and P&amp;L'!BN129</f>
        <v>322.03571362951374</v>
      </c>
      <c r="K34" s="110"/>
      <c r="M34" s="257" t="s">
        <v>682</v>
      </c>
      <c r="N34" s="186"/>
      <c r="O34" s="199"/>
      <c r="P34" s="199">
        <f>((E34+E37)/'BS, CF and P&amp;L'!AY286)/$U$7</f>
        <v>4.6763129436181758E-2</v>
      </c>
      <c r="Q34" s="199">
        <f>((F34+F37)/'BS, CF and P&amp;L'!BB286)/$U$7</f>
        <v>4.2990622368466271E-2</v>
      </c>
      <c r="R34" s="199">
        <f>((G34+G37)/'BS, CF and P&amp;L'!BE286)/$U$7</f>
        <v>1.6388291326417354E-2</v>
      </c>
      <c r="S34" s="199">
        <f>((H34+H37)/'BS, CF and P&amp;L'!BH286)/$U$7</f>
        <v>4.2345247098089615E-2</v>
      </c>
      <c r="T34" s="199">
        <f>((I34+I37)/'BS, CF and P&amp;L'!BK286)/$U$7</f>
        <v>5.6193565419041976E-2</v>
      </c>
      <c r="U34" s="199">
        <f>((J34+J37)/'BS, CF and P&amp;L'!BN286)/$U$7</f>
        <v>5.804831734811617E-2</v>
      </c>
      <c r="V34" s="199"/>
      <c r="Y34" s="429"/>
    </row>
    <row r="35" spans="2:25">
      <c r="B35" s="186" t="s">
        <v>13</v>
      </c>
      <c r="C35" s="189">
        <f>'BS, CF and P&amp;L'!AD134</f>
        <v>-56</v>
      </c>
      <c r="D35" s="189">
        <f>'BS, CF and P&amp;L'!AG134</f>
        <v>-41.1</v>
      </c>
      <c r="E35" s="189">
        <f>'BS, CF and P&amp;L'!AY134</f>
        <v>-80.8</v>
      </c>
      <c r="F35" s="189">
        <f>'BS, CF and P&amp;L'!BB134</f>
        <v>-86.5</v>
      </c>
      <c r="G35" s="189">
        <f>'BS, CF and P&amp;L'!BE134</f>
        <v>-89.1</v>
      </c>
      <c r="H35" s="189">
        <f>'BS, CF and P&amp;L'!BH134</f>
        <v>-105.12356097560976</v>
      </c>
      <c r="I35" s="189">
        <f>'BS, CF and P&amp;L'!BK134</f>
        <v>-72.265675914634144</v>
      </c>
      <c r="J35" s="189">
        <f>'BS, CF and P&amp;L'!BN134</f>
        <v>-73.737281227134147</v>
      </c>
      <c r="K35" s="189"/>
      <c r="M35" s="65" t="s">
        <v>433</v>
      </c>
      <c r="N35" s="199">
        <f>'BS, CF and P&amp;L'!AD310</f>
        <v>2.2796352583586626E-2</v>
      </c>
      <c r="O35" s="199">
        <f>'BS, CF and P&amp;L'!AG310</f>
        <v>2.0516717325227966E-2</v>
      </c>
      <c r="P35" s="199">
        <f>'BS, CF and P&amp;L'!AY310</f>
        <v>4.1033434650455933E-2</v>
      </c>
      <c r="Q35" s="199">
        <f>'BS, CF and P&amp;L'!BB310</f>
        <v>4.2553191489361708E-2</v>
      </c>
      <c r="R35" s="199">
        <f>'BS, CF and P&amp;L'!BE310</f>
        <v>3.7234042553191488E-2</v>
      </c>
      <c r="S35" s="199">
        <f>'BS, CF and P&amp;L'!BH310</f>
        <v>4.5592705167173252E-2</v>
      </c>
      <c r="T35" s="199">
        <f>'BS, CF and P&amp;L'!BK310</f>
        <v>5.0151975683890578E-2</v>
      </c>
      <c r="U35" s="199">
        <f>'BS, CF and P&amp;L'!BN310</f>
        <v>5.1671732522796353E-2</v>
      </c>
      <c r="Y35" s="429"/>
    </row>
    <row r="36" spans="2:25">
      <c r="B36" s="222" t="s">
        <v>493</v>
      </c>
      <c r="C36" s="221">
        <f>'BS, CF and P&amp;L'!AD135+'BS, CF and P&amp;L'!AD136+'BS, CF and P&amp;L'!AD137</f>
        <v>-81.600000000000009</v>
      </c>
      <c r="D36" s="221">
        <f>'BS, CF and P&amp;L'!AG135+'BS, CF and P&amp;L'!AG136+'BS, CF and P&amp;L'!AG137</f>
        <v>1.9999999999999996</v>
      </c>
      <c r="E36" s="221">
        <f>'BS, CF and P&amp;L'!AY135+'BS, CF and P&amp;L'!AY136+'BS, CF and P&amp;L'!AY137</f>
        <v>50.5</v>
      </c>
      <c r="F36" s="221">
        <f>'BS, CF and P&amp;L'!BB135+'BS, CF and P&amp;L'!BB136+'BS, CF and P&amp;L'!BB137</f>
        <v>21.8</v>
      </c>
      <c r="G36" s="221">
        <f>'BS, CF and P&amp;L'!BE135+'BS, CF and P&amp;L'!BE136+'BS, CF and P&amp;L'!BE137</f>
        <v>-65</v>
      </c>
      <c r="H36" s="221">
        <f>'BS, CF and P&amp;L'!BH135+'BS, CF and P&amp;L'!BH136+'BS, CF and P&amp;L'!BH137</f>
        <v>0</v>
      </c>
      <c r="I36" s="221">
        <f>'BS, CF and P&amp;L'!BK135+'BS, CF and P&amp;L'!BK136+'BS, CF and P&amp;L'!BK137</f>
        <v>0</v>
      </c>
      <c r="J36" s="221">
        <f>'BS, CF and P&amp;L'!BN135+'BS, CF and P&amp;L'!BN136+'BS, CF and P&amp;L'!BN137</f>
        <v>0</v>
      </c>
      <c r="K36" s="189"/>
      <c r="M36" s="65" t="s">
        <v>254</v>
      </c>
      <c r="N36" s="199">
        <f>'BS, CF and P&amp;L'!AD315</f>
        <v>0.68659909892384108</v>
      </c>
      <c r="O36" s="199">
        <f>'BS, CF and P&amp;L'!AG315</f>
        <v>0.66481278594638493</v>
      </c>
      <c r="P36" s="199">
        <f>'BS, CF and P&amp;L'!AY315</f>
        <v>0.83760798292682936</v>
      </c>
      <c r="Q36" s="199">
        <f>'BS, CF and P&amp;L'!BB315</f>
        <v>0.97653516090225589</v>
      </c>
      <c r="R36" s="199">
        <f>'BS, CF and P&amp;L'!BE315</f>
        <v>0.80559704370257934</v>
      </c>
      <c r="S36" s="199">
        <f>'BS, CF and P&amp;L'!BH315</f>
        <v>0.92542077500520159</v>
      </c>
      <c r="T36" s="199">
        <f>'BS, CF and P&amp;L'!BK315</f>
        <v>0.94583300312195318</v>
      </c>
      <c r="U36" s="199">
        <f>'BS, CF and P&amp;L'!BN315</f>
        <v>0.92194337248490832</v>
      </c>
      <c r="V36" s="415"/>
      <c r="Y36" s="429"/>
    </row>
    <row r="37" spans="2:25">
      <c r="B37" s="40" t="s">
        <v>408</v>
      </c>
      <c r="C37" s="110">
        <f t="shared" ref="C37:I37" si="5">SUM(C35:C36)</f>
        <v>-137.60000000000002</v>
      </c>
      <c r="D37" s="110">
        <f t="shared" si="5"/>
        <v>-39.1</v>
      </c>
      <c r="E37" s="110">
        <f t="shared" si="5"/>
        <v>-30.299999999999997</v>
      </c>
      <c r="F37" s="110">
        <f t="shared" si="5"/>
        <v>-64.7</v>
      </c>
      <c r="G37" s="110">
        <f t="shared" si="5"/>
        <v>-154.1</v>
      </c>
      <c r="H37" s="110">
        <f t="shared" si="5"/>
        <v>-105.12356097560976</v>
      </c>
      <c r="I37" s="110">
        <f t="shared" si="5"/>
        <v>-72.265675914634144</v>
      </c>
      <c r="J37" s="110">
        <f t="shared" ref="J37" si="6">SUM(J35:J36)</f>
        <v>-73.737281227134147</v>
      </c>
      <c r="K37" s="110"/>
      <c r="M37" s="65" t="s">
        <v>454</v>
      </c>
      <c r="N37" s="199">
        <f>'BS, CF and P&amp;L'!AD110</f>
        <v>0.27666399358460303</v>
      </c>
      <c r="O37" s="199">
        <f>'BS, CF and P&amp;L'!AG110</f>
        <v>0.32198581560283679</v>
      </c>
      <c r="P37" s="199">
        <f>'BS, CF and P&amp;L'!AY110</f>
        <v>0.29244577412116685</v>
      </c>
      <c r="Q37" s="199">
        <f>'BS, CF and P&amp;L'!BB110</f>
        <v>0.30252100840336144</v>
      </c>
      <c r="R37" s="199">
        <f>'BS, CF and P&amp;L'!BE110</f>
        <v>0.32657284768211914</v>
      </c>
      <c r="S37" s="199">
        <f>'BS, CF and P&amp;L'!BH110</f>
        <v>0.3</v>
      </c>
      <c r="T37" s="199">
        <f>'BS, CF and P&amp;L'!BK110</f>
        <v>0.29999999999999993</v>
      </c>
      <c r="U37" s="199">
        <f>'BS, CF and P&amp;L'!BN110</f>
        <v>0.30000000000000004</v>
      </c>
      <c r="V37" s="185"/>
      <c r="Y37" s="429"/>
    </row>
    <row r="38" spans="2:25">
      <c r="B38" s="186" t="s">
        <v>530</v>
      </c>
      <c r="C38" s="189">
        <f>'BS, CF and P&amp;L'!AD142</f>
        <v>-76.3</v>
      </c>
      <c r="D38" s="189">
        <f>'BS, CF and P&amp;L'!AG142</f>
        <v>-45.6</v>
      </c>
      <c r="E38" s="189">
        <f>'BS, CF and P&amp;L'!AY142</f>
        <v>-139.5</v>
      </c>
      <c r="F38" s="189">
        <f>'BS, CF and P&amp;L'!BB142</f>
        <v>-178.5</v>
      </c>
      <c r="G38" s="189">
        <f>'BS, CF and P&amp;L'!BE142</f>
        <v>-156</v>
      </c>
      <c r="H38" s="189">
        <f>'BS, CF and P&amp;L'!BH142</f>
        <v>-188.51105844</v>
      </c>
      <c r="I38" s="189">
        <f>'BS, CF and P&amp;L'!BK142</f>
        <v>-201.52092252</v>
      </c>
      <c r="J38" s="189">
        <f>'BS, CF and P&amp;L'!BN142</f>
        <v>-221.02294727999998</v>
      </c>
      <c r="K38" s="189"/>
      <c r="V38" s="187"/>
      <c r="W38" s="187"/>
      <c r="Y38" s="429"/>
    </row>
    <row r="39" spans="2:25">
      <c r="B39" s="186" t="s">
        <v>245</v>
      </c>
      <c r="C39" s="189">
        <f>'BS, CF and P&amp;L'!AD143</f>
        <v>0</v>
      </c>
      <c r="D39" s="189">
        <f>'BS, CF and P&amp;L'!AG143</f>
        <v>113.5</v>
      </c>
      <c r="E39" s="189">
        <f>'BS, CF and P&amp;L'!AY143</f>
        <v>2.8</v>
      </c>
      <c r="F39" s="189">
        <f>'BS, CF and P&amp;L'!BB143</f>
        <v>4</v>
      </c>
      <c r="G39" s="189">
        <f>'BS, CF and P&amp;L'!BE143</f>
        <v>3.5</v>
      </c>
      <c r="H39" s="189">
        <f>'BS, CF and P&amp;L'!BH143</f>
        <v>0</v>
      </c>
      <c r="I39" s="189">
        <f>'BS, CF and P&amp;L'!BK143</f>
        <v>0</v>
      </c>
      <c r="J39" s="189">
        <f>'BS, CF and P&amp;L'!BN143</f>
        <v>0</v>
      </c>
      <c r="K39" s="189"/>
      <c r="M39" s="251" t="s">
        <v>699</v>
      </c>
      <c r="N39" s="252" t="s">
        <v>65</v>
      </c>
      <c r="O39" s="252" t="s">
        <v>66</v>
      </c>
      <c r="P39" s="253" t="str">
        <f>+E45</f>
        <v>FY15A</v>
      </c>
      <c r="Q39" s="253" t="str">
        <f>+F45</f>
        <v>FY16A</v>
      </c>
      <c r="R39" s="253" t="str">
        <f>R26</f>
        <v>FY17A</v>
      </c>
      <c r="S39" s="255" t="str">
        <f>S26</f>
        <v>FY18E</v>
      </c>
      <c r="T39" s="255" t="str">
        <f>T26</f>
        <v>FY19E</v>
      </c>
      <c r="U39" s="255" t="str">
        <f>U26</f>
        <v>FY20E</v>
      </c>
      <c r="V39" s="187"/>
      <c r="W39" s="187"/>
    </row>
    <row r="40" spans="2:25">
      <c r="B40" s="186" t="s">
        <v>246</v>
      </c>
      <c r="C40" s="189">
        <f>'BS, CF and P&amp;L'!AD144</f>
        <v>67.599999999999994</v>
      </c>
      <c r="D40" s="189">
        <f>'BS, CF and P&amp;L'!AG144</f>
        <v>-210</v>
      </c>
      <c r="E40" s="189">
        <f>'BS, CF and P&amp;L'!AY144</f>
        <v>-61.5</v>
      </c>
      <c r="F40" s="189">
        <f>'BS, CF and P&amp;L'!BB144</f>
        <v>-21</v>
      </c>
      <c r="G40" s="189">
        <f>'BS, CF and P&amp;L'!BE144</f>
        <v>118.5</v>
      </c>
      <c r="H40" s="189">
        <f>'BS, CF and P&amp;L'!BH144</f>
        <v>7.3816311890258959</v>
      </c>
      <c r="I40" s="189">
        <f>'BS, CF and P&amp;L'!BK144</f>
        <v>-38.843912191294109</v>
      </c>
      <c r="J40" s="189">
        <f>'BS, CF and P&amp;L'!BN144</f>
        <v>-27.275485122379621</v>
      </c>
      <c r="K40" s="189"/>
      <c r="M40" s="188" t="s">
        <v>416</v>
      </c>
      <c r="N40" s="185">
        <f>'BS, CF and P&amp;L'!AD159</f>
        <v>387.79999999999995</v>
      </c>
      <c r="O40" s="185">
        <f>'BS, CF and P&amp;L'!AG159</f>
        <v>175.4</v>
      </c>
      <c r="P40" s="185">
        <f>'BS, CF and P&amp;L'!AY159</f>
        <v>297.2</v>
      </c>
      <c r="Q40" s="185">
        <f>'BS, CF and P&amp;L'!BB159</f>
        <v>288.5</v>
      </c>
      <c r="R40" s="185">
        <f>'BS, CF and P&amp;L'!BE159</f>
        <v>371.59999999999997</v>
      </c>
      <c r="S40" s="185">
        <f>'BS, CF and P&amp;L'!BH159</f>
        <v>378.98163118902585</v>
      </c>
      <c r="T40" s="185">
        <f>'BS, CF and P&amp;L'!BK159</f>
        <v>340.13771899773172</v>
      </c>
      <c r="U40" s="185">
        <f>'BS, CF and P&amp;L'!BN159</f>
        <v>312.86223387535216</v>
      </c>
      <c r="V40" s="185"/>
    </row>
    <row r="41" spans="2:25">
      <c r="B41" s="222" t="s">
        <v>493</v>
      </c>
      <c r="C41" s="221">
        <f>'BS, CF and P&amp;L'!AD145</f>
        <v>0</v>
      </c>
      <c r="D41" s="221">
        <f>'BS, CF and P&amp;L'!AG145</f>
        <v>-2.5</v>
      </c>
      <c r="E41" s="221">
        <f>'BS, CF and P&amp;L'!AY145</f>
        <v>0</v>
      </c>
      <c r="F41" s="221">
        <f>'BS, CF and P&amp;L'!BB145</f>
        <v>0</v>
      </c>
      <c r="G41" s="221">
        <f>'BS, CF and P&amp;L'!BE145</f>
        <v>0</v>
      </c>
      <c r="H41" s="221">
        <f>'BS, CF and P&amp;L'!BH145</f>
        <v>0</v>
      </c>
      <c r="I41" s="221">
        <f>'BS, CF and P&amp;L'!BK145</f>
        <v>0</v>
      </c>
      <c r="J41" s="221">
        <f>'BS, CF and P&amp;L'!BN145</f>
        <v>0</v>
      </c>
      <c r="K41" s="189"/>
      <c r="M41" s="45" t="s">
        <v>150</v>
      </c>
      <c r="N41" s="187">
        <f>'BS, CF and P&amp;L'!AD270</f>
        <v>0.55250035617609339</v>
      </c>
      <c r="O41" s="187">
        <f>'BS, CF and P&amp;L'!AG270</f>
        <v>0.1955406911928651</v>
      </c>
      <c r="P41" s="187">
        <f>'BS, CF and P&amp;L'!AY270</f>
        <v>0.24616913774538227</v>
      </c>
      <c r="Q41" s="187">
        <f>'BS, CF and P&amp;L'!BB270</f>
        <v>0.23645602819441031</v>
      </c>
      <c r="R41" s="187">
        <f>'BS, CF and P&amp;L'!BE270</f>
        <v>0.29770870052876142</v>
      </c>
      <c r="S41" s="187">
        <f>'BS, CF and P&amp;L'!BH270</f>
        <v>0.29831072180478391</v>
      </c>
      <c r="T41" s="187">
        <f>'BS, CF and P&amp;L'!BK270</f>
        <v>0.26251015272693357</v>
      </c>
      <c r="U41" s="187">
        <f>'BS, CF and P&amp;L'!BN270</f>
        <v>0.23802201758776556</v>
      </c>
      <c r="V41" s="185"/>
    </row>
    <row r="42" spans="2:25">
      <c r="B42" s="40" t="s">
        <v>409</v>
      </c>
      <c r="C42" s="110">
        <f t="shared" ref="C42:I42" si="7">SUM(C38:C41)</f>
        <v>-8.7000000000000028</v>
      </c>
      <c r="D42" s="110">
        <f t="shared" si="7"/>
        <v>-144.6</v>
      </c>
      <c r="E42" s="110">
        <f t="shared" si="7"/>
        <v>-198.2</v>
      </c>
      <c r="F42" s="110">
        <f t="shared" si="7"/>
        <v>-195.5</v>
      </c>
      <c r="G42" s="110">
        <f t="shared" si="7"/>
        <v>-34</v>
      </c>
      <c r="H42" s="110">
        <f t="shared" si="7"/>
        <v>-181.12942725097412</v>
      </c>
      <c r="I42" s="110">
        <f t="shared" si="7"/>
        <v>-240.36483471129412</v>
      </c>
      <c r="J42" s="110">
        <f t="shared" ref="J42" si="8">SUM(J38:J41)</f>
        <v>-248.2984324023796</v>
      </c>
      <c r="K42" s="110"/>
      <c r="M42" s="39" t="s">
        <v>127</v>
      </c>
      <c r="N42" s="187">
        <f>'BS, CF and P&amp;L'!AD269</f>
        <v>0.3558777645223456</v>
      </c>
      <c r="O42" s="187">
        <f>'BS, CF and P&amp;L'!AG269</f>
        <v>0.16355837374114135</v>
      </c>
      <c r="P42" s="187">
        <f>'BS, CF and P&amp;L'!AY269</f>
        <v>0.19754071119973413</v>
      </c>
      <c r="Q42" s="187">
        <f>'BS, CF and P&amp;L'!BB269</f>
        <v>0.19123690839188653</v>
      </c>
      <c r="R42" s="187">
        <f>'BS, CF and P&amp;L'!BE269</f>
        <v>0.22941103839980245</v>
      </c>
      <c r="S42" s="187">
        <f>'BS, CF and P&amp;L'!BH269</f>
        <v>0.22976835729285333</v>
      </c>
      <c r="T42" s="187">
        <f>'BS, CF and P&amp;L'!BK269</f>
        <v>0.20792716174197093</v>
      </c>
      <c r="U42" s="187">
        <f>'BS, CF and P&amp;L'!BN269</f>
        <v>0.19225992284979032</v>
      </c>
      <c r="V42" s="186"/>
    </row>
    <row r="43" spans="2:25">
      <c r="B43" s="40" t="s">
        <v>410</v>
      </c>
      <c r="C43" s="110">
        <f t="shared" ref="C43:I43" si="9">C42+C37+C34</f>
        <v>3.7999999999999829</v>
      </c>
      <c r="D43" s="110">
        <f t="shared" si="9"/>
        <v>4.4000000000000057</v>
      </c>
      <c r="E43" s="110">
        <f t="shared" si="9"/>
        <v>1.4000000000000057</v>
      </c>
      <c r="F43" s="110">
        <f t="shared" si="9"/>
        <v>-11.799999999999983</v>
      </c>
      <c r="G43" s="110">
        <f t="shared" si="9"/>
        <v>36.099999999999994</v>
      </c>
      <c r="H43" s="110">
        <f t="shared" si="9"/>
        <v>0</v>
      </c>
      <c r="I43" s="110">
        <f t="shared" si="9"/>
        <v>0</v>
      </c>
      <c r="J43" s="110">
        <f t="shared" ref="J43" si="10">J42+J37+J34</f>
        <v>0</v>
      </c>
      <c r="K43" s="110"/>
      <c r="M43" s="45" t="s">
        <v>316</v>
      </c>
      <c r="N43" s="185">
        <f>'BS, CF and P&amp;L'!AD162</f>
        <v>5.5946745562130191</v>
      </c>
      <c r="O43" s="185">
        <f>'BS, CF and P&amp;L'!AG162</f>
        <v>11.095808383233534</v>
      </c>
      <c r="P43" s="185">
        <f>'BS, CF and P&amp;L'!AY162</f>
        <v>23.099999999999998</v>
      </c>
      <c r="Q43" s="185">
        <f>'BS, CF and P&amp;L'!BB162</f>
        <v>23.139130434782604</v>
      </c>
      <c r="R43" s="185">
        <f>'BS, CF and P&amp;L'!BE162</f>
        <v>23.86776859504133</v>
      </c>
      <c r="S43" s="185">
        <f>'BS, CF and P&amp;L'!BH162</f>
        <v>24.929136814357971</v>
      </c>
      <c r="T43" s="185">
        <f>'BS, CF and P&amp;L'!BK162</f>
        <v>27.140786959182929</v>
      </c>
      <c r="U43" s="185">
        <f>'BS, CF and P&amp;L'!BN162</f>
        <v>31.347924497679816</v>
      </c>
      <c r="V43" s="415"/>
    </row>
    <row r="44" spans="2:25">
      <c r="B44" s="186"/>
      <c r="C44" s="186"/>
      <c r="D44" s="186"/>
      <c r="E44" s="186"/>
      <c r="F44" s="186"/>
      <c r="G44" s="186"/>
      <c r="H44" s="186"/>
      <c r="I44" s="186"/>
      <c r="J44" s="186"/>
      <c r="K44" s="186"/>
      <c r="L44" s="186"/>
      <c r="M44" s="45" t="s">
        <v>128</v>
      </c>
      <c r="N44" s="185">
        <f>'BS, CF and P&amp;L'!AD163</f>
        <v>1.8012076172782159</v>
      </c>
      <c r="O44" s="185">
        <f>'BS, CF and P&amp;L'!AG163</f>
        <v>0.81771561771561763</v>
      </c>
      <c r="P44" s="185">
        <f>'BS, CF and P&amp;L'!AY163</f>
        <v>0.82970407593523166</v>
      </c>
      <c r="Q44" s="185">
        <f>'BS, CF and P&amp;L'!BB163</f>
        <v>0.91384225530567009</v>
      </c>
      <c r="R44" s="185">
        <f>'BS, CF and P&amp;L'!BE163</f>
        <v>1.1052944675788219</v>
      </c>
      <c r="S44" s="185">
        <f>'BS, CF and P&amp;L'!BH163</f>
        <v>1.0876922795788364</v>
      </c>
      <c r="T44" s="185">
        <f>'BS, CF and P&amp;L'!BK163</f>
        <v>0.91975661101974937</v>
      </c>
      <c r="U44" s="185">
        <f>'BS, CF and P&amp;L'!BN163</f>
        <v>0.80970640794372928</v>
      </c>
      <c r="V44" s="187"/>
    </row>
    <row r="45" spans="2:25">
      <c r="B45" s="251" t="s">
        <v>531</v>
      </c>
      <c r="C45" s="252" t="s">
        <v>65</v>
      </c>
      <c r="D45" s="252" t="s">
        <v>66</v>
      </c>
      <c r="E45" s="253" t="str">
        <f t="shared" ref="E45:J45" si="11">+E28</f>
        <v>FY15A</v>
      </c>
      <c r="F45" s="253" t="str">
        <f t="shared" si="11"/>
        <v>FY16A</v>
      </c>
      <c r="G45" s="253" t="str">
        <f t="shared" si="11"/>
        <v>FY17A</v>
      </c>
      <c r="H45" s="255" t="str">
        <f t="shared" si="11"/>
        <v>FY18E</v>
      </c>
      <c r="I45" s="255" t="str">
        <f t="shared" si="11"/>
        <v>FY19E</v>
      </c>
      <c r="J45" s="255" t="str">
        <f t="shared" si="11"/>
        <v>FY20E</v>
      </c>
      <c r="K45" s="646"/>
      <c r="L45" s="186"/>
      <c r="M45" s="186"/>
      <c r="N45" s="186"/>
      <c r="O45" s="186"/>
      <c r="P45" s="219"/>
      <c r="Q45" s="219"/>
      <c r="R45" s="186"/>
      <c r="S45" s="186"/>
      <c r="T45" s="186"/>
      <c r="U45" s="186"/>
      <c r="V45" s="187"/>
      <c r="W45" s="187"/>
    </row>
    <row r="46" spans="2:25">
      <c r="B46" s="45" t="s">
        <v>247</v>
      </c>
      <c r="C46" s="185">
        <f>'BS, CF and P&amp;L'!AD200</f>
        <v>23.1</v>
      </c>
      <c r="D46" s="185">
        <f>'BS, CF and P&amp;L'!AG200</f>
        <v>25.5</v>
      </c>
      <c r="E46" s="185">
        <f>'BS, CF and P&amp;L'!AY200</f>
        <v>33.299999999999997</v>
      </c>
      <c r="F46" s="185">
        <f>'BS, CF and P&amp;L'!BB200</f>
        <v>21.5</v>
      </c>
      <c r="G46" s="185">
        <f>'BS, CF and P&amp;L'!BE200</f>
        <v>57.6</v>
      </c>
      <c r="H46" s="185">
        <f>'BS, CF and P&amp;L'!BH200</f>
        <v>57.6</v>
      </c>
      <c r="I46" s="185">
        <f>'BS, CF and P&amp;L'!BK200</f>
        <v>57.6</v>
      </c>
      <c r="J46" s="185">
        <f>'BS, CF and P&amp;L'!BN200</f>
        <v>57.6</v>
      </c>
      <c r="K46" s="185"/>
      <c r="M46" s="251" t="s">
        <v>698</v>
      </c>
      <c r="N46" s="252"/>
      <c r="O46" s="252"/>
      <c r="P46" s="253" t="str">
        <f>+P39</f>
        <v>FY15A</v>
      </c>
      <c r="Q46" s="253" t="str">
        <f>+Q39</f>
        <v>FY16A</v>
      </c>
      <c r="R46" s="253" t="str">
        <f>R26</f>
        <v>FY17A</v>
      </c>
      <c r="S46" s="255" t="str">
        <f>S26</f>
        <v>FY18E</v>
      </c>
      <c r="T46" s="255" t="str">
        <f>T26</f>
        <v>FY19E</v>
      </c>
      <c r="U46" s="255" t="str">
        <f>U26</f>
        <v>FY20E</v>
      </c>
    </row>
    <row r="47" spans="2:25">
      <c r="B47" s="39" t="s">
        <v>491</v>
      </c>
      <c r="C47" s="185">
        <f>'BS, CF and P&amp;L'!AD201</f>
        <v>151.6</v>
      </c>
      <c r="D47" s="185">
        <f>'BS, CF and P&amp;L'!AG201</f>
        <v>162.80000000000001</v>
      </c>
      <c r="E47" s="185">
        <f>'BS, CF and P&amp;L'!AY201</f>
        <v>208.3</v>
      </c>
      <c r="F47" s="185">
        <f>'BS, CF and P&amp;L'!BB201</f>
        <v>204.6</v>
      </c>
      <c r="G47" s="185">
        <f>'BS, CF and P&amp;L'!BE201</f>
        <v>241</v>
      </c>
      <c r="H47" s="185">
        <f>'BS, CF and P&amp;L'!BH201</f>
        <v>251.65526443249013</v>
      </c>
      <c r="I47" s="185">
        <f>'BS, CF and P&amp;L'!BK201</f>
        <v>254.79624068961954</v>
      </c>
      <c r="J47" s="185">
        <f>'BS, CF and P&amp;L'!BN201</f>
        <v>261.54616914316705</v>
      </c>
      <c r="K47" s="185"/>
      <c r="M47" s="45" t="s">
        <v>172</v>
      </c>
      <c r="O47" s="187">
        <f>'BS, CF and P&amp;L'!AG274</f>
        <v>0.13659651321366706</v>
      </c>
      <c r="P47" s="187">
        <f>'BS, CF and P&amp;L'!AY274</f>
        <v>0.1644668382715373</v>
      </c>
      <c r="Q47" s="187">
        <f>'BS, CF and P&amp;L'!BB274</f>
        <v>0.14520353595983848</v>
      </c>
      <c r="R47" s="187">
        <f>'BS, CF and P&amp;L'!BE274</f>
        <v>0.15042841888689223</v>
      </c>
      <c r="S47" s="187">
        <f>'BS, CF and P&amp;L'!BH274</f>
        <v>0.14650870519573461</v>
      </c>
      <c r="T47" s="187">
        <f>'BS, CF and P&amp;L'!BK274</f>
        <v>0.15618854175062108</v>
      </c>
      <c r="U47" s="187">
        <f>'BS, CF and P&amp;L'!BN274</f>
        <v>0.16497460270797587</v>
      </c>
      <c r="V47" s="415"/>
    </row>
    <row r="48" spans="2:25">
      <c r="B48" s="65" t="s">
        <v>492</v>
      </c>
      <c r="C48" s="189">
        <f>'BS, CF and P&amp;L'!AD202</f>
        <v>116.1</v>
      </c>
      <c r="D48" s="189">
        <f>'BS, CF and P&amp;L'!AG202</f>
        <v>107.8</v>
      </c>
      <c r="E48" s="189">
        <f>'BS, CF and P&amp;L'!AY202</f>
        <v>161.5</v>
      </c>
      <c r="F48" s="189">
        <f>'BS, CF and P&amp;L'!BB202</f>
        <v>160.19999999999999</v>
      </c>
      <c r="G48" s="189">
        <f>'BS, CF and P&amp;L'!BE202</f>
        <v>174.3</v>
      </c>
      <c r="H48" s="189">
        <f>'BS, CF and P&amp;L'!BH202</f>
        <v>182.00627630947315</v>
      </c>
      <c r="I48" s="189">
        <f>'BS, CF and P&amp;L'!BK202</f>
        <v>184.27794502987837</v>
      </c>
      <c r="J48" s="189">
        <f>'BS, CF and P&amp;L'!BN202</f>
        <v>189.1597397579005</v>
      </c>
      <c r="K48" s="189"/>
      <c r="M48" s="45" t="s">
        <v>253</v>
      </c>
      <c r="N48" s="187"/>
      <c r="O48" s="187">
        <f>'BS, CF and P&amp;L'!AG276</f>
        <v>0.15457056755399301</v>
      </c>
      <c r="P48" s="187">
        <f>'BS, CF and P&amp;L'!AY276</f>
        <v>0.17881729165775856</v>
      </c>
      <c r="Q48" s="187">
        <f>'BS, CF and P&amp;L'!BB276</f>
        <v>0.15373818271890347</v>
      </c>
      <c r="R48" s="187">
        <f>'BS, CF and P&amp;L'!BE276</f>
        <v>0.16052289704449504</v>
      </c>
      <c r="S48" s="187">
        <f>'BS, CF and P&amp;L'!BH276</f>
        <v>0.1676889282931053</v>
      </c>
      <c r="T48" s="187">
        <f>'BS, CF and P&amp;L'!BK276</f>
        <v>0.17712863978209697</v>
      </c>
      <c r="U48" s="187">
        <f>'BS, CF and P&amp;L'!BN276</f>
        <v>0.18406265652241022</v>
      </c>
      <c r="V48" s="187"/>
    </row>
    <row r="49" spans="2:25">
      <c r="B49" s="161" t="s">
        <v>532</v>
      </c>
      <c r="C49" s="221">
        <f>'BS, CF and P&amp;L'!AD203</f>
        <v>0</v>
      </c>
      <c r="D49" s="221">
        <f>'BS, CF and P&amp;L'!AG203</f>
        <v>12.7</v>
      </c>
      <c r="E49" s="221">
        <f>'BS, CF and P&amp;L'!AY203</f>
        <v>0</v>
      </c>
      <c r="F49" s="221">
        <f>'BS, CF and P&amp;L'!BB203</f>
        <v>3.8</v>
      </c>
      <c r="G49" s="221">
        <f>'BS, CF and P&amp;L'!BE203</f>
        <v>1.9</v>
      </c>
      <c r="H49" s="221">
        <f>'BS, CF and P&amp;L'!BH203</f>
        <v>1.9</v>
      </c>
      <c r="I49" s="221">
        <f>'BS, CF and P&amp;L'!BK203</f>
        <v>1.9</v>
      </c>
      <c r="J49" s="221">
        <f>'BS, CF and P&amp;L'!BN203</f>
        <v>1.9</v>
      </c>
      <c r="K49" s="189"/>
      <c r="V49" s="199"/>
      <c r="W49" s="199"/>
      <c r="X49" s="261"/>
      <c r="Y49" s="185"/>
    </row>
    <row r="50" spans="2:25">
      <c r="B50" s="40" t="s">
        <v>494</v>
      </c>
      <c r="C50" s="110">
        <f t="shared" ref="C50:I50" si="12">SUM(C46:C49)</f>
        <v>290.79999999999995</v>
      </c>
      <c r="D50" s="110">
        <f t="shared" si="12"/>
        <v>308.8</v>
      </c>
      <c r="E50" s="110">
        <f t="shared" si="12"/>
        <v>403.1</v>
      </c>
      <c r="F50" s="110">
        <f t="shared" si="12"/>
        <v>390.09999999999997</v>
      </c>
      <c r="G50" s="110">
        <f t="shared" si="12"/>
        <v>474.8</v>
      </c>
      <c r="H50" s="110">
        <f t="shared" si="12"/>
        <v>493.16154074196328</v>
      </c>
      <c r="I50" s="110">
        <f t="shared" si="12"/>
        <v>498.5741857194979</v>
      </c>
      <c r="J50" s="110">
        <f t="shared" ref="J50" si="13">SUM(J46:J49)</f>
        <v>510.20590890106757</v>
      </c>
      <c r="K50" s="110"/>
      <c r="M50" s="251" t="s">
        <v>642</v>
      </c>
      <c r="N50" s="251"/>
      <c r="O50" s="251"/>
      <c r="P50" s="253" t="s">
        <v>561</v>
      </c>
      <c r="Q50" s="253" t="s">
        <v>566</v>
      </c>
      <c r="R50" s="253" t="str">
        <f>R46</f>
        <v>FY17A</v>
      </c>
      <c r="S50" s="253" t="s">
        <v>552</v>
      </c>
      <c r="T50" s="253" t="s">
        <v>553</v>
      </c>
      <c r="U50" s="253" t="s">
        <v>553</v>
      </c>
      <c r="V50" s="261"/>
      <c r="W50" s="261"/>
    </row>
    <row r="51" spans="2:25">
      <c r="B51" s="65" t="s">
        <v>256</v>
      </c>
      <c r="C51" s="189">
        <f>'BS, CF and P&amp;L'!AD207</f>
        <v>28.4</v>
      </c>
      <c r="D51" s="189">
        <f>'BS, CF and P&amp;L'!AG207</f>
        <v>30.4</v>
      </c>
      <c r="E51" s="189">
        <f>'BS, CF and P&amp;L'!AY207</f>
        <v>32.9</v>
      </c>
      <c r="F51" s="189">
        <f>'BS, CF and P&amp;L'!BB207</f>
        <v>34.4</v>
      </c>
      <c r="G51" s="189">
        <f>'BS, CF and P&amp;L'!BE207</f>
        <v>37.299999999999997</v>
      </c>
      <c r="H51" s="189">
        <f>'BS, CF and P&amp;L'!BH207</f>
        <v>37.299999999999997</v>
      </c>
      <c r="I51" s="189">
        <f>'BS, CF and P&amp;L'!BK207</f>
        <v>37.299999999999997</v>
      </c>
      <c r="J51" s="189">
        <f>'BS, CF and P&amp;L'!BN207</f>
        <v>37.299999999999997</v>
      </c>
      <c r="K51" s="189"/>
      <c r="M51" s="186" t="s">
        <v>390</v>
      </c>
      <c r="P51" s="187">
        <f>'BS, CF and P&amp;L'!AY43/'BS, CF and P&amp;L'!AY19</f>
        <v>0.22445829623033539</v>
      </c>
      <c r="Q51" s="187">
        <f>'BS, CF and P&amp;L'!BB43/'BS, CF and P&amp;L'!BB19</f>
        <v>0.19980263539792181</v>
      </c>
      <c r="R51" s="187">
        <f>'BS, CF and P&amp;L'!BE43/'BS, CF and P&amp;L'!BE19</f>
        <v>0.23970303421562303</v>
      </c>
      <c r="S51" s="187">
        <f>'BS, CF and P&amp;L'!BH43/'BS, CF and P&amp;L'!BH19</f>
        <v>0.23726502264581839</v>
      </c>
      <c r="T51" s="187">
        <f>'BS, CF and P&amp;L'!BK43/'BS, CF and P&amp;L'!BK19</f>
        <v>0.24427828277632468</v>
      </c>
      <c r="U51" s="187">
        <f>'BS, CF and P&amp;L'!BN43/'BS, CF and P&amp;L'!BN19</f>
        <v>0.24878963146051822</v>
      </c>
    </row>
    <row r="52" spans="2:25">
      <c r="B52" s="194" t="s">
        <v>495</v>
      </c>
      <c r="C52" s="189">
        <f>'BS, CF and P&amp;L'!AD208</f>
        <v>67.599999999999994</v>
      </c>
      <c r="D52" s="189">
        <f>'BS, CF and P&amp;L'!AG208</f>
        <v>72.5</v>
      </c>
      <c r="E52" s="189">
        <f>'BS, CF and P&amp;L'!AY208</f>
        <v>142.19999999999999</v>
      </c>
      <c r="F52" s="189">
        <f>'BS, CF and P&amp;L'!BB208</f>
        <v>151.19999999999999</v>
      </c>
      <c r="G52" s="189">
        <f>'BS, CF and P&amp;L'!BE208</f>
        <v>160.30000000000001</v>
      </c>
      <c r="H52" s="189">
        <f>'BS, CF and P&amp;L'!BH208</f>
        <v>160.30000000000001</v>
      </c>
      <c r="I52" s="189">
        <f>'BS, CF and P&amp;L'!BK208</f>
        <v>160.30000000000001</v>
      </c>
      <c r="J52" s="189">
        <f>'BS, CF and P&amp;L'!BN208</f>
        <v>160.30000000000001</v>
      </c>
      <c r="K52" s="189"/>
      <c r="M52" s="186" t="s">
        <v>512</v>
      </c>
      <c r="N52" s="186"/>
      <c r="O52" s="186"/>
      <c r="P52" s="199">
        <f>'BS, CF and P&amp;L'!AY52</f>
        <v>0.21251149954001838</v>
      </c>
      <c r="Q52" s="199">
        <f>'BS, CF and P&amp;L'!BB52</f>
        <v>0.19058874086807046</v>
      </c>
      <c r="R52" s="199">
        <f>'BS, CF and P&amp;L'!BE52</f>
        <v>0.18512820512820513</v>
      </c>
      <c r="S52" s="199">
        <f>'BS, CF and P&amp;L'!BH52</f>
        <v>0.18057863658331016</v>
      </c>
      <c r="T52" s="199">
        <f>'BS, CF and P&amp;L'!BK52</f>
        <v>0.18770427144487281</v>
      </c>
      <c r="U52" s="199">
        <f>'BS, CF and P&amp;L'!BN52</f>
        <v>0.19254744893386672</v>
      </c>
      <c r="V52" s="415"/>
    </row>
    <row r="53" spans="2:25">
      <c r="B53" s="195" t="s">
        <v>533</v>
      </c>
      <c r="C53" s="189">
        <f>'BS, CF and P&amp;L'!AD210</f>
        <v>801.9</v>
      </c>
      <c r="D53" s="189">
        <f>'BS, CF and P&amp;L'!AG210</f>
        <v>774.3</v>
      </c>
      <c r="E53" s="189">
        <f>'BS, CF and P&amp;L'!AY210</f>
        <v>986.1</v>
      </c>
      <c r="F53" s="189">
        <f>'BS, CF and P&amp;L'!BB210</f>
        <v>978.4</v>
      </c>
      <c r="G53" s="189">
        <f>'BS, CF and P&amp;L'!BE210</f>
        <v>1037.2</v>
      </c>
      <c r="H53" s="189">
        <f>'BS, CF and P&amp;L'!BH210</f>
        <v>1054.8920835533052</v>
      </c>
      <c r="I53" s="189">
        <f>'BS, CF and P&amp;L'!BK210</f>
        <v>1037.822597356942</v>
      </c>
      <c r="J53" s="189">
        <f>'BS, CF and P&amp;L'!BN210</f>
        <v>1021.7119335338392</v>
      </c>
      <c r="K53" s="189"/>
      <c r="M53" s="257" t="s">
        <v>643</v>
      </c>
      <c r="P53" s="261">
        <f>'BS, CF and P&amp;L'!AY184</f>
        <v>0.5951156812339331</v>
      </c>
      <c r="Q53" s="261">
        <f>'BS, CF and P&amp;L'!BB184</f>
        <v>0.63636363636363646</v>
      </c>
      <c r="R53" s="261">
        <f>'BS, CF and P&amp;L'!BE184</f>
        <v>0.72848484848484851</v>
      </c>
      <c r="S53" s="261">
        <f>'BS, CF and P&amp;L'!BH184</f>
        <v>0.80731707317073176</v>
      </c>
      <c r="T53" s="261">
        <f>'BS, CF and P&amp;L'!BK184</f>
        <v>0.80731707317073176</v>
      </c>
      <c r="U53" s="261">
        <f>'BS, CF and P&amp;L'!BN184</f>
        <v>0.80731707317073176</v>
      </c>
      <c r="V53" s="190"/>
    </row>
    <row r="54" spans="2:25">
      <c r="B54" s="194" t="s">
        <v>435</v>
      </c>
      <c r="C54" s="189">
        <f>'BS, CF and P&amp;L'!AD211</f>
        <v>169.4</v>
      </c>
      <c r="D54" s="189">
        <f>'BS, CF and P&amp;L'!AG211</f>
        <v>169</v>
      </c>
      <c r="E54" s="189">
        <f>'BS, CF and P&amp;L'!AY211</f>
        <v>272.89999999999998</v>
      </c>
      <c r="F54" s="189">
        <f>'BS, CF and P&amp;L'!BB211</f>
        <v>270.3</v>
      </c>
      <c r="G54" s="189">
        <f>'BS, CF and P&amp;L'!BE211</f>
        <v>299.89999999999998</v>
      </c>
      <c r="H54" s="189">
        <f>'BS, CF and P&amp;L'!BH211</f>
        <v>299.89999999999998</v>
      </c>
      <c r="I54" s="189">
        <f>'BS, CF and P&amp;L'!BK211</f>
        <v>299.89999999999998</v>
      </c>
      <c r="J54" s="189">
        <f>'BS, CF and P&amp;L'!BN211</f>
        <v>299.89999999999998</v>
      </c>
      <c r="K54" s="189"/>
      <c r="V54" s="187"/>
      <c r="W54" s="187"/>
    </row>
    <row r="55" spans="2:25">
      <c r="B55" s="223" t="s">
        <v>534</v>
      </c>
      <c r="C55" s="221">
        <f>'BS, CF and P&amp;L'!AD213</f>
        <v>0</v>
      </c>
      <c r="D55" s="221">
        <f>'BS, CF and P&amp;L'!AG213</f>
        <v>0</v>
      </c>
      <c r="E55" s="221">
        <f>'BS, CF and P&amp;L'!AY213</f>
        <v>1.3</v>
      </c>
      <c r="F55" s="221">
        <f>'BS, CF and P&amp;L'!BB213</f>
        <v>2.2999999999999998</v>
      </c>
      <c r="G55" s="221">
        <f>'BS, CF and P&amp;L'!BE213</f>
        <v>3.5</v>
      </c>
      <c r="H55" s="221">
        <f>'BS, CF and P&amp;L'!BH213</f>
        <v>3.5</v>
      </c>
      <c r="I55" s="221">
        <f>'BS, CF and P&amp;L'!BK213</f>
        <v>3.5</v>
      </c>
      <c r="J55" s="221">
        <f>'BS, CF and P&amp;L'!BN213</f>
        <v>3.5</v>
      </c>
      <c r="K55" s="189"/>
      <c r="M55" s="251" t="s">
        <v>697</v>
      </c>
      <c r="N55" s="252" t="s">
        <v>65</v>
      </c>
      <c r="O55" s="252" t="s">
        <v>66</v>
      </c>
      <c r="P55" s="253" t="str">
        <f>+E6</f>
        <v>FY15A</v>
      </c>
      <c r="Q55" s="253" t="str">
        <f>+F6</f>
        <v>FY16A</v>
      </c>
      <c r="R55" s="253" t="str">
        <f>R26</f>
        <v>FY17A</v>
      </c>
      <c r="S55" s="255" t="str">
        <f>S26</f>
        <v>FY18E</v>
      </c>
      <c r="T55" s="255" t="str">
        <f>T26</f>
        <v>FY19E</v>
      </c>
      <c r="U55" s="255" t="str">
        <f>U26</f>
        <v>FY20E</v>
      </c>
      <c r="V55" s="187"/>
      <c r="W55" s="187"/>
    </row>
    <row r="56" spans="2:25">
      <c r="B56" s="226" t="s">
        <v>436</v>
      </c>
      <c r="C56" s="227">
        <f t="shared" ref="C56:I56" si="14">SUM(C51:C55)</f>
        <v>1067.3</v>
      </c>
      <c r="D56" s="227">
        <f t="shared" si="14"/>
        <v>1046.1999999999998</v>
      </c>
      <c r="E56" s="227">
        <f t="shared" si="14"/>
        <v>1435.3999999999999</v>
      </c>
      <c r="F56" s="227">
        <f t="shared" si="14"/>
        <v>1436.6</v>
      </c>
      <c r="G56" s="227">
        <f t="shared" si="14"/>
        <v>1538.2000000000003</v>
      </c>
      <c r="H56" s="227">
        <f t="shared" si="14"/>
        <v>1555.8920835533054</v>
      </c>
      <c r="I56" s="227">
        <f t="shared" si="14"/>
        <v>1538.822597356942</v>
      </c>
      <c r="J56" s="227">
        <f t="shared" ref="J56" si="15">SUM(J51:J55)</f>
        <v>1522.7119335338393</v>
      </c>
      <c r="K56" s="127"/>
      <c r="M56" s="43" t="s">
        <v>590</v>
      </c>
      <c r="N56" s="190">
        <f>Segments!AD35</f>
        <v>148850</v>
      </c>
      <c r="O56" s="190">
        <f>Segments!AG35</f>
        <v>141942</v>
      </c>
      <c r="P56" s="190">
        <f>Segments!AY35</f>
        <v>226900</v>
      </c>
      <c r="Q56" s="647">
        <f>Segments!BB35</f>
        <v>226029.25802761447</v>
      </c>
      <c r="R56" s="647">
        <f>Segments!BE35</f>
        <v>196776.36739777314</v>
      </c>
      <c r="S56" s="647">
        <f>Segments!BH35</f>
        <v>168234.56982253512</v>
      </c>
      <c r="T56" s="647">
        <f>Segments!BK35</f>
        <v>153702.67436555366</v>
      </c>
      <c r="U56" s="647">
        <f>Segments!BN35</f>
        <v>157600.83663333085</v>
      </c>
      <c r="V56" s="187"/>
    </row>
    <row r="57" spans="2:25">
      <c r="B57" s="224" t="s">
        <v>380</v>
      </c>
      <c r="C57" s="225">
        <f t="shared" ref="C57:I57" si="16">C56+C50</f>
        <v>1358.1</v>
      </c>
      <c r="D57" s="225">
        <f t="shared" si="16"/>
        <v>1354.9999999999998</v>
      </c>
      <c r="E57" s="225">
        <f t="shared" si="16"/>
        <v>1838.5</v>
      </c>
      <c r="F57" s="225">
        <f t="shared" si="16"/>
        <v>1826.6999999999998</v>
      </c>
      <c r="G57" s="225">
        <f t="shared" si="16"/>
        <v>2013.0000000000002</v>
      </c>
      <c r="H57" s="225">
        <f t="shared" si="16"/>
        <v>2049.0536242952685</v>
      </c>
      <c r="I57" s="225">
        <f t="shared" si="16"/>
        <v>2037.39678307644</v>
      </c>
      <c r="J57" s="225">
        <f t="shared" ref="J57" si="17">J56+J50</f>
        <v>2032.917842434907</v>
      </c>
      <c r="K57" s="127"/>
      <c r="M57" s="43" t="s">
        <v>592</v>
      </c>
      <c r="N57" s="187">
        <f>Segments!AD36</f>
        <v>-3.8942994416309551E-2</v>
      </c>
      <c r="O57" s="187">
        <f>Segments!AG36</f>
        <v>-6.0693680669089756E-2</v>
      </c>
      <c r="P57" s="187">
        <f>Segments!AY36</f>
        <v>0.11304603762478238</v>
      </c>
      <c r="Q57" s="187">
        <f>Segments!BB36</f>
        <v>-3.8375582740657332E-3</v>
      </c>
      <c r="R57" s="187">
        <f>Segments!BE36</f>
        <v>-0.12942081430125052</v>
      </c>
      <c r="S57" s="187">
        <f>Segments!BH36</f>
        <v>-0.14504687708530706</v>
      </c>
      <c r="T57" s="187">
        <f>Segments!BK36</f>
        <v>-8.637877145173356E-2</v>
      </c>
      <c r="U57" s="187">
        <f>Segments!BN36</f>
        <v>2.5361707490568097E-2</v>
      </c>
      <c r="V57" s="187"/>
    </row>
    <row r="58" spans="2:25">
      <c r="B58" s="186" t="s">
        <v>535</v>
      </c>
      <c r="C58" s="189">
        <f>'BS, CF and P&amp;L'!AD220</f>
        <v>98</v>
      </c>
      <c r="D58" s="189">
        <f>'BS, CF and P&amp;L'!AG220</f>
        <v>106.1</v>
      </c>
      <c r="E58" s="189">
        <f>'BS, CF and P&amp;L'!AY220</f>
        <v>122.9</v>
      </c>
      <c r="F58" s="189">
        <f>'BS, CF and P&amp;L'!BB220</f>
        <v>117</v>
      </c>
      <c r="G58" s="189">
        <f>'BS, CF and P&amp;L'!BE220</f>
        <v>145.80000000000001</v>
      </c>
      <c r="H58" s="189">
        <f>'BS, CF and P&amp;L'!BH220</f>
        <v>152.24621391807909</v>
      </c>
      <c r="I58" s="189">
        <f>'BS, CF and P&amp;L'!BK220</f>
        <v>154.14643938815988</v>
      </c>
      <c r="J58" s="189">
        <f>'BS, CF and P&amp;L'!BN220</f>
        <v>158.23000606254669</v>
      </c>
      <c r="K58" s="189"/>
      <c r="M58" s="43" t="s">
        <v>591</v>
      </c>
      <c r="N58" s="187">
        <f>Segments!AD43</f>
        <v>0.14617837213688922</v>
      </c>
      <c r="O58" s="187">
        <f>Segments!AG43</f>
        <v>-5.7857763178378985E-2</v>
      </c>
      <c r="P58" s="187">
        <f>Segments!AY43</f>
        <v>1.750463281445469E-2</v>
      </c>
      <c r="Q58" s="187">
        <f>Segments!BB43</f>
        <v>-1.8775202183175521E-3</v>
      </c>
      <c r="R58" s="187">
        <f>Segments!BE43</f>
        <v>-1.3479930412129415E-2</v>
      </c>
      <c r="S58" s="187">
        <f>Segments!BH43</f>
        <v>-3.0003173384799964E-3</v>
      </c>
      <c r="T58" s="187">
        <f>Segments!BK43</f>
        <v>2.2523443247884689E-2</v>
      </c>
      <c r="U58" s="187">
        <f>Segments!BN43</f>
        <v>3.0877128267598364E-2</v>
      </c>
    </row>
    <row r="59" spans="2:25">
      <c r="B59" s="186" t="s">
        <v>536</v>
      </c>
      <c r="C59" s="186">
        <f>'BS, CF and P&amp;L'!AD221</f>
        <v>0.4</v>
      </c>
      <c r="D59" s="186">
        <f>'BS, CF and P&amp;L'!AG221</f>
        <v>0.4</v>
      </c>
      <c r="E59" s="186">
        <f>'BS, CF and P&amp;L'!AY221</f>
        <v>1</v>
      </c>
      <c r="F59" s="186">
        <f>'BS, CF and P&amp;L'!BB221</f>
        <v>0.4</v>
      </c>
      <c r="G59" s="186">
        <f>'BS, CF and P&amp;L'!BE221</f>
        <v>0.3</v>
      </c>
      <c r="H59" s="186">
        <f>'BS, CF and P&amp;L'!BH221</f>
        <v>0.3</v>
      </c>
      <c r="I59" s="186">
        <f>'BS, CF and P&amp;L'!BK221</f>
        <v>0.3</v>
      </c>
      <c r="J59" s="186">
        <f>'BS, CF and P&amp;L'!BN221</f>
        <v>0.3</v>
      </c>
      <c r="K59" s="186"/>
      <c r="M59" s="43" t="s">
        <v>593</v>
      </c>
      <c r="N59" s="187">
        <f>Segments!AD47</f>
        <v>0.34153718302147906</v>
      </c>
      <c r="O59" s="187">
        <f>Segments!AG47</f>
        <v>2.3978399670121497E-3</v>
      </c>
      <c r="P59" s="187">
        <f>Segments!AY47</f>
        <v>-0.13621784489133998</v>
      </c>
      <c r="Q59" s="187">
        <f>Segments!BB47</f>
        <v>-0.19145461601845032</v>
      </c>
      <c r="R59" s="187">
        <f>Segments!BE47</f>
        <v>-0.11957123548169607</v>
      </c>
      <c r="S59" s="187">
        <f>Segments!BH47</f>
        <v>-5.4442645526310174E-2</v>
      </c>
      <c r="T59" s="187">
        <f>Segments!BK47</f>
        <v>2.2384381083745519E-2</v>
      </c>
      <c r="U59" s="187">
        <f>Segments!BN47</f>
        <v>2.5306840083261006E-2</v>
      </c>
    </row>
    <row r="60" spans="2:25">
      <c r="B60" s="196" t="s">
        <v>450</v>
      </c>
      <c r="C60" s="186">
        <f>'BS, CF and P&amp;L'!AD222</f>
        <v>23.6</v>
      </c>
      <c r="D60" s="186">
        <f>'BS, CF and P&amp;L'!AG222</f>
        <v>24.4</v>
      </c>
      <c r="E60" s="186">
        <f>'BS, CF and P&amp;L'!AY222</f>
        <v>33.6</v>
      </c>
      <c r="F60" s="186">
        <f>'BS, CF and P&amp;L'!BB222</f>
        <v>31.9</v>
      </c>
      <c r="G60" s="186">
        <f>'BS, CF and P&amp;L'!BE222</f>
        <v>33.799999999999997</v>
      </c>
      <c r="H60" s="186">
        <f>'BS, CF and P&amp;L'!BH222</f>
        <v>33.799999999999997</v>
      </c>
      <c r="I60" s="186">
        <f>'BS, CF and P&amp;L'!BK222</f>
        <v>33.799999999999997</v>
      </c>
      <c r="J60" s="186">
        <f>'BS, CF and P&amp;L'!BN222</f>
        <v>33.799999999999997</v>
      </c>
      <c r="K60" s="186"/>
      <c r="M60" s="43" t="s">
        <v>594</v>
      </c>
      <c r="N60" s="187">
        <f>Segments!AD51</f>
        <v>0.62478025476445387</v>
      </c>
      <c r="O60" s="187">
        <f>Segments!AG51</f>
        <v>-0.48594062445981423</v>
      </c>
      <c r="P60" s="187">
        <f>Segments!AY51</f>
        <v>-9.0452562123044533E-4</v>
      </c>
      <c r="Q60" s="187">
        <f>Segments!BB51</f>
        <v>0.13968886343963982</v>
      </c>
      <c r="R60" s="187">
        <f>Segments!BE51</f>
        <v>0.14587037546739379</v>
      </c>
      <c r="S60" s="187">
        <f>Segments!BH51</f>
        <v>0.16070021675549706</v>
      </c>
      <c r="T60" s="187">
        <f>Segments!BK51</f>
        <v>7.5852728888216037E-2</v>
      </c>
      <c r="U60" s="187">
        <f>Segments!BN51</f>
        <v>-3.3064639314163924E-2</v>
      </c>
    </row>
    <row r="61" spans="2:25">
      <c r="B61" s="186" t="s">
        <v>181</v>
      </c>
      <c r="C61" s="186">
        <f>'BS, CF and P&amp;L'!AD223</f>
        <v>5.7</v>
      </c>
      <c r="D61" s="186">
        <f>'BS, CF and P&amp;L'!AG223</f>
        <v>16.7</v>
      </c>
      <c r="E61" s="186">
        <f>'BS, CF and P&amp;L'!AY223</f>
        <v>15</v>
      </c>
      <c r="F61" s="186">
        <f>'BS, CF and P&amp;L'!BB223</f>
        <v>15.4</v>
      </c>
      <c r="G61" s="186">
        <f>'BS, CF and P&amp;L'!BE223</f>
        <v>9.8000000000000007</v>
      </c>
      <c r="H61" s="186">
        <f>'BS, CF and P&amp;L'!BH223</f>
        <v>9.8000000000000007</v>
      </c>
      <c r="I61" s="186">
        <f>'BS, CF and P&amp;L'!BK223</f>
        <v>9.8000000000000007</v>
      </c>
      <c r="J61" s="186">
        <f>'BS, CF and P&amp;L'!BN223</f>
        <v>9.8000000000000007</v>
      </c>
      <c r="K61" s="186"/>
    </row>
    <row r="62" spans="2:25">
      <c r="B62" s="222" t="s">
        <v>493</v>
      </c>
      <c r="C62" s="222">
        <f>'BS, CF and P&amp;L'!AD224</f>
        <v>15.2</v>
      </c>
      <c r="D62" s="222">
        <f>'BS, CF and P&amp;L'!AG224</f>
        <v>14.3</v>
      </c>
      <c r="E62" s="222">
        <f>'BS, CF and P&amp;L'!AY224</f>
        <v>6.8</v>
      </c>
      <c r="F62" s="222">
        <f>'BS, CF and P&amp;L'!BB224</f>
        <v>3.3</v>
      </c>
      <c r="G62" s="222">
        <f>'BS, CF and P&amp;L'!BE224</f>
        <v>15.1</v>
      </c>
      <c r="H62" s="222">
        <f>'BS, CF and P&amp;L'!BH224</f>
        <v>15.1</v>
      </c>
      <c r="I62" s="222">
        <f>'BS, CF and P&amp;L'!BK224</f>
        <v>15.1</v>
      </c>
      <c r="J62" s="222">
        <f>'BS, CF and P&amp;L'!BN224</f>
        <v>15.1</v>
      </c>
      <c r="K62" s="186"/>
    </row>
    <row r="63" spans="2:25">
      <c r="B63" s="40" t="s">
        <v>451</v>
      </c>
      <c r="C63" s="110">
        <f t="shared" ref="C63:I63" si="18">SUM(C58:C62)</f>
        <v>142.9</v>
      </c>
      <c r="D63" s="110">
        <f t="shared" si="18"/>
        <v>161.9</v>
      </c>
      <c r="E63" s="110">
        <f t="shared" si="18"/>
        <v>179.3</v>
      </c>
      <c r="F63" s="110">
        <f t="shared" si="18"/>
        <v>168.00000000000003</v>
      </c>
      <c r="G63" s="110">
        <f t="shared" si="18"/>
        <v>204.80000000000004</v>
      </c>
      <c r="H63" s="110">
        <f t="shared" si="18"/>
        <v>211.24621391807912</v>
      </c>
      <c r="I63" s="110">
        <f t="shared" si="18"/>
        <v>213.14643938815991</v>
      </c>
      <c r="J63" s="110">
        <f t="shared" ref="J63" si="19">SUM(J58:J62)</f>
        <v>217.23000606254672</v>
      </c>
      <c r="K63" s="110"/>
      <c r="M63" s="218"/>
    </row>
    <row r="64" spans="2:25">
      <c r="B64" s="186" t="s">
        <v>537</v>
      </c>
      <c r="C64" s="186">
        <f>'BS, CF and P&amp;L'!AD228</f>
        <v>410.5</v>
      </c>
      <c r="D64" s="186">
        <f>'BS, CF and P&amp;L'!AG228</f>
        <v>200.5</v>
      </c>
      <c r="E64" s="189">
        <f>'BS, CF and P&amp;L'!AY228</f>
        <v>329.5</v>
      </c>
      <c r="F64" s="189">
        <f>'BS, CF and P&amp;L'!BB228</f>
        <v>309.60000000000002</v>
      </c>
      <c r="G64" s="189">
        <f>'BS, CF and P&amp;L'!BE228</f>
        <v>428.9</v>
      </c>
      <c r="H64" s="189">
        <f>'BS, CF and P&amp;L'!BH228</f>
        <v>436.28163118902586</v>
      </c>
      <c r="I64" s="189">
        <f>'BS, CF and P&amp;L'!BK228</f>
        <v>397.43771899773174</v>
      </c>
      <c r="J64" s="189">
        <f>'BS, CF and P&amp;L'!BN228</f>
        <v>370.16223387535217</v>
      </c>
      <c r="K64" s="189"/>
      <c r="M64" s="39" t="s">
        <v>556</v>
      </c>
    </row>
    <row r="65" spans="2:25">
      <c r="B65" s="186" t="s">
        <v>538</v>
      </c>
      <c r="C65" s="186">
        <f>'BS, CF and P&amp;L'!AD229</f>
        <v>32.700000000000003</v>
      </c>
      <c r="D65" s="186">
        <f>'BS, CF and P&amp;L'!AG229</f>
        <v>29.9</v>
      </c>
      <c r="E65" s="186">
        <f>'BS, CF and P&amp;L'!AY229</f>
        <v>36.9</v>
      </c>
      <c r="F65" s="186">
        <f>'BS, CF and P&amp;L'!BB229</f>
        <v>39</v>
      </c>
      <c r="G65" s="186">
        <f>'BS, CF and P&amp;L'!BE229</f>
        <v>45</v>
      </c>
      <c r="H65" s="186">
        <f>'BS, CF and P&amp;L'!BH229</f>
        <v>45</v>
      </c>
      <c r="I65" s="186">
        <f>'BS, CF and P&amp;L'!BK229</f>
        <v>45</v>
      </c>
      <c r="J65" s="186">
        <f>'BS, CF and P&amp;L'!BN229</f>
        <v>45</v>
      </c>
      <c r="K65" s="186"/>
      <c r="M65" s="290" t="s">
        <v>703</v>
      </c>
    </row>
    <row r="66" spans="2:25">
      <c r="B66" s="196" t="s">
        <v>513</v>
      </c>
      <c r="C66" s="186">
        <f>'BS, CF and P&amp;L'!AD230</f>
        <v>57.4</v>
      </c>
      <c r="D66" s="186">
        <f>'BS, CF and P&amp;L'!AG230</f>
        <v>59.8</v>
      </c>
      <c r="E66" s="186">
        <f>'BS, CF and P&amp;L'!AY230</f>
        <v>85.4</v>
      </c>
      <c r="F66" s="186">
        <f>'BS, CF and P&amp;L'!BB230</f>
        <v>89.9</v>
      </c>
      <c r="G66" s="186">
        <f>'BS, CF and P&amp;L'!BE230</f>
        <v>86</v>
      </c>
      <c r="H66" s="186">
        <f>'BS, CF and P&amp;L'!BH230</f>
        <v>86</v>
      </c>
      <c r="I66" s="186">
        <f>'BS, CF and P&amp;L'!BK230</f>
        <v>86</v>
      </c>
      <c r="J66" s="186">
        <f>'BS, CF and P&amp;L'!BN230</f>
        <v>86</v>
      </c>
      <c r="K66" s="186"/>
    </row>
    <row r="67" spans="2:25">
      <c r="B67" s="222" t="s">
        <v>493</v>
      </c>
      <c r="C67" s="221">
        <f>'BS, CF and P&amp;L'!AD231</f>
        <v>12.7</v>
      </c>
      <c r="D67" s="221">
        <f>'BS, CF and P&amp;L'!AG231</f>
        <v>5.8999999999999995</v>
      </c>
      <c r="E67" s="221">
        <f>'BS, CF and P&amp;L'!AY231</f>
        <v>0.1</v>
      </c>
      <c r="F67" s="221">
        <f>'BS, CF and P&amp;L'!BB231</f>
        <v>0.1</v>
      </c>
      <c r="G67" s="221">
        <f>'BS, CF and P&amp;L'!BE231</f>
        <v>0.1</v>
      </c>
      <c r="H67" s="221">
        <f>'BS, CF and P&amp;L'!BH231</f>
        <v>0.1</v>
      </c>
      <c r="I67" s="221">
        <f>'BS, CF and P&amp;L'!BK231</f>
        <v>0.1</v>
      </c>
      <c r="J67" s="221">
        <f>'BS, CF and P&amp;L'!BN231</f>
        <v>0.1</v>
      </c>
      <c r="K67" s="189"/>
    </row>
    <row r="68" spans="2:25">
      <c r="B68" s="228" t="s">
        <v>359</v>
      </c>
      <c r="C68" s="229">
        <f t="shared" ref="C68:I68" si="20">SUM(C64:C67)</f>
        <v>513.29999999999995</v>
      </c>
      <c r="D68" s="229">
        <f t="shared" si="20"/>
        <v>296.09999999999997</v>
      </c>
      <c r="E68" s="229">
        <f t="shared" si="20"/>
        <v>451.9</v>
      </c>
      <c r="F68" s="229">
        <f t="shared" si="20"/>
        <v>438.6</v>
      </c>
      <c r="G68" s="229">
        <f t="shared" si="20"/>
        <v>560</v>
      </c>
      <c r="H68" s="229">
        <f t="shared" si="20"/>
        <v>567.38163118902582</v>
      </c>
      <c r="I68" s="229">
        <f t="shared" si="20"/>
        <v>528.53771899773176</v>
      </c>
      <c r="J68" s="229">
        <f t="shared" ref="J68" si="21">SUM(J64:J67)</f>
        <v>501.26223387535219</v>
      </c>
      <c r="K68" s="110"/>
      <c r="M68" s="17"/>
      <c r="N68" s="17"/>
      <c r="O68" s="17"/>
      <c r="P68" s="17"/>
      <c r="Q68" s="17"/>
      <c r="R68" s="17"/>
      <c r="S68" s="17"/>
      <c r="T68" s="17"/>
      <c r="U68" s="17"/>
    </row>
    <row r="69" spans="2:25">
      <c r="B69" s="228" t="s">
        <v>162</v>
      </c>
      <c r="C69" s="229">
        <f t="shared" ref="C69:I69" si="22">C68+C63</f>
        <v>656.19999999999993</v>
      </c>
      <c r="D69" s="229">
        <f t="shared" si="22"/>
        <v>458</v>
      </c>
      <c r="E69" s="229">
        <f t="shared" si="22"/>
        <v>631.20000000000005</v>
      </c>
      <c r="F69" s="229">
        <f t="shared" si="22"/>
        <v>606.6</v>
      </c>
      <c r="G69" s="229">
        <f t="shared" si="22"/>
        <v>764.80000000000007</v>
      </c>
      <c r="H69" s="229">
        <f t="shared" si="22"/>
        <v>778.62784510710492</v>
      </c>
      <c r="I69" s="229">
        <f t="shared" si="22"/>
        <v>741.68415838589169</v>
      </c>
      <c r="J69" s="229">
        <f t="shared" ref="J69" si="23">J68+J63</f>
        <v>718.49223993789894</v>
      </c>
      <c r="K69" s="110"/>
      <c r="M69" s="17"/>
      <c r="N69" s="17"/>
      <c r="O69" s="17"/>
      <c r="P69" s="17"/>
      <c r="Q69" s="17"/>
      <c r="R69" s="17"/>
      <c r="S69" s="17"/>
      <c r="T69" s="17"/>
      <c r="U69" s="17"/>
    </row>
    <row r="70" spans="2:25">
      <c r="B70" s="228" t="s">
        <v>163</v>
      </c>
      <c r="C70" s="227">
        <f t="shared" ref="C70:I70" si="24">C57-C69</f>
        <v>701.9</v>
      </c>
      <c r="D70" s="227">
        <f t="shared" si="24"/>
        <v>896.99999999999977</v>
      </c>
      <c r="E70" s="227">
        <f t="shared" si="24"/>
        <v>1207.3</v>
      </c>
      <c r="F70" s="227">
        <f t="shared" si="24"/>
        <v>1220.0999999999999</v>
      </c>
      <c r="G70" s="227">
        <f t="shared" si="24"/>
        <v>1248.2000000000003</v>
      </c>
      <c r="H70" s="227">
        <f t="shared" si="24"/>
        <v>1270.4257791881637</v>
      </c>
      <c r="I70" s="227">
        <f t="shared" si="24"/>
        <v>1295.7126246905482</v>
      </c>
      <c r="J70" s="227">
        <f t="shared" ref="J70" si="25">J57-J69</f>
        <v>1314.4256024970082</v>
      </c>
      <c r="K70" s="127"/>
      <c r="M70" s="17"/>
      <c r="N70" s="17"/>
      <c r="O70" s="17"/>
      <c r="P70" s="17"/>
      <c r="Q70" s="17"/>
      <c r="R70" s="17"/>
      <c r="S70" s="17"/>
      <c r="T70" s="17"/>
      <c r="U70" s="17"/>
    </row>
    <row r="71" spans="2:25">
      <c r="B71" s="65" t="s">
        <v>516</v>
      </c>
      <c r="C71" s="189">
        <f>'BS, CF and P&amp;L'!AD239</f>
        <v>540.4</v>
      </c>
      <c r="D71" s="189">
        <f>'BS, CF and P&amp;L'!AG239</f>
        <v>690.4</v>
      </c>
      <c r="E71" s="189">
        <f>'BS, CF and P&amp;L'!AY239</f>
        <v>729.2</v>
      </c>
      <c r="F71" s="189">
        <f>'BS, CF and P&amp;L'!BB239</f>
        <v>731.4</v>
      </c>
      <c r="G71" s="189">
        <f>'BS, CF and P&amp;L'!BE239</f>
        <v>733.1</v>
      </c>
      <c r="H71" s="189">
        <f>'BS, CF and P&amp;L'!BH239</f>
        <v>733.1</v>
      </c>
      <c r="I71" s="189">
        <f>'BS, CF and P&amp;L'!BK239</f>
        <v>733.1</v>
      </c>
      <c r="J71" s="189">
        <f>'BS, CF and P&amp;L'!BN239</f>
        <v>733.1</v>
      </c>
      <c r="K71" s="189"/>
      <c r="M71" s="17"/>
      <c r="N71" s="17"/>
      <c r="O71" s="17"/>
      <c r="P71" s="17"/>
      <c r="Q71" s="17"/>
      <c r="R71" s="17"/>
      <c r="S71" s="17"/>
      <c r="T71" s="17"/>
      <c r="U71" s="17"/>
      <c r="X71" s="186"/>
      <c r="Y71" s="186"/>
    </row>
    <row r="72" spans="2:25">
      <c r="B72" s="186" t="s">
        <v>161</v>
      </c>
      <c r="C72" s="189">
        <f>'BS, CF and P&amp;L'!AD240</f>
        <v>3.5</v>
      </c>
      <c r="D72" s="189">
        <f>'BS, CF and P&amp;L'!AG240</f>
        <v>2.9</v>
      </c>
      <c r="E72" s="189">
        <f>'BS, CF and P&amp;L'!AY240</f>
        <v>1.2</v>
      </c>
      <c r="F72" s="189">
        <f>'BS, CF and P&amp;L'!BB240</f>
        <v>2.9</v>
      </c>
      <c r="G72" s="189">
        <f>'BS, CF and P&amp;L'!BE240</f>
        <v>1.9</v>
      </c>
      <c r="H72" s="189">
        <f>'BS, CF and P&amp;L'!BH240</f>
        <v>1.9</v>
      </c>
      <c r="I72" s="189">
        <f>'BS, CF and P&amp;L'!BK240</f>
        <v>1.9</v>
      </c>
      <c r="J72" s="189">
        <f>'BS, CF and P&amp;L'!BN240</f>
        <v>1.9</v>
      </c>
      <c r="K72" s="189"/>
      <c r="M72" s="17"/>
      <c r="N72" s="17"/>
      <c r="O72" s="17"/>
      <c r="P72" s="17"/>
      <c r="Q72" s="17"/>
      <c r="R72" s="17"/>
      <c r="S72" s="17"/>
      <c r="T72" s="17"/>
      <c r="U72" s="17"/>
      <c r="X72" s="186"/>
      <c r="Y72" s="186"/>
    </row>
    <row r="73" spans="2:25">
      <c r="B73" s="186" t="s">
        <v>474</v>
      </c>
      <c r="C73" s="189">
        <f>'BS, CF and P&amp;L'!AD241</f>
        <v>155</v>
      </c>
      <c r="D73" s="189">
        <f>'BS, CF and P&amp;L'!AG241</f>
        <v>200.6</v>
      </c>
      <c r="E73" s="189">
        <f>'BS, CF and P&amp;L'!AY241</f>
        <v>474.3</v>
      </c>
      <c r="F73" s="189">
        <f>'BS, CF and P&amp;L'!BB241</f>
        <v>483.3</v>
      </c>
      <c r="G73" s="189">
        <f>'BS, CF and P&amp;L'!BE241</f>
        <v>510.6</v>
      </c>
      <c r="H73" s="189">
        <f>'BS, CF and P&amp;L'!BH241</f>
        <v>532.82577918816298</v>
      </c>
      <c r="I73" s="189">
        <f>'BS, CF and P&amp;L'!BK241</f>
        <v>558.11262469054827</v>
      </c>
      <c r="J73" s="189">
        <f>'BS, CF and P&amp;L'!BN241</f>
        <v>576.82560249700805</v>
      </c>
      <c r="K73" s="189"/>
      <c r="X73" s="186"/>
      <c r="Y73" s="186"/>
    </row>
    <row r="74" spans="2:25">
      <c r="B74" s="222" t="s">
        <v>358</v>
      </c>
      <c r="C74" s="221">
        <f>'BS, CF and P&amp;L'!AD242</f>
        <v>3</v>
      </c>
      <c r="D74" s="221">
        <f>'BS, CF and P&amp;L'!AG242</f>
        <v>3.1</v>
      </c>
      <c r="E74" s="221">
        <f>'BS, CF and P&amp;L'!AY242</f>
        <v>2.6</v>
      </c>
      <c r="F74" s="221">
        <f>'BS, CF and P&amp;L'!BB242</f>
        <v>2.5</v>
      </c>
      <c r="G74" s="221">
        <f>'BS, CF and P&amp;L'!BE242</f>
        <v>2.6</v>
      </c>
      <c r="H74" s="221">
        <f>'BS, CF and P&amp;L'!BH242</f>
        <v>2.6</v>
      </c>
      <c r="I74" s="221">
        <f>'BS, CF and P&amp;L'!BK242</f>
        <v>2.6</v>
      </c>
      <c r="J74" s="221">
        <f>'BS, CF and P&amp;L'!BN242</f>
        <v>2.6</v>
      </c>
      <c r="K74" s="189"/>
      <c r="X74" s="186"/>
      <c r="Y74" s="186"/>
    </row>
    <row r="75" spans="2:25">
      <c r="B75" s="40" t="s">
        <v>539</v>
      </c>
      <c r="C75" s="127">
        <f t="shared" ref="C75:I75" si="26">SUM(C71:C74)</f>
        <v>701.9</v>
      </c>
      <c r="D75" s="127">
        <f t="shared" si="26"/>
        <v>897</v>
      </c>
      <c r="E75" s="127">
        <f t="shared" si="26"/>
        <v>1207.3</v>
      </c>
      <c r="F75" s="127">
        <f t="shared" si="26"/>
        <v>1220.0999999999999</v>
      </c>
      <c r="G75" s="127">
        <f t="shared" si="26"/>
        <v>1248.1999999999998</v>
      </c>
      <c r="H75" s="127">
        <f t="shared" si="26"/>
        <v>1270.4257791881628</v>
      </c>
      <c r="I75" s="127">
        <f t="shared" si="26"/>
        <v>1295.7126246905482</v>
      </c>
      <c r="J75" s="127">
        <f t="shared" ref="J75" si="27">SUM(J71:J74)</f>
        <v>1314.425602497008</v>
      </c>
      <c r="K75" s="127"/>
    </row>
    <row r="76" spans="2:25">
      <c r="B76" s="17"/>
      <c r="C76" s="17"/>
      <c r="D76" s="17"/>
      <c r="E76" s="17"/>
      <c r="F76" s="17"/>
      <c r="G76" s="17"/>
      <c r="H76" s="17"/>
      <c r="I76" s="17"/>
      <c r="J76" s="17"/>
      <c r="K76" s="17"/>
    </row>
    <row r="77" spans="2:25">
      <c r="B77" s="17"/>
      <c r="C77" s="17"/>
      <c r="D77" s="17"/>
      <c r="E77" s="17"/>
      <c r="F77" s="17"/>
      <c r="G77" s="17"/>
      <c r="H77" s="17"/>
      <c r="I77" s="17"/>
      <c r="J77" s="17"/>
      <c r="K77" s="17"/>
    </row>
    <row r="78" spans="2:25">
      <c r="B78" s="17"/>
      <c r="C78" s="17"/>
      <c r="D78" s="17"/>
      <c r="E78" s="17"/>
      <c r="F78" s="17"/>
      <c r="G78" s="17"/>
      <c r="H78" s="17"/>
      <c r="I78" s="17"/>
      <c r="J78" s="17"/>
      <c r="K78" s="17"/>
    </row>
    <row r="79" spans="2:25" ht="17.25">
      <c r="B79" s="17"/>
      <c r="C79" s="17"/>
      <c r="D79" s="17"/>
      <c r="E79" s="17"/>
      <c r="F79" s="17"/>
      <c r="G79" s="17"/>
      <c r="H79" s="17"/>
      <c r="I79" s="17"/>
      <c r="J79" s="17"/>
      <c r="K79" s="17"/>
      <c r="M79" s="619"/>
      <c r="N79" s="569"/>
      <c r="O79" s="569"/>
      <c r="P79" s="569"/>
      <c r="Q79" s="569"/>
      <c r="R79" s="569"/>
      <c r="S79" s="569"/>
    </row>
    <row r="80" spans="2:25" ht="17.25">
      <c r="B80" s="17"/>
      <c r="C80" s="17"/>
      <c r="D80" s="17"/>
      <c r="E80" s="17"/>
      <c r="F80" s="17"/>
      <c r="G80" s="17"/>
      <c r="H80" s="17"/>
      <c r="I80" s="17"/>
      <c r="J80" s="17"/>
      <c r="K80" s="17"/>
      <c r="M80" s="570"/>
      <c r="N80" s="569"/>
      <c r="O80" s="569"/>
      <c r="P80" s="569"/>
      <c r="Q80" s="569"/>
      <c r="R80" s="569"/>
      <c r="S80" s="578"/>
    </row>
    <row r="81" spans="2:21" ht="17.25">
      <c r="B81" s="17"/>
      <c r="C81" s="17"/>
      <c r="D81" s="17"/>
      <c r="E81" s="17"/>
      <c r="F81" s="17"/>
      <c r="G81" s="17"/>
      <c r="H81" s="17"/>
      <c r="I81" s="17"/>
      <c r="J81" s="17"/>
      <c r="K81" s="17"/>
      <c r="M81" s="570"/>
      <c r="N81" s="569"/>
      <c r="O81" s="569"/>
      <c r="P81" s="569"/>
      <c r="Q81" s="569"/>
      <c r="R81" s="569"/>
      <c r="S81" s="577"/>
    </row>
    <row r="82" spans="2:21" ht="17.25">
      <c r="B82" s="17"/>
      <c r="C82" s="17"/>
      <c r="D82" s="17"/>
      <c r="E82" s="17"/>
      <c r="F82" s="17"/>
      <c r="G82" s="17"/>
      <c r="H82" s="17"/>
      <c r="I82" s="17"/>
      <c r="J82" s="17"/>
      <c r="K82" s="17"/>
      <c r="M82" s="571"/>
      <c r="N82" s="569"/>
      <c r="O82" s="569"/>
      <c r="P82" s="569"/>
      <c r="Q82" s="569"/>
      <c r="R82" s="569"/>
      <c r="S82" s="578"/>
    </row>
    <row r="83" spans="2:21" ht="17.25">
      <c r="B83" s="17"/>
      <c r="C83" s="17"/>
      <c r="D83" s="17"/>
      <c r="E83" s="17"/>
      <c r="F83" s="17"/>
      <c r="G83" s="17"/>
      <c r="H83" s="17"/>
      <c r="I83" s="17"/>
      <c r="J83" s="17"/>
      <c r="K83" s="17"/>
      <c r="M83" s="570"/>
      <c r="N83" s="569"/>
      <c r="O83" s="569"/>
      <c r="P83" s="569"/>
      <c r="Q83" s="569"/>
      <c r="R83" s="569"/>
      <c r="S83" s="572"/>
    </row>
    <row r="84" spans="2:21" ht="17.25">
      <c r="B84" s="17"/>
      <c r="C84" s="17"/>
      <c r="D84" s="17"/>
      <c r="E84" s="17"/>
      <c r="F84" s="17"/>
      <c r="G84" s="17"/>
      <c r="H84" s="17"/>
      <c r="I84" s="17"/>
      <c r="J84" s="17"/>
      <c r="K84" s="17"/>
      <c r="L84" s="17"/>
      <c r="M84" s="570"/>
      <c r="N84" s="569"/>
      <c r="O84" s="569"/>
      <c r="P84" s="569"/>
      <c r="Q84" s="569"/>
      <c r="R84" s="569"/>
      <c r="S84" s="572"/>
    </row>
    <row r="85" spans="2:21" ht="17.25">
      <c r="B85" s="17"/>
      <c r="C85" s="17"/>
      <c r="D85" s="17"/>
      <c r="E85" s="17"/>
      <c r="F85" s="17"/>
      <c r="G85" s="17"/>
      <c r="H85" s="17"/>
      <c r="I85" s="17"/>
      <c r="J85" s="17"/>
      <c r="K85" s="17"/>
      <c r="L85" s="17"/>
      <c r="M85" s="570"/>
      <c r="N85" s="569"/>
      <c r="O85" s="569"/>
      <c r="P85" s="569"/>
      <c r="Q85" s="569"/>
      <c r="R85" s="569"/>
      <c r="S85" s="569"/>
      <c r="T85" s="567"/>
      <c r="U85" s="567"/>
    </row>
    <row r="86" spans="2:21" ht="17.25">
      <c r="M86" s="620"/>
      <c r="N86" s="569"/>
      <c r="O86" s="569"/>
      <c r="P86" s="621"/>
      <c r="Q86" s="621"/>
      <c r="R86" s="621"/>
      <c r="S86" s="621"/>
    </row>
    <row r="87" spans="2:21" ht="17.25">
      <c r="M87" s="622"/>
      <c r="N87" s="569"/>
      <c r="O87" s="569"/>
      <c r="P87" s="578"/>
      <c r="Q87" s="578"/>
      <c r="R87" s="578"/>
      <c r="S87" s="578"/>
    </row>
    <row r="88" spans="2:21" ht="17.25">
      <c r="M88" s="573"/>
      <c r="N88" s="569"/>
      <c r="O88" s="569"/>
      <c r="P88" s="574"/>
      <c r="Q88" s="574"/>
      <c r="R88" s="574"/>
      <c r="S88" s="574"/>
    </row>
    <row r="89" spans="2:21" ht="17.25">
      <c r="M89" s="573"/>
      <c r="N89" s="569"/>
      <c r="O89" s="569"/>
      <c r="P89" s="575"/>
      <c r="Q89" s="575"/>
      <c r="R89" s="575"/>
      <c r="S89" s="575"/>
    </row>
    <row r="90" spans="2:21" ht="17.25">
      <c r="M90" s="573"/>
      <c r="N90" s="569"/>
      <c r="O90" s="569"/>
      <c r="P90" s="575"/>
      <c r="Q90" s="575"/>
      <c r="R90" s="575"/>
      <c r="S90" s="575"/>
    </row>
    <row r="91" spans="2:21" ht="17.25">
      <c r="M91" s="573"/>
      <c r="N91" s="569"/>
      <c r="O91" s="569"/>
      <c r="P91" s="623"/>
      <c r="Q91" s="623"/>
      <c r="R91" s="623"/>
      <c r="S91" s="623"/>
    </row>
    <row r="92" spans="2:21" ht="17.25">
      <c r="M92" s="573"/>
      <c r="N92" s="576"/>
      <c r="O92" s="576"/>
      <c r="P92" s="577"/>
      <c r="Q92" s="577"/>
      <c r="R92" s="577"/>
      <c r="S92" s="577"/>
    </row>
    <row r="93" spans="2:21" ht="17.25">
      <c r="M93" s="573"/>
      <c r="N93" s="576"/>
      <c r="O93" s="576"/>
      <c r="P93" s="624"/>
      <c r="Q93" s="624"/>
      <c r="R93" s="624"/>
      <c r="S93" s="624"/>
    </row>
    <row r="94" spans="2:21" ht="17.25">
      <c r="M94" s="573"/>
      <c r="N94" s="576"/>
      <c r="O94" s="576"/>
      <c r="P94" s="574"/>
      <c r="Q94" s="574"/>
      <c r="R94" s="574"/>
      <c r="S94" s="574"/>
    </row>
    <row r="95" spans="2:21" ht="14.25" customHeight="1">
      <c r="M95" s="573"/>
      <c r="N95" s="576"/>
      <c r="O95" s="576"/>
      <c r="P95" s="625"/>
      <c r="Q95" s="625"/>
      <c r="R95" s="625"/>
      <c r="S95" s="625"/>
    </row>
    <row r="96" spans="2:21" ht="14.25" customHeight="1">
      <c r="M96" s="688"/>
      <c r="N96" s="688"/>
      <c r="O96" s="688"/>
      <c r="P96" s="688"/>
      <c r="Q96" s="688"/>
      <c r="R96" s="688"/>
      <c r="S96" s="688"/>
    </row>
    <row r="97" spans="2:21" ht="14.25" customHeight="1">
      <c r="M97" s="618"/>
      <c r="N97" s="618"/>
      <c r="O97" s="618"/>
      <c r="P97" s="618"/>
      <c r="Q97" s="618"/>
      <c r="R97" s="576"/>
      <c r="S97" s="576"/>
    </row>
    <row r="103" spans="2:21">
      <c r="B103" s="186"/>
      <c r="C103" s="186"/>
      <c r="D103" s="186"/>
      <c r="E103" s="186"/>
      <c r="F103" s="186"/>
      <c r="G103" s="186"/>
      <c r="H103" s="186"/>
      <c r="I103" s="186"/>
      <c r="J103" s="186"/>
      <c r="K103" s="186"/>
    </row>
    <row r="104" spans="2:21">
      <c r="B104" s="186"/>
      <c r="C104" s="186"/>
      <c r="D104" s="186"/>
      <c r="E104" s="186"/>
      <c r="F104" s="186"/>
      <c r="G104" s="186"/>
      <c r="H104" s="186"/>
      <c r="I104" s="186"/>
      <c r="J104" s="186"/>
      <c r="K104" s="186"/>
    </row>
    <row r="105" spans="2:21">
      <c r="B105" s="186"/>
      <c r="C105" s="186"/>
      <c r="D105" s="186"/>
      <c r="E105" s="186"/>
      <c r="F105" s="186"/>
      <c r="G105" s="186"/>
      <c r="H105" s="186"/>
      <c r="I105" s="186"/>
      <c r="J105" s="186"/>
      <c r="K105" s="186"/>
    </row>
    <row r="106" spans="2:21">
      <c r="B106" s="186"/>
      <c r="C106" s="186"/>
      <c r="D106" s="186"/>
      <c r="E106" s="186"/>
      <c r="F106" s="186"/>
      <c r="G106" s="186"/>
      <c r="H106" s="186"/>
      <c r="I106" s="186"/>
      <c r="J106" s="186"/>
      <c r="K106" s="186"/>
    </row>
    <row r="107" spans="2:21">
      <c r="B107" s="186"/>
      <c r="C107" s="186"/>
      <c r="D107" s="186"/>
      <c r="E107" s="186"/>
      <c r="F107" s="186"/>
      <c r="G107" s="186"/>
      <c r="H107" s="186"/>
      <c r="I107" s="186"/>
      <c r="J107" s="186"/>
      <c r="K107" s="186"/>
    </row>
    <row r="108" spans="2:21">
      <c r="B108" s="186"/>
      <c r="C108" s="186"/>
      <c r="D108" s="186"/>
      <c r="E108" s="186"/>
      <c r="F108" s="186"/>
      <c r="G108" s="186"/>
      <c r="H108" s="186"/>
      <c r="I108" s="186"/>
      <c r="J108" s="186"/>
      <c r="K108" s="186"/>
    </row>
    <row r="109" spans="2:21">
      <c r="B109" s="186"/>
      <c r="C109" s="186"/>
      <c r="D109" s="186"/>
      <c r="E109" s="186"/>
      <c r="F109" s="186"/>
      <c r="G109" s="186"/>
      <c r="H109" s="186"/>
      <c r="I109" s="186"/>
      <c r="J109" s="186"/>
      <c r="K109" s="186"/>
    </row>
    <row r="110" spans="2:21">
      <c r="B110" s="186"/>
      <c r="C110" s="186"/>
      <c r="D110" s="186"/>
      <c r="E110" s="186"/>
      <c r="F110" s="186"/>
      <c r="G110" s="186"/>
      <c r="H110" s="186"/>
      <c r="I110" s="186"/>
      <c r="J110" s="186"/>
      <c r="K110" s="186"/>
    </row>
    <row r="111" spans="2:21" s="186" customFormat="1">
      <c r="M111" s="39"/>
      <c r="N111" s="39"/>
      <c r="O111" s="39"/>
      <c r="P111" s="39"/>
      <c r="Q111" s="39"/>
      <c r="R111" s="39"/>
      <c r="S111" s="39"/>
      <c r="T111" s="39"/>
      <c r="U111" s="39"/>
    </row>
    <row r="112" spans="2:21" s="186" customFormat="1"/>
    <row r="113" spans="3:11" s="186" customFormat="1"/>
    <row r="114" spans="3:11" s="186" customFormat="1"/>
    <row r="115" spans="3:11" s="186" customFormat="1"/>
    <row r="116" spans="3:11" s="186" customFormat="1"/>
    <row r="117" spans="3:11" s="186" customFormat="1"/>
    <row r="118" spans="3:11" s="186" customFormat="1"/>
    <row r="119" spans="3:11" s="186" customFormat="1"/>
    <row r="120" spans="3:11" s="186" customFormat="1"/>
    <row r="121" spans="3:11" s="186" customFormat="1"/>
    <row r="122" spans="3:11" s="186" customFormat="1"/>
    <row r="123" spans="3:11" s="186" customFormat="1">
      <c r="C123" s="199"/>
      <c r="D123" s="199"/>
      <c r="E123" s="199"/>
      <c r="F123" s="199"/>
      <c r="G123" s="199"/>
      <c r="H123" s="199"/>
      <c r="I123" s="199"/>
      <c r="J123" s="199"/>
      <c r="K123" s="199"/>
    </row>
    <row r="124" spans="3:11" s="186" customFormat="1">
      <c r="D124" s="199"/>
      <c r="E124" s="199"/>
      <c r="F124" s="199"/>
      <c r="G124" s="199"/>
      <c r="H124" s="199"/>
      <c r="I124" s="199"/>
      <c r="J124" s="199"/>
      <c r="K124" s="199"/>
    </row>
    <row r="125" spans="3:11" s="186" customFormat="1"/>
    <row r="126" spans="3:11" s="186" customFormat="1"/>
    <row r="127" spans="3:11" s="186" customFormat="1"/>
    <row r="128" spans="3:11" s="186" customFormat="1"/>
    <row r="129" s="186" customFormat="1"/>
    <row r="130" s="186" customFormat="1"/>
    <row r="131" s="186" customFormat="1"/>
    <row r="132" s="186" customFormat="1"/>
    <row r="133" s="186" customFormat="1"/>
    <row r="134" s="186" customFormat="1"/>
    <row r="135" s="186" customFormat="1"/>
    <row r="136" s="186" customFormat="1"/>
    <row r="137" s="186" customFormat="1"/>
    <row r="138" s="186" customFormat="1"/>
    <row r="139" s="186" customFormat="1"/>
    <row r="140" s="186" customFormat="1"/>
    <row r="141" s="186" customFormat="1"/>
    <row r="142" s="186" customFormat="1"/>
    <row r="143" s="186" customFormat="1"/>
    <row r="144" s="186" customFormat="1"/>
    <row r="145" s="186" customFormat="1"/>
    <row r="146" s="186" customFormat="1"/>
    <row r="147" s="186" customFormat="1"/>
    <row r="148" s="186" customFormat="1"/>
    <row r="149" s="186" customFormat="1"/>
    <row r="150" s="186" customFormat="1"/>
    <row r="151" s="186" customFormat="1"/>
    <row r="152" s="186" customFormat="1"/>
    <row r="153" s="186" customFormat="1"/>
    <row r="154" s="186" customFormat="1"/>
    <row r="155" s="186" customFormat="1"/>
    <row r="156" s="186" customFormat="1"/>
    <row r="157" s="186" customFormat="1"/>
    <row r="158" s="186" customFormat="1"/>
    <row r="159" s="186" customFormat="1"/>
    <row r="160" s="186" customFormat="1"/>
    <row r="161" spans="3:11" s="186" customFormat="1"/>
    <row r="162" spans="3:11" s="186" customFormat="1"/>
    <row r="163" spans="3:11" s="186" customFormat="1"/>
    <row r="164" spans="3:11" s="186" customFormat="1">
      <c r="C164" s="430"/>
      <c r="D164" s="430"/>
      <c r="E164" s="430"/>
      <c r="F164" s="430"/>
      <c r="G164" s="430"/>
      <c r="H164" s="430"/>
      <c r="I164" s="430"/>
      <c r="J164" s="430"/>
      <c r="K164" s="430"/>
    </row>
    <row r="165" spans="3:11" s="186" customFormat="1">
      <c r="C165" s="199"/>
      <c r="D165" s="199"/>
      <c r="E165" s="199"/>
      <c r="F165" s="199"/>
      <c r="G165" s="199"/>
      <c r="H165" s="199"/>
      <c r="I165" s="199"/>
      <c r="J165" s="199"/>
      <c r="K165" s="199"/>
    </row>
    <row r="166" spans="3:11" s="186" customFormat="1">
      <c r="C166" s="430"/>
      <c r="D166" s="430"/>
      <c r="E166" s="430"/>
      <c r="F166" s="430"/>
      <c r="G166" s="430"/>
      <c r="H166" s="430"/>
      <c r="I166" s="430"/>
      <c r="J166" s="430"/>
      <c r="K166" s="430"/>
    </row>
    <row r="167" spans="3:11" s="186" customFormat="1">
      <c r="C167" s="199"/>
      <c r="D167" s="199"/>
      <c r="E167" s="199"/>
      <c r="F167" s="199"/>
      <c r="G167" s="199"/>
      <c r="H167" s="199"/>
      <c r="I167" s="199"/>
      <c r="J167" s="199"/>
      <c r="K167" s="199"/>
    </row>
    <row r="168" spans="3:11" s="186" customFormat="1">
      <c r="C168" s="430"/>
      <c r="D168" s="430"/>
      <c r="E168" s="430"/>
      <c r="F168" s="430"/>
      <c r="G168" s="430"/>
      <c r="H168" s="430"/>
      <c r="I168" s="430"/>
      <c r="J168" s="430"/>
      <c r="K168" s="430"/>
    </row>
    <row r="169" spans="3:11" s="186" customFormat="1">
      <c r="C169" s="199"/>
      <c r="D169" s="199"/>
      <c r="E169" s="199"/>
      <c r="F169" s="199"/>
      <c r="G169" s="199"/>
      <c r="H169" s="199"/>
      <c r="I169" s="199"/>
      <c r="J169" s="199"/>
      <c r="K169" s="199"/>
    </row>
    <row r="170" spans="3:11" s="186" customFormat="1"/>
    <row r="171" spans="3:11" s="186" customFormat="1"/>
    <row r="172" spans="3:11" s="186" customFormat="1"/>
    <row r="173" spans="3:11" s="186" customFormat="1"/>
    <row r="174" spans="3:11" s="186" customFormat="1"/>
    <row r="175" spans="3:11" s="186" customFormat="1">
      <c r="C175" s="219"/>
      <c r="D175" s="219"/>
      <c r="E175" s="219"/>
      <c r="F175" s="219"/>
      <c r="G175" s="219"/>
      <c r="H175" s="219"/>
      <c r="I175" s="219"/>
      <c r="J175" s="219"/>
      <c r="K175" s="219"/>
    </row>
    <row r="176" spans="3:11" s="186" customFormat="1">
      <c r="C176" s="219"/>
      <c r="D176" s="219"/>
      <c r="E176" s="219"/>
      <c r="F176" s="219"/>
      <c r="G176" s="219"/>
      <c r="H176" s="219"/>
      <c r="I176" s="219"/>
      <c r="J176" s="219"/>
      <c r="K176" s="219"/>
    </row>
    <row r="177" spans="2:11" s="186" customFormat="1"/>
    <row r="178" spans="2:11" s="186" customFormat="1"/>
    <row r="179" spans="2:11" s="186" customFormat="1"/>
    <row r="180" spans="2:11" s="186" customFormat="1"/>
    <row r="181" spans="2:11" s="186" customFormat="1"/>
    <row r="182" spans="2:11" s="186" customFormat="1"/>
    <row r="183" spans="2:11" s="186" customFormat="1">
      <c r="C183" s="191"/>
      <c r="D183" s="191"/>
      <c r="E183" s="191"/>
      <c r="F183" s="191"/>
      <c r="G183" s="191"/>
      <c r="H183" s="191"/>
      <c r="I183" s="191"/>
      <c r="J183" s="191"/>
      <c r="K183" s="191"/>
    </row>
    <row r="184" spans="2:11" s="186" customFormat="1"/>
    <row r="185" spans="2:11" s="186" customFormat="1">
      <c r="B185" s="65"/>
    </row>
    <row r="186" spans="2:11" s="186" customFormat="1">
      <c r="B186" s="431"/>
      <c r="C186" s="432"/>
      <c r="D186" s="432"/>
      <c r="E186" s="432"/>
      <c r="F186" s="432"/>
      <c r="G186" s="432"/>
      <c r="H186" s="432"/>
      <c r="I186" s="432"/>
      <c r="J186" s="432"/>
      <c r="K186" s="432"/>
    </row>
    <row r="187" spans="2:11" s="186" customFormat="1">
      <c r="B187" s="196"/>
      <c r="C187" s="432"/>
      <c r="D187" s="199"/>
      <c r="E187" s="199"/>
      <c r="F187" s="199"/>
      <c r="G187" s="199"/>
      <c r="H187" s="199"/>
      <c r="I187" s="199"/>
      <c r="J187" s="199"/>
      <c r="K187" s="199"/>
    </row>
    <row r="188" spans="2:11" s="186" customFormat="1">
      <c r="B188" s="431"/>
      <c r="C188" s="432"/>
      <c r="D188" s="432"/>
      <c r="E188" s="432"/>
      <c r="F188" s="432"/>
      <c r="G188" s="432"/>
      <c r="H188" s="432"/>
      <c r="I188" s="432"/>
      <c r="J188" s="432"/>
      <c r="K188" s="432"/>
    </row>
    <row r="189" spans="2:11" s="186" customFormat="1">
      <c r="B189" s="196"/>
      <c r="C189" s="432"/>
      <c r="D189" s="199"/>
      <c r="E189" s="199"/>
      <c r="F189" s="199"/>
      <c r="G189" s="199"/>
      <c r="H189" s="199"/>
      <c r="I189" s="199"/>
      <c r="J189" s="199"/>
      <c r="K189" s="199"/>
    </row>
    <row r="190" spans="2:11" s="186" customFormat="1">
      <c r="B190" s="431"/>
      <c r="C190" s="432"/>
      <c r="D190" s="432"/>
      <c r="E190" s="432"/>
      <c r="F190" s="432"/>
      <c r="G190" s="432"/>
      <c r="H190" s="432"/>
      <c r="I190" s="432"/>
      <c r="J190" s="432"/>
      <c r="K190" s="432"/>
    </row>
    <row r="191" spans="2:11" s="186" customFormat="1">
      <c r="B191" s="196"/>
      <c r="C191" s="432"/>
      <c r="D191" s="199"/>
      <c r="E191" s="199"/>
      <c r="F191" s="199"/>
      <c r="G191" s="199"/>
      <c r="H191" s="199"/>
      <c r="I191" s="199"/>
      <c r="J191" s="199"/>
      <c r="K191" s="199"/>
    </row>
    <row r="192" spans="2:11" s="186" customFormat="1">
      <c r="B192" s="196"/>
      <c r="C192" s="432"/>
      <c r="D192" s="432"/>
      <c r="E192" s="432"/>
      <c r="F192" s="432"/>
      <c r="G192" s="432"/>
      <c r="H192" s="432"/>
      <c r="I192" s="432"/>
      <c r="J192" s="432"/>
      <c r="K192" s="432"/>
    </row>
    <row r="193" spans="2:15" s="186" customFormat="1">
      <c r="B193" s="196"/>
      <c r="C193" s="432"/>
      <c r="D193" s="199"/>
      <c r="E193" s="199"/>
      <c r="F193" s="199"/>
      <c r="G193" s="199"/>
      <c r="H193" s="199"/>
      <c r="I193" s="199"/>
      <c r="J193" s="199"/>
      <c r="K193" s="199"/>
    </row>
    <row r="194" spans="2:15" s="186" customFormat="1">
      <c r="B194" s="196"/>
      <c r="C194" s="432"/>
      <c r="D194" s="432"/>
      <c r="E194" s="432"/>
      <c r="F194" s="432"/>
      <c r="G194" s="432"/>
      <c r="H194" s="432"/>
      <c r="I194" s="432"/>
      <c r="J194" s="432"/>
      <c r="K194" s="432"/>
      <c r="L194" s="432"/>
    </row>
    <row r="195" spans="2:15" s="186" customFormat="1">
      <c r="B195" s="196"/>
      <c r="C195" s="432"/>
      <c r="D195" s="199"/>
      <c r="E195" s="199"/>
      <c r="F195" s="199"/>
      <c r="G195" s="199"/>
      <c r="H195" s="199"/>
      <c r="I195" s="199"/>
      <c r="J195" s="199"/>
      <c r="K195" s="199"/>
      <c r="L195" s="432"/>
      <c r="M195" s="432"/>
      <c r="N195" s="432"/>
      <c r="O195" s="432"/>
    </row>
    <row r="196" spans="2:15" s="186" customFormat="1">
      <c r="B196" s="196"/>
      <c r="C196" s="432"/>
      <c r="D196" s="432"/>
      <c r="E196" s="432"/>
      <c r="F196" s="432"/>
      <c r="G196" s="432"/>
      <c r="H196" s="432"/>
      <c r="I196" s="432"/>
      <c r="J196" s="432"/>
      <c r="K196" s="432"/>
      <c r="L196" s="432"/>
      <c r="M196" s="432"/>
      <c r="N196" s="432"/>
      <c r="O196" s="432"/>
    </row>
    <row r="197" spans="2:15" s="186" customFormat="1">
      <c r="B197" s="196"/>
      <c r="C197" s="432"/>
      <c r="D197" s="432"/>
      <c r="E197" s="432"/>
      <c r="F197" s="432"/>
      <c r="G197" s="432"/>
      <c r="H197" s="432"/>
      <c r="I197" s="432"/>
      <c r="J197" s="432"/>
      <c r="K197" s="432"/>
      <c r="L197" s="432"/>
      <c r="M197" s="432"/>
      <c r="N197" s="432"/>
      <c r="O197" s="432"/>
    </row>
    <row r="198" spans="2:15" s="186" customFormat="1">
      <c r="B198" s="196"/>
      <c r="C198" s="432"/>
      <c r="D198" s="199"/>
      <c r="E198" s="199"/>
      <c r="F198" s="199"/>
      <c r="G198" s="199"/>
      <c r="H198" s="199"/>
      <c r="I198" s="199"/>
      <c r="J198" s="199"/>
      <c r="K198" s="199"/>
      <c r="L198" s="432"/>
      <c r="M198" s="432"/>
      <c r="N198" s="432"/>
      <c r="O198" s="432"/>
    </row>
    <row r="199" spans="2:15" s="186" customFormat="1">
      <c r="B199" s="196"/>
      <c r="C199" s="432"/>
      <c r="D199" s="432"/>
      <c r="E199" s="432"/>
      <c r="F199" s="432"/>
      <c r="G199" s="432"/>
      <c r="H199" s="432"/>
      <c r="I199" s="432"/>
      <c r="J199" s="432"/>
      <c r="K199" s="432"/>
      <c r="L199" s="432"/>
      <c r="M199" s="432"/>
      <c r="N199" s="432"/>
      <c r="O199" s="432"/>
    </row>
    <row r="200" spans="2:15" s="186" customFormat="1">
      <c r="B200" s="196"/>
      <c r="C200" s="432"/>
      <c r="D200" s="432"/>
      <c r="E200" s="432"/>
      <c r="F200" s="432"/>
      <c r="G200" s="432"/>
      <c r="H200" s="432"/>
      <c r="I200" s="432"/>
      <c r="J200" s="432"/>
      <c r="K200" s="432"/>
      <c r="L200" s="432"/>
      <c r="M200" s="432"/>
      <c r="N200" s="432"/>
      <c r="O200" s="432"/>
    </row>
    <row r="201" spans="2:15" s="186" customFormat="1">
      <c r="B201" s="196"/>
      <c r="C201" s="199"/>
      <c r="D201" s="199"/>
      <c r="E201" s="199"/>
      <c r="F201" s="199"/>
      <c r="G201" s="199"/>
      <c r="H201" s="199"/>
      <c r="I201" s="199"/>
      <c r="J201" s="199"/>
      <c r="K201" s="199"/>
      <c r="L201" s="432"/>
      <c r="M201" s="432"/>
      <c r="N201" s="432"/>
      <c r="O201" s="432"/>
    </row>
    <row r="202" spans="2:15" s="186" customFormat="1">
      <c r="L202" s="432"/>
      <c r="M202" s="432"/>
      <c r="N202" s="432"/>
      <c r="O202" s="432"/>
    </row>
    <row r="203" spans="2:15" s="186" customFormat="1">
      <c r="B203" s="196"/>
      <c r="L203" s="432"/>
      <c r="M203" s="432"/>
      <c r="N203" s="432"/>
      <c r="O203" s="432"/>
    </row>
    <row r="204" spans="2:15" s="186" customFormat="1">
      <c r="B204" s="65"/>
      <c r="C204" s="432"/>
      <c r="D204" s="432"/>
      <c r="E204" s="432"/>
      <c r="F204" s="432"/>
      <c r="G204" s="432"/>
      <c r="H204" s="432"/>
      <c r="I204" s="432"/>
      <c r="J204" s="432"/>
      <c r="K204" s="432"/>
      <c r="L204" s="432"/>
      <c r="M204" s="432"/>
      <c r="N204" s="432"/>
      <c r="O204" s="432"/>
    </row>
    <row r="205" spans="2:15" s="186" customFormat="1">
      <c r="B205" s="65"/>
      <c r="C205" s="199"/>
      <c r="D205" s="199"/>
      <c r="E205" s="199"/>
      <c r="F205" s="199"/>
      <c r="G205" s="199"/>
      <c r="H205" s="199"/>
      <c r="I205" s="199"/>
      <c r="J205" s="199"/>
      <c r="K205" s="199"/>
      <c r="M205" s="432"/>
      <c r="N205" s="432"/>
      <c r="O205" s="432"/>
    </row>
    <row r="206" spans="2:15" s="186" customFormat="1">
      <c r="B206" s="65"/>
      <c r="C206" s="432"/>
      <c r="D206" s="432"/>
      <c r="E206" s="432"/>
      <c r="F206" s="432"/>
      <c r="G206" s="432"/>
      <c r="H206" s="432"/>
      <c r="I206" s="432"/>
      <c r="J206" s="432"/>
      <c r="K206" s="432"/>
    </row>
    <row r="207" spans="2:15" s="186" customFormat="1">
      <c r="B207" s="65"/>
      <c r="C207" s="199"/>
      <c r="D207" s="199"/>
      <c r="E207" s="199"/>
      <c r="F207" s="199"/>
      <c r="G207" s="199"/>
      <c r="H207" s="199"/>
      <c r="I207" s="199"/>
      <c r="J207" s="199"/>
      <c r="K207" s="199"/>
      <c r="L207" s="432"/>
      <c r="M207" s="432"/>
    </row>
    <row r="208" spans="2:15" s="186" customFormat="1">
      <c r="B208" s="65"/>
      <c r="C208" s="432"/>
      <c r="D208" s="432"/>
      <c r="E208" s="432"/>
      <c r="F208" s="432"/>
      <c r="G208" s="432"/>
      <c r="H208" s="432"/>
      <c r="I208" s="432"/>
      <c r="J208" s="432"/>
      <c r="K208" s="432"/>
      <c r="L208" s="432"/>
      <c r="M208" s="432"/>
      <c r="N208" s="432"/>
      <c r="O208" s="432"/>
    </row>
    <row r="209" spans="2:15" s="186" customFormat="1">
      <c r="B209" s="65"/>
      <c r="C209" s="432"/>
      <c r="D209" s="432"/>
      <c r="E209" s="432"/>
      <c r="F209" s="432"/>
      <c r="G209" s="432"/>
      <c r="H209" s="432"/>
      <c r="I209" s="432"/>
      <c r="J209" s="432"/>
      <c r="K209" s="432"/>
      <c r="L209" s="432"/>
      <c r="M209" s="432"/>
      <c r="N209" s="432"/>
      <c r="O209" s="432"/>
    </row>
    <row r="210" spans="2:15" s="186" customFormat="1">
      <c r="B210" s="65"/>
      <c r="C210" s="199"/>
      <c r="D210" s="199"/>
      <c r="E210" s="199"/>
      <c r="F210" s="199"/>
      <c r="G210" s="199"/>
      <c r="H210" s="199"/>
      <c r="I210" s="199"/>
      <c r="J210" s="199"/>
      <c r="K210" s="199"/>
      <c r="M210" s="432"/>
      <c r="N210" s="432"/>
      <c r="O210" s="432"/>
    </row>
    <row r="211" spans="2:15" s="186" customFormat="1"/>
    <row r="212" spans="2:15" s="186" customFormat="1">
      <c r="C212" s="432"/>
      <c r="D212" s="432"/>
      <c r="E212" s="432"/>
      <c r="F212" s="432"/>
      <c r="G212" s="432"/>
      <c r="H212" s="432"/>
      <c r="I212" s="432"/>
      <c r="J212" s="432"/>
      <c r="K212" s="432"/>
    </row>
    <row r="213" spans="2:15" s="186" customFormat="1">
      <c r="C213" s="432"/>
      <c r="D213" s="432"/>
      <c r="E213" s="432"/>
      <c r="F213" s="432"/>
      <c r="G213" s="432"/>
      <c r="H213" s="432"/>
      <c r="I213" s="432"/>
      <c r="J213" s="432"/>
      <c r="K213" s="432"/>
    </row>
    <row r="214" spans="2:15" s="186" customFormat="1">
      <c r="C214" s="432"/>
      <c r="D214" s="432"/>
      <c r="E214" s="432"/>
      <c r="F214" s="432"/>
      <c r="G214" s="432"/>
      <c r="H214" s="432"/>
      <c r="I214" s="432"/>
      <c r="J214" s="432"/>
      <c r="K214" s="432"/>
    </row>
    <row r="215" spans="2:15" s="186" customFormat="1">
      <c r="C215" s="432"/>
      <c r="D215" s="432"/>
      <c r="E215" s="432"/>
      <c r="F215" s="432"/>
      <c r="G215" s="432"/>
      <c r="H215" s="432"/>
      <c r="I215" s="432"/>
      <c r="J215" s="432"/>
      <c r="K215" s="432"/>
    </row>
    <row r="216" spans="2:15" s="186" customFormat="1">
      <c r="C216" s="432"/>
      <c r="D216" s="432"/>
      <c r="E216" s="432"/>
      <c r="F216" s="432"/>
      <c r="G216" s="432"/>
      <c r="H216" s="432"/>
      <c r="I216" s="432"/>
      <c r="J216" s="432"/>
      <c r="K216" s="432"/>
    </row>
    <row r="217" spans="2:15" s="186" customFormat="1">
      <c r="C217" s="189"/>
      <c r="D217" s="189"/>
      <c r="E217" s="189"/>
      <c r="F217" s="189"/>
      <c r="G217" s="189"/>
      <c r="H217" s="189"/>
      <c r="I217" s="189"/>
      <c r="J217" s="189"/>
      <c r="K217" s="189"/>
    </row>
    <row r="218" spans="2:15" s="186" customFormat="1"/>
    <row r="219" spans="2:15" s="186" customFormat="1">
      <c r="C219" s="189"/>
      <c r="D219" s="189"/>
      <c r="E219" s="189"/>
      <c r="F219" s="189"/>
      <c r="G219" s="189"/>
      <c r="H219" s="189"/>
      <c r="I219" s="189"/>
      <c r="J219" s="189"/>
      <c r="K219" s="189"/>
    </row>
    <row r="220" spans="2:15" s="186" customFormat="1">
      <c r="C220" s="219"/>
      <c r="D220" s="219"/>
      <c r="E220" s="219"/>
      <c r="F220" s="219"/>
      <c r="G220" s="219"/>
      <c r="H220" s="219"/>
      <c r="I220" s="219"/>
      <c r="J220" s="219"/>
      <c r="K220" s="219"/>
    </row>
    <row r="221" spans="2:15" s="186" customFormat="1"/>
    <row r="222" spans="2:15" s="186" customFormat="1"/>
    <row r="223" spans="2:15" s="186" customFormat="1">
      <c r="B223" s="39"/>
      <c r="C223" s="39"/>
      <c r="D223" s="39"/>
      <c r="E223" s="39"/>
      <c r="F223" s="39"/>
      <c r="G223" s="39"/>
      <c r="H223" s="39"/>
      <c r="I223" s="39"/>
      <c r="J223" s="39"/>
      <c r="K223" s="39"/>
    </row>
    <row r="224" spans="2:15" s="186" customFormat="1">
      <c r="B224" s="39"/>
      <c r="C224" s="39"/>
      <c r="D224" s="39"/>
      <c r="E224" s="39"/>
      <c r="F224" s="39"/>
      <c r="G224" s="39"/>
      <c r="H224" s="39"/>
      <c r="I224" s="39"/>
      <c r="J224" s="39"/>
      <c r="K224" s="39"/>
    </row>
    <row r="225" spans="2:21" s="186" customFormat="1">
      <c r="B225" s="39"/>
      <c r="C225" s="39"/>
      <c r="D225" s="39"/>
      <c r="E225" s="39"/>
      <c r="F225" s="39"/>
      <c r="G225" s="39"/>
      <c r="H225" s="39"/>
      <c r="I225" s="39"/>
      <c r="J225" s="39"/>
      <c r="K225" s="39"/>
    </row>
    <row r="226" spans="2:21" s="186" customFormat="1">
      <c r="B226" s="39"/>
      <c r="C226" s="39"/>
      <c r="D226" s="39"/>
      <c r="E226" s="39"/>
      <c r="F226" s="39"/>
      <c r="G226" s="39"/>
      <c r="H226" s="39"/>
      <c r="I226" s="39"/>
      <c r="J226" s="39"/>
      <c r="K226" s="39"/>
    </row>
    <row r="227" spans="2:21" s="186" customFormat="1">
      <c r="B227" s="39"/>
      <c r="C227" s="39"/>
      <c r="D227" s="39"/>
      <c r="E227" s="39"/>
      <c r="F227" s="39"/>
      <c r="G227" s="39"/>
      <c r="H227" s="39"/>
      <c r="I227" s="39"/>
      <c r="J227" s="39"/>
      <c r="K227" s="39"/>
    </row>
    <row r="228" spans="2:21" s="186" customFormat="1">
      <c r="B228" s="39"/>
      <c r="C228" s="39"/>
      <c r="D228" s="39"/>
      <c r="E228" s="39"/>
      <c r="F228" s="39"/>
      <c r="G228" s="39"/>
      <c r="H228" s="39"/>
      <c r="I228" s="39"/>
      <c r="J228" s="39"/>
      <c r="K228" s="39"/>
    </row>
    <row r="229" spans="2:21" s="186" customFormat="1">
      <c r="B229" s="39"/>
      <c r="C229" s="39"/>
      <c r="D229" s="39"/>
      <c r="E229" s="39"/>
      <c r="F229" s="39"/>
      <c r="G229" s="39"/>
      <c r="H229" s="39"/>
      <c r="I229" s="39"/>
      <c r="J229" s="39"/>
      <c r="K229" s="39"/>
    </row>
    <row r="230" spans="2:21" s="186" customFormat="1">
      <c r="B230" s="39"/>
      <c r="C230" s="39"/>
      <c r="D230" s="39"/>
      <c r="E230" s="39"/>
      <c r="F230" s="39"/>
      <c r="G230" s="39"/>
      <c r="H230" s="39"/>
      <c r="I230" s="39"/>
      <c r="J230" s="39"/>
      <c r="K230" s="39"/>
    </row>
    <row r="231" spans="2:21">
      <c r="M231" s="186"/>
      <c r="N231" s="186"/>
      <c r="O231" s="186"/>
      <c r="P231" s="186"/>
      <c r="Q231" s="186"/>
      <c r="R231" s="186"/>
      <c r="S231" s="186"/>
      <c r="T231" s="186"/>
      <c r="U231" s="186"/>
    </row>
  </sheetData>
  <mergeCells count="4">
    <mergeCell ref="M96:S96"/>
    <mergeCell ref="W10:X10"/>
    <mergeCell ref="W11:X11"/>
    <mergeCell ref="W12:X12"/>
  </mergeCells>
  <phoneticPr fontId="19" type="noConversion"/>
  <dataValidations disablePrompts="1" count="1">
    <dataValidation type="list" allowBlank="1" showInputMessage="1" showErrorMessage="1" sqref="Z13">
      <formula1>$AF$1:$AY$1</formula1>
    </dataValidation>
  </dataValidations>
  <pageMargins left="0" right="0" top="0" bottom="0" header="0" footer="0"/>
  <pageSetup paperSize="9" scale="71" orientation="portrait" r:id="rId1"/>
  <headerFooter alignWithMargins="0"/>
  <drawing r:id="rId2"/>
  <extLst>
    <ext xmlns:x14="http://schemas.microsoft.com/office/spreadsheetml/2009/9/main" uri="{78C0D931-6437-407d-A8EE-F0AAD7539E65}">
      <x14:conditionalFormattings>
        <x14:conditionalFormatting xmlns:xm="http://schemas.microsoft.com/office/excel/2006/main">
          <x14:cfRule type="expression" priority="2" id="{607B9A7B-C518-488D-9281-A3A5A5E1F7B7}">
            <xm:f>SUM('BS, CF and P&amp;L'!$AD$173:$CC$173,'BS, CF and P&amp;L'!$AD$182:$CC$182)&lt;&gt;0</xm:f>
            <x14:dxf>
              <font>
                <color theme="0"/>
              </font>
              <fill>
                <patternFill>
                  <bgColor rgb="FFC00000"/>
                </patternFill>
              </fill>
            </x14:dxf>
          </x14:cfRule>
          <xm:sqref>W11</xm:sqref>
        </x14:conditionalFormatting>
        <x14:conditionalFormatting xmlns:xm="http://schemas.microsoft.com/office/excel/2006/main">
          <x14:cfRule type="expression" priority="1" id="{F615CF3C-56CB-49B6-9442-B4D9744F2EB9}">
            <xm:f>SUM('BS, CF and P&amp;L'!$AD$245:$CC$245)&lt;&gt;0</xm:f>
            <x14:dxf>
              <font>
                <color theme="0"/>
              </font>
              <fill>
                <patternFill>
                  <bgColor rgb="FFC00000"/>
                </patternFill>
              </fill>
            </x14:dxf>
          </x14:cfRule>
          <xm:sqref>W12</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92D050"/>
    <outlinePr summaryBelow="0"/>
    <pageSetUpPr fitToPage="1"/>
  </sheetPr>
  <dimension ref="A1:AE157"/>
  <sheetViews>
    <sheetView showGridLines="0" zoomScale="86" zoomScaleNormal="86" workbookViewId="0">
      <pane ySplit="13" topLeftCell="A14" activePane="bottomLeft" state="frozen"/>
      <selection activeCell="BE273" sqref="BE273"/>
      <selection pane="bottomLeft" activeCell="G28" sqref="G28"/>
    </sheetView>
  </sheetViews>
  <sheetFormatPr defaultRowHeight="12.75" outlineLevelRow="1"/>
  <cols>
    <col min="1" max="1" width="2.42578125" customWidth="1"/>
    <col min="2" max="2" width="34.5703125" customWidth="1"/>
    <col min="3" max="22" width="10.42578125" customWidth="1"/>
  </cols>
  <sheetData>
    <row r="1" spans="1:14">
      <c r="B1" s="695" t="s">
        <v>645</v>
      </c>
      <c r="D1" s="243"/>
      <c r="E1" s="243"/>
      <c r="F1" s="243"/>
    </row>
    <row r="2" spans="1:14">
      <c r="B2" s="695"/>
      <c r="D2" s="243"/>
      <c r="E2" s="244"/>
      <c r="F2" s="243"/>
    </row>
    <row r="3" spans="1:14">
      <c r="B3" s="242"/>
      <c r="C3" s="304"/>
      <c r="D3" s="305"/>
      <c r="E3" s="696" t="s">
        <v>633</v>
      </c>
      <c r="F3" s="696"/>
      <c r="G3" s="696" t="s">
        <v>634</v>
      </c>
      <c r="H3" s="696"/>
      <c r="I3" s="696" t="s">
        <v>635</v>
      </c>
      <c r="J3" s="696"/>
    </row>
    <row r="4" spans="1:14" ht="24">
      <c r="B4" s="579" t="s">
        <v>636</v>
      </c>
      <c r="C4" s="580" t="s">
        <v>648</v>
      </c>
      <c r="D4" s="581" t="s">
        <v>688</v>
      </c>
      <c r="E4" s="560" t="s">
        <v>382</v>
      </c>
      <c r="F4" s="560" t="s">
        <v>385</v>
      </c>
      <c r="G4" s="560" t="s">
        <v>382</v>
      </c>
      <c r="H4" s="560" t="s">
        <v>385</v>
      </c>
      <c r="I4" s="560" t="s">
        <v>382</v>
      </c>
      <c r="J4" s="560" t="s">
        <v>385</v>
      </c>
    </row>
    <row r="5" spans="1:14">
      <c r="B5" s="582" t="s">
        <v>12</v>
      </c>
      <c r="C5" s="583">
        <f>1/3</f>
        <v>0.33333333333333331</v>
      </c>
      <c r="D5" s="584">
        <f>J134</f>
        <v>6.0977667158685538</v>
      </c>
      <c r="E5" s="291">
        <f>((D5*D25)-D78-D79)/C147</f>
        <v>9.3380440372440638</v>
      </c>
      <c r="F5" s="291">
        <f>((D5*D25)-D78-D79)/D147</f>
        <v>8.7846139151284817</v>
      </c>
      <c r="G5" s="291">
        <f>((D5*D25)-D78-D79)/C148</f>
        <v>12.063860786697965</v>
      </c>
      <c r="H5" s="561">
        <f>((D5*D25)-D78-D79)/D148</f>
        <v>11.248639447727991</v>
      </c>
      <c r="I5" s="291">
        <f>+D5/C$149</f>
        <v>18.809999999999999</v>
      </c>
      <c r="J5" s="291">
        <f>+D5/D$149</f>
        <v>17.477178803657711</v>
      </c>
    </row>
    <row r="6" spans="1:14">
      <c r="B6" s="582" t="s">
        <v>637</v>
      </c>
      <c r="C6" s="583">
        <f>1/3</f>
        <v>0.33333333333333331</v>
      </c>
      <c r="D6" s="584">
        <f t="shared" ref="D6:D7" si="0">J135</f>
        <v>6.4058131635068927</v>
      </c>
      <c r="E6" s="291">
        <f>((D6*D25)-D79-D78)/C147</f>
        <v>9.8589570032597322</v>
      </c>
      <c r="F6" s="291">
        <f>((D6*D25)-D79-D78)/D147</f>
        <v>9.2746543638114183</v>
      </c>
      <c r="G6" s="291">
        <f>((D6*D25)-D78-D79)/C148</f>
        <v>12.736830573404353</v>
      </c>
      <c r="H6" s="561">
        <f>((D6*D25)-D78-D79)/D148</f>
        <v>11.876132969389106</v>
      </c>
      <c r="I6" s="291">
        <f>+D6/C$149</f>
        <v>19.760241941036902</v>
      </c>
      <c r="J6" s="291">
        <f>+D6/D$149</f>
        <v>18.360089399629892</v>
      </c>
    </row>
    <row r="7" spans="1:14">
      <c r="B7" s="582" t="s">
        <v>151</v>
      </c>
      <c r="C7" s="583">
        <f>1/3</f>
        <v>0.33333333333333331</v>
      </c>
      <c r="D7" s="585">
        <f t="shared" si="0"/>
        <v>6.1161989935103422</v>
      </c>
      <c r="E7" s="316">
        <f>((D7*D25)-D79-D78)/C147</f>
        <v>9.369213403066718</v>
      </c>
      <c r="F7" s="316">
        <f>((D7*D25)-D79-D78)/D147</f>
        <v>8.8139359919616318</v>
      </c>
      <c r="G7" s="316">
        <f>((D7*D25)-D78-D79)/C148</f>
        <v>12.104128629577527</v>
      </c>
      <c r="H7" s="562">
        <f>((D7*D25)-D78-D79)/D148</f>
        <v>11.286186171276839</v>
      </c>
      <c r="I7" s="316">
        <f>+D7/C$149</f>
        <v>18.866858708867916</v>
      </c>
      <c r="J7" s="316">
        <f>+D7/D$149</f>
        <v>17.530008671888954</v>
      </c>
    </row>
    <row r="8" spans="1:14">
      <c r="B8" s="586" t="s">
        <v>555</v>
      </c>
      <c r="C8" s="587">
        <f>SUM(C5:C7)</f>
        <v>1</v>
      </c>
      <c r="D8" s="588">
        <f>IFERROR((D5*C5)+(D6*C6)+(D7*C7),"")</f>
        <v>6.2065929576285956</v>
      </c>
      <c r="E8" s="317">
        <f>((D8*D25)-D79-D78)/D147</f>
        <v>8.9577347569671772</v>
      </c>
      <c r="F8" s="317">
        <f>((D8*D25)-D79-D78)/D147</f>
        <v>8.9577347569671772</v>
      </c>
      <c r="G8" s="317">
        <f>((D8*D25)-D78-D79)/'BS, CF and P&amp;L'!BE51</f>
        <v>12.674876446781452</v>
      </c>
      <c r="H8" s="563">
        <f>((D8*D25)-D78-D79)/'BS, CF and P&amp;L'!BH51</f>
        <v>12.301606663226613</v>
      </c>
      <c r="I8" s="317">
        <f>+D8/C$149</f>
        <v>19.145700216634939</v>
      </c>
      <c r="J8" s="317">
        <f>+D8/D$149</f>
        <v>17.789092291725517</v>
      </c>
    </row>
    <row r="9" spans="1:14">
      <c r="B9" s="589" t="s">
        <v>646</v>
      </c>
      <c r="C9" s="590"/>
      <c r="D9" s="591">
        <v>0</v>
      </c>
      <c r="E9" s="310"/>
      <c r="F9" s="310"/>
      <c r="G9" s="310"/>
      <c r="H9" s="310"/>
      <c r="I9" s="310"/>
      <c r="J9" s="310"/>
    </row>
    <row r="10" spans="1:14">
      <c r="B10" s="592" t="s">
        <v>33</v>
      </c>
      <c r="C10" s="593"/>
      <c r="D10" s="594">
        <f>D8*(1+D9)</f>
        <v>6.2065929576285956</v>
      </c>
      <c r="E10" s="310"/>
      <c r="F10" s="310"/>
      <c r="G10" s="310"/>
      <c r="H10" s="310"/>
      <c r="I10" s="310"/>
      <c r="J10" s="310"/>
    </row>
    <row r="11" spans="1:14">
      <c r="B11" s="595" t="s">
        <v>685</v>
      </c>
      <c r="C11" s="590"/>
      <c r="D11" s="596">
        <v>6</v>
      </c>
      <c r="E11" s="310"/>
      <c r="F11" s="310"/>
      <c r="G11" s="310"/>
      <c r="H11" s="310"/>
      <c r="I11" s="310"/>
      <c r="J11" s="310"/>
    </row>
    <row r="12" spans="1:14">
      <c r="B12" s="597" t="s">
        <v>647</v>
      </c>
      <c r="C12" s="598"/>
      <c r="D12" s="599">
        <f>D11/'Fin Sum'!U7-1</f>
        <v>-8.8145896656534939E-2</v>
      </c>
      <c r="E12" s="314"/>
      <c r="F12" s="305"/>
      <c r="G12" s="39"/>
      <c r="H12" s="39"/>
      <c r="I12" s="39"/>
      <c r="J12" s="39"/>
    </row>
    <row r="13" spans="1:14">
      <c r="B13" s="242"/>
      <c r="C13" s="245"/>
      <c r="D13" s="243"/>
      <c r="E13" s="243"/>
      <c r="F13" s="243"/>
    </row>
    <row r="14" spans="1:14" ht="18.75" customHeight="1">
      <c r="C14" s="26"/>
      <c r="D14" s="25"/>
      <c r="E14" s="27"/>
      <c r="F14" s="26"/>
      <c r="G14" s="28"/>
    </row>
    <row r="15" spans="1:14">
      <c r="A15" s="318" t="s">
        <v>17</v>
      </c>
      <c r="B15" s="318"/>
      <c r="C15" s="318"/>
      <c r="D15" s="318"/>
      <c r="E15" s="318"/>
      <c r="F15" s="318"/>
      <c r="G15" s="318"/>
      <c r="H15" s="318"/>
      <c r="I15" s="318"/>
      <c r="J15" s="318"/>
      <c r="K15" s="393"/>
      <c r="L15" s="393"/>
      <c r="M15" s="393"/>
      <c r="N15" s="393"/>
    </row>
    <row r="16" spans="1:14">
      <c r="A16" s="319"/>
      <c r="B16" s="319"/>
      <c r="C16" s="319"/>
      <c r="D16" s="319"/>
      <c r="E16" s="319"/>
      <c r="F16" s="319"/>
      <c r="G16" s="319"/>
      <c r="H16" s="319"/>
      <c r="I16" s="319"/>
      <c r="J16" s="319"/>
      <c r="K16" s="39"/>
    </row>
    <row r="17" spans="2:15">
      <c r="B17" s="320" t="s">
        <v>18</v>
      </c>
      <c r="C17" s="320"/>
      <c r="D17" s="320"/>
      <c r="E17" s="205"/>
      <c r="F17" s="205"/>
      <c r="G17" s="205"/>
      <c r="H17" s="205"/>
      <c r="I17" s="205"/>
      <c r="J17" s="205"/>
      <c r="K17" s="205"/>
      <c r="L17" s="205"/>
      <c r="M17" s="205"/>
      <c r="N17" s="205"/>
      <c r="O17" s="205"/>
    </row>
    <row r="18" spans="2:15">
      <c r="B18" s="321" t="s">
        <v>19</v>
      </c>
      <c r="C18" s="205"/>
      <c r="D18" s="322">
        <f ca="1">NOW()</f>
        <v>43162.020892129629</v>
      </c>
      <c r="E18" s="205"/>
      <c r="F18" s="205"/>
      <c r="G18" s="205"/>
      <c r="H18" s="205"/>
      <c r="I18" s="205"/>
      <c r="J18" s="205"/>
      <c r="K18" s="205"/>
      <c r="L18" s="205"/>
      <c r="M18" s="205"/>
      <c r="N18" s="205"/>
      <c r="O18" s="205"/>
    </row>
    <row r="19" spans="2:15">
      <c r="B19" s="321" t="s">
        <v>20</v>
      </c>
      <c r="C19" s="205"/>
      <c r="D19" s="323">
        <v>43100</v>
      </c>
      <c r="E19" s="205"/>
      <c r="F19" s="205"/>
      <c r="G19" s="205"/>
      <c r="H19" s="205"/>
      <c r="I19" s="205"/>
      <c r="J19" s="205"/>
      <c r="K19" s="205"/>
      <c r="L19" s="205"/>
      <c r="M19" s="205"/>
      <c r="N19" s="205"/>
      <c r="O19" s="205"/>
    </row>
    <row r="20" spans="2:15">
      <c r="B20" s="321" t="s">
        <v>21</v>
      </c>
      <c r="C20" s="205"/>
      <c r="D20" s="323">
        <v>43465</v>
      </c>
      <c r="E20" s="205"/>
      <c r="F20" s="205"/>
      <c r="G20" s="205"/>
      <c r="H20" s="205"/>
      <c r="I20" s="205"/>
      <c r="J20" s="205"/>
      <c r="K20" s="205"/>
      <c r="L20" s="205"/>
      <c r="M20" s="205"/>
      <c r="N20" s="205"/>
      <c r="O20" s="205"/>
    </row>
    <row r="21" spans="2:15">
      <c r="B21" s="321" t="s">
        <v>22</v>
      </c>
      <c r="C21" s="205"/>
      <c r="D21" s="324">
        <f ca="1">(D20-D18)/365</f>
        <v>0.83007974759005776</v>
      </c>
      <c r="E21" s="205"/>
      <c r="F21" s="205"/>
      <c r="G21" s="205"/>
      <c r="H21" s="205"/>
      <c r="I21" s="205"/>
      <c r="J21" s="205"/>
      <c r="K21" s="205"/>
      <c r="L21" s="205"/>
      <c r="M21" s="205"/>
      <c r="N21" s="205"/>
      <c r="O21" s="205"/>
    </row>
    <row r="22" spans="2:15">
      <c r="B22" s="205"/>
      <c r="C22" s="205"/>
      <c r="D22" s="205"/>
      <c r="E22" s="205"/>
      <c r="F22" s="205"/>
      <c r="G22" s="205"/>
      <c r="H22" s="205"/>
      <c r="I22" s="205"/>
      <c r="J22" s="205"/>
      <c r="K22" s="205"/>
      <c r="L22" s="205"/>
      <c r="M22" s="205"/>
      <c r="N22" s="205"/>
      <c r="O22" s="205"/>
    </row>
    <row r="23" spans="2:15">
      <c r="B23" s="320" t="s">
        <v>352</v>
      </c>
      <c r="C23" s="320"/>
      <c r="D23" s="320"/>
      <c r="E23" s="205"/>
      <c r="F23" s="205"/>
      <c r="G23" s="205"/>
      <c r="H23" s="205"/>
      <c r="I23" s="205"/>
      <c r="J23" s="205"/>
      <c r="K23" s="205"/>
      <c r="L23" s="205"/>
      <c r="M23" s="205"/>
      <c r="N23" s="22"/>
      <c r="O23" s="205"/>
    </row>
    <row r="24" spans="2:15" outlineLevel="1">
      <c r="B24" s="33" t="s">
        <v>48</v>
      </c>
      <c r="C24" s="205"/>
      <c r="D24" s="325">
        <f>'Fin Sum'!U7</f>
        <v>6.58</v>
      </c>
      <c r="E24" s="205"/>
      <c r="F24" s="205"/>
      <c r="G24" s="205"/>
      <c r="H24" s="205"/>
      <c r="I24" s="205"/>
      <c r="J24" s="205"/>
      <c r="K24" s="205"/>
      <c r="L24" s="1"/>
      <c r="M24" s="205"/>
      <c r="N24" s="22"/>
      <c r="O24" s="205"/>
    </row>
    <row r="25" spans="2:15" outlineLevel="1">
      <c r="B25" s="205" t="s">
        <v>98</v>
      </c>
      <c r="C25" s="205"/>
      <c r="D25" s="326">
        <f>'BS, CF and P&amp;L'!BE284</f>
        <v>650.06749200000002</v>
      </c>
      <c r="E25" s="205"/>
      <c r="F25" s="205"/>
      <c r="G25" s="205"/>
      <c r="H25" s="205"/>
      <c r="I25" s="205"/>
      <c r="J25" s="205"/>
      <c r="K25" s="205"/>
      <c r="L25" s="1"/>
      <c r="M25" s="205"/>
      <c r="N25" s="22"/>
      <c r="O25" s="205"/>
    </row>
    <row r="26" spans="2:15" outlineLevel="1">
      <c r="B26" s="205" t="s">
        <v>51</v>
      </c>
      <c r="C26" s="205"/>
      <c r="D26" s="327">
        <f>D24*D25</f>
        <v>4277.4440973600003</v>
      </c>
      <c r="E26" s="205"/>
      <c r="F26" s="205"/>
      <c r="G26" s="205"/>
      <c r="H26" s="205"/>
      <c r="I26" s="205"/>
      <c r="J26" s="205"/>
      <c r="K26" s="205"/>
      <c r="L26" s="1"/>
      <c r="M26" s="205"/>
      <c r="N26" s="22"/>
      <c r="O26" s="205"/>
    </row>
    <row r="27" spans="2:15" outlineLevel="1">
      <c r="B27" s="205" t="s">
        <v>416</v>
      </c>
      <c r="C27" s="205"/>
      <c r="D27" s="328">
        <f>'BS, CF and P&amp;L'!BE159</f>
        <v>371.59999999999997</v>
      </c>
      <c r="E27" s="205"/>
      <c r="F27" s="205"/>
      <c r="G27" s="205"/>
      <c r="H27" s="205"/>
      <c r="I27" s="205"/>
      <c r="J27" s="205"/>
      <c r="K27" s="205"/>
      <c r="L27" s="1"/>
      <c r="M27" s="205"/>
      <c r="N27" s="22"/>
      <c r="O27" s="205"/>
    </row>
    <row r="28" spans="2:15" outlineLevel="1">
      <c r="B28" s="205" t="s">
        <v>53</v>
      </c>
      <c r="C28" s="205"/>
      <c r="D28" s="329">
        <f>D26+D27</f>
        <v>4649.0440973600007</v>
      </c>
      <c r="E28" s="205"/>
      <c r="F28" s="205"/>
      <c r="G28" s="205"/>
      <c r="H28" s="205"/>
      <c r="I28" s="205"/>
      <c r="J28" s="205"/>
      <c r="K28" s="205"/>
      <c r="L28" s="1"/>
      <c r="M28" s="205"/>
      <c r="N28" s="22"/>
      <c r="O28" s="205"/>
    </row>
    <row r="29" spans="2:15" outlineLevel="1">
      <c r="B29" s="205" t="s">
        <v>71</v>
      </c>
      <c r="C29" s="205"/>
      <c r="D29" s="541">
        <v>2.5000000000000001E-2</v>
      </c>
      <c r="E29" s="205"/>
      <c r="F29" s="205"/>
      <c r="G29" s="205"/>
      <c r="H29" s="205"/>
      <c r="I29" s="205"/>
      <c r="J29" s="205"/>
      <c r="K29" s="205"/>
      <c r="L29" s="1"/>
      <c r="M29" s="205"/>
      <c r="N29" s="22"/>
      <c r="O29" s="205"/>
    </row>
    <row r="30" spans="2:15" outlineLevel="1">
      <c r="B30" s="205" t="s">
        <v>281</v>
      </c>
      <c r="C30" s="205"/>
      <c r="D30" s="417">
        <v>0.35</v>
      </c>
      <c r="E30" s="205"/>
      <c r="F30" s="205"/>
      <c r="G30" s="205"/>
      <c r="H30" s="205"/>
      <c r="I30" s="205"/>
      <c r="J30" s="205"/>
      <c r="K30" s="205"/>
      <c r="L30" s="205"/>
      <c r="M30" s="205"/>
      <c r="N30" s="205"/>
      <c r="O30" s="205"/>
    </row>
    <row r="31" spans="2:15" outlineLevel="1">
      <c r="B31" s="332" t="s">
        <v>280</v>
      </c>
      <c r="C31" s="205"/>
      <c r="D31" s="331">
        <f>(1-D30)</f>
        <v>0.65</v>
      </c>
      <c r="E31" s="205"/>
      <c r="F31" s="205"/>
      <c r="G31" s="205"/>
      <c r="H31" s="205"/>
      <c r="I31" s="205"/>
      <c r="J31" s="205"/>
      <c r="K31" s="205"/>
      <c r="L31" s="205"/>
      <c r="M31" s="205"/>
      <c r="N31" s="205"/>
      <c r="O31" s="205"/>
    </row>
    <row r="32" spans="2:15" outlineLevel="1">
      <c r="B32" s="205" t="s">
        <v>282</v>
      </c>
      <c r="C32" s="205"/>
      <c r="D32" s="330">
        <f>D30/D31</f>
        <v>0.53846153846153844</v>
      </c>
      <c r="E32" s="205"/>
      <c r="F32" s="205"/>
      <c r="G32" s="205"/>
      <c r="H32" s="205"/>
      <c r="I32" s="205"/>
      <c r="J32" s="205"/>
      <c r="K32" s="205"/>
      <c r="L32" s="205"/>
      <c r="M32" s="205"/>
      <c r="N32" s="205"/>
      <c r="O32" s="205"/>
    </row>
    <row r="33" spans="2:31" outlineLevel="1">
      <c r="B33" s="205" t="s">
        <v>283</v>
      </c>
      <c r="C33" s="205"/>
      <c r="D33" s="542">
        <v>1</v>
      </c>
      <c r="E33" s="205"/>
      <c r="F33" s="205"/>
      <c r="G33" s="205"/>
      <c r="H33" s="205"/>
      <c r="I33" s="205"/>
      <c r="J33" s="205"/>
      <c r="K33" s="205"/>
      <c r="L33" s="205"/>
      <c r="M33" s="205"/>
      <c r="N33" s="205"/>
      <c r="O33" s="205"/>
    </row>
    <row r="34" spans="2:31" outlineLevel="1">
      <c r="B34" s="205" t="s">
        <v>362</v>
      </c>
      <c r="C34" s="205"/>
      <c r="D34" s="333">
        <f>D37+D38</f>
        <v>6.5000000000000002E-2</v>
      </c>
      <c r="E34" s="205"/>
      <c r="F34" s="205"/>
      <c r="G34" s="205"/>
      <c r="H34" s="205"/>
      <c r="I34" s="205"/>
      <c r="J34" s="205"/>
      <c r="K34" s="205"/>
      <c r="L34" s="205"/>
      <c r="M34" s="205"/>
      <c r="N34" s="205"/>
      <c r="O34" s="205"/>
    </row>
    <row r="35" spans="2:31" outlineLevel="1">
      <c r="B35" s="205" t="s">
        <v>360</v>
      </c>
      <c r="C35" s="205"/>
      <c r="D35" s="333">
        <f>D33*D41+D37</f>
        <v>0.10250000000000001</v>
      </c>
      <c r="E35" s="205"/>
      <c r="F35" s="205"/>
      <c r="G35" s="205"/>
      <c r="H35" s="205"/>
      <c r="I35" s="205"/>
      <c r="J35" s="205"/>
      <c r="K35" s="205"/>
      <c r="L35" s="205"/>
      <c r="M35" s="205"/>
      <c r="N35" s="205"/>
      <c r="O35" s="205"/>
    </row>
    <row r="36" spans="2:31" outlineLevel="1">
      <c r="B36" s="205" t="s">
        <v>309</v>
      </c>
      <c r="C36" s="205"/>
      <c r="D36" s="333">
        <f>D35*D31</f>
        <v>6.6625000000000004E-2</v>
      </c>
      <c r="E36" s="205"/>
      <c r="F36" s="205"/>
      <c r="G36" s="205"/>
      <c r="H36" s="205"/>
      <c r="I36" s="205"/>
      <c r="J36" s="205"/>
      <c r="K36" s="205"/>
      <c r="L36" s="205"/>
      <c r="M36" s="205"/>
      <c r="N36" s="205"/>
      <c r="O36" s="205"/>
      <c r="S36" s="186"/>
      <c r="T36" s="186"/>
      <c r="U36" s="186"/>
      <c r="V36" s="186"/>
      <c r="W36" s="186"/>
      <c r="X36" s="186"/>
      <c r="Y36" s="186"/>
      <c r="Z36" s="186"/>
      <c r="AA36" s="186"/>
      <c r="AB36" s="186"/>
      <c r="AC36" s="186"/>
      <c r="AD36" s="186"/>
      <c r="AE36" s="186"/>
    </row>
    <row r="37" spans="2:31" outlineLevel="1">
      <c r="B37" s="205" t="s">
        <v>47</v>
      </c>
      <c r="C37" s="205"/>
      <c r="D37" s="541">
        <v>0.05</v>
      </c>
      <c r="E37" s="205"/>
      <c r="F37" s="205"/>
      <c r="G37" s="205"/>
      <c r="H37" s="205"/>
      <c r="I37" s="205"/>
      <c r="J37" s="205"/>
      <c r="K37" s="205"/>
      <c r="L37" s="205"/>
      <c r="M37" s="205"/>
      <c r="N37" s="205"/>
      <c r="O37" s="205"/>
      <c r="S37" s="186"/>
      <c r="T37" s="186"/>
      <c r="U37" s="186"/>
      <c r="V37" s="186"/>
      <c r="W37" s="186"/>
      <c r="X37" s="186"/>
      <c r="Y37" s="186"/>
      <c r="Z37" s="186"/>
      <c r="AA37" s="186"/>
      <c r="AB37" s="186"/>
      <c r="AC37" s="186"/>
      <c r="AD37" s="186"/>
      <c r="AE37" s="186"/>
    </row>
    <row r="38" spans="2:31" outlineLevel="1">
      <c r="B38" s="205" t="s">
        <v>49</v>
      </c>
      <c r="C38" s="205"/>
      <c r="D38" s="554">
        <v>1.4999999999999999E-2</v>
      </c>
      <c r="E38" s="205"/>
      <c r="F38" s="205"/>
      <c r="G38" s="205"/>
      <c r="H38" s="205"/>
      <c r="I38" s="205"/>
      <c r="J38" s="205"/>
      <c r="K38" s="205"/>
      <c r="L38" s="205"/>
      <c r="M38" s="205"/>
      <c r="N38" s="205"/>
      <c r="O38" s="205"/>
      <c r="S38" s="186"/>
      <c r="T38" s="186"/>
      <c r="U38" s="186"/>
      <c r="V38" s="186"/>
      <c r="W38" s="186"/>
      <c r="X38" s="186"/>
      <c r="Y38" s="186"/>
      <c r="Z38" s="186"/>
      <c r="AA38" s="186"/>
      <c r="AB38" s="186"/>
      <c r="AC38" s="186"/>
      <c r="AD38" s="186"/>
      <c r="AE38" s="186"/>
    </row>
    <row r="39" spans="2:31" outlineLevel="1">
      <c r="B39" s="205" t="s">
        <v>50</v>
      </c>
      <c r="C39" s="205"/>
      <c r="D39" s="330">
        <f>D37+D38</f>
        <v>6.5000000000000002E-2</v>
      </c>
      <c r="E39" s="205"/>
      <c r="F39" s="205"/>
      <c r="G39" s="205"/>
      <c r="H39" s="205"/>
      <c r="I39" s="205"/>
      <c r="J39" s="205"/>
      <c r="K39" s="205"/>
      <c r="L39" s="205"/>
      <c r="M39" s="205"/>
      <c r="N39" s="205"/>
      <c r="O39" s="205"/>
      <c r="S39" s="186"/>
      <c r="T39" s="186"/>
      <c r="U39" s="186"/>
      <c r="V39" s="186"/>
      <c r="W39" s="186"/>
      <c r="X39" s="186"/>
      <c r="Y39" s="186"/>
      <c r="Z39" s="186"/>
      <c r="AA39" s="186"/>
      <c r="AB39" s="186"/>
      <c r="AC39" s="186"/>
      <c r="AD39" s="186"/>
      <c r="AE39" s="186"/>
    </row>
    <row r="40" spans="2:31" outlineLevel="1">
      <c r="B40" s="205" t="s">
        <v>361</v>
      </c>
      <c r="C40" s="205"/>
      <c r="D40" s="43">
        <v>1</v>
      </c>
      <c r="E40" s="205"/>
      <c r="F40" s="205"/>
      <c r="G40" s="205"/>
      <c r="H40" s="205"/>
      <c r="I40" s="205"/>
      <c r="J40" s="205"/>
      <c r="K40" s="205"/>
      <c r="L40" s="205"/>
      <c r="M40" s="205"/>
      <c r="N40" s="205"/>
      <c r="O40" s="205"/>
      <c r="S40" s="186"/>
      <c r="T40" s="186"/>
      <c r="U40" s="186"/>
      <c r="V40" s="186"/>
      <c r="W40" s="186"/>
      <c r="X40" s="186"/>
      <c r="Y40" s="186"/>
      <c r="Z40" s="186"/>
      <c r="AA40" s="186"/>
      <c r="AB40" s="186"/>
      <c r="AC40" s="186"/>
      <c r="AD40" s="186"/>
      <c r="AE40" s="186"/>
    </row>
    <row r="41" spans="2:31" outlineLevel="1">
      <c r="B41" s="205" t="s">
        <v>52</v>
      </c>
      <c r="C41" s="205"/>
      <c r="D41" s="541">
        <v>5.2499999999999998E-2</v>
      </c>
      <c r="E41" s="205"/>
      <c r="F41" s="205"/>
      <c r="G41" s="205"/>
      <c r="H41" s="205"/>
      <c r="I41" s="205"/>
      <c r="J41" s="205"/>
      <c r="K41" s="205"/>
      <c r="L41" s="205"/>
      <c r="M41" s="205"/>
      <c r="N41" s="205"/>
      <c r="O41" s="205"/>
      <c r="S41" s="186"/>
      <c r="T41" s="186"/>
      <c r="U41" s="186"/>
      <c r="V41" s="186"/>
      <c r="W41" s="186"/>
      <c r="X41" s="186"/>
      <c r="Y41" s="186"/>
      <c r="Z41" s="186"/>
      <c r="AA41" s="186"/>
      <c r="AB41" s="186"/>
      <c r="AC41" s="186"/>
      <c r="AD41" s="186"/>
      <c r="AE41" s="186"/>
    </row>
    <row r="42" spans="2:31" outlineLevel="1">
      <c r="B42" s="205" t="s">
        <v>54</v>
      </c>
      <c r="C42" s="205"/>
      <c r="D42" s="417">
        <f>D37+(D40*D41)</f>
        <v>0.10250000000000001</v>
      </c>
      <c r="E42" s="205"/>
      <c r="F42" s="205"/>
      <c r="G42" s="205"/>
      <c r="H42" s="205"/>
      <c r="I42" s="205"/>
      <c r="J42" s="205"/>
      <c r="K42" s="205"/>
      <c r="L42" s="205"/>
      <c r="M42" s="205"/>
      <c r="N42" s="205"/>
      <c r="O42" s="205"/>
      <c r="S42" s="186"/>
      <c r="T42" s="186"/>
      <c r="U42" s="186"/>
      <c r="V42" s="186"/>
      <c r="W42" s="186"/>
      <c r="X42" s="186"/>
      <c r="Y42" s="186"/>
      <c r="Z42" s="186"/>
      <c r="AA42" s="186"/>
      <c r="AB42" s="186"/>
      <c r="AC42" s="186"/>
      <c r="AD42" s="186"/>
      <c r="AE42" s="186"/>
    </row>
    <row r="43" spans="2:31" ht="13.5" outlineLevel="1" thickBot="1">
      <c r="B43" s="205" t="s">
        <v>402</v>
      </c>
      <c r="C43" s="205"/>
      <c r="D43" s="389">
        <v>0.3</v>
      </c>
      <c r="E43" s="205"/>
      <c r="F43" s="205"/>
      <c r="G43" s="205"/>
      <c r="H43" s="205"/>
      <c r="I43" s="205"/>
      <c r="J43" s="205"/>
      <c r="K43" s="205"/>
      <c r="L43" s="205"/>
      <c r="M43" s="205"/>
      <c r="N43" s="205"/>
      <c r="O43" s="205"/>
      <c r="S43" s="186"/>
      <c r="T43" s="186"/>
      <c r="U43" s="186"/>
      <c r="V43" s="186"/>
      <c r="W43" s="186"/>
      <c r="X43" s="186"/>
      <c r="Y43" s="186"/>
      <c r="Z43" s="186"/>
      <c r="AA43" s="186"/>
      <c r="AB43" s="186"/>
      <c r="AC43" s="186"/>
      <c r="AD43" s="186"/>
      <c r="AE43" s="186"/>
    </row>
    <row r="44" spans="2:31" ht="13.5" thickBot="1">
      <c r="B44" s="373" t="s">
        <v>103</v>
      </c>
      <c r="C44" s="10"/>
      <c r="D44" s="335">
        <f>((1-D43)*D34)*D30+D36</f>
        <v>8.2549999999999998E-2</v>
      </c>
      <c r="E44" s="205"/>
      <c r="F44" s="205"/>
      <c r="G44" s="205"/>
      <c r="H44" s="205"/>
      <c r="I44" s="205"/>
      <c r="J44" s="205"/>
      <c r="K44" s="205"/>
      <c r="L44" s="205"/>
      <c r="M44" s="205"/>
      <c r="N44" s="205"/>
      <c r="O44" s="205"/>
      <c r="S44" s="186"/>
      <c r="T44" s="186"/>
      <c r="U44" s="186"/>
      <c r="V44" s="186"/>
      <c r="W44" s="186"/>
      <c r="X44" s="186"/>
      <c r="Y44" s="186"/>
      <c r="Z44" s="186"/>
      <c r="AA44" s="186"/>
      <c r="AB44" s="186"/>
      <c r="AC44" s="186"/>
      <c r="AD44" s="186"/>
      <c r="AE44" s="186"/>
    </row>
    <row r="45" spans="2:31">
      <c r="B45" s="205"/>
      <c r="C45" s="205"/>
      <c r="D45" s="205"/>
      <c r="E45" s="205"/>
      <c r="F45" s="205"/>
      <c r="G45" s="205"/>
      <c r="H45" s="205"/>
      <c r="I45" s="205"/>
      <c r="J45" s="205"/>
      <c r="K45" s="205"/>
      <c r="L45" s="205"/>
      <c r="M45" s="205"/>
      <c r="N45" s="205"/>
      <c r="O45" s="205"/>
      <c r="S45" s="186"/>
      <c r="T45" s="186"/>
      <c r="U45" s="186"/>
      <c r="V45" s="186"/>
      <c r="W45" s="186"/>
      <c r="X45" s="186"/>
      <c r="Y45" s="186"/>
      <c r="Z45" s="186"/>
      <c r="AA45" s="186"/>
      <c r="AB45" s="186"/>
      <c r="AC45" s="186"/>
      <c r="AD45" s="186"/>
      <c r="AE45" s="186"/>
    </row>
    <row r="46" spans="2:31">
      <c r="B46" s="320" t="s">
        <v>23</v>
      </c>
      <c r="C46" s="320"/>
      <c r="D46" s="320"/>
      <c r="E46" s="374"/>
      <c r="F46" s="374" t="s">
        <v>548</v>
      </c>
      <c r="G46" s="374" t="s">
        <v>549</v>
      </c>
      <c r="H46" s="374" t="s">
        <v>550</v>
      </c>
      <c r="I46" s="374" t="s">
        <v>551</v>
      </c>
      <c r="J46" s="374" t="s">
        <v>649</v>
      </c>
      <c r="K46" s="374" t="s">
        <v>650</v>
      </c>
      <c r="L46" s="374" t="s">
        <v>651</v>
      </c>
      <c r="M46" s="374" t="s">
        <v>652</v>
      </c>
      <c r="N46" s="374" t="s">
        <v>24</v>
      </c>
      <c r="S46" s="186"/>
      <c r="T46" s="276"/>
      <c r="U46" s="186"/>
      <c r="V46" s="186"/>
      <c r="W46" s="277"/>
      <c r="X46" s="277"/>
      <c r="Y46" s="277"/>
      <c r="Z46" s="277"/>
      <c r="AA46" s="277"/>
      <c r="AB46" s="277"/>
      <c r="AC46" s="277"/>
      <c r="AD46" s="277"/>
      <c r="AE46" s="186"/>
    </row>
    <row r="47" spans="2:31">
      <c r="B47" s="205"/>
      <c r="C47" s="205"/>
      <c r="D47" s="205"/>
      <c r="E47" s="205"/>
      <c r="F47" s="205"/>
      <c r="G47" s="205"/>
      <c r="H47" s="205"/>
      <c r="I47" s="205"/>
      <c r="N47" s="23"/>
      <c r="S47" s="186"/>
      <c r="T47" s="51"/>
      <c r="U47" s="186"/>
      <c r="V47" s="186"/>
      <c r="W47" s="51"/>
      <c r="X47" s="51"/>
      <c r="Y47" s="51"/>
      <c r="Z47" s="51"/>
      <c r="AA47" s="51"/>
      <c r="AB47" s="51"/>
      <c r="AC47" s="51"/>
      <c r="AD47" s="51"/>
      <c r="AE47" s="186"/>
    </row>
    <row r="48" spans="2:31">
      <c r="B48" s="321" t="s">
        <v>440</v>
      </c>
      <c r="C48" s="205"/>
      <c r="D48" s="326"/>
      <c r="E48" s="326"/>
      <c r="F48" s="326">
        <f>'BS, CF and P&amp;L'!BH60-Segments!BH145-Segments!BH24</f>
        <v>261.56725125875738</v>
      </c>
      <c r="G48" s="326">
        <f>'BS, CF and P&amp;L'!BK60-Segments!BK145-Segments!BK24</f>
        <v>270.29937211427779</v>
      </c>
      <c r="H48" s="326">
        <f>'BS, CF and P&amp;L'!BN60-Segments!BN145-Segments!BN24</f>
        <v>285.05351263531981</v>
      </c>
      <c r="I48" s="326">
        <f>'BS, CF and P&amp;L'!BQ60-Segments!BQ145-Segments!BQ24</f>
        <v>301.35712952885854</v>
      </c>
      <c r="J48" s="326">
        <f>'BS, CF and P&amp;L'!BT60-Segments!BT145-Segments!BT24</f>
        <v>308.94107453656824</v>
      </c>
      <c r="K48" s="326">
        <f>'BS, CF and P&amp;L'!BW60-Segments!BW145-Segments!BW24</f>
        <v>334.58920419520143</v>
      </c>
      <c r="L48" s="326">
        <f>'BS, CF and P&amp;L'!BZ60-Segments!BZ145-Segments!BZ24</f>
        <v>349.03179545569037</v>
      </c>
      <c r="M48" s="326">
        <f>'BS, CF and P&amp;L'!CC60-Segments!CC145-Segments!CC24</f>
        <v>353.97840005313753</v>
      </c>
      <c r="N48" s="15">
        <f>M48</f>
        <v>353.97840005313753</v>
      </c>
      <c r="S48" s="186"/>
      <c r="T48" s="278"/>
      <c r="U48" s="186"/>
      <c r="V48" s="186"/>
      <c r="W48" s="248"/>
      <c r="X48" s="248"/>
      <c r="Y48" s="248"/>
      <c r="Z48" s="248"/>
      <c r="AA48" s="248"/>
      <c r="AB48" s="248"/>
      <c r="AC48" s="248"/>
      <c r="AD48" s="248"/>
      <c r="AE48" s="186"/>
    </row>
    <row r="49" spans="2:31">
      <c r="B49" s="321" t="s">
        <v>25</v>
      </c>
      <c r="C49" s="205"/>
      <c r="D49" s="205"/>
      <c r="E49" s="326"/>
      <c r="F49" s="326">
        <f>'BS, CF and P&amp;L'!BH70</f>
        <v>6.4466832181201837E-4</v>
      </c>
      <c r="G49" s="326">
        <f>'BS, CF and P&amp;L'!BK70</f>
        <v>5.0422703376140627E-6</v>
      </c>
      <c r="H49" s="326">
        <f>'BS, CF and P&amp;L'!BN70</f>
        <v>2.9362989629580332E-9</v>
      </c>
      <c r="I49" s="326">
        <f>'BS, CF and P&amp;L'!BQ70</f>
        <v>1.2278132761585214E-11</v>
      </c>
      <c r="J49" s="326">
        <f>'BS, CF and P&amp;L'!BT70</f>
        <v>-7.2699930575697861E-15</v>
      </c>
      <c r="K49" s="326">
        <f>'BS, CF and P&amp;L'!BW70</f>
        <v>-3.3266481755713065E-17</v>
      </c>
      <c r="L49" s="326">
        <f>'BS, CF and P&amp;L'!BZ70</f>
        <v>-1.919475939613793E-19</v>
      </c>
      <c r="M49" s="326">
        <f>'BS, CF and P&amp;L'!CC70</f>
        <v>-3.0062252384891457E-23</v>
      </c>
      <c r="N49" s="15">
        <f>M49</f>
        <v>-3.0062252384891457E-23</v>
      </c>
      <c r="S49" s="186"/>
      <c r="T49" s="278"/>
      <c r="U49" s="186"/>
      <c r="V49" s="186"/>
      <c r="W49" s="248"/>
      <c r="X49" s="248"/>
      <c r="Y49" s="248"/>
      <c r="Z49" s="248"/>
      <c r="AA49" s="248"/>
      <c r="AB49" s="248"/>
      <c r="AC49" s="248"/>
      <c r="AD49" s="248"/>
      <c r="AE49" s="186"/>
    </row>
    <row r="50" spans="2:31">
      <c r="B50" s="321" t="s">
        <v>26</v>
      </c>
      <c r="C50" s="205"/>
      <c r="D50" s="336"/>
      <c r="E50" s="336"/>
      <c r="F50" s="336">
        <f>D43</f>
        <v>0.3</v>
      </c>
      <c r="G50" s="336">
        <f t="shared" ref="G50:M50" si="1">F50</f>
        <v>0.3</v>
      </c>
      <c r="H50" s="336">
        <f t="shared" si="1"/>
        <v>0.3</v>
      </c>
      <c r="I50" s="336">
        <f t="shared" si="1"/>
        <v>0.3</v>
      </c>
      <c r="J50" s="336">
        <f t="shared" si="1"/>
        <v>0.3</v>
      </c>
      <c r="K50" s="336">
        <f t="shared" si="1"/>
        <v>0.3</v>
      </c>
      <c r="L50" s="336">
        <f t="shared" si="1"/>
        <v>0.3</v>
      </c>
      <c r="M50" s="336">
        <f t="shared" si="1"/>
        <v>0.3</v>
      </c>
      <c r="N50" s="336">
        <f>M50</f>
        <v>0.3</v>
      </c>
      <c r="S50" s="186"/>
      <c r="T50" s="278"/>
      <c r="U50" s="186"/>
      <c r="V50" s="186"/>
      <c r="W50" s="62"/>
      <c r="X50" s="62"/>
      <c r="Y50" s="62"/>
      <c r="Z50" s="62"/>
      <c r="AA50" s="62"/>
      <c r="AB50" s="62"/>
      <c r="AC50" s="62"/>
      <c r="AD50" s="62"/>
      <c r="AE50" s="186"/>
    </row>
    <row r="51" spans="2:31">
      <c r="B51" s="321" t="s">
        <v>159</v>
      </c>
      <c r="C51" s="205"/>
      <c r="D51" s="326"/>
      <c r="E51" s="326"/>
      <c r="F51" s="326">
        <f t="shared" ref="F51:N51" si="2">-(F48+F49)*F50</f>
        <v>-78.470368778123756</v>
      </c>
      <c r="G51" s="326">
        <f t="shared" si="2"/>
        <v>-81.089813146964431</v>
      </c>
      <c r="H51" s="326">
        <f t="shared" si="2"/>
        <v>-85.516053791476835</v>
      </c>
      <c r="I51" s="326">
        <f t="shared" si="2"/>
        <v>-90.407138858661241</v>
      </c>
      <c r="J51" s="326">
        <f t="shared" si="2"/>
        <v>-92.682322360970474</v>
      </c>
      <c r="K51" s="326">
        <f t="shared" si="2"/>
        <v>-100.37676125856042</v>
      </c>
      <c r="L51" s="326">
        <f t="shared" si="2"/>
        <v>-104.70953863670711</v>
      </c>
      <c r="M51" s="326">
        <f t="shared" si="2"/>
        <v>-106.19352001594126</v>
      </c>
      <c r="N51" s="326">
        <f t="shared" si="2"/>
        <v>-106.19352001594126</v>
      </c>
      <c r="S51" s="186"/>
      <c r="T51" s="278"/>
      <c r="U51" s="186"/>
      <c r="V51" s="186"/>
      <c r="W51" s="248"/>
      <c r="X51" s="248"/>
      <c r="Y51" s="248"/>
      <c r="Z51" s="248"/>
      <c r="AA51" s="248"/>
      <c r="AB51" s="248"/>
      <c r="AC51" s="248"/>
      <c r="AD51" s="248"/>
      <c r="AE51" s="186"/>
    </row>
    <row r="52" spans="2:31">
      <c r="B52" s="321" t="s">
        <v>157</v>
      </c>
      <c r="C52" s="205"/>
      <c r="D52" s="205"/>
      <c r="E52" s="326"/>
      <c r="F52" s="326">
        <f>'BS, CF and P&amp;L'!BH41</f>
        <v>86.86</v>
      </c>
      <c r="G52" s="326">
        <f>'BS, CF and P&amp;L'!BK41</f>
        <v>89.513374999999996</v>
      </c>
      <c r="H52" s="326">
        <f>'BS, CF and P&amp;L'!BN41</f>
        <v>91.336209374999996</v>
      </c>
      <c r="I52" s="326">
        <f>'BS, CF and P&amp;L'!BQ41</f>
        <v>93.204614609374985</v>
      </c>
      <c r="J52" s="326">
        <f>'BS, CF and P&amp;L'!BT41</f>
        <v>95.119729974609356</v>
      </c>
      <c r="K52" s="326">
        <f>'BS, CF and P&amp;L'!BW41</f>
        <v>97.082723223974583</v>
      </c>
      <c r="L52" s="326">
        <f>'BS, CF and P&amp;L'!BZ41</f>
        <v>99.094791304573945</v>
      </c>
      <c r="M52" s="326">
        <f>'BS, CF and P&amp;L'!CC41</f>
        <v>101.15716108718829</v>
      </c>
      <c r="N52" s="15">
        <f>M52</f>
        <v>101.15716108718829</v>
      </c>
      <c r="S52" s="186"/>
      <c r="T52" s="278"/>
      <c r="U52" s="186"/>
      <c r="V52" s="186"/>
      <c r="W52" s="248"/>
      <c r="X52" s="248"/>
      <c r="Y52" s="248"/>
      <c r="Z52" s="248"/>
      <c r="AA52" s="248"/>
      <c r="AB52" s="248"/>
      <c r="AC52" s="248"/>
      <c r="AD52" s="248"/>
      <c r="AE52" s="186"/>
    </row>
    <row r="53" spans="2:31">
      <c r="B53" s="321" t="s">
        <v>188</v>
      </c>
      <c r="C53" s="205"/>
      <c r="D53" s="326"/>
      <c r="E53" s="326"/>
      <c r="F53" s="326">
        <f>'BS, CF and P&amp;L'!BH126</f>
        <v>-11.915326823884186</v>
      </c>
      <c r="G53" s="326">
        <f>'BS, CF and P&amp;L'!BK126</f>
        <v>-3.512419507453842</v>
      </c>
      <c r="H53" s="326">
        <f>'BS, CF and P&amp;L'!BN126</f>
        <v>-7.5481565071828527</v>
      </c>
      <c r="I53" s="326">
        <f>'BS, CF and P&amp;L'!BQ126</f>
        <v>-6.6551858098919752</v>
      </c>
      <c r="J53" s="326">
        <f>'BS, CF and P&amp;L'!BT126</f>
        <v>-8.1902655176436383</v>
      </c>
      <c r="K53" s="326">
        <f>'BS, CF and P&amp;L'!BW126</f>
        <v>-10.778604374587758</v>
      </c>
      <c r="L53" s="326">
        <f>'BS, CF and P&amp;L'!BZ126</f>
        <v>-4.1042549115198881</v>
      </c>
      <c r="M53" s="326">
        <f>'BS, CF and P&amp;L'!CC126</f>
        <v>-4.1703335426616377</v>
      </c>
      <c r="N53" s="15"/>
      <c r="S53" s="186"/>
      <c r="T53" s="278"/>
      <c r="U53" s="186"/>
      <c r="V53" s="186"/>
      <c r="W53" s="248"/>
      <c r="X53" s="248"/>
      <c r="Y53" s="248"/>
      <c r="Z53" s="248"/>
      <c r="AA53" s="248"/>
      <c r="AB53" s="248"/>
      <c r="AC53" s="248"/>
      <c r="AD53" s="248"/>
      <c r="AE53" s="186"/>
    </row>
    <row r="54" spans="2:31">
      <c r="B54" s="321" t="s">
        <v>27</v>
      </c>
      <c r="C54" s="205"/>
      <c r="D54" s="205"/>
      <c r="E54" s="337"/>
      <c r="F54" s="337">
        <f>'BS, CF and P&amp;L'!BH132+'BS, CF and P&amp;L'!BH133+'BS, CF and P&amp;L'!BH135</f>
        <v>-105.12356097560976</v>
      </c>
      <c r="G54" s="337">
        <f>'BS, CF and P&amp;L'!BK132+'BS, CF and P&amp;L'!BK133+'BS, CF and P&amp;L'!BK135</f>
        <v>-72.265675914634144</v>
      </c>
      <c r="H54" s="337">
        <f>'BS, CF and P&amp;L'!BN132+'BS, CF and P&amp;L'!BN133+'BS, CF and P&amp;L'!BN135</f>
        <v>-73.737281227134147</v>
      </c>
      <c r="I54" s="337">
        <f>'BS, CF and P&amp;L'!BQ132+'BS, CF and P&amp;L'!BQ133+'BS, CF and P&amp;L'!BQ135</f>
        <v>-75.245676672446635</v>
      </c>
      <c r="J54" s="337">
        <f>'BS, CF and P&amp;L'!BT132+'BS, CF and P&amp;L'!BT133+'BS, CF and P&amp;L'!BT135</f>
        <v>-76.791782003891939</v>
      </c>
      <c r="K54" s="337">
        <f>'BS, CF and P&amp;L'!BW132+'BS, CF and P&amp;L'!BW133+'BS, CF and P&amp;L'!BW135</f>
        <v>-78.376539968623376</v>
      </c>
      <c r="L54" s="337">
        <f>'BS, CF and P&amp;L'!BZ132+'BS, CF and P&amp;L'!BZ133+'BS, CF and P&amp;L'!BZ135</f>
        <v>-80.000916882473106</v>
      </c>
      <c r="M54" s="337">
        <f>'BS, CF and P&amp;L'!CC132+'BS, CF and P&amp;L'!CC133+'BS, CF and P&amp;L'!CC135</f>
        <v>-81.665903219169081</v>
      </c>
      <c r="N54" s="15">
        <f>M54</f>
        <v>-81.665903219169081</v>
      </c>
      <c r="S54" s="186"/>
      <c r="T54" s="278"/>
      <c r="U54" s="186"/>
      <c r="V54" s="186"/>
      <c r="W54" s="281"/>
      <c r="X54" s="281"/>
      <c r="Y54" s="281"/>
      <c r="Z54" s="281"/>
      <c r="AA54" s="281"/>
      <c r="AB54" s="281"/>
      <c r="AC54" s="281"/>
      <c r="AD54" s="281"/>
      <c r="AE54" s="186"/>
    </row>
    <row r="55" spans="2:31">
      <c r="B55" s="338" t="s">
        <v>493</v>
      </c>
      <c r="C55" s="205"/>
      <c r="D55" s="205"/>
      <c r="E55" s="326"/>
      <c r="F55" s="326">
        <f>'BS, CF and P&amp;L'!BH128</f>
        <v>0.57147742230498011</v>
      </c>
      <c r="G55" s="326">
        <f>'BS, CF and P&amp;L'!BK128</f>
        <v>-0.17821288900321264</v>
      </c>
      <c r="H55" s="326">
        <f>'BS, CF and P&amp;L'!BN128</f>
        <v>-1.4882643247630511</v>
      </c>
      <c r="I55" s="326">
        <f>'BS, CF and P&amp;L'!BQ128</f>
        <v>-2.7382302324589816</v>
      </c>
      <c r="J55" s="326">
        <f>'BS, CF and P&amp;L'!BT128</f>
        <v>-3.9282976609738611</v>
      </c>
      <c r="K55" s="326">
        <f>'BS, CF and P&amp;L'!BW128</f>
        <v>-5.0586000320300997</v>
      </c>
      <c r="L55" s="326">
        <f>'BS, CF and P&amp;L'!BZ128</f>
        <v>-6.129214201459817</v>
      </c>
      <c r="M55" s="326">
        <f>'BS, CF and P&amp;L'!CC128</f>
        <v>-7.140157348066154</v>
      </c>
      <c r="N55" s="15">
        <f>M55</f>
        <v>-7.140157348066154</v>
      </c>
      <c r="S55" s="186"/>
      <c r="T55" s="282"/>
      <c r="U55" s="186"/>
      <c r="V55" s="186"/>
      <c r="W55" s="51"/>
      <c r="X55" s="51"/>
      <c r="Y55" s="51"/>
      <c r="Z55" s="51"/>
      <c r="AA55" s="51"/>
      <c r="AB55" s="51"/>
      <c r="AC55" s="51"/>
      <c r="AD55" s="51"/>
      <c r="AE55" s="186"/>
    </row>
    <row r="56" spans="2:31">
      <c r="B56" s="321" t="s">
        <v>28</v>
      </c>
      <c r="C56" s="205"/>
      <c r="D56" s="205"/>
      <c r="E56" s="205"/>
      <c r="F56" s="205">
        <f>'BS, CF and P&amp;L'!BH136+'BS, CF and P&amp;L'!BH143</f>
        <v>0</v>
      </c>
      <c r="G56" s="205">
        <f>'BS, CF and P&amp;L'!BK136+'BS, CF and P&amp;L'!BK143</f>
        <v>0</v>
      </c>
      <c r="H56" s="205">
        <f>'BS, CF and P&amp;L'!BN136+'BS, CF and P&amp;L'!BN143</f>
        <v>0</v>
      </c>
      <c r="I56" s="205">
        <f>'BS, CF and P&amp;L'!BQ136+'BS, CF and P&amp;L'!BQ143</f>
        <v>0</v>
      </c>
      <c r="J56" s="205">
        <f>'BS, CF and P&amp;L'!BT136+'BS, CF and P&amp;L'!BT143</f>
        <v>0</v>
      </c>
      <c r="K56" s="205">
        <f>'BS, CF and P&amp;L'!BW136+'BS, CF and P&amp;L'!BW143</f>
        <v>0</v>
      </c>
      <c r="L56" s="205">
        <f>'BS, CF and P&amp;L'!BZ136+'BS, CF and P&amp;L'!BZ143</f>
        <v>0</v>
      </c>
      <c r="M56" s="205">
        <f>'BS, CF and P&amp;L'!CC136+'BS, CF and P&amp;L'!CC143</f>
        <v>0</v>
      </c>
      <c r="N56" s="15">
        <f>M56</f>
        <v>0</v>
      </c>
      <c r="S56" s="186"/>
      <c r="T56" s="278"/>
      <c r="U56" s="186"/>
      <c r="V56" s="186"/>
      <c r="W56" s="51"/>
      <c r="X56" s="51"/>
      <c r="Y56" s="51"/>
      <c r="Z56" s="51"/>
      <c r="AA56" s="51"/>
      <c r="AB56" s="51"/>
      <c r="AC56" s="51"/>
      <c r="AD56" s="51"/>
      <c r="AE56" s="186"/>
    </row>
    <row r="57" spans="2:31">
      <c r="B57" s="339" t="s">
        <v>160</v>
      </c>
      <c r="C57" s="205"/>
      <c r="D57" s="340"/>
      <c r="E57" s="340"/>
      <c r="F57" s="340">
        <f t="shared" ref="F57:N57" si="3">SUM(F48:F56)-F50</f>
        <v>153.49011677176645</v>
      </c>
      <c r="G57" s="340">
        <f t="shared" si="3"/>
        <v>202.76663069849249</v>
      </c>
      <c r="H57" s="340">
        <f t="shared" si="3"/>
        <v>208.09996616269922</v>
      </c>
      <c r="I57" s="340">
        <f t="shared" si="3"/>
        <v>219.51551256478695</v>
      </c>
      <c r="J57" s="340">
        <f t="shared" si="3"/>
        <v>222.46813696769766</v>
      </c>
      <c r="K57" s="340">
        <f t="shared" si="3"/>
        <v>237.0814217853744</v>
      </c>
      <c r="L57" s="340">
        <f t="shared" si="3"/>
        <v>253.18266212810437</v>
      </c>
      <c r="M57" s="340">
        <f t="shared" si="3"/>
        <v>255.96564701448767</v>
      </c>
      <c r="N57" s="340">
        <f t="shared" si="3"/>
        <v>260.13598055714931</v>
      </c>
      <c r="Q57" s="14"/>
      <c r="S57" s="186"/>
      <c r="T57" s="283"/>
      <c r="U57" s="186"/>
      <c r="V57" s="186"/>
      <c r="W57" s="61"/>
      <c r="X57" s="61"/>
      <c r="Y57" s="61"/>
      <c r="Z57" s="61"/>
      <c r="AA57" s="61"/>
      <c r="AB57" s="61"/>
      <c r="AC57" s="61"/>
      <c r="AD57" s="61"/>
      <c r="AE57" s="186"/>
    </row>
    <row r="58" spans="2:31">
      <c r="B58" s="205"/>
      <c r="C58" s="205"/>
      <c r="D58" s="205"/>
      <c r="E58" s="205"/>
      <c r="F58" s="205"/>
      <c r="G58" s="205"/>
      <c r="H58" s="205"/>
      <c r="I58" s="205"/>
      <c r="N58" s="23"/>
      <c r="S58" s="186"/>
      <c r="T58" s="51"/>
      <c r="U58" s="186"/>
      <c r="V58" s="186"/>
      <c r="W58" s="51"/>
      <c r="X58" s="51"/>
      <c r="Y58" s="51"/>
      <c r="Z58" s="51"/>
      <c r="AA58" s="51"/>
      <c r="AB58" s="51"/>
      <c r="AC58" s="51"/>
      <c r="AD58" s="51"/>
      <c r="AE58" s="186"/>
    </row>
    <row r="59" spans="2:31">
      <c r="B59" s="341" t="s">
        <v>29</v>
      </c>
      <c r="C59" s="205"/>
      <c r="D59" s="342"/>
      <c r="E59" s="342"/>
      <c r="F59" s="342">
        <f ca="1">D21</f>
        <v>0.83007974759005776</v>
      </c>
      <c r="G59" s="342">
        <f t="shared" ref="G59:M59" ca="1" si="4">F59+1</f>
        <v>1.8300797475900579</v>
      </c>
      <c r="H59" s="342">
        <f t="shared" ca="1" si="4"/>
        <v>2.8300797475900579</v>
      </c>
      <c r="I59" s="342">
        <f t="shared" ca="1" si="4"/>
        <v>3.8300797475900579</v>
      </c>
      <c r="J59" s="342">
        <f t="shared" ca="1" si="4"/>
        <v>4.8300797475900579</v>
      </c>
      <c r="K59" s="342">
        <f t="shared" ca="1" si="4"/>
        <v>5.8300797475900579</v>
      </c>
      <c r="L59" s="342">
        <f t="shared" ca="1" si="4"/>
        <v>6.8300797475900579</v>
      </c>
      <c r="M59" s="342">
        <f t="shared" ca="1" si="4"/>
        <v>7.8300797475900579</v>
      </c>
      <c r="N59" s="342">
        <f ca="1">M59</f>
        <v>7.8300797475900579</v>
      </c>
      <c r="S59" s="186"/>
      <c r="T59" s="278"/>
      <c r="U59" s="186"/>
      <c r="V59" s="186"/>
      <c r="W59" s="54"/>
      <c r="X59" s="54"/>
      <c r="Y59" s="54"/>
      <c r="Z59" s="54"/>
      <c r="AA59" s="54"/>
      <c r="AB59" s="54"/>
      <c r="AC59" s="54"/>
      <c r="AD59" s="54"/>
      <c r="AE59" s="186"/>
    </row>
    <row r="60" spans="2:31">
      <c r="B60" s="341" t="s">
        <v>30</v>
      </c>
      <c r="C60" s="205"/>
      <c r="D60" s="205"/>
      <c r="E60" s="205"/>
      <c r="F60" s="205"/>
      <c r="G60" s="205"/>
      <c r="H60" s="205"/>
      <c r="I60" s="205"/>
      <c r="N60" s="23"/>
      <c r="S60" s="186"/>
      <c r="T60" s="278"/>
      <c r="U60" s="186"/>
      <c r="V60" s="186"/>
      <c r="W60" s="51"/>
      <c r="X60" s="51"/>
      <c r="Y60" s="51"/>
      <c r="Z60" s="51"/>
      <c r="AA60" s="51"/>
      <c r="AB60" s="51"/>
      <c r="AC60" s="51"/>
      <c r="AD60" s="51"/>
      <c r="AE60" s="186"/>
    </row>
    <row r="61" spans="2:31">
      <c r="B61" s="341" t="s">
        <v>103</v>
      </c>
      <c r="C61" s="205"/>
      <c r="D61" s="333"/>
      <c r="E61" s="333"/>
      <c r="F61" s="333">
        <f t="shared" ref="F61:N61" si="5">$D$44</f>
        <v>8.2549999999999998E-2</v>
      </c>
      <c r="G61" s="333">
        <f t="shared" si="5"/>
        <v>8.2549999999999998E-2</v>
      </c>
      <c r="H61" s="333">
        <f t="shared" si="5"/>
        <v>8.2549999999999998E-2</v>
      </c>
      <c r="I61" s="333">
        <f t="shared" si="5"/>
        <v>8.2549999999999998E-2</v>
      </c>
      <c r="J61" s="333">
        <f t="shared" si="5"/>
        <v>8.2549999999999998E-2</v>
      </c>
      <c r="K61" s="333">
        <f t="shared" si="5"/>
        <v>8.2549999999999998E-2</v>
      </c>
      <c r="L61" s="333">
        <f t="shared" si="5"/>
        <v>8.2549999999999998E-2</v>
      </c>
      <c r="M61" s="333">
        <f t="shared" si="5"/>
        <v>8.2549999999999998E-2</v>
      </c>
      <c r="N61" s="333">
        <f t="shared" si="5"/>
        <v>8.2549999999999998E-2</v>
      </c>
      <c r="S61" s="186"/>
      <c r="T61" s="278"/>
      <c r="U61" s="186"/>
      <c r="V61" s="186"/>
      <c r="W61" s="56"/>
      <c r="X61" s="56"/>
      <c r="Y61" s="56"/>
      <c r="Z61" s="56"/>
      <c r="AA61" s="56"/>
      <c r="AB61" s="56"/>
      <c r="AC61" s="56"/>
      <c r="AD61" s="56"/>
      <c r="AE61" s="186"/>
    </row>
    <row r="62" spans="2:31">
      <c r="B62" s="341" t="s">
        <v>31</v>
      </c>
      <c r="C62" s="205"/>
      <c r="D62" s="343"/>
      <c r="E62" s="343"/>
      <c r="F62" s="343">
        <f t="shared" ref="F62:N62" ca="1" si="6">1/((1+F61)^F59)</f>
        <v>0.93627934457835349</v>
      </c>
      <c r="G62" s="343">
        <f t="shared" ca="1" si="6"/>
        <v>0.86488323364126685</v>
      </c>
      <c r="H62" s="343">
        <f t="shared" ca="1" si="6"/>
        <v>0.79893144301996866</v>
      </c>
      <c r="I62" s="343">
        <f t="shared" ca="1" si="6"/>
        <v>0.73800881531566098</v>
      </c>
      <c r="J62" s="343">
        <f t="shared" ca="1" si="6"/>
        <v>0.68173185101442058</v>
      </c>
      <c r="K62" s="343">
        <f t="shared" ca="1" si="6"/>
        <v>0.62974629441080843</v>
      </c>
      <c r="L62" s="343">
        <f t="shared" ca="1" si="6"/>
        <v>0.58172490361720797</v>
      </c>
      <c r="M62" s="343">
        <f t="shared" ca="1" si="6"/>
        <v>0.53736539062141053</v>
      </c>
      <c r="N62" s="343">
        <f t="shared" ca="1" si="6"/>
        <v>0.53736539062141053</v>
      </c>
      <c r="S62" s="186"/>
      <c r="T62" s="278"/>
      <c r="U62" s="186"/>
      <c r="V62" s="186"/>
      <c r="W62" s="279"/>
      <c r="X62" s="279"/>
      <c r="Y62" s="279"/>
      <c r="Z62" s="279"/>
      <c r="AA62" s="279"/>
      <c r="AB62" s="279"/>
      <c r="AC62" s="279"/>
      <c r="AD62" s="279"/>
      <c r="AE62" s="186"/>
    </row>
    <row r="63" spans="2:31">
      <c r="B63" s="341"/>
      <c r="C63" s="205"/>
      <c r="D63" s="205"/>
      <c r="E63" s="205"/>
      <c r="F63" s="205"/>
      <c r="G63" s="205"/>
      <c r="H63" s="205"/>
      <c r="I63" s="205"/>
      <c r="N63" s="23"/>
      <c r="S63" s="186"/>
      <c r="T63" s="278"/>
      <c r="U63" s="186"/>
      <c r="V63" s="186"/>
      <c r="W63" s="51"/>
      <c r="X63" s="51"/>
      <c r="Y63" s="51"/>
      <c r="Z63" s="51"/>
      <c r="AA63" s="51"/>
      <c r="AB63" s="51"/>
      <c r="AC63" s="51"/>
      <c r="AD63" s="51"/>
      <c r="AE63" s="186"/>
    </row>
    <row r="64" spans="2:31">
      <c r="B64" s="344" t="s">
        <v>102</v>
      </c>
      <c r="C64" s="345"/>
      <c r="D64" s="346"/>
      <c r="E64" s="346"/>
      <c r="F64" s="346">
        <f t="shared" ref="F64:N64" ca="1" si="7">F62*F57</f>
        <v>143.70962593032445</v>
      </c>
      <c r="G64" s="346">
        <f t="shared" ca="1" si="7"/>
        <v>175.36945923305674</v>
      </c>
      <c r="H64" s="346">
        <f t="shared" ca="1" si="7"/>
        <v>166.25760625877194</v>
      </c>
      <c r="I64" s="346">
        <f t="shared" ca="1" si="7"/>
        <v>162.0043833713485</v>
      </c>
      <c r="J64" s="346">
        <f t="shared" ca="1" si="7"/>
        <v>151.66361480671816</v>
      </c>
      <c r="K64" s="346">
        <f t="shared" ca="1" si="7"/>
        <v>149.30114684298545</v>
      </c>
      <c r="L64" s="346">
        <f t="shared" ca="1" si="7"/>
        <v>147.28265972401965</v>
      </c>
      <c r="M64" s="346">
        <f t="shared" ca="1" si="7"/>
        <v>137.54707989360224</v>
      </c>
      <c r="N64" s="346">
        <f t="shared" ca="1" si="7"/>
        <v>139.7880728067762</v>
      </c>
      <c r="S64" s="186"/>
      <c r="T64" s="280"/>
      <c r="U64" s="186"/>
      <c r="V64" s="186"/>
      <c r="W64" s="53"/>
      <c r="X64" s="53"/>
      <c r="Y64" s="53"/>
      <c r="Z64" s="53"/>
      <c r="AA64" s="53"/>
      <c r="AB64" s="53"/>
      <c r="AC64" s="53"/>
      <c r="AD64" s="53"/>
      <c r="AE64" s="186"/>
    </row>
    <row r="65" spans="2:31">
      <c r="B65" s="205"/>
      <c r="C65" s="205"/>
      <c r="D65" s="205"/>
      <c r="E65" s="205"/>
      <c r="F65" s="205"/>
      <c r="G65" s="205"/>
      <c r="H65" s="205"/>
      <c r="I65" s="205"/>
      <c r="N65" s="23"/>
      <c r="S65" s="186"/>
      <c r="T65" s="51"/>
      <c r="U65" s="186"/>
      <c r="V65" s="186"/>
      <c r="W65" s="51"/>
      <c r="X65" s="51"/>
      <c r="Y65" s="51"/>
      <c r="Z65" s="51"/>
      <c r="AA65" s="51"/>
      <c r="AB65" s="51"/>
      <c r="AC65" s="51"/>
      <c r="AD65" s="51"/>
      <c r="AE65" s="186"/>
    </row>
    <row r="66" spans="2:31">
      <c r="B66" s="381" t="s">
        <v>32</v>
      </c>
      <c r="C66" s="345"/>
      <c r="D66" s="345"/>
      <c r="E66" s="345"/>
      <c r="F66" s="345"/>
      <c r="G66" s="345"/>
      <c r="H66" s="345"/>
      <c r="I66" s="345"/>
      <c r="J66" s="375"/>
      <c r="K66" s="375"/>
      <c r="L66" s="375"/>
      <c r="M66" s="375"/>
      <c r="N66" s="346">
        <f ca="1">N64/(D44-D29)</f>
        <v>2428.9847577198298</v>
      </c>
      <c r="S66" s="186"/>
      <c r="T66" s="280"/>
      <c r="U66" s="186"/>
      <c r="V66" s="186"/>
      <c r="W66" s="51"/>
      <c r="X66" s="51"/>
      <c r="Y66" s="51"/>
      <c r="Z66" s="51"/>
      <c r="AA66" s="51"/>
      <c r="AB66" s="51"/>
      <c r="AC66" s="51"/>
      <c r="AD66" s="210"/>
      <c r="AE66" s="186"/>
    </row>
    <row r="67" spans="2:31">
      <c r="B67" s="205"/>
      <c r="C67" s="205"/>
      <c r="D67" s="205"/>
      <c r="E67" s="205"/>
      <c r="F67" s="205"/>
      <c r="G67" s="205"/>
      <c r="H67" s="205"/>
      <c r="I67" s="205"/>
      <c r="J67" s="205"/>
      <c r="K67" s="205"/>
      <c r="L67" s="205"/>
      <c r="M67" s="205"/>
      <c r="N67" s="205"/>
      <c r="O67" s="205"/>
      <c r="S67" s="186"/>
      <c r="T67" s="186"/>
      <c r="U67" s="186"/>
      <c r="V67" s="186"/>
      <c r="W67" s="186"/>
      <c r="X67" s="186"/>
      <c r="Y67" s="186"/>
      <c r="Z67" s="186"/>
      <c r="AA67" s="186"/>
      <c r="AB67" s="186"/>
      <c r="AC67" s="186"/>
      <c r="AD67" s="186"/>
      <c r="AE67" s="186"/>
    </row>
    <row r="68" spans="2:31">
      <c r="B68" s="320" t="s">
        <v>33</v>
      </c>
      <c r="C68" s="320"/>
      <c r="D68" s="374" t="s">
        <v>34</v>
      </c>
      <c r="E68" s="374" t="s">
        <v>369</v>
      </c>
      <c r="F68" s="205"/>
      <c r="G68" s="205"/>
      <c r="H68" s="205"/>
      <c r="I68" s="205"/>
      <c r="J68" s="205"/>
      <c r="K68" s="205"/>
      <c r="L68" s="205"/>
      <c r="M68" s="205"/>
      <c r="N68" s="205"/>
      <c r="O68" s="205"/>
      <c r="Q68" s="19"/>
      <c r="S68" s="186"/>
      <c r="T68" s="276"/>
      <c r="U68" s="186"/>
      <c r="V68" s="186"/>
      <c r="W68" s="277"/>
      <c r="X68" s="277"/>
      <c r="Y68" s="186"/>
      <c r="Z68" s="186"/>
      <c r="AA68" s="186"/>
      <c r="AB68" s="186"/>
      <c r="AC68" s="186"/>
      <c r="AD68" s="186"/>
      <c r="AE68" s="186"/>
    </row>
    <row r="69" spans="2:31">
      <c r="B69" s="205"/>
      <c r="C69" s="205"/>
      <c r="D69" s="205"/>
      <c r="E69" s="205"/>
      <c r="F69" s="205"/>
      <c r="G69" s="205"/>
      <c r="H69" s="205"/>
      <c r="I69" s="205"/>
      <c r="J69" s="205"/>
      <c r="K69" s="205"/>
      <c r="L69" s="205"/>
      <c r="M69" s="205"/>
      <c r="N69" s="205"/>
      <c r="O69" s="205"/>
      <c r="Q69" s="19"/>
      <c r="S69" s="186"/>
      <c r="T69" s="186"/>
      <c r="U69" s="186"/>
      <c r="V69" s="186"/>
      <c r="W69" s="186"/>
      <c r="X69" s="186"/>
      <c r="Y69" s="186"/>
      <c r="Z69" s="186"/>
      <c r="AA69" s="186"/>
      <c r="AB69" s="186"/>
      <c r="AC69" s="186"/>
      <c r="AD69" s="186"/>
      <c r="AE69" s="186"/>
    </row>
    <row r="70" spans="2:31">
      <c r="B70" s="321" t="s">
        <v>35</v>
      </c>
      <c r="C70" s="205"/>
      <c r="D70" s="340">
        <f ca="1">SUM(E64:M64)</f>
        <v>1233.1355760608271</v>
      </c>
      <c r="E70" s="347">
        <f ca="1">D70/$D$88</f>
        <v>1.8969346894534869</v>
      </c>
      <c r="F70" s="205"/>
      <c r="G70" s="205"/>
      <c r="H70" s="205"/>
      <c r="I70" s="205"/>
      <c r="J70" s="205"/>
      <c r="K70" s="205"/>
      <c r="L70" s="205"/>
      <c r="M70" s="205"/>
      <c r="N70" s="205"/>
      <c r="O70" s="205"/>
      <c r="Q70" s="19"/>
      <c r="S70" s="186"/>
      <c r="T70" s="278"/>
      <c r="U70" s="186"/>
      <c r="V70" s="186"/>
      <c r="W70" s="61"/>
      <c r="X70" s="284"/>
      <c r="Y70" s="186"/>
      <c r="Z70" s="186"/>
      <c r="AA70" s="186"/>
      <c r="AB70" s="186"/>
      <c r="AC70" s="186"/>
      <c r="AD70" s="186"/>
      <c r="AE70" s="186"/>
    </row>
    <row r="71" spans="2:31">
      <c r="B71" s="321" t="s">
        <v>36</v>
      </c>
      <c r="C71" s="205"/>
      <c r="D71" s="326">
        <f ca="1">N66</f>
        <v>2428.9847577198298</v>
      </c>
      <c r="E71" s="347">
        <f ca="1">D71/$D$88</f>
        <v>3.7365116508853662</v>
      </c>
      <c r="F71" s="205"/>
      <c r="G71" s="205"/>
      <c r="H71" s="205"/>
      <c r="I71" s="205"/>
      <c r="J71" s="205"/>
      <c r="K71" s="205"/>
      <c r="L71" s="205"/>
      <c r="M71" s="205"/>
      <c r="N71" s="205"/>
      <c r="O71" s="205"/>
      <c r="Q71" s="19"/>
      <c r="S71" s="186"/>
      <c r="T71" s="278"/>
      <c r="U71" s="186"/>
      <c r="V71" s="186"/>
      <c r="W71" s="248"/>
      <c r="X71" s="284"/>
      <c r="Y71" s="186"/>
      <c r="Z71" s="186"/>
      <c r="AA71" s="186"/>
      <c r="AB71" s="186"/>
      <c r="AC71" s="186"/>
      <c r="AD71" s="186"/>
      <c r="AE71" s="186"/>
    </row>
    <row r="72" spans="2:31">
      <c r="B72" s="348" t="s">
        <v>37</v>
      </c>
      <c r="C72" s="205"/>
      <c r="D72" s="328">
        <f ca="1">SUM(D70:D71)</f>
        <v>3662.1203337806569</v>
      </c>
      <c r="E72" s="347">
        <f ca="1">D72/$D$88</f>
        <v>5.6334463403388533</v>
      </c>
      <c r="F72" s="205"/>
      <c r="G72" s="205"/>
      <c r="H72" s="205"/>
      <c r="I72" s="205"/>
      <c r="J72" s="205"/>
      <c r="K72" s="205"/>
      <c r="L72" s="205"/>
      <c r="M72" s="205"/>
      <c r="N72" s="205"/>
      <c r="O72" s="205"/>
      <c r="Q72" s="19"/>
      <c r="S72" s="186"/>
      <c r="T72" s="280"/>
      <c r="U72" s="186"/>
      <c r="V72" s="186"/>
      <c r="W72" s="55"/>
      <c r="X72" s="284"/>
      <c r="Y72" s="186"/>
      <c r="Z72" s="186"/>
      <c r="AA72" s="186"/>
      <c r="AB72" s="186"/>
      <c r="AC72" s="186"/>
      <c r="AD72" s="186"/>
      <c r="AE72" s="186"/>
    </row>
    <row r="73" spans="2:31">
      <c r="B73" s="348"/>
      <c r="C73" s="205"/>
      <c r="D73" s="328"/>
      <c r="E73" s="347"/>
      <c r="F73" s="205"/>
      <c r="G73" s="205"/>
      <c r="H73" s="205"/>
      <c r="I73" s="205"/>
      <c r="J73" s="205"/>
      <c r="K73" s="205"/>
      <c r="L73" s="205"/>
      <c r="M73" s="205"/>
      <c r="N73" s="205"/>
      <c r="O73" s="205"/>
      <c r="S73" s="186"/>
      <c r="T73" s="280"/>
      <c r="U73" s="186"/>
      <c r="V73" s="186"/>
      <c r="W73" s="55"/>
      <c r="X73" s="284"/>
      <c r="Y73" s="186"/>
      <c r="Z73" s="186"/>
      <c r="AA73" s="186"/>
      <c r="AB73" s="186"/>
      <c r="AC73" s="186"/>
      <c r="AD73" s="186"/>
      <c r="AE73" s="186"/>
    </row>
    <row r="74" spans="2:31">
      <c r="B74" s="321" t="s">
        <v>567</v>
      </c>
      <c r="C74" s="205"/>
      <c r="D74" s="349">
        <f>Segments!BH145*15</f>
        <v>539.93785810219492</v>
      </c>
      <c r="E74" s="347">
        <f>D74/$D$88</f>
        <v>0.83058738476680338</v>
      </c>
      <c r="F74" s="205"/>
      <c r="G74" s="205"/>
      <c r="H74" s="205"/>
      <c r="I74" s="205"/>
      <c r="J74" s="205"/>
      <c r="K74" s="205"/>
      <c r="L74" s="205"/>
      <c r="M74" s="205"/>
      <c r="N74" s="205"/>
      <c r="O74" s="205"/>
      <c r="S74" s="186"/>
      <c r="T74" s="278"/>
      <c r="U74" s="186"/>
      <c r="V74" s="186"/>
      <c r="W74" s="55"/>
      <c r="X74" s="284"/>
      <c r="Y74" s="186"/>
      <c r="Z74" s="186"/>
      <c r="AA74" s="186"/>
      <c r="AB74" s="186"/>
      <c r="AC74" s="186"/>
      <c r="AD74" s="186"/>
      <c r="AE74" s="186"/>
    </row>
    <row r="75" spans="2:31">
      <c r="B75" s="205" t="s">
        <v>545</v>
      </c>
      <c r="C75" s="205"/>
      <c r="D75" s="205">
        <v>150</v>
      </c>
      <c r="E75" s="347">
        <f>D75/$D$88</f>
        <v>0.2307452716001987</v>
      </c>
      <c r="F75" s="205"/>
      <c r="G75" s="205"/>
      <c r="H75" s="205"/>
      <c r="I75" s="205"/>
      <c r="J75" s="205"/>
      <c r="K75" s="205"/>
      <c r="L75" s="205"/>
      <c r="M75" s="205"/>
      <c r="N75" s="205"/>
      <c r="O75" s="205"/>
      <c r="S75" s="186"/>
      <c r="T75" s="51"/>
      <c r="U75" s="186"/>
      <c r="V75" s="186"/>
      <c r="W75" s="51"/>
      <c r="X75" s="284"/>
      <c r="Y75" s="186"/>
      <c r="Z75" s="186"/>
      <c r="AA75" s="186"/>
      <c r="AB75" s="186"/>
      <c r="AC75" s="186"/>
      <c r="AD75" s="186"/>
      <c r="AE75" s="186"/>
    </row>
    <row r="76" spans="2:31">
      <c r="B76" s="348" t="s">
        <v>38</v>
      </c>
      <c r="C76" s="205"/>
      <c r="D76" s="328">
        <f ca="1">D72+D74+D75</f>
        <v>4352.058191882852</v>
      </c>
      <c r="E76" s="347">
        <f ca="1">D76/$D$88</f>
        <v>6.694778996705856</v>
      </c>
      <c r="F76" s="6"/>
      <c r="G76" s="205"/>
      <c r="H76" s="205"/>
      <c r="I76" s="205"/>
      <c r="J76" s="205"/>
      <c r="K76" s="205"/>
      <c r="L76" s="205"/>
      <c r="M76" s="205"/>
      <c r="N76" s="205"/>
      <c r="O76" s="205"/>
      <c r="S76" s="186"/>
      <c r="T76" s="280"/>
      <c r="U76" s="186"/>
      <c r="V76" s="186"/>
      <c r="W76" s="55"/>
      <c r="X76" s="284"/>
      <c r="Y76" s="186"/>
      <c r="Z76" s="186"/>
      <c r="AA76" s="186"/>
      <c r="AB76" s="186"/>
      <c r="AC76" s="186"/>
      <c r="AD76" s="186"/>
      <c r="AE76" s="186"/>
    </row>
    <row r="77" spans="2:31">
      <c r="B77" s="321"/>
      <c r="C77" s="205"/>
      <c r="D77" s="205"/>
      <c r="E77" s="205"/>
      <c r="F77" s="205"/>
      <c r="G77" s="205"/>
      <c r="H77" s="205"/>
      <c r="I77" s="205"/>
      <c r="J77" s="205"/>
      <c r="K77" s="205"/>
      <c r="L77" s="205"/>
      <c r="M77" s="205"/>
      <c r="N77" s="205"/>
      <c r="O77" s="205"/>
      <c r="S77" s="186"/>
      <c r="T77" s="278"/>
      <c r="U77" s="186"/>
      <c r="V77" s="186"/>
      <c r="W77" s="51"/>
      <c r="X77" s="51"/>
      <c r="Y77" s="186"/>
      <c r="Z77" s="186"/>
      <c r="AA77" s="186"/>
      <c r="AB77" s="186"/>
      <c r="AC77" s="186"/>
      <c r="AD77" s="186"/>
      <c r="AE77" s="186"/>
    </row>
    <row r="78" spans="2:31">
      <c r="B78" s="321" t="s">
        <v>39</v>
      </c>
      <c r="C78" s="205"/>
      <c r="D78" s="326">
        <f>D27</f>
        <v>371.59999999999997</v>
      </c>
      <c r="E78" s="347">
        <f>D78/$D$88</f>
        <v>0.57163295284422555</v>
      </c>
      <c r="F78" s="205"/>
      <c r="G78" s="205"/>
      <c r="H78" s="205"/>
      <c r="I78" s="205"/>
      <c r="J78" s="205"/>
      <c r="K78" s="205"/>
      <c r="L78" s="205"/>
      <c r="M78" s="205"/>
      <c r="N78" s="205"/>
      <c r="O78" s="205"/>
      <c r="S78" s="186"/>
      <c r="T78" s="278"/>
      <c r="U78" s="186"/>
      <c r="V78" s="186"/>
      <c r="W78" s="248"/>
      <c r="X78" s="284"/>
      <c r="Y78" s="186"/>
      <c r="Z78" s="186"/>
      <c r="AA78" s="186"/>
      <c r="AB78" s="186"/>
      <c r="AC78" s="186"/>
      <c r="AD78" s="186"/>
      <c r="AE78" s="186"/>
    </row>
    <row r="79" spans="2:31">
      <c r="B79" s="321" t="s">
        <v>40</v>
      </c>
      <c r="C79" s="205"/>
      <c r="D79" s="326">
        <f>'BS, CF and P&amp;L'!BH242</f>
        <v>2.6</v>
      </c>
      <c r="E79" s="347">
        <f>D79/$D$88</f>
        <v>3.9995847077367776E-3</v>
      </c>
      <c r="F79" s="205"/>
      <c r="G79" s="205"/>
      <c r="H79" s="205"/>
      <c r="I79" s="205"/>
      <c r="J79" s="205"/>
      <c r="K79" s="205"/>
      <c r="L79" s="205"/>
      <c r="M79" s="205"/>
      <c r="N79" s="205"/>
      <c r="O79" s="205"/>
      <c r="S79" s="186"/>
      <c r="T79" s="278"/>
      <c r="U79" s="186"/>
      <c r="V79" s="186"/>
      <c r="W79" s="248"/>
      <c r="X79" s="284"/>
      <c r="Y79" s="186"/>
      <c r="Z79" s="186"/>
      <c r="AA79" s="186"/>
      <c r="AB79" s="186"/>
      <c r="AC79" s="186"/>
      <c r="AD79" s="186"/>
      <c r="AE79" s="186"/>
    </row>
    <row r="80" spans="2:31">
      <c r="B80" s="321" t="s">
        <v>41</v>
      </c>
      <c r="C80" s="205"/>
      <c r="D80" s="350"/>
      <c r="E80" s="347">
        <f>D80/$D$88</f>
        <v>0</v>
      </c>
      <c r="F80" s="205"/>
      <c r="G80" s="205"/>
      <c r="H80" s="205"/>
      <c r="I80" s="205"/>
      <c r="J80" s="205"/>
      <c r="K80" s="205"/>
      <c r="L80" s="205"/>
      <c r="M80" s="205"/>
      <c r="N80" s="205"/>
      <c r="O80" s="205"/>
      <c r="S80" s="186"/>
      <c r="T80" s="278"/>
      <c r="U80" s="186"/>
      <c r="V80" s="186"/>
      <c r="W80" s="248"/>
      <c r="X80" s="284"/>
      <c r="Y80" s="186"/>
      <c r="Z80" s="186"/>
      <c r="AA80" s="186"/>
      <c r="AB80" s="186"/>
      <c r="AC80" s="186"/>
      <c r="AD80" s="186"/>
      <c r="AE80" s="186"/>
    </row>
    <row r="81" spans="1:31">
      <c r="B81" s="321"/>
      <c r="C81" s="205"/>
      <c r="D81" s="205"/>
      <c r="E81" s="205"/>
      <c r="F81" s="205"/>
      <c r="G81" s="205"/>
      <c r="H81" s="205"/>
      <c r="I81" s="205"/>
      <c r="J81" s="205"/>
      <c r="K81" s="205"/>
      <c r="L81" s="205"/>
      <c r="M81" s="205"/>
      <c r="N81" s="205"/>
      <c r="O81" s="205"/>
      <c r="S81" s="186"/>
      <c r="T81" s="278"/>
      <c r="U81" s="186"/>
      <c r="V81" s="186"/>
      <c r="W81" s="51"/>
      <c r="X81" s="51"/>
      <c r="Y81" s="186"/>
      <c r="Z81" s="186"/>
      <c r="AA81" s="186"/>
      <c r="AB81" s="186"/>
      <c r="AC81" s="186"/>
      <c r="AD81" s="186"/>
      <c r="AE81" s="186"/>
    </row>
    <row r="82" spans="1:31">
      <c r="B82" s="348" t="s">
        <v>42</v>
      </c>
      <c r="C82" s="205"/>
      <c r="D82" s="326">
        <f>D79+D78+D80</f>
        <v>374.2</v>
      </c>
      <c r="E82" s="347">
        <f>D82/$D$88</f>
        <v>0.57563253755196231</v>
      </c>
      <c r="F82" s="205"/>
      <c r="G82" s="205"/>
      <c r="H82" s="205"/>
      <c r="I82" s="205"/>
      <c r="J82" s="205"/>
      <c r="K82" s="205"/>
      <c r="L82" s="205"/>
      <c r="M82" s="205"/>
      <c r="N82" s="205"/>
      <c r="O82" s="205"/>
      <c r="S82" s="186"/>
      <c r="T82" s="280"/>
      <c r="U82" s="186"/>
      <c r="V82" s="186"/>
      <c r="W82" s="248"/>
      <c r="X82" s="284"/>
      <c r="Y82" s="186"/>
      <c r="Z82" s="186"/>
      <c r="AA82" s="186"/>
      <c r="AB82" s="186"/>
      <c r="AC82" s="186"/>
      <c r="AD82" s="186"/>
      <c r="AE82" s="186"/>
    </row>
    <row r="83" spans="1:31">
      <c r="B83" s="321"/>
      <c r="C83" s="205"/>
      <c r="D83" s="205"/>
      <c r="E83" s="205"/>
      <c r="F83" s="205"/>
      <c r="G83" s="205"/>
      <c r="H83" s="205"/>
      <c r="I83" s="205"/>
      <c r="J83" s="205"/>
      <c r="K83" s="205"/>
      <c r="L83" s="205"/>
      <c r="M83" s="205"/>
      <c r="N83" s="205"/>
      <c r="O83" s="205"/>
      <c r="S83" s="186"/>
      <c r="T83" s="278"/>
      <c r="U83" s="186"/>
      <c r="V83" s="186"/>
      <c r="W83" s="51"/>
      <c r="X83" s="51"/>
      <c r="Y83" s="186"/>
      <c r="Z83" s="186"/>
      <c r="AA83" s="186"/>
      <c r="AB83" s="186"/>
      <c r="AC83" s="186"/>
      <c r="AD83" s="186"/>
      <c r="AE83" s="186"/>
    </row>
    <row r="84" spans="1:31">
      <c r="B84" s="321" t="s">
        <v>43</v>
      </c>
      <c r="C84" s="205"/>
      <c r="D84" s="350">
        <v>0</v>
      </c>
      <c r="E84" s="347">
        <f>D84/$D$88</f>
        <v>0</v>
      </c>
      <c r="F84" s="205"/>
      <c r="G84" s="205"/>
      <c r="H84" s="205"/>
      <c r="I84" s="205"/>
      <c r="J84" s="205"/>
      <c r="K84" s="205"/>
      <c r="L84" s="205"/>
      <c r="M84" s="205"/>
      <c r="N84" s="205"/>
      <c r="O84" s="205"/>
      <c r="S84" s="186"/>
      <c r="T84" s="278"/>
      <c r="U84" s="186"/>
      <c r="V84" s="186"/>
      <c r="W84" s="248"/>
      <c r="X84" s="284"/>
      <c r="Y84" s="186"/>
      <c r="Z84" s="186"/>
      <c r="AA84" s="186"/>
      <c r="AB84" s="186"/>
      <c r="AC84" s="186"/>
      <c r="AD84" s="186"/>
      <c r="AE84" s="186"/>
    </row>
    <row r="85" spans="1:31">
      <c r="B85" s="321"/>
      <c r="C85" s="205"/>
      <c r="D85" s="205"/>
      <c r="E85" s="205"/>
      <c r="F85" s="205"/>
      <c r="G85" s="205"/>
      <c r="H85" s="205"/>
      <c r="I85" s="205"/>
      <c r="J85" s="205"/>
      <c r="K85" s="205"/>
      <c r="L85" s="205"/>
      <c r="M85" s="205"/>
      <c r="N85" s="205"/>
      <c r="O85" s="205"/>
      <c r="S85" s="186"/>
      <c r="T85" s="278"/>
      <c r="U85" s="186"/>
      <c r="V85" s="186"/>
      <c r="W85" s="51"/>
      <c r="X85" s="51"/>
      <c r="Y85" s="186"/>
      <c r="Z85" s="186"/>
      <c r="AA85" s="186"/>
      <c r="AB85" s="186"/>
      <c r="AC85" s="186"/>
      <c r="AD85" s="186"/>
      <c r="AE85" s="186"/>
    </row>
    <row r="86" spans="1:31">
      <c r="B86" s="348" t="s">
        <v>44</v>
      </c>
      <c r="C86" s="205"/>
      <c r="D86" s="328">
        <f ca="1">D76-D82-D84</f>
        <v>3977.8581918828522</v>
      </c>
      <c r="E86" s="347">
        <f ca="1">D86/$D$88</f>
        <v>6.1191464591538933</v>
      </c>
      <c r="F86" s="205"/>
      <c r="G86" s="205"/>
      <c r="H86" s="205"/>
      <c r="I86" s="342"/>
      <c r="J86" s="205"/>
      <c r="K86" s="205"/>
      <c r="L86" s="205"/>
      <c r="M86" s="205"/>
      <c r="N86" s="205"/>
      <c r="O86" s="205"/>
      <c r="S86" s="186"/>
      <c r="T86" s="280"/>
      <c r="U86" s="186"/>
      <c r="V86" s="186"/>
      <c r="W86" s="55"/>
      <c r="X86" s="284"/>
      <c r="Y86" s="186"/>
      <c r="Z86" s="186"/>
      <c r="AA86" s="186"/>
      <c r="AB86" s="186"/>
      <c r="AC86" s="186"/>
      <c r="AD86" s="186"/>
      <c r="AE86" s="186"/>
    </row>
    <row r="87" spans="1:31">
      <c r="B87" s="321"/>
      <c r="C87" s="205"/>
      <c r="D87" s="205"/>
      <c r="E87" s="205"/>
      <c r="F87" s="205"/>
      <c r="G87" s="205"/>
      <c r="H87" s="205"/>
      <c r="I87" s="205"/>
      <c r="J87" s="205"/>
      <c r="K87" s="205"/>
      <c r="L87" s="205"/>
      <c r="M87" s="205"/>
      <c r="N87" s="205"/>
      <c r="O87" s="205"/>
      <c r="S87" s="186"/>
      <c r="T87" s="278"/>
      <c r="U87" s="186"/>
      <c r="V87" s="186"/>
      <c r="W87" s="51"/>
      <c r="X87" s="51"/>
      <c r="Y87" s="186"/>
      <c r="Z87" s="186"/>
      <c r="AA87" s="186"/>
      <c r="AB87" s="186"/>
      <c r="AC87" s="186"/>
      <c r="AD87" s="186"/>
      <c r="AE87" s="186"/>
    </row>
    <row r="88" spans="1:31">
      <c r="B88" s="321" t="s">
        <v>45</v>
      </c>
      <c r="C88" s="205"/>
      <c r="D88" s="326">
        <f>D25</f>
        <v>650.06749200000002</v>
      </c>
      <c r="E88" s="205"/>
      <c r="F88" s="205"/>
      <c r="G88" s="205"/>
      <c r="H88" s="205"/>
      <c r="I88" s="205"/>
      <c r="J88" s="205"/>
      <c r="K88" s="205"/>
      <c r="L88" s="205"/>
      <c r="M88" s="205"/>
      <c r="N88" s="205"/>
      <c r="O88" s="205"/>
      <c r="S88" s="186"/>
      <c r="T88" s="278"/>
      <c r="U88" s="186"/>
      <c r="V88" s="186"/>
      <c r="W88" s="248"/>
      <c r="X88" s="51"/>
      <c r="Y88" s="186"/>
      <c r="Z88" s="186"/>
      <c r="AA88" s="186"/>
      <c r="AB88" s="186"/>
      <c r="AC88" s="186"/>
      <c r="AD88" s="186"/>
      <c r="AE88" s="186"/>
    </row>
    <row r="89" spans="1:31">
      <c r="B89" s="321"/>
      <c r="C89" s="205"/>
      <c r="D89" s="205"/>
      <c r="E89" s="205"/>
      <c r="F89" s="205"/>
      <c r="G89" s="205"/>
      <c r="H89" s="205"/>
      <c r="I89" s="205"/>
      <c r="J89" s="205"/>
      <c r="K89" s="205"/>
      <c r="L89" s="205"/>
      <c r="M89" s="205"/>
      <c r="N89" s="205"/>
      <c r="O89" s="205"/>
      <c r="S89" s="186"/>
      <c r="T89" s="278"/>
      <c r="U89" s="186"/>
      <c r="V89" s="186"/>
      <c r="W89" s="51"/>
      <c r="X89" s="51"/>
      <c r="Y89" s="186"/>
      <c r="Z89" s="186"/>
      <c r="AA89" s="186"/>
      <c r="AB89" s="186"/>
      <c r="AC89" s="186"/>
      <c r="AD89" s="186"/>
      <c r="AE89" s="186"/>
    </row>
    <row r="90" spans="1:31">
      <c r="B90" s="377" t="s">
        <v>46</v>
      </c>
      <c r="C90" s="378"/>
      <c r="D90" s="379"/>
      <c r="E90" s="380">
        <f ca="1">E86</f>
        <v>6.1191464591538933</v>
      </c>
      <c r="F90" s="6"/>
      <c r="G90" s="205"/>
      <c r="H90" s="205"/>
      <c r="I90" s="205"/>
      <c r="J90" s="205"/>
      <c r="K90" s="205"/>
      <c r="L90" s="205"/>
      <c r="M90" s="205"/>
      <c r="N90" s="205"/>
      <c r="O90" s="205"/>
      <c r="S90" s="186"/>
      <c r="T90" s="285"/>
      <c r="U90" s="186"/>
      <c r="V90" s="186"/>
      <c r="W90" s="286"/>
      <c r="X90" s="287"/>
      <c r="Y90" s="186"/>
      <c r="Z90" s="186"/>
      <c r="AA90" s="186"/>
      <c r="AB90" s="186"/>
      <c r="AC90" s="186"/>
      <c r="AD90" s="186"/>
      <c r="AE90" s="186"/>
    </row>
    <row r="91" spans="1:31">
      <c r="B91" s="205"/>
      <c r="C91" s="205"/>
      <c r="D91" s="205"/>
      <c r="E91" s="205"/>
      <c r="F91" s="205"/>
      <c r="G91" s="205"/>
      <c r="H91" s="205"/>
      <c r="I91" s="205"/>
      <c r="J91" s="205"/>
      <c r="K91" s="205"/>
      <c r="L91" s="205"/>
      <c r="M91" s="205"/>
      <c r="N91" s="205"/>
      <c r="O91" s="205"/>
      <c r="S91" s="186"/>
      <c r="T91" s="186"/>
      <c r="U91" s="186"/>
      <c r="V91" s="186"/>
      <c r="W91" s="186"/>
      <c r="X91" s="186"/>
      <c r="Y91" s="186"/>
      <c r="Z91" s="186"/>
      <c r="AA91" s="186"/>
      <c r="AB91" s="186"/>
      <c r="AC91" s="186"/>
      <c r="AD91" s="186"/>
      <c r="AE91" s="186"/>
    </row>
    <row r="92" spans="1:31">
      <c r="A92" s="318" t="s">
        <v>664</v>
      </c>
      <c r="B92" s="318"/>
      <c r="C92" s="318"/>
      <c r="D92" s="318"/>
      <c r="E92" s="318"/>
      <c r="F92" s="318"/>
      <c r="G92" s="318"/>
      <c r="H92" s="318"/>
      <c r="I92" s="318"/>
      <c r="J92" s="318"/>
      <c r="K92" s="394"/>
      <c r="L92" s="394"/>
      <c r="M92" s="394"/>
      <c r="N92" s="395"/>
      <c r="O92" s="33"/>
      <c r="S92" s="186"/>
      <c r="T92" s="186"/>
      <c r="U92" s="186"/>
      <c r="V92" s="186"/>
      <c r="W92" s="186"/>
      <c r="X92" s="186"/>
      <c r="Y92" s="186"/>
      <c r="Z92" s="186"/>
      <c r="AA92" s="186"/>
      <c r="AB92" s="186"/>
      <c r="AC92" s="186"/>
      <c r="AD92" s="186"/>
      <c r="AE92" s="186"/>
    </row>
    <row r="93" spans="1:31">
      <c r="B93" s="205"/>
      <c r="C93" s="205"/>
      <c r="D93" s="205"/>
      <c r="E93" s="205"/>
      <c r="F93" s="205"/>
      <c r="G93" s="205"/>
      <c r="H93" s="205"/>
      <c r="I93" s="205"/>
      <c r="J93" s="205"/>
      <c r="K93" s="205"/>
      <c r="L93" s="205"/>
      <c r="M93" s="205"/>
      <c r="N93" s="33"/>
      <c r="O93" s="257"/>
      <c r="P93" s="39"/>
      <c r="Q93" s="39"/>
      <c r="R93" s="39"/>
      <c r="S93" s="186"/>
      <c r="T93" s="186"/>
      <c r="U93" s="186"/>
      <c r="V93" s="186"/>
      <c r="W93" s="186"/>
      <c r="X93" s="186"/>
      <c r="Y93" s="186"/>
      <c r="Z93" s="186"/>
      <c r="AA93" s="186"/>
      <c r="AB93" s="186"/>
      <c r="AC93" s="186"/>
      <c r="AD93" s="186"/>
      <c r="AE93" s="186"/>
    </row>
    <row r="94" spans="1:31">
      <c r="B94" s="384" t="s">
        <v>653</v>
      </c>
      <c r="C94" s="383"/>
      <c r="D94" s="383"/>
      <c r="E94" s="383"/>
      <c r="F94" s="383" t="s">
        <v>548</v>
      </c>
      <c r="G94" s="383" t="s">
        <v>549</v>
      </c>
      <c r="H94" s="383" t="s">
        <v>550</v>
      </c>
      <c r="J94" s="205"/>
      <c r="K94" s="58"/>
      <c r="L94" s="352"/>
      <c r="M94" s="352"/>
      <c r="N94" s="353"/>
      <c r="O94" s="550"/>
      <c r="P94" s="39"/>
      <c r="Q94" s="39"/>
      <c r="R94" s="39"/>
      <c r="S94" s="186"/>
      <c r="T94" s="186"/>
      <c r="U94" s="186"/>
      <c r="V94" s="186"/>
      <c r="W94" s="186"/>
      <c r="X94" s="186"/>
      <c r="Y94" s="186"/>
      <c r="Z94" s="186"/>
      <c r="AA94" s="186"/>
      <c r="AB94" s="186"/>
      <c r="AC94" s="186"/>
      <c r="AD94" s="186"/>
      <c r="AE94" s="186"/>
    </row>
    <row r="95" spans="1:31">
      <c r="B95" s="382" t="s">
        <v>654</v>
      </c>
      <c r="C95" s="354"/>
      <c r="D95" s="354"/>
      <c r="E95" s="354"/>
      <c r="F95" s="549">
        <v>20.9</v>
      </c>
      <c r="G95" s="549">
        <v>19.2</v>
      </c>
      <c r="H95" s="549">
        <v>18</v>
      </c>
      <c r="J95" s="205"/>
      <c r="K95" s="205"/>
      <c r="L95" s="352"/>
      <c r="M95" s="352"/>
      <c r="N95" s="353"/>
      <c r="O95" s="461"/>
      <c r="P95" s="39"/>
      <c r="Q95" s="39"/>
      <c r="R95" s="39"/>
      <c r="S95" s="186"/>
      <c r="T95" s="186"/>
      <c r="U95" s="186"/>
      <c r="V95" s="186"/>
      <c r="W95" s="186"/>
      <c r="X95" s="186"/>
      <c r="Y95" s="186"/>
      <c r="Z95" s="186"/>
      <c r="AA95" s="186"/>
      <c r="AB95" s="186"/>
      <c r="AC95" s="186"/>
      <c r="AD95" s="186"/>
      <c r="AE95" s="186"/>
    </row>
    <row r="96" spans="1:31">
      <c r="B96" s="43" t="s">
        <v>655</v>
      </c>
      <c r="C96" s="355"/>
      <c r="D96" s="355"/>
      <c r="E96" s="355"/>
      <c r="F96" s="549">
        <v>20.9</v>
      </c>
      <c r="G96" s="549">
        <v>19.2</v>
      </c>
      <c r="H96" s="549">
        <v>18</v>
      </c>
      <c r="J96" s="205"/>
      <c r="K96" s="205"/>
      <c r="L96" s="352"/>
      <c r="M96" s="352"/>
      <c r="N96" s="353"/>
      <c r="O96" s="550"/>
      <c r="P96" s="39"/>
      <c r="Q96" s="39"/>
      <c r="R96" s="39"/>
      <c r="S96" s="186"/>
      <c r="T96" s="186"/>
      <c r="U96" s="186"/>
      <c r="V96" s="186"/>
      <c r="W96" s="186"/>
      <c r="X96" s="186"/>
      <c r="Y96" s="186"/>
      <c r="Z96" s="186"/>
      <c r="AA96" s="186"/>
      <c r="AB96" s="186"/>
      <c r="AC96" s="186"/>
      <c r="AD96" s="186"/>
      <c r="AE96" s="186"/>
    </row>
    <row r="97" spans="1:31">
      <c r="B97" s="205"/>
      <c r="C97" s="205"/>
      <c r="D97" s="205"/>
      <c r="E97" s="205"/>
      <c r="F97" s="205"/>
      <c r="G97" s="205"/>
      <c r="H97" s="205"/>
      <c r="J97" s="205"/>
      <c r="K97" s="205"/>
      <c r="L97" s="205"/>
      <c r="M97" s="205"/>
      <c r="N97" s="33"/>
      <c r="O97" s="356"/>
      <c r="S97" s="186"/>
      <c r="T97" s="186"/>
      <c r="U97" s="186"/>
      <c r="V97" s="186"/>
      <c r="W97" s="186"/>
      <c r="X97" s="186"/>
      <c r="Y97" s="186"/>
      <c r="Z97" s="186"/>
      <c r="AA97" s="186"/>
      <c r="AB97" s="186"/>
      <c r="AC97" s="186"/>
      <c r="AD97" s="186"/>
      <c r="AE97" s="186"/>
    </row>
    <row r="98" spans="1:31">
      <c r="B98" s="384" t="s">
        <v>406</v>
      </c>
      <c r="C98" s="385"/>
      <c r="D98" s="386"/>
      <c r="E98" s="386"/>
      <c r="F98" s="387" t="str">
        <f>F94</f>
        <v>2018E</v>
      </c>
      <c r="G98" s="387" t="str">
        <f>G94</f>
        <v>2019E</v>
      </c>
      <c r="H98" s="387" t="str">
        <f>H94</f>
        <v>2020E</v>
      </c>
      <c r="J98" s="205"/>
      <c r="K98" s="205"/>
      <c r="L98" s="205"/>
      <c r="M98" s="205"/>
      <c r="N98" s="33"/>
      <c r="O98" s="357"/>
      <c r="S98" s="186"/>
      <c r="T98" s="186"/>
      <c r="U98" s="186"/>
      <c r="V98" s="186"/>
      <c r="W98" s="186"/>
      <c r="X98" s="186"/>
      <c r="Y98" s="186"/>
      <c r="Z98" s="186"/>
      <c r="AA98" s="186"/>
      <c r="AB98" s="186"/>
      <c r="AC98" s="186"/>
      <c r="AD98" s="186"/>
      <c r="AE98" s="186"/>
    </row>
    <row r="99" spans="1:31">
      <c r="B99" s="205" t="s">
        <v>569</v>
      </c>
      <c r="C99" s="205"/>
      <c r="D99" s="326"/>
      <c r="E99" s="326"/>
      <c r="F99" s="326">
        <f>'BS, CF and P&amp;L'!BH300</f>
        <v>32.417685889784977</v>
      </c>
      <c r="G99" s="326">
        <f>'BS, CF and P&amp;L'!BK300</f>
        <v>34.889880022240106</v>
      </c>
      <c r="H99" s="326">
        <f>'BS, CF and P&amp;L'!BN300</f>
        <v>36.878620764266692</v>
      </c>
      <c r="L99" s="205"/>
      <c r="M99" s="205"/>
      <c r="N99" s="33"/>
      <c r="O99" s="356"/>
      <c r="S99" s="186"/>
      <c r="T99" s="186"/>
      <c r="U99" s="186"/>
      <c r="V99" s="186"/>
      <c r="W99" s="186"/>
      <c r="X99" s="186"/>
      <c r="Y99" s="186"/>
      <c r="Z99" s="186"/>
      <c r="AA99" s="186"/>
      <c r="AB99" s="186"/>
      <c r="AC99" s="186"/>
      <c r="AD99" s="186"/>
      <c r="AE99" s="186"/>
    </row>
    <row r="100" spans="1:31">
      <c r="B100" s="43" t="s">
        <v>656</v>
      </c>
      <c r="C100" s="205"/>
      <c r="D100" s="205"/>
      <c r="E100" s="205"/>
      <c r="F100" s="549">
        <f>F96</f>
        <v>20.9</v>
      </c>
      <c r="G100" s="549">
        <f>G96</f>
        <v>19.2</v>
      </c>
      <c r="H100" s="549">
        <f>H96</f>
        <v>18</v>
      </c>
      <c r="J100" s="205"/>
      <c r="K100" s="205"/>
      <c r="L100" s="1"/>
      <c r="M100" s="1"/>
      <c r="N100" s="9"/>
      <c r="O100" s="358"/>
      <c r="S100" s="186"/>
      <c r="T100" s="186"/>
      <c r="U100" s="186"/>
      <c r="V100" s="186"/>
      <c r="W100" s="186"/>
      <c r="X100" s="186"/>
      <c r="Y100" s="186"/>
      <c r="Z100" s="186"/>
      <c r="AA100" s="186"/>
      <c r="AB100" s="186"/>
      <c r="AC100" s="186"/>
      <c r="AD100" s="186"/>
      <c r="AE100" s="186"/>
    </row>
    <row r="101" spans="1:31">
      <c r="B101" s="43" t="s">
        <v>657</v>
      </c>
      <c r="C101" s="205"/>
      <c r="D101" s="388"/>
      <c r="E101" s="388"/>
      <c r="F101" s="389">
        <v>-0.1</v>
      </c>
      <c r="G101" s="389">
        <v>-0.1</v>
      </c>
      <c r="H101" s="389">
        <v>-0.1</v>
      </c>
      <c r="J101" s="205"/>
      <c r="K101" s="205"/>
      <c r="L101" s="2"/>
      <c r="M101" s="2"/>
      <c r="N101" s="256"/>
      <c r="O101" s="33"/>
      <c r="S101" s="186"/>
      <c r="T101" s="186"/>
      <c r="U101" s="186"/>
      <c r="V101" s="186"/>
      <c r="W101" s="186"/>
      <c r="X101" s="186"/>
      <c r="Y101" s="186"/>
      <c r="Z101" s="186"/>
      <c r="AA101" s="186"/>
      <c r="AB101" s="186"/>
      <c r="AC101" s="186"/>
      <c r="AD101" s="186"/>
      <c r="AE101" s="186"/>
    </row>
    <row r="102" spans="1:31">
      <c r="B102" s="43" t="s">
        <v>470</v>
      </c>
      <c r="C102" s="205"/>
      <c r="D102" s="389"/>
      <c r="E102" s="389"/>
      <c r="F102" s="388">
        <f>(1+F101)*F100</f>
        <v>18.809999999999999</v>
      </c>
      <c r="G102" s="388">
        <f>(1+G101)*G100</f>
        <v>17.28</v>
      </c>
      <c r="H102" s="388">
        <f>(1+H101)*H100</f>
        <v>16.2</v>
      </c>
      <c r="J102" s="205"/>
      <c r="K102" s="205"/>
      <c r="L102" s="205"/>
      <c r="M102" s="205"/>
      <c r="N102" s="29"/>
      <c r="O102" s="29"/>
      <c r="S102" s="186"/>
      <c r="T102" s="186"/>
      <c r="U102" s="186"/>
      <c r="V102" s="186"/>
      <c r="W102" s="186"/>
      <c r="X102" s="186"/>
      <c r="Y102" s="186"/>
      <c r="Z102" s="186"/>
      <c r="AA102" s="186"/>
      <c r="AB102" s="186"/>
      <c r="AC102" s="186"/>
      <c r="AD102" s="186"/>
      <c r="AE102" s="186"/>
    </row>
    <row r="103" spans="1:31">
      <c r="B103" s="43" t="s">
        <v>104</v>
      </c>
      <c r="C103" s="205"/>
      <c r="D103" s="388"/>
      <c r="E103" s="388"/>
      <c r="F103" s="390">
        <f>(F99/100)*F102</f>
        <v>6.0977667158685538</v>
      </c>
      <c r="G103" s="390">
        <f>(G99/100)*G102</f>
        <v>6.0289712678430902</v>
      </c>
      <c r="H103" s="390">
        <f>(H99/100)*H102</f>
        <v>5.9743365638112031</v>
      </c>
      <c r="J103" s="205"/>
      <c r="K103" s="205"/>
      <c r="L103" s="205"/>
      <c r="M103" s="205"/>
      <c r="N103" s="33"/>
      <c r="O103" s="33"/>
      <c r="S103" s="186"/>
      <c r="T103" s="186"/>
      <c r="U103" s="186"/>
      <c r="V103" s="186"/>
      <c r="W103" s="186"/>
      <c r="X103" s="186"/>
      <c r="Y103" s="186"/>
      <c r="Z103" s="186"/>
      <c r="AA103" s="186"/>
      <c r="AB103" s="186"/>
      <c r="AC103" s="186"/>
      <c r="AD103" s="186"/>
      <c r="AE103" s="186"/>
    </row>
    <row r="104" spans="1:31">
      <c r="B104" s="205"/>
      <c r="C104" s="205"/>
      <c r="D104" s="390"/>
      <c r="E104" s="390"/>
      <c r="F104" s="342"/>
      <c r="I104" s="205"/>
      <c r="J104" s="205"/>
      <c r="K104" s="205"/>
      <c r="L104" s="205"/>
      <c r="M104" s="205"/>
      <c r="N104" s="205"/>
      <c r="O104" s="205"/>
      <c r="S104" s="186"/>
      <c r="T104" s="186"/>
      <c r="U104" s="186"/>
      <c r="V104" s="186"/>
      <c r="W104" s="186"/>
      <c r="X104" s="186"/>
      <c r="Y104" s="186"/>
      <c r="Z104" s="186"/>
      <c r="AA104" s="186"/>
      <c r="AB104" s="186"/>
      <c r="AC104" s="186"/>
      <c r="AD104" s="186"/>
      <c r="AE104" s="186"/>
    </row>
    <row r="105" spans="1:31">
      <c r="B105" s="377" t="s">
        <v>702</v>
      </c>
      <c r="C105" s="378"/>
      <c r="D105" s="379"/>
      <c r="E105" s="380">
        <f>F103</f>
        <v>6.0977667158685538</v>
      </c>
      <c r="F105" s="205"/>
      <c r="G105" s="205"/>
      <c r="H105" s="205"/>
      <c r="I105" s="205"/>
      <c r="J105" s="205"/>
      <c r="K105" s="205"/>
      <c r="L105" s="205"/>
      <c r="M105" s="205"/>
      <c r="N105" s="205"/>
      <c r="O105" s="205"/>
      <c r="S105" s="186"/>
      <c r="T105" s="186"/>
      <c r="U105" s="186"/>
      <c r="V105" s="186"/>
      <c r="W105" s="186"/>
      <c r="X105" s="186"/>
      <c r="Y105" s="186"/>
      <c r="Z105" s="186"/>
      <c r="AA105" s="186"/>
      <c r="AB105" s="186"/>
      <c r="AC105" s="186"/>
      <c r="AD105" s="186"/>
      <c r="AE105" s="186"/>
    </row>
    <row r="106" spans="1:31" s="20" customFormat="1">
      <c r="B106" s="205"/>
      <c r="C106" s="205"/>
      <c r="D106" s="205"/>
      <c r="E106" s="205"/>
      <c r="F106" s="205"/>
    </row>
    <row r="107" spans="1:31">
      <c r="A107" s="318" t="s">
        <v>663</v>
      </c>
      <c r="B107" s="318"/>
      <c r="C107" s="318"/>
      <c r="D107" s="318"/>
      <c r="E107" s="318"/>
      <c r="F107" s="318"/>
      <c r="G107" s="318"/>
      <c r="H107" s="318"/>
      <c r="I107" s="318"/>
      <c r="J107" s="318"/>
      <c r="K107" s="394"/>
      <c r="L107" s="394"/>
      <c r="M107" s="394"/>
      <c r="N107" s="394"/>
      <c r="O107" s="11"/>
      <c r="P107" s="21"/>
      <c r="Q107" s="30"/>
      <c r="R107" s="30"/>
      <c r="S107" s="30"/>
      <c r="T107" s="30"/>
      <c r="U107" s="21"/>
      <c r="V107" s="21"/>
      <c r="W107" s="21"/>
    </row>
    <row r="108" spans="1:31">
      <c r="B108" s="351"/>
      <c r="C108" s="697" t="s">
        <v>523</v>
      </c>
      <c r="D108" s="697"/>
      <c r="E108" s="697"/>
      <c r="F108" s="205"/>
      <c r="G108" s="328"/>
      <c r="H108" s="205"/>
      <c r="I108" s="205"/>
      <c r="J108" s="205"/>
      <c r="K108" s="205"/>
      <c r="L108" s="205"/>
      <c r="M108" s="205"/>
      <c r="N108" s="205"/>
      <c r="O108" s="11"/>
      <c r="P108" s="21"/>
      <c r="Q108" s="30"/>
      <c r="R108" s="30"/>
      <c r="S108" s="30"/>
      <c r="T108" s="30"/>
      <c r="U108" s="21"/>
      <c r="V108" s="21"/>
      <c r="W108" s="21"/>
    </row>
    <row r="109" spans="1:31">
      <c r="B109" s="391" t="s">
        <v>658</v>
      </c>
      <c r="C109" s="359"/>
      <c r="D109" s="359" t="s">
        <v>382</v>
      </c>
      <c r="E109" s="359"/>
      <c r="F109" s="1"/>
      <c r="G109" s="328"/>
      <c r="H109" s="205"/>
      <c r="I109" s="205"/>
      <c r="J109" s="205"/>
      <c r="K109" s="205"/>
      <c r="L109" s="205"/>
      <c r="M109" s="205"/>
      <c r="N109" s="205"/>
      <c r="O109" s="11"/>
      <c r="P109" s="21"/>
      <c r="Q109" s="30"/>
      <c r="R109" s="30"/>
      <c r="S109" s="30"/>
      <c r="T109" s="30"/>
      <c r="U109" s="21"/>
      <c r="V109" s="21"/>
      <c r="W109" s="21"/>
    </row>
    <row r="110" spans="1:31">
      <c r="B110" s="257" t="s">
        <v>660</v>
      </c>
      <c r="C110" s="360"/>
      <c r="D110" s="361">
        <v>13.571748487637709</v>
      </c>
      <c r="E110" s="362"/>
      <c r="F110" s="1"/>
      <c r="G110" s="328"/>
      <c r="H110" s="205"/>
      <c r="I110" s="205"/>
      <c r="J110" s="205"/>
      <c r="K110" s="205"/>
      <c r="L110" s="205"/>
      <c r="M110" s="205"/>
      <c r="N110" s="205"/>
      <c r="O110" s="11"/>
      <c r="P110" s="21"/>
      <c r="Q110" s="30"/>
      <c r="R110" s="30"/>
      <c r="S110" s="30"/>
      <c r="T110" s="30"/>
      <c r="U110" s="21"/>
      <c r="V110" s="21"/>
      <c r="W110" s="21"/>
    </row>
    <row r="111" spans="1:31">
      <c r="B111" s="257" t="s">
        <v>661</v>
      </c>
      <c r="C111" s="360"/>
      <c r="D111" s="361">
        <v>9.8768571092116701</v>
      </c>
      <c r="E111" s="362"/>
      <c r="F111" s="1"/>
      <c r="G111" s="328"/>
      <c r="H111" s="205"/>
      <c r="I111" s="205"/>
      <c r="J111" s="205"/>
      <c r="K111" s="205"/>
      <c r="L111" s="205"/>
      <c r="M111" s="205"/>
      <c r="N111" s="205"/>
      <c r="O111" s="11"/>
      <c r="P111" s="21"/>
      <c r="Q111" s="30"/>
      <c r="R111" s="30"/>
      <c r="S111" s="30"/>
      <c r="T111" s="30"/>
      <c r="U111" s="21"/>
      <c r="V111" s="21"/>
      <c r="W111" s="21"/>
    </row>
    <row r="112" spans="1:31">
      <c r="B112" s="33"/>
      <c r="C112" s="360"/>
      <c r="D112" s="361"/>
      <c r="E112" s="362"/>
      <c r="F112" s="1"/>
      <c r="G112" s="328"/>
      <c r="H112" s="205"/>
      <c r="I112" s="205"/>
      <c r="J112" s="205"/>
      <c r="K112" s="205"/>
      <c r="L112" s="205"/>
      <c r="M112" s="205"/>
      <c r="N112" s="205"/>
      <c r="O112" s="11"/>
      <c r="P112" s="21"/>
      <c r="Q112" s="30"/>
      <c r="R112" s="30"/>
      <c r="S112" s="30"/>
      <c r="T112" s="30"/>
      <c r="U112" s="21"/>
      <c r="V112" s="21"/>
      <c r="W112" s="21"/>
    </row>
    <row r="113" spans="2:23">
      <c r="B113" s="391" t="s">
        <v>659</v>
      </c>
      <c r="C113" s="360"/>
      <c r="D113" s="361"/>
      <c r="E113" s="362"/>
      <c r="F113" s="1"/>
      <c r="G113" s="328"/>
      <c r="H113" s="205"/>
      <c r="I113" s="205"/>
      <c r="J113" s="205"/>
      <c r="K113" s="205"/>
      <c r="L113" s="205"/>
      <c r="M113" s="205"/>
      <c r="N113" s="205"/>
      <c r="O113" s="11"/>
      <c r="P113" s="21"/>
      <c r="Q113" s="30"/>
      <c r="R113" s="30"/>
      <c r="S113" s="30"/>
      <c r="T113" s="30"/>
      <c r="U113" s="21"/>
      <c r="V113" s="21"/>
      <c r="W113" s="21"/>
    </row>
    <row r="114" spans="2:23">
      <c r="B114" s="257" t="s">
        <v>660</v>
      </c>
      <c r="C114" s="360"/>
      <c r="D114" s="361">
        <v>13.571748487637709</v>
      </c>
      <c r="E114" s="362"/>
      <c r="F114" s="1"/>
      <c r="G114" s="328"/>
      <c r="H114" s="205"/>
      <c r="I114" s="205"/>
      <c r="J114" s="205"/>
      <c r="K114" s="205"/>
      <c r="L114" s="205"/>
      <c r="M114" s="205"/>
      <c r="N114" s="205"/>
      <c r="O114" s="11"/>
      <c r="P114" s="21"/>
      <c r="Q114" s="30"/>
      <c r="R114" s="30"/>
      <c r="S114" s="30"/>
      <c r="T114" s="30"/>
      <c r="U114" s="21"/>
      <c r="V114" s="21"/>
      <c r="W114" s="21"/>
    </row>
    <row r="115" spans="2:23">
      <c r="B115" s="257" t="s">
        <v>661</v>
      </c>
      <c r="C115" s="360"/>
      <c r="D115" s="361">
        <v>9.8768571092116701</v>
      </c>
      <c r="E115" s="362"/>
      <c r="F115" s="1"/>
      <c r="G115" s="328"/>
      <c r="H115" s="205"/>
      <c r="I115" s="205"/>
      <c r="J115" s="205"/>
      <c r="K115" s="205"/>
      <c r="L115" s="205"/>
      <c r="M115" s="205"/>
      <c r="N115" s="205"/>
      <c r="O115" s="11"/>
      <c r="P115" s="21"/>
      <c r="Q115" s="30"/>
      <c r="R115" s="30"/>
      <c r="S115" s="30"/>
      <c r="T115" s="30"/>
      <c r="U115" s="21"/>
      <c r="V115" s="21"/>
      <c r="W115" s="21"/>
    </row>
    <row r="116" spans="2:23">
      <c r="B116" s="33"/>
      <c r="C116" s="33"/>
      <c r="D116" s="205"/>
      <c r="E116" s="205"/>
      <c r="F116" s="205"/>
      <c r="G116" s="328"/>
      <c r="H116" s="205"/>
      <c r="I116" s="205"/>
      <c r="J116" s="205"/>
      <c r="K116" s="205"/>
      <c r="L116" s="205"/>
      <c r="M116" s="205"/>
      <c r="N116" s="205"/>
      <c r="O116" s="11"/>
      <c r="P116" s="21"/>
      <c r="Q116" s="30"/>
      <c r="R116" s="30"/>
      <c r="S116" s="30"/>
      <c r="T116" s="30"/>
      <c r="U116" s="21"/>
      <c r="V116" s="21"/>
      <c r="W116" s="21"/>
    </row>
    <row r="117" spans="2:23">
      <c r="B117" s="391" t="s">
        <v>525</v>
      </c>
      <c r="C117" s="43"/>
      <c r="D117" s="43"/>
      <c r="E117" s="43"/>
      <c r="F117" s="205"/>
      <c r="G117" s="328"/>
      <c r="H117" s="205"/>
      <c r="I117" s="205"/>
      <c r="J117" s="205"/>
      <c r="K117" s="205"/>
      <c r="L117" s="205"/>
      <c r="M117" s="205"/>
      <c r="N117" s="205"/>
      <c r="O117" s="11"/>
      <c r="P117" s="21"/>
      <c r="Q117" s="30"/>
      <c r="R117" s="30"/>
      <c r="S117" s="30"/>
      <c r="T117" s="30"/>
      <c r="U117" s="21"/>
      <c r="V117" s="21"/>
      <c r="W117" s="21"/>
    </row>
    <row r="118" spans="2:23" ht="25.5">
      <c r="B118" s="363"/>
      <c r="C118" s="364" t="s">
        <v>669</v>
      </c>
      <c r="D118" s="364" t="s">
        <v>107</v>
      </c>
      <c r="E118" s="365" t="s">
        <v>106</v>
      </c>
      <c r="F118" s="183"/>
      <c r="G118" s="205"/>
      <c r="H118" s="205"/>
      <c r="I118" s="205"/>
      <c r="J118" s="205"/>
      <c r="K118" s="205"/>
      <c r="L118" s="205"/>
      <c r="M118" s="205"/>
      <c r="N118" s="43"/>
      <c r="O118" s="257"/>
      <c r="P118" s="186"/>
      <c r="Q118" s="186"/>
      <c r="R118" s="189"/>
      <c r="S118" s="31"/>
      <c r="T118" s="32"/>
      <c r="U118" s="21"/>
      <c r="V118" s="21"/>
      <c r="W118" s="21"/>
    </row>
    <row r="119" spans="2:23">
      <c r="B119" s="366" t="s">
        <v>348</v>
      </c>
      <c r="C119" s="407">
        <f>Segments!BH147-Segments!BH145</f>
        <v>282.16962062140817</v>
      </c>
      <c r="D119" s="407">
        <f>D114*1.1</f>
        <v>14.928923336401482</v>
      </c>
      <c r="E119" s="367">
        <f>D119*C119</f>
        <v>4212.4886341184929</v>
      </c>
      <c r="F119" s="33"/>
      <c r="G119" s="59"/>
      <c r="H119" s="205"/>
      <c r="I119" s="205"/>
      <c r="J119" s="205"/>
      <c r="K119" s="205"/>
      <c r="L119" s="205"/>
      <c r="M119" s="205"/>
      <c r="N119" s="43"/>
      <c r="O119" s="257"/>
      <c r="P119" s="186"/>
      <c r="Q119" s="186"/>
      <c r="R119" s="189"/>
      <c r="S119" s="31"/>
      <c r="T119" s="32"/>
      <c r="U119" s="21"/>
      <c r="V119" s="21"/>
      <c r="W119" s="21"/>
    </row>
    <row r="120" spans="2:23">
      <c r="B120" s="366" t="s">
        <v>413</v>
      </c>
      <c r="C120" s="407">
        <f>Segments!BH164</f>
        <v>10.455130637349217</v>
      </c>
      <c r="D120" s="407">
        <f>D115*0.9</f>
        <v>8.8891713982905038</v>
      </c>
      <c r="E120" s="367">
        <f>D120*C120</f>
        <v>92.937448226915436</v>
      </c>
      <c r="F120" s="33"/>
      <c r="G120" s="326"/>
      <c r="H120" s="205"/>
      <c r="I120" s="205"/>
      <c r="J120" s="205"/>
      <c r="K120" s="205"/>
      <c r="L120" s="205"/>
      <c r="M120" s="205"/>
      <c r="N120" s="43"/>
      <c r="O120" s="257"/>
      <c r="P120" s="186"/>
      <c r="Q120" s="186"/>
      <c r="R120" s="186"/>
      <c r="S120" s="31"/>
      <c r="T120" s="32"/>
      <c r="U120" s="21"/>
      <c r="V120" s="21"/>
      <c r="W120" s="21"/>
    </row>
    <row r="121" spans="2:23">
      <c r="B121" s="366" t="s">
        <v>108</v>
      </c>
      <c r="C121" s="407">
        <f>'BS, CF and P&amp;L'!BH50</f>
        <v>-31.057499999999997</v>
      </c>
      <c r="D121" s="407">
        <f>D119*(C119/(C119+C120))+D120*(C120/(C120+C119))</f>
        <v>14.713130259231821</v>
      </c>
      <c r="E121" s="367">
        <f>D121*C121</f>
        <v>-456.95304302609225</v>
      </c>
      <c r="F121" s="33"/>
      <c r="G121" s="334"/>
      <c r="H121" s="205"/>
      <c r="I121" s="205"/>
      <c r="J121" s="205"/>
      <c r="K121" s="205"/>
      <c r="L121" s="205"/>
      <c r="M121" s="205"/>
      <c r="N121" s="205"/>
      <c r="O121" s="11"/>
      <c r="P121" s="21"/>
      <c r="Q121" s="21"/>
      <c r="R121" s="7"/>
      <c r="S121" s="7"/>
      <c r="T121" s="16"/>
      <c r="U121" s="21"/>
      <c r="V121" s="21"/>
      <c r="W121" s="21"/>
    </row>
    <row r="122" spans="2:23">
      <c r="B122" s="368" t="s">
        <v>109</v>
      </c>
      <c r="C122" s="540">
        <f>SUM(C119:C121)</f>
        <v>261.56725125875738</v>
      </c>
      <c r="D122" s="369"/>
      <c r="E122" s="370">
        <f>SUM(E119:E121)</f>
        <v>3848.4730393193167</v>
      </c>
      <c r="F122" s="205"/>
      <c r="G122" s="326"/>
      <c r="H122" s="205"/>
      <c r="I122" s="205"/>
      <c r="J122" s="205"/>
      <c r="K122" s="205"/>
      <c r="L122" s="205"/>
      <c r="M122" s="205"/>
      <c r="N122" s="205"/>
      <c r="O122" s="11"/>
      <c r="P122" s="21"/>
      <c r="Q122" s="21"/>
      <c r="R122" s="21"/>
      <c r="S122" s="21"/>
      <c r="T122" s="21"/>
      <c r="U122" s="21"/>
      <c r="V122" s="21"/>
      <c r="W122" s="21"/>
    </row>
    <row r="123" spans="2:23">
      <c r="B123" s="371" t="str">
        <f>B74</f>
        <v>Add associates at 15x</v>
      </c>
      <c r="C123" s="404">
        <f>Segments!BH145</f>
        <v>35.995857206812993</v>
      </c>
      <c r="D123" s="372">
        <v>15</v>
      </c>
      <c r="E123" s="328">
        <f>C123*D123</f>
        <v>539.93785810219492</v>
      </c>
      <c r="F123" s="205"/>
      <c r="G123" s="342"/>
      <c r="H123" s="205"/>
      <c r="I123" s="205"/>
      <c r="J123" s="205"/>
      <c r="K123" s="205"/>
      <c r="L123" s="205"/>
      <c r="M123" s="205"/>
      <c r="N123" s="205"/>
      <c r="O123" s="11"/>
      <c r="P123" s="21"/>
      <c r="Q123" s="21"/>
      <c r="R123" s="21"/>
      <c r="S123" s="21"/>
      <c r="T123" s="24"/>
      <c r="U123" s="21"/>
      <c r="V123" s="21"/>
      <c r="W123" s="21"/>
    </row>
    <row r="124" spans="2:23">
      <c r="B124" s="205" t="s">
        <v>681</v>
      </c>
      <c r="C124" s="372">
        <v>15</v>
      </c>
      <c r="D124" s="372">
        <v>10</v>
      </c>
      <c r="E124" s="328">
        <f>D124*C124</f>
        <v>150</v>
      </c>
      <c r="F124" s="205"/>
      <c r="G124" s="342"/>
      <c r="H124" s="205"/>
      <c r="I124" s="205"/>
      <c r="J124" s="205"/>
      <c r="K124" s="205"/>
      <c r="L124" s="205"/>
      <c r="M124" s="205"/>
      <c r="N124" s="205"/>
      <c r="O124" s="11"/>
      <c r="P124" s="21"/>
      <c r="Q124" s="21"/>
      <c r="R124" s="21"/>
      <c r="S124" s="21"/>
      <c r="T124" s="24"/>
      <c r="U124" s="21"/>
      <c r="V124" s="21"/>
      <c r="W124" s="21"/>
    </row>
    <row r="125" spans="2:23">
      <c r="B125" s="366" t="s">
        <v>109</v>
      </c>
      <c r="C125" s="372"/>
      <c r="D125" s="372"/>
      <c r="E125" s="328">
        <f>E122+E123+E124</f>
        <v>4538.4108974215114</v>
      </c>
      <c r="F125" s="205"/>
      <c r="G125" s="205"/>
      <c r="H125" s="205"/>
      <c r="I125" s="205"/>
      <c r="J125" s="205"/>
      <c r="K125" s="205"/>
      <c r="L125" s="205"/>
      <c r="M125" s="205"/>
      <c r="N125" s="205"/>
      <c r="O125" s="11"/>
      <c r="P125" s="21"/>
      <c r="Q125" s="21"/>
      <c r="R125" s="21"/>
      <c r="S125" s="21"/>
      <c r="T125" s="21"/>
      <c r="U125" s="21"/>
      <c r="V125" s="21"/>
      <c r="W125" s="21"/>
    </row>
    <row r="126" spans="2:23">
      <c r="B126" s="366" t="s">
        <v>110</v>
      </c>
      <c r="C126" s="372"/>
      <c r="D126" s="372"/>
      <c r="E126" s="326">
        <f>D82</f>
        <v>374.2</v>
      </c>
      <c r="F126" s="205"/>
      <c r="G126" s="205"/>
      <c r="H126" s="205"/>
      <c r="I126" s="205"/>
      <c r="J126" s="205"/>
      <c r="K126" s="205"/>
      <c r="L126" s="205"/>
      <c r="M126" s="205"/>
      <c r="N126" s="205"/>
      <c r="O126" s="11"/>
      <c r="P126" s="21"/>
      <c r="Q126" s="21"/>
      <c r="R126" s="21"/>
      <c r="S126" s="21"/>
      <c r="T126" s="21"/>
      <c r="U126" s="21"/>
      <c r="V126" s="21"/>
      <c r="W126" s="21"/>
    </row>
    <row r="127" spans="2:23">
      <c r="B127" s="408" t="s">
        <v>111</v>
      </c>
      <c r="C127" s="409"/>
      <c r="D127" s="409"/>
      <c r="E127" s="410">
        <f>E125-E126</f>
        <v>4164.2108974215116</v>
      </c>
      <c r="F127" s="205"/>
      <c r="G127" s="205"/>
      <c r="H127" s="205"/>
      <c r="I127" s="205"/>
      <c r="J127" s="205"/>
      <c r="K127" s="205"/>
      <c r="L127" s="205"/>
      <c r="M127" s="205"/>
      <c r="N127" s="205"/>
      <c r="O127" s="11"/>
      <c r="P127" s="21"/>
      <c r="Q127" s="21"/>
      <c r="R127" s="21"/>
      <c r="S127" s="21"/>
      <c r="T127" s="21"/>
      <c r="U127" s="21"/>
      <c r="V127" s="21"/>
      <c r="W127" s="21"/>
    </row>
    <row r="128" spans="2:23">
      <c r="B128" s="411" t="s">
        <v>9</v>
      </c>
      <c r="C128" s="411"/>
      <c r="D128" s="411"/>
      <c r="E128" s="412">
        <f>E127/D88</f>
        <v>6.4058131635068927</v>
      </c>
      <c r="F128" s="205"/>
      <c r="G128" s="205"/>
      <c r="H128" s="205"/>
      <c r="I128" s="205"/>
      <c r="J128" s="205"/>
      <c r="K128" s="205"/>
      <c r="L128" s="205"/>
      <c r="M128" s="205"/>
      <c r="N128" s="205"/>
      <c r="O128" s="11"/>
      <c r="P128" s="21"/>
      <c r="Q128" s="21"/>
      <c r="R128" s="21"/>
      <c r="S128" s="21"/>
      <c r="T128" s="21"/>
      <c r="U128" s="21"/>
      <c r="V128" s="21"/>
      <c r="W128" s="21"/>
    </row>
    <row r="129" spans="1:23">
      <c r="B129" s="9"/>
      <c r="C129" s="9"/>
      <c r="D129" s="9"/>
      <c r="E129" s="392"/>
      <c r="F129" s="205"/>
      <c r="G129" s="205"/>
      <c r="H129" s="205"/>
      <c r="I129" s="205"/>
      <c r="J129" s="205"/>
      <c r="K129" s="205"/>
      <c r="L129" s="205"/>
      <c r="M129" s="205"/>
      <c r="N129" s="205"/>
      <c r="O129" s="11"/>
      <c r="P129" s="21"/>
      <c r="Q129" s="21"/>
      <c r="R129" s="21"/>
      <c r="S129" s="21"/>
      <c r="T129" s="21"/>
      <c r="U129" s="21"/>
      <c r="V129" s="21"/>
      <c r="W129" s="21"/>
    </row>
    <row r="130" spans="1:23">
      <c r="A130" s="318" t="s">
        <v>662</v>
      </c>
      <c r="B130" s="318"/>
      <c r="C130" s="318"/>
      <c r="D130" s="318"/>
      <c r="E130" s="318"/>
      <c r="F130" s="318"/>
      <c r="G130" s="318"/>
      <c r="H130" s="318"/>
      <c r="I130" s="318"/>
      <c r="J130" s="318"/>
      <c r="K130" s="318"/>
      <c r="L130" s="394"/>
      <c r="M130" s="394"/>
      <c r="N130" s="394"/>
      <c r="O130" s="11"/>
      <c r="P130" s="21"/>
      <c r="Q130" s="21"/>
      <c r="R130" s="21"/>
      <c r="S130" s="21"/>
      <c r="T130" s="21"/>
      <c r="U130" s="21"/>
      <c r="V130" s="21"/>
      <c r="W130" s="21"/>
    </row>
    <row r="131" spans="1:23">
      <c r="A131" s="39"/>
      <c r="B131" s="319"/>
      <c r="C131" s="398" t="s">
        <v>665</v>
      </c>
      <c r="D131" s="319"/>
      <c r="E131" s="39"/>
      <c r="F131" s="39"/>
      <c r="G131" s="39"/>
      <c r="H131" s="39"/>
      <c r="I131" s="398" t="s">
        <v>666</v>
      </c>
      <c r="J131" s="319"/>
      <c r="K131" s="257"/>
      <c r="L131" s="257"/>
      <c r="M131" s="43"/>
      <c r="N131" s="43"/>
      <c r="O131" s="11"/>
      <c r="P131" s="21"/>
      <c r="Q131" s="21"/>
      <c r="R131" s="21"/>
      <c r="S131" s="21"/>
      <c r="T131" s="21"/>
      <c r="U131" s="21"/>
      <c r="V131" s="21"/>
      <c r="W131" s="21"/>
    </row>
    <row r="132" spans="1:23">
      <c r="B132" s="399"/>
      <c r="C132" s="400" t="s">
        <v>667</v>
      </c>
      <c r="D132" s="401">
        <f ca="1">TODAY()</f>
        <v>43162</v>
      </c>
      <c r="I132" s="400" t="s">
        <v>667</v>
      </c>
      <c r="J132" s="401">
        <v>43027</v>
      </c>
      <c r="K132" s="396"/>
      <c r="L132" s="11"/>
      <c r="M132" s="205"/>
      <c r="N132" s="205"/>
      <c r="O132" s="205"/>
    </row>
    <row r="133" spans="1:23" ht="25.5">
      <c r="B133" s="300" t="s">
        <v>636</v>
      </c>
      <c r="C133" s="565" t="s">
        <v>648</v>
      </c>
      <c r="D133" s="566" t="s">
        <v>33</v>
      </c>
      <c r="E133" s="566" t="s">
        <v>579</v>
      </c>
      <c r="F133" s="566" t="s">
        <v>683</v>
      </c>
      <c r="G133" s="566" t="s">
        <v>580</v>
      </c>
      <c r="H133" s="566" t="s">
        <v>683</v>
      </c>
      <c r="I133" s="565" t="s">
        <v>648</v>
      </c>
      <c r="J133" s="566" t="s">
        <v>33</v>
      </c>
      <c r="K133" s="566" t="s">
        <v>579</v>
      </c>
      <c r="L133" s="566" t="s">
        <v>683</v>
      </c>
      <c r="M133" s="566" t="s">
        <v>580</v>
      </c>
      <c r="N133" s="566" t="s">
        <v>683</v>
      </c>
      <c r="O133" s="205"/>
    </row>
    <row r="134" spans="1:23">
      <c r="B134" s="301" t="s">
        <v>12</v>
      </c>
      <c r="C134" s="306">
        <f>1/3</f>
        <v>0.33333333333333331</v>
      </c>
      <c r="D134" s="307">
        <f>E105</f>
        <v>6.0977667158685538</v>
      </c>
      <c r="E134" s="307">
        <v>7.5516139111266076</v>
      </c>
      <c r="F134" s="555">
        <f>E134/$D134-1</f>
        <v>0.23842289529945893</v>
      </c>
      <c r="G134" s="307">
        <v>4.827746215071115</v>
      </c>
      <c r="H134" s="555">
        <f>G134/$D134-1</f>
        <v>-0.20827633459515504</v>
      </c>
      <c r="I134" s="306">
        <v>0.33333333333333331</v>
      </c>
      <c r="J134" s="307">
        <v>6.0977667158685538</v>
      </c>
      <c r="K134" s="307">
        <v>7.5516139111266076</v>
      </c>
      <c r="L134" s="555">
        <v>0.23842289529945893</v>
      </c>
      <c r="M134" s="307">
        <v>4.827746215071115</v>
      </c>
      <c r="N134" s="555">
        <v>-0.20827633459515504</v>
      </c>
      <c r="O134" s="205"/>
    </row>
    <row r="135" spans="1:23">
      <c r="B135" s="301" t="s">
        <v>637</v>
      </c>
      <c r="C135" s="306">
        <f>1/3</f>
        <v>0.33333333333333331</v>
      </c>
      <c r="D135" s="308">
        <f>E128</f>
        <v>6.4058131635068927</v>
      </c>
      <c r="E135" s="308"/>
      <c r="F135" s="555"/>
      <c r="G135" s="308"/>
      <c r="H135" s="555"/>
      <c r="I135" s="306">
        <v>0.33333333333333331</v>
      </c>
      <c r="J135" s="308">
        <v>6.4058131635068927</v>
      </c>
      <c r="K135" s="308"/>
      <c r="L135" s="555"/>
      <c r="M135" s="308"/>
      <c r="N135" s="555"/>
      <c r="O135" s="205"/>
    </row>
    <row r="136" spans="1:23">
      <c r="B136" s="301" t="s">
        <v>151</v>
      </c>
      <c r="C136" s="306">
        <f>1/3</f>
        <v>0.33333333333333331</v>
      </c>
      <c r="D136" s="308">
        <f ca="1">E90</f>
        <v>6.1191464591538933</v>
      </c>
      <c r="E136" s="308"/>
      <c r="F136" s="555"/>
      <c r="G136" s="308"/>
      <c r="H136" s="555"/>
      <c r="I136" s="306">
        <v>0.33333333333333331</v>
      </c>
      <c r="J136" s="308">
        <v>6.1161989935103422</v>
      </c>
      <c r="K136" s="308"/>
      <c r="L136" s="555"/>
      <c r="M136" s="308"/>
      <c r="N136" s="555"/>
      <c r="O136" s="205"/>
    </row>
    <row r="137" spans="1:23">
      <c r="B137" s="303" t="s">
        <v>555</v>
      </c>
      <c r="C137" s="311">
        <f>SUM(C134:C136)</f>
        <v>1</v>
      </c>
      <c r="D137" s="312">
        <f ca="1">IFERROR((D134*C134)+(D135*C135)+(D136*C136),"")</f>
        <v>6.2075754461764454</v>
      </c>
      <c r="E137" s="312">
        <f>AVERAGE(E134:E136)</f>
        <v>7.5516139111266076</v>
      </c>
      <c r="F137" s="556">
        <f>AVERAGE(F134:F136)</f>
        <v>0.23842289529945893</v>
      </c>
      <c r="G137" s="312">
        <f>AVERAGE(G134:G136)</f>
        <v>4.827746215071115</v>
      </c>
      <c r="H137" s="556">
        <f>AVERAGE(H134:H136)</f>
        <v>-0.20827633459515504</v>
      </c>
      <c r="I137" s="311">
        <v>1</v>
      </c>
      <c r="J137" s="312">
        <v>6.2065929576285956</v>
      </c>
      <c r="K137" s="312">
        <v>7.5516139111266076</v>
      </c>
      <c r="L137" s="556">
        <v>0.23842289529945893</v>
      </c>
      <c r="M137" s="312">
        <v>4.827746215071115</v>
      </c>
      <c r="N137" s="556">
        <v>-0.20827633459515504</v>
      </c>
      <c r="O137" s="205"/>
    </row>
    <row r="138" spans="1:23">
      <c r="B138" s="302" t="s">
        <v>646</v>
      </c>
      <c r="C138" s="309"/>
      <c r="D138" s="543">
        <f t="shared" ref="D138:D139" si="8">D9</f>
        <v>0</v>
      </c>
      <c r="E138" s="543">
        <f>$D138</f>
        <v>0</v>
      </c>
      <c r="F138" s="543"/>
      <c r="G138" s="543">
        <f>$D138</f>
        <v>0</v>
      </c>
      <c r="H138" s="543"/>
      <c r="I138" s="309"/>
      <c r="J138" s="543">
        <v>0</v>
      </c>
      <c r="K138" s="543">
        <v>0</v>
      </c>
      <c r="L138" s="543"/>
      <c r="M138" s="543">
        <v>0</v>
      </c>
      <c r="N138" s="543"/>
      <c r="O138" s="205"/>
    </row>
    <row r="139" spans="1:23">
      <c r="B139" s="303" t="s">
        <v>686</v>
      </c>
      <c r="C139" s="311"/>
      <c r="D139" s="312">
        <f t="shared" si="8"/>
        <v>6.2065929576285956</v>
      </c>
      <c r="E139" s="376">
        <f>E137*(1+E138)</f>
        <v>7.5516139111266076</v>
      </c>
      <c r="F139" s="376"/>
      <c r="G139" s="376">
        <f>G137*(1+G138)</f>
        <v>4.827746215071115</v>
      </c>
      <c r="H139" s="376"/>
      <c r="I139" s="311"/>
      <c r="J139" s="312">
        <v>6.2099432003209509</v>
      </c>
      <c r="K139" s="376">
        <v>7.5516139111266076</v>
      </c>
      <c r="L139" s="376"/>
      <c r="M139" s="376">
        <v>4.827746215071115</v>
      </c>
      <c r="N139" s="376"/>
      <c r="O139" s="205"/>
    </row>
    <row r="140" spans="1:23">
      <c r="B140" s="419" t="s">
        <v>687</v>
      </c>
      <c r="C140" s="309"/>
      <c r="D140" s="402">
        <v>6</v>
      </c>
      <c r="E140" s="315"/>
      <c r="F140" s="315"/>
      <c r="G140" s="315"/>
      <c r="H140" s="315"/>
      <c r="I140" s="309"/>
      <c r="J140" s="402">
        <v>6</v>
      </c>
      <c r="K140" s="315"/>
      <c r="L140" s="315"/>
      <c r="M140" s="315"/>
      <c r="N140" s="315"/>
      <c r="O140" s="205"/>
    </row>
    <row r="141" spans="1:23">
      <c r="B141" s="557" t="s">
        <v>684</v>
      </c>
      <c r="C141" s="313"/>
      <c r="D141" s="558">
        <f>D140/('Fin Sum'!$H15/100)</f>
        <v>18.508415500104032</v>
      </c>
      <c r="E141" s="558">
        <v>19.854999999999997</v>
      </c>
      <c r="F141" s="559"/>
      <c r="G141" s="558">
        <v>17.764999999999997</v>
      </c>
      <c r="H141" s="205"/>
      <c r="I141" s="313"/>
      <c r="J141" s="558">
        <v>18.508415500104032</v>
      </c>
      <c r="K141" s="558">
        <v>19.854999999999997</v>
      </c>
      <c r="L141" s="559"/>
      <c r="M141" s="558">
        <v>17.764999999999997</v>
      </c>
      <c r="N141" s="205"/>
      <c r="O141" s="205"/>
    </row>
    <row r="142" spans="1:23">
      <c r="B142" s="33"/>
      <c r="C142" s="33"/>
      <c r="D142" s="33"/>
      <c r="E142" s="33"/>
      <c r="F142" s="33"/>
      <c r="G142" s="33"/>
      <c r="H142" s="33"/>
      <c r="I142" s="33"/>
      <c r="J142" s="33"/>
      <c r="K142" s="205"/>
      <c r="L142" s="205"/>
      <c r="M142" s="205"/>
      <c r="N142" s="205"/>
      <c r="O142" s="205"/>
    </row>
    <row r="143" spans="1:23">
      <c r="B143" s="33"/>
      <c r="C143" s="33"/>
      <c r="D143" s="33"/>
      <c r="E143" s="33"/>
      <c r="F143" s="33"/>
      <c r="G143" s="33"/>
      <c r="H143" s="33"/>
      <c r="I143" s="33"/>
      <c r="J143" s="33"/>
      <c r="K143" s="205"/>
      <c r="L143" s="205"/>
      <c r="M143" s="205"/>
      <c r="N143" s="205"/>
      <c r="O143" s="205"/>
    </row>
    <row r="144" spans="1:23">
      <c r="A144" s="52" t="s">
        <v>668</v>
      </c>
      <c r="B144" s="292"/>
      <c r="C144" s="34"/>
      <c r="D144" s="34"/>
      <c r="E144" s="34"/>
      <c r="F144" s="34"/>
      <c r="G144" s="34"/>
      <c r="H144" s="34"/>
      <c r="I144" s="34"/>
    </row>
    <row r="145" spans="2:9">
      <c r="B145" s="39"/>
      <c r="C145" s="18"/>
      <c r="D145" s="18"/>
      <c r="E145" s="18"/>
      <c r="F145" s="18"/>
      <c r="G145" s="18"/>
      <c r="H145" s="18"/>
      <c r="I145" s="18"/>
    </row>
    <row r="146" spans="2:9">
      <c r="B146" s="293"/>
      <c r="C146" s="294" t="s">
        <v>382</v>
      </c>
      <c r="D146" s="294" t="s">
        <v>385</v>
      </c>
      <c r="E146" s="294" t="s">
        <v>388</v>
      </c>
      <c r="F146" s="294" t="s">
        <v>397</v>
      </c>
      <c r="G146" s="18"/>
      <c r="H146" s="18"/>
      <c r="I146" s="18"/>
    </row>
    <row r="147" spans="2:9">
      <c r="B147" s="294" t="s">
        <v>439</v>
      </c>
      <c r="C147" s="296">
        <f>'BS, CF and P&amp;L'!BH43</f>
        <v>384.42310846557041</v>
      </c>
      <c r="D147" s="296">
        <f>'BS, CF and P&amp;L'!BK43</f>
        <v>408.64174003180932</v>
      </c>
      <c r="E147" s="296">
        <f>'BS, CF and P&amp;L'!BN43</f>
        <v>427.08547849509898</v>
      </c>
      <c r="F147" s="296">
        <f>'BS, CF and P&amp;L'!BQ43</f>
        <v>447.41702732309943</v>
      </c>
      <c r="G147" s="18"/>
      <c r="H147" s="18"/>
      <c r="I147" s="18"/>
    </row>
    <row r="148" spans="2:9">
      <c r="B148" s="294" t="s">
        <v>440</v>
      </c>
      <c r="C148" s="296">
        <f>'BS, CF and P&amp;L'!BH51</f>
        <v>297.56310846557034</v>
      </c>
      <c r="D148" s="296">
        <f>'BS, CF and P&amp;L'!BK51</f>
        <v>319.12836503180927</v>
      </c>
      <c r="E148" s="296">
        <f>'BS, CF and P&amp;L'!BN51</f>
        <v>335.74926912009903</v>
      </c>
      <c r="F148" s="296">
        <f>'BS, CF and P&amp;L'!BQ51</f>
        <v>354.2124127137244</v>
      </c>
      <c r="G148" s="18"/>
      <c r="H148" s="18"/>
      <c r="I148" s="18"/>
    </row>
    <row r="149" spans="2:9">
      <c r="B149" s="294" t="s">
        <v>6</v>
      </c>
      <c r="C149" s="295">
        <f>'BS, CF and P&amp;L'!BH300/100</f>
        <v>0.32417685889784975</v>
      </c>
      <c r="D149" s="295">
        <f>'BS, CF and P&amp;L'!BK300/100</f>
        <v>0.34889880022240105</v>
      </c>
      <c r="E149" s="295">
        <f>'BS, CF and P&amp;L'!BN300/100</f>
        <v>0.3687862076426669</v>
      </c>
      <c r="F149" s="295">
        <f>'BS, CF and P&amp;L'!BQ300/100</f>
        <v>0.39068161179693883</v>
      </c>
      <c r="G149" s="37"/>
      <c r="H149" s="37"/>
      <c r="I149" s="37"/>
    </row>
    <row r="150" spans="2:9">
      <c r="B150" s="36"/>
      <c r="C150" s="37"/>
      <c r="D150" s="33"/>
      <c r="E150" s="37"/>
      <c r="F150" s="37"/>
      <c r="G150" s="37"/>
      <c r="H150" s="37"/>
      <c r="I150" s="37"/>
    </row>
    <row r="151" spans="2:9">
      <c r="B151" s="36"/>
      <c r="C151" s="37"/>
      <c r="D151" s="33"/>
      <c r="E151" s="37"/>
      <c r="F151" s="37"/>
      <c r="G151" s="37"/>
      <c r="H151" s="37"/>
      <c r="I151" s="37"/>
    </row>
    <row r="152" spans="2:9">
      <c r="B152" s="36"/>
      <c r="C152" s="37"/>
      <c r="D152" s="33"/>
      <c r="E152" s="37"/>
      <c r="F152" s="37"/>
      <c r="G152" s="37"/>
      <c r="H152" s="37"/>
      <c r="I152" s="37"/>
    </row>
    <row r="153" spans="2:9">
      <c r="B153" s="35"/>
      <c r="C153" s="38"/>
      <c r="D153" s="38"/>
      <c r="E153" s="38"/>
      <c r="F153" s="38"/>
      <c r="G153" s="38"/>
      <c r="H153" s="38"/>
      <c r="I153" s="38"/>
    </row>
    <row r="154" spans="2:9">
      <c r="B154" s="694"/>
      <c r="C154" s="694"/>
      <c r="D154" s="694"/>
      <c r="E154" s="694"/>
      <c r="F154" s="694"/>
      <c r="G154" s="694"/>
      <c r="H154" s="694"/>
      <c r="I154" s="694"/>
    </row>
    <row r="155" spans="2:9">
      <c r="B155" s="18"/>
      <c r="C155" s="18"/>
      <c r="D155" s="18"/>
      <c r="E155" s="18"/>
      <c r="F155" s="18"/>
      <c r="G155" s="18"/>
      <c r="H155" s="18"/>
      <c r="I155" s="18"/>
    </row>
    <row r="157" spans="2:9">
      <c r="B157" s="205"/>
      <c r="C157" s="568"/>
    </row>
  </sheetData>
  <mergeCells count="6">
    <mergeCell ref="B154:I154"/>
    <mergeCell ref="B1:B2"/>
    <mergeCell ref="E3:F3"/>
    <mergeCell ref="G3:H3"/>
    <mergeCell ref="I3:J3"/>
    <mergeCell ref="C108:E108"/>
  </mergeCells>
  <phoneticPr fontId="19" type="noConversion"/>
  <pageMargins left="0" right="0" top="0" bottom="0" header="0" footer="0"/>
  <pageSetup paperSize="5" scale="37" orientation="landscape" r:id="rId1"/>
  <headerFooter alignWithMargins="0">
    <oddHeader>&amp;C&amp;A</oddHeader>
    <oddFooter>&amp;CPage &amp;P of &amp;N</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92D050"/>
    <outlinePr summaryBelow="0"/>
    <pageSetUpPr fitToPage="1"/>
  </sheetPr>
  <dimension ref="A1:CK348"/>
  <sheetViews>
    <sheetView showGridLines="0" zoomScale="85" zoomScaleNormal="85" workbookViewId="0">
      <pane xSplit="3" ySplit="6" topLeftCell="AD7" activePane="bottomRight" state="frozen"/>
      <selection pane="topRight" activeCell="D1" sqref="D1"/>
      <selection pane="bottomLeft" activeCell="A6" sqref="A6"/>
      <selection pane="bottomRight" activeCell="AD7" sqref="AD7"/>
    </sheetView>
  </sheetViews>
  <sheetFormatPr defaultRowHeight="12.75" outlineLevelRow="1" outlineLevelCol="1"/>
  <cols>
    <col min="1" max="1" width="3" style="257" customWidth="1"/>
    <col min="2" max="2" width="38.5703125" style="257" customWidth="1"/>
    <col min="3" max="3" width="13.28515625" style="257" customWidth="1"/>
    <col min="4" max="14" width="9.140625" style="257" hidden="1" customWidth="1" outlineLevel="1"/>
    <col min="15" max="15" width="2.85546875" style="257" hidden="1" customWidth="1" outlineLevel="1"/>
    <col min="16" max="16" width="6" style="257" hidden="1" customWidth="1" outlineLevel="1"/>
    <col min="17" max="29" width="9.140625" style="257" hidden="1" customWidth="1" outlineLevel="1"/>
    <col min="30" max="30" width="9.140625" style="257" customWidth="1" collapsed="1"/>
    <col min="31" max="32" width="9.140625" style="257" hidden="1" customWidth="1" outlineLevel="1"/>
    <col min="33" max="33" width="9.140625" style="257" customWidth="1" collapsed="1"/>
    <col min="34" max="35" width="9.140625" style="257" hidden="1" customWidth="1" outlineLevel="1"/>
    <col min="36" max="36" width="9.140625" style="257" customWidth="1" collapsed="1"/>
    <col min="37" max="38" width="9.140625" style="257" hidden="1" customWidth="1" outlineLevel="1"/>
    <col min="39" max="39" width="9.28515625" style="257" customWidth="1" collapsed="1"/>
    <col min="40" max="41" width="9.140625" style="257" hidden="1" customWidth="1" outlineLevel="1"/>
    <col min="42" max="42" width="9.140625" style="257" customWidth="1" collapsed="1"/>
    <col min="43" max="44" width="9.140625" style="257" hidden="1" customWidth="1" outlineLevel="1"/>
    <col min="45" max="45" width="9.140625" style="257" customWidth="1" collapsed="1"/>
    <col min="46" max="47" width="9.140625" style="257" hidden="1" customWidth="1" outlineLevel="1"/>
    <col min="48" max="48" width="9.140625" style="257" customWidth="1" collapsed="1"/>
    <col min="49" max="50" width="9.140625" style="257" hidden="1" customWidth="1" outlineLevel="1"/>
    <col min="51" max="51" width="9.140625" style="257" customWidth="1" collapsed="1"/>
    <col min="52" max="53" width="9.140625" style="257" hidden="1" customWidth="1" outlineLevel="1"/>
    <col min="54" max="54" width="9.140625" style="257" customWidth="1" collapsed="1"/>
    <col min="55" max="56" width="9.140625" style="257" hidden="1" customWidth="1" outlineLevel="1"/>
    <col min="57" max="57" width="9.140625" style="257" customWidth="1" collapsed="1"/>
    <col min="58" max="59" width="9.140625" style="257" hidden="1" customWidth="1" outlineLevel="1"/>
    <col min="60" max="60" width="8.7109375" style="257" customWidth="1" collapsed="1"/>
    <col min="61" max="62" width="9.140625" style="257" hidden="1" customWidth="1" outlineLevel="1"/>
    <col min="63" max="63" width="9.140625" style="257" customWidth="1" collapsed="1"/>
    <col min="64" max="65" width="9.140625" style="257" hidden="1" customWidth="1" outlineLevel="1"/>
    <col min="66" max="66" width="9.140625" style="257" customWidth="1" collapsed="1"/>
    <col min="67" max="68" width="9.140625" style="257" hidden="1" customWidth="1" outlineLevel="1"/>
    <col min="69" max="69" width="9.140625" style="257" customWidth="1" collapsed="1"/>
    <col min="70" max="71" width="9.140625" style="257" hidden="1" customWidth="1" outlineLevel="1"/>
    <col min="72" max="72" width="9.140625" style="257" customWidth="1" collapsed="1"/>
    <col min="73" max="74" width="9.140625" style="257" hidden="1" customWidth="1" outlineLevel="1"/>
    <col min="75" max="75" width="9.140625" style="257" customWidth="1" collapsed="1"/>
    <col min="76" max="77" width="9.140625" style="257" hidden="1" customWidth="1" outlineLevel="1"/>
    <col min="78" max="78" width="9.140625" style="257" customWidth="1" collapsed="1"/>
    <col min="79" max="80" width="9.140625" style="257" hidden="1" customWidth="1" outlineLevel="1"/>
    <col min="81" max="81" width="9.140625" style="257" customWidth="1" collapsed="1"/>
    <col min="82" max="83" width="9.140625" style="257" customWidth="1"/>
    <col min="84" max="84" width="23.42578125" customWidth="1"/>
    <col min="90" max="16384" width="9.140625" style="11"/>
  </cols>
  <sheetData>
    <row r="1" spans="1:89" s="230" customFormat="1" ht="21" customHeight="1">
      <c r="A1" s="206"/>
      <c r="B1" s="698" t="s">
        <v>627</v>
      </c>
      <c r="C1" s="450" t="s">
        <v>628</v>
      </c>
      <c r="D1" s="206"/>
      <c r="E1" s="206"/>
      <c r="F1" s="206"/>
      <c r="G1" s="206"/>
      <c r="H1" s="206"/>
      <c r="I1" s="206"/>
      <c r="J1" s="206"/>
      <c r="K1" s="206"/>
      <c r="L1" s="206"/>
      <c r="M1" s="206"/>
      <c r="N1" s="206"/>
      <c r="O1" s="206"/>
      <c r="P1" s="206"/>
      <c r="Q1" s="206"/>
      <c r="R1" s="206"/>
      <c r="S1" s="206"/>
      <c r="T1" s="206"/>
      <c r="U1" s="206"/>
      <c r="V1" s="206"/>
      <c r="W1" s="206"/>
      <c r="X1" s="206"/>
      <c r="Y1" s="206"/>
      <c r="Z1" s="206"/>
      <c r="AA1" s="206"/>
      <c r="AB1" s="206"/>
      <c r="AC1" s="206"/>
      <c r="AD1" s="206"/>
      <c r="CF1"/>
      <c r="CG1"/>
      <c r="CH1"/>
      <c r="CI1"/>
      <c r="CJ1"/>
      <c r="CK1"/>
    </row>
    <row r="2" spans="1:89" s="230" customFormat="1" ht="11.25" customHeight="1" collapsed="1">
      <c r="A2" s="206"/>
      <c r="B2" s="698"/>
      <c r="C2" s="450" t="s">
        <v>678</v>
      </c>
      <c r="D2" s="206"/>
      <c r="E2" s="206"/>
      <c r="F2" s="206"/>
      <c r="G2" s="206"/>
      <c r="H2" s="206"/>
      <c r="I2" s="206"/>
      <c r="J2" s="206"/>
      <c r="K2" s="206"/>
      <c r="L2" s="206"/>
      <c r="M2" s="206"/>
      <c r="N2" s="206"/>
      <c r="O2" s="206"/>
      <c r="P2" s="206"/>
      <c r="Q2" s="206"/>
      <c r="R2" s="206"/>
      <c r="S2" s="206"/>
      <c r="T2" s="206"/>
      <c r="U2" s="206"/>
      <c r="V2" s="206"/>
      <c r="W2" s="206"/>
      <c r="X2" s="206"/>
      <c r="Y2" s="206"/>
      <c r="Z2" s="206"/>
      <c r="AA2" s="206"/>
      <c r="AB2" s="206"/>
      <c r="AC2" s="206"/>
      <c r="AD2" s="206"/>
      <c r="CF2"/>
      <c r="CG2"/>
      <c r="CH2"/>
      <c r="CI2"/>
      <c r="CJ2"/>
      <c r="CK2"/>
    </row>
    <row r="3" spans="1:89" s="616" customFormat="1" hidden="1" outlineLevel="1">
      <c r="A3" s="57"/>
      <c r="B3" s="60"/>
      <c r="C3" s="50"/>
      <c r="D3" s="50"/>
      <c r="E3" s="50"/>
      <c r="F3" s="50"/>
      <c r="G3" s="50"/>
      <c r="H3" s="50"/>
      <c r="I3" s="50"/>
      <c r="J3" s="50"/>
      <c r="K3" s="50"/>
      <c r="L3" s="50"/>
      <c r="M3" s="50"/>
      <c r="N3" s="50"/>
      <c r="O3" s="50"/>
      <c r="P3" s="50"/>
      <c r="Q3" s="50"/>
      <c r="R3" s="50"/>
      <c r="S3" s="50"/>
      <c r="T3" s="50"/>
      <c r="U3" s="50"/>
      <c r="V3" s="50"/>
      <c r="W3" s="50"/>
      <c r="X3" s="50"/>
      <c r="Y3" s="50"/>
      <c r="Z3" s="50"/>
      <c r="AA3" s="50"/>
      <c r="AB3" s="50"/>
      <c r="AC3" s="50"/>
      <c r="AD3" s="50" t="s">
        <v>196</v>
      </c>
      <c r="AE3" s="50" t="s">
        <v>87</v>
      </c>
      <c r="AF3" s="50" t="s">
        <v>88</v>
      </c>
      <c r="AG3" s="50" t="s">
        <v>490</v>
      </c>
      <c r="AH3" s="50" t="s">
        <v>89</v>
      </c>
      <c r="AI3" s="50" t="s">
        <v>90</v>
      </c>
      <c r="AJ3" s="50" t="s">
        <v>91</v>
      </c>
      <c r="AK3" s="50" t="s">
        <v>92</v>
      </c>
      <c r="AL3" s="50" t="s">
        <v>93</v>
      </c>
      <c r="AM3" s="50" t="s">
        <v>94</v>
      </c>
      <c r="AN3" s="50" t="s">
        <v>95</v>
      </c>
      <c r="AO3" s="50" t="s">
        <v>96</v>
      </c>
      <c r="AP3" s="50" t="s">
        <v>97</v>
      </c>
      <c r="AQ3" s="50" t="s">
        <v>288</v>
      </c>
      <c r="AR3" s="50" t="s">
        <v>289</v>
      </c>
      <c r="AS3" s="50" t="s">
        <v>290</v>
      </c>
      <c r="AT3" s="50" t="s">
        <v>165</v>
      </c>
      <c r="AU3" s="50" t="s">
        <v>166</v>
      </c>
      <c r="AV3" s="50" t="s">
        <v>167</v>
      </c>
      <c r="AW3" s="50" t="s">
        <v>234</v>
      </c>
      <c r="AX3" s="50" t="s">
        <v>235</v>
      </c>
      <c r="AY3" s="50" t="s">
        <v>236</v>
      </c>
      <c r="AZ3" s="50" t="s">
        <v>237</v>
      </c>
      <c r="BA3" s="50" t="s">
        <v>238</v>
      </c>
      <c r="BB3" s="50" t="s">
        <v>239</v>
      </c>
      <c r="BC3" s="50" t="s">
        <v>240</v>
      </c>
      <c r="BD3" s="50" t="s">
        <v>241</v>
      </c>
      <c r="BE3" s="50" t="s">
        <v>242</v>
      </c>
      <c r="BF3" s="50" t="s">
        <v>243</v>
      </c>
      <c r="BG3" s="50" t="s">
        <v>244</v>
      </c>
      <c r="BH3" s="50" t="s">
        <v>382</v>
      </c>
      <c r="BI3" s="50" t="s">
        <v>383</v>
      </c>
      <c r="BJ3" s="50" t="s">
        <v>384</v>
      </c>
      <c r="BK3" s="50" t="s">
        <v>385</v>
      </c>
      <c r="BL3" s="50" t="s">
        <v>386</v>
      </c>
      <c r="BM3" s="50" t="s">
        <v>387</v>
      </c>
      <c r="BN3" s="50" t="s">
        <v>388</v>
      </c>
      <c r="BO3" s="50" t="s">
        <v>395</v>
      </c>
      <c r="BP3" s="50" t="s">
        <v>396</v>
      </c>
      <c r="BQ3" s="50" t="s">
        <v>397</v>
      </c>
      <c r="BR3" s="50" t="s">
        <v>611</v>
      </c>
      <c r="BS3" s="50" t="s">
        <v>612</v>
      </c>
      <c r="BT3" s="50" t="s">
        <v>613</v>
      </c>
      <c r="BU3" s="50" t="s">
        <v>614</v>
      </c>
      <c r="BV3" s="50" t="s">
        <v>615</v>
      </c>
      <c r="BW3" s="50" t="s">
        <v>616</v>
      </c>
      <c r="BX3" s="50" t="s">
        <v>617</v>
      </c>
      <c r="BY3" s="50" t="s">
        <v>618</v>
      </c>
      <c r="BZ3" s="50" t="s">
        <v>619</v>
      </c>
      <c r="CA3" s="50" t="s">
        <v>620</v>
      </c>
      <c r="CB3" s="50" t="s">
        <v>621</v>
      </c>
      <c r="CC3" s="50" t="s">
        <v>622</v>
      </c>
      <c r="CF3"/>
      <c r="CG3"/>
      <c r="CH3"/>
      <c r="CI3"/>
      <c r="CJ3"/>
      <c r="CK3"/>
    </row>
    <row r="4" spans="1:89" s="616" customFormat="1" hidden="1" outlineLevel="1">
      <c r="A4" s="57"/>
      <c r="B4" s="604" t="s">
        <v>691</v>
      </c>
      <c r="C4" s="50"/>
      <c r="D4" s="50"/>
      <c r="E4" s="50"/>
      <c r="F4" s="50"/>
      <c r="G4" s="50"/>
      <c r="H4" s="50"/>
      <c r="I4" s="50"/>
      <c r="J4" s="50"/>
      <c r="K4" s="50"/>
      <c r="L4" s="50"/>
      <c r="M4" s="50"/>
      <c r="N4" s="50"/>
      <c r="O4" s="50"/>
      <c r="P4" s="50"/>
      <c r="Q4" s="50"/>
      <c r="R4" s="50"/>
      <c r="S4" s="50"/>
      <c r="T4" s="50"/>
      <c r="U4" s="50"/>
      <c r="V4" s="50"/>
      <c r="W4" s="50"/>
      <c r="X4" s="50"/>
      <c r="Y4" s="50"/>
      <c r="Z4" s="50"/>
      <c r="AA4" s="50"/>
      <c r="AB4" s="50"/>
      <c r="AC4" s="50"/>
      <c r="AD4" s="50" t="s">
        <v>200</v>
      </c>
      <c r="AE4" s="50" t="s">
        <v>200</v>
      </c>
      <c r="AF4" s="50" t="s">
        <v>200</v>
      </c>
      <c r="AG4" s="50" t="s">
        <v>200</v>
      </c>
      <c r="AH4" s="50" t="s">
        <v>200</v>
      </c>
      <c r="AI4" s="50" t="s">
        <v>200</v>
      </c>
      <c r="AJ4" s="50" t="s">
        <v>200</v>
      </c>
      <c r="AK4" s="50" t="s">
        <v>200</v>
      </c>
      <c r="AL4" s="50" t="s">
        <v>200</v>
      </c>
      <c r="AM4" s="50" t="s">
        <v>200</v>
      </c>
      <c r="AN4" s="50" t="s">
        <v>200</v>
      </c>
      <c r="AO4" s="50" t="s">
        <v>200</v>
      </c>
      <c r="AP4" s="50" t="s">
        <v>200</v>
      </c>
      <c r="AQ4" s="50" t="s">
        <v>200</v>
      </c>
      <c r="AR4" s="50" t="s">
        <v>200</v>
      </c>
      <c r="AS4" s="50" t="s">
        <v>200</v>
      </c>
      <c r="AT4" s="50" t="s">
        <v>200</v>
      </c>
      <c r="AU4" s="50" t="s">
        <v>200</v>
      </c>
      <c r="AV4" s="50" t="s">
        <v>200</v>
      </c>
      <c r="AW4" s="50" t="s">
        <v>200</v>
      </c>
      <c r="AX4" s="50" t="s">
        <v>200</v>
      </c>
      <c r="AY4" s="50" t="s">
        <v>200</v>
      </c>
      <c r="AZ4" s="50" t="s">
        <v>200</v>
      </c>
      <c r="BA4" s="50" t="s">
        <v>200</v>
      </c>
      <c r="BB4" s="50" t="s">
        <v>200</v>
      </c>
      <c r="BC4" s="50" t="s">
        <v>200</v>
      </c>
      <c r="BD4" s="50" t="s">
        <v>200</v>
      </c>
      <c r="BE4" s="50" t="s">
        <v>200</v>
      </c>
      <c r="BF4" s="50" t="s">
        <v>562</v>
      </c>
      <c r="BG4" s="50" t="s">
        <v>562</v>
      </c>
      <c r="BH4" s="50" t="s">
        <v>562</v>
      </c>
      <c r="BI4" s="50" t="s">
        <v>562</v>
      </c>
      <c r="BJ4" s="50" t="s">
        <v>562</v>
      </c>
      <c r="BK4" s="50" t="s">
        <v>562</v>
      </c>
      <c r="BL4" s="50" t="s">
        <v>562</v>
      </c>
      <c r="BM4" s="50" t="s">
        <v>562</v>
      </c>
      <c r="BN4" s="50" t="s">
        <v>562</v>
      </c>
      <c r="BO4" s="50" t="s">
        <v>562</v>
      </c>
      <c r="BP4" s="50" t="s">
        <v>562</v>
      </c>
      <c r="BQ4" s="50" t="s">
        <v>562</v>
      </c>
      <c r="BR4" s="50" t="s">
        <v>562</v>
      </c>
      <c r="BS4" s="50" t="s">
        <v>562</v>
      </c>
      <c r="BT4" s="50" t="s">
        <v>562</v>
      </c>
      <c r="BU4" s="50" t="s">
        <v>562</v>
      </c>
      <c r="BV4" s="50" t="s">
        <v>562</v>
      </c>
      <c r="BW4" s="50" t="s">
        <v>562</v>
      </c>
      <c r="BX4" s="50" t="s">
        <v>562</v>
      </c>
      <c r="BY4" s="50" t="s">
        <v>562</v>
      </c>
      <c r="BZ4" s="50" t="s">
        <v>562</v>
      </c>
      <c r="CA4" s="50" t="s">
        <v>562</v>
      </c>
      <c r="CB4" s="50" t="s">
        <v>562</v>
      </c>
      <c r="CC4" s="50" t="s">
        <v>562</v>
      </c>
      <c r="CF4"/>
      <c r="CG4"/>
      <c r="CH4"/>
      <c r="CI4"/>
      <c r="CJ4"/>
      <c r="CK4"/>
    </row>
    <row r="5" spans="1:89" customFormat="1" hidden="1" outlineLevel="1"/>
    <row r="6" spans="1:89" s="603" customFormat="1">
      <c r="A6" s="234"/>
      <c r="B6" s="454" t="s">
        <v>255</v>
      </c>
      <c r="C6" s="234"/>
      <c r="D6" s="234"/>
      <c r="E6" s="234"/>
      <c r="F6" s="234"/>
      <c r="G6" s="234"/>
      <c r="H6" s="234"/>
      <c r="I6" s="234"/>
      <c r="J6" s="234"/>
      <c r="K6" s="234"/>
      <c r="L6" s="234"/>
      <c r="M6" s="234"/>
      <c r="N6" s="234"/>
      <c r="O6" s="234"/>
      <c r="P6" s="234"/>
      <c r="Q6" s="234"/>
      <c r="R6" s="234"/>
      <c r="S6" s="234"/>
      <c r="T6" s="234"/>
      <c r="U6" s="234"/>
      <c r="V6" s="234"/>
      <c r="W6" s="234"/>
      <c r="X6" s="234"/>
      <c r="Y6" s="234"/>
      <c r="Z6" s="234"/>
      <c r="AA6" s="234"/>
      <c r="AB6" s="234"/>
      <c r="AC6" s="234"/>
      <c r="AD6" s="234" t="str">
        <f t="shared" ref="AD6:AV6" si="0">CONCATENATE(AD3,"",AD4)</f>
        <v>FY08A</v>
      </c>
      <c r="AE6" s="234" t="str">
        <f t="shared" si="0"/>
        <v>1H09A</v>
      </c>
      <c r="AF6" s="234" t="str">
        <f t="shared" si="0"/>
        <v>2H09A</v>
      </c>
      <c r="AG6" s="234" t="str">
        <f t="shared" si="0"/>
        <v>FY09A</v>
      </c>
      <c r="AH6" s="234" t="str">
        <f t="shared" si="0"/>
        <v>1H10A</v>
      </c>
      <c r="AI6" s="234" t="str">
        <f t="shared" si="0"/>
        <v>2H10A</v>
      </c>
      <c r="AJ6" s="234" t="str">
        <f t="shared" si="0"/>
        <v>FY10A</v>
      </c>
      <c r="AK6" s="234" t="str">
        <f t="shared" si="0"/>
        <v>1H11A</v>
      </c>
      <c r="AL6" s="234" t="str">
        <f t="shared" si="0"/>
        <v>2H11A</v>
      </c>
      <c r="AM6" s="234" t="str">
        <f t="shared" si="0"/>
        <v>FY11A</v>
      </c>
      <c r="AN6" s="234" t="str">
        <f t="shared" si="0"/>
        <v>1H12A</v>
      </c>
      <c r="AO6" s="234" t="str">
        <f t="shared" si="0"/>
        <v>2H12A</v>
      </c>
      <c r="AP6" s="234" t="str">
        <f t="shared" si="0"/>
        <v>FY12A</v>
      </c>
      <c r="AQ6" s="234" t="str">
        <f t="shared" si="0"/>
        <v>1H13A</v>
      </c>
      <c r="AR6" s="234" t="str">
        <f t="shared" si="0"/>
        <v>2H13A</v>
      </c>
      <c r="AS6" s="234" t="str">
        <f t="shared" si="0"/>
        <v>FY13A</v>
      </c>
      <c r="AT6" s="234" t="str">
        <f t="shared" si="0"/>
        <v>1H14A</v>
      </c>
      <c r="AU6" s="234" t="str">
        <f t="shared" si="0"/>
        <v>2H14A</v>
      </c>
      <c r="AV6" s="234" t="str">
        <f t="shared" si="0"/>
        <v>FY14A</v>
      </c>
      <c r="AW6" s="234" t="str">
        <f t="shared" ref="AW6:BQ6" si="1">CONCATENATE(AW3,"",AW4)</f>
        <v>1H15A</v>
      </c>
      <c r="AX6" s="234" t="str">
        <f t="shared" si="1"/>
        <v>2H15A</v>
      </c>
      <c r="AY6" s="234" t="str">
        <f t="shared" si="1"/>
        <v>FY15A</v>
      </c>
      <c r="AZ6" s="234" t="str">
        <f t="shared" si="1"/>
        <v>1H16A</v>
      </c>
      <c r="BA6" s="234" t="str">
        <f t="shared" si="1"/>
        <v>2H16A</v>
      </c>
      <c r="BB6" s="234" t="str">
        <f t="shared" si="1"/>
        <v>FY16A</v>
      </c>
      <c r="BC6" s="234" t="str">
        <f t="shared" si="1"/>
        <v>1H17A</v>
      </c>
      <c r="BD6" s="234" t="str">
        <f t="shared" si="1"/>
        <v>2H17A</v>
      </c>
      <c r="BE6" s="234" t="str">
        <f t="shared" si="1"/>
        <v>FY17A</v>
      </c>
      <c r="BF6" s="234" t="str">
        <f t="shared" si="1"/>
        <v>1H18E</v>
      </c>
      <c r="BG6" s="234" t="str">
        <f t="shared" si="1"/>
        <v>2H18E</v>
      </c>
      <c r="BH6" s="234" t="str">
        <f t="shared" si="1"/>
        <v>FY18E</v>
      </c>
      <c r="BI6" s="234" t="str">
        <f t="shared" si="1"/>
        <v>1H19E</v>
      </c>
      <c r="BJ6" s="234" t="str">
        <f t="shared" si="1"/>
        <v>2H19E</v>
      </c>
      <c r="BK6" s="234" t="str">
        <f t="shared" si="1"/>
        <v>FY19E</v>
      </c>
      <c r="BL6" s="234" t="str">
        <f t="shared" si="1"/>
        <v>1H20E</v>
      </c>
      <c r="BM6" s="234" t="str">
        <f t="shared" si="1"/>
        <v>2H20E</v>
      </c>
      <c r="BN6" s="234" t="str">
        <f t="shared" si="1"/>
        <v>FY20E</v>
      </c>
      <c r="BO6" s="234" t="str">
        <f t="shared" si="1"/>
        <v>1H21E</v>
      </c>
      <c r="BP6" s="234" t="str">
        <f t="shared" si="1"/>
        <v>2H21E</v>
      </c>
      <c r="BQ6" s="234" t="str">
        <f t="shared" si="1"/>
        <v>FY21E</v>
      </c>
      <c r="BR6" s="234" t="str">
        <f t="shared" ref="BR6:BW6" si="2">CONCATENATE(BR3,"",BR4)</f>
        <v>1H22E</v>
      </c>
      <c r="BS6" s="234" t="str">
        <f t="shared" si="2"/>
        <v>2H22E</v>
      </c>
      <c r="BT6" s="234" t="str">
        <f t="shared" si="2"/>
        <v>FY22E</v>
      </c>
      <c r="BU6" s="234" t="str">
        <f t="shared" si="2"/>
        <v>1H23E</v>
      </c>
      <c r="BV6" s="234" t="str">
        <f t="shared" si="2"/>
        <v>2H23E</v>
      </c>
      <c r="BW6" s="234" t="str">
        <f t="shared" si="2"/>
        <v>FY23E</v>
      </c>
      <c r="BX6" s="234" t="str">
        <f t="shared" ref="BX6:CC6" si="3">CONCATENATE(BX3,"",BX4)</f>
        <v>1H24E</v>
      </c>
      <c r="BY6" s="234" t="str">
        <f t="shared" si="3"/>
        <v>2H24E</v>
      </c>
      <c r="BZ6" s="234" t="str">
        <f t="shared" si="3"/>
        <v>FY24E</v>
      </c>
      <c r="CA6" s="234" t="str">
        <f t="shared" si="3"/>
        <v>1H25E</v>
      </c>
      <c r="CB6" s="234" t="str">
        <f t="shared" si="3"/>
        <v>2H25E</v>
      </c>
      <c r="CC6" s="234" t="str">
        <f t="shared" si="3"/>
        <v>FY25E</v>
      </c>
      <c r="CD6" s="601"/>
      <c r="CF6"/>
      <c r="CG6"/>
      <c r="CH6"/>
      <c r="CI6"/>
      <c r="CJ6"/>
      <c r="CK6"/>
    </row>
    <row r="7" spans="1:89" s="603" customFormat="1">
      <c r="A7" s="601"/>
      <c r="B7" s="602"/>
      <c r="C7" s="601"/>
      <c r="D7" s="601"/>
      <c r="E7" s="601"/>
      <c r="F7" s="601"/>
      <c r="G7" s="601"/>
      <c r="H7" s="601"/>
      <c r="I7" s="601"/>
      <c r="J7" s="601"/>
      <c r="K7" s="601"/>
      <c r="L7" s="601"/>
      <c r="M7" s="601"/>
      <c r="N7" s="601"/>
      <c r="O7" s="601"/>
      <c r="P7" s="601"/>
      <c r="Q7" s="601"/>
      <c r="R7" s="601"/>
      <c r="S7" s="601"/>
      <c r="T7" s="601"/>
      <c r="U7" s="601"/>
      <c r="V7" s="601"/>
      <c r="W7" s="601"/>
      <c r="X7" s="601"/>
      <c r="Y7" s="601"/>
      <c r="Z7" s="601"/>
      <c r="AA7" s="601"/>
      <c r="AB7" s="601"/>
      <c r="AC7" s="601"/>
      <c r="AD7" s="601"/>
      <c r="AE7" s="601"/>
      <c r="AF7" s="601"/>
      <c r="AG7" s="601"/>
      <c r="AH7" s="601"/>
      <c r="AI7" s="601"/>
      <c r="AJ7" s="601"/>
      <c r="AK7" s="601"/>
      <c r="AL7" s="601"/>
      <c r="AM7" s="601"/>
      <c r="AN7" s="601"/>
      <c r="AO7" s="601"/>
      <c r="AP7" s="601"/>
      <c r="AQ7" s="601"/>
      <c r="AR7" s="601"/>
      <c r="AS7" s="601"/>
      <c r="AT7" s="601"/>
      <c r="AU7" s="601"/>
      <c r="AV7" s="601"/>
      <c r="AW7" s="601"/>
      <c r="AX7" s="601"/>
      <c r="AY7" s="601"/>
      <c r="AZ7" s="601"/>
      <c r="BA7" s="601"/>
      <c r="BB7" s="601"/>
      <c r="BC7" s="601"/>
      <c r="BD7" s="601"/>
      <c r="BE7" s="601"/>
      <c r="BF7" s="601"/>
      <c r="BG7" s="601"/>
      <c r="BH7" s="601"/>
      <c r="BI7" s="601"/>
      <c r="BJ7" s="601"/>
      <c r="BK7" s="601"/>
      <c r="BL7" s="601"/>
      <c r="BM7" s="601"/>
      <c r="BN7" s="601"/>
      <c r="BO7" s="601"/>
      <c r="BP7" s="601"/>
      <c r="BQ7" s="601"/>
      <c r="BR7" s="601"/>
      <c r="BS7" s="601"/>
      <c r="BT7" s="601"/>
      <c r="BU7" s="601"/>
      <c r="BV7" s="601"/>
      <c r="BW7" s="601"/>
      <c r="BX7" s="601"/>
      <c r="BY7" s="601"/>
      <c r="BZ7" s="601"/>
      <c r="CA7" s="601"/>
      <c r="CB7" s="601"/>
      <c r="CC7" s="601"/>
      <c r="CD7" s="601"/>
      <c r="CF7"/>
      <c r="CG7"/>
      <c r="CH7"/>
      <c r="CI7"/>
      <c r="CJ7"/>
      <c r="CK7"/>
    </row>
    <row r="8" spans="1:89" s="397" customFormat="1">
      <c r="A8" s="236" t="s">
        <v>308</v>
      </c>
      <c r="B8" s="236"/>
      <c r="C8" s="236"/>
      <c r="D8" s="236"/>
      <c r="E8" s="236"/>
      <c r="F8" s="236"/>
      <c r="G8" s="236"/>
      <c r="H8" s="236"/>
      <c r="I8" s="236"/>
      <c r="J8" s="236"/>
      <c r="K8" s="236"/>
      <c r="L8" s="236"/>
      <c r="M8" s="236"/>
      <c r="N8" s="236"/>
      <c r="O8" s="236"/>
      <c r="P8" s="236"/>
      <c r="Q8" s="236"/>
      <c r="R8" s="236"/>
      <c r="S8" s="236"/>
      <c r="T8" s="236"/>
      <c r="U8" s="236"/>
      <c r="V8" s="236"/>
      <c r="W8" s="236"/>
      <c r="X8" s="236"/>
      <c r="Y8" s="236"/>
      <c r="Z8" s="236"/>
      <c r="AA8" s="236"/>
      <c r="AB8" s="236"/>
      <c r="AC8" s="236"/>
      <c r="AD8" s="236"/>
      <c r="AE8" s="236"/>
      <c r="AF8" s="236"/>
      <c r="AG8" s="236"/>
      <c r="AH8" s="236"/>
      <c r="AI8" s="236"/>
      <c r="AJ8" s="236"/>
      <c r="AK8" s="236"/>
      <c r="AL8" s="236"/>
      <c r="AM8" s="236"/>
      <c r="AN8" s="236"/>
      <c r="AO8" s="236"/>
      <c r="AP8" s="236"/>
      <c r="AQ8" s="236"/>
      <c r="AR8" s="236"/>
      <c r="AS8" s="236"/>
      <c r="AT8" s="236"/>
      <c r="AU8" s="236"/>
      <c r="AV8" s="455"/>
      <c r="AW8" s="236"/>
      <c r="AX8" s="236"/>
      <c r="AY8" s="236"/>
      <c r="AZ8" s="236"/>
      <c r="BA8" s="236"/>
      <c r="BB8" s="236"/>
      <c r="BC8" s="236"/>
      <c r="BD8" s="236"/>
      <c r="BE8" s="236"/>
      <c r="BF8" s="236"/>
      <c r="BG8" s="236"/>
      <c r="BH8" s="236"/>
      <c r="BI8" s="236"/>
      <c r="BJ8" s="236"/>
      <c r="BK8" s="236"/>
      <c r="BL8" s="236"/>
      <c r="BM8" s="236"/>
      <c r="BN8" s="236"/>
      <c r="BO8" s="236"/>
      <c r="BP8" s="236"/>
      <c r="BQ8" s="236"/>
      <c r="BR8" s="236"/>
      <c r="BS8" s="236"/>
      <c r="BT8" s="236"/>
      <c r="BU8" s="236"/>
      <c r="BV8" s="236"/>
      <c r="BW8" s="236"/>
      <c r="BX8" s="236"/>
      <c r="BY8" s="236"/>
      <c r="BZ8" s="236"/>
      <c r="CA8" s="236"/>
      <c r="CB8" s="236"/>
      <c r="CC8" s="236"/>
      <c r="CF8"/>
      <c r="CG8"/>
      <c r="CH8"/>
      <c r="CI8"/>
      <c r="CJ8"/>
      <c r="CK8"/>
    </row>
    <row r="9" spans="1:89" s="397" customFormat="1">
      <c r="A9" s="435"/>
      <c r="B9" s="435"/>
      <c r="C9" s="435"/>
      <c r="D9" s="435"/>
      <c r="E9" s="435"/>
      <c r="F9" s="435"/>
      <c r="G9" s="435"/>
      <c r="H9" s="435"/>
      <c r="I9" s="435"/>
      <c r="J9" s="435"/>
      <c r="K9" s="435"/>
      <c r="L9" s="435"/>
      <c r="M9" s="435"/>
      <c r="N9" s="435"/>
      <c r="O9" s="435"/>
      <c r="P9" s="435"/>
      <c r="Q9" s="435"/>
      <c r="R9" s="435"/>
      <c r="S9" s="435"/>
      <c r="T9" s="435"/>
      <c r="U9" s="435"/>
      <c r="V9" s="435"/>
      <c r="W9" s="435"/>
      <c r="X9" s="435"/>
      <c r="Y9" s="435"/>
      <c r="Z9" s="435"/>
      <c r="AA9" s="435"/>
      <c r="AB9" s="435"/>
      <c r="AC9" s="435"/>
      <c r="AD9" s="435"/>
      <c r="AE9" s="435"/>
      <c r="AF9" s="435"/>
      <c r="AG9" s="435"/>
      <c r="AH9" s="435"/>
      <c r="AI9" s="435"/>
      <c r="AJ9" s="435"/>
      <c r="AK9" s="435"/>
      <c r="AL9" s="435"/>
      <c r="AM9" s="435"/>
      <c r="AN9" s="435"/>
      <c r="AO9" s="435"/>
      <c r="AP9" s="435"/>
      <c r="AQ9" s="435"/>
      <c r="AR9" s="435"/>
      <c r="AS9" s="435"/>
      <c r="AT9" s="435"/>
      <c r="AU9" s="435"/>
      <c r="AV9" s="456"/>
      <c r="AW9" s="435"/>
      <c r="AX9" s="435"/>
      <c r="AY9" s="435"/>
      <c r="AZ9" s="435"/>
      <c r="BA9" s="435"/>
      <c r="BB9" s="435"/>
      <c r="BC9" s="435"/>
      <c r="BD9" s="435"/>
      <c r="BE9" s="435"/>
      <c r="BF9" s="435"/>
      <c r="BG9" s="435"/>
      <c r="BH9" s="435"/>
      <c r="BI9" s="435"/>
      <c r="BJ9" s="435"/>
      <c r="BK9" s="435"/>
      <c r="BL9" s="435"/>
      <c r="BM9" s="435"/>
      <c r="BN9" s="435"/>
      <c r="BO9" s="435"/>
      <c r="BP9" s="435"/>
      <c r="BQ9" s="435"/>
      <c r="BR9" s="435"/>
      <c r="BS9" s="435"/>
      <c r="BT9" s="435"/>
      <c r="BU9" s="435"/>
      <c r="BV9" s="435"/>
      <c r="BW9" s="435"/>
      <c r="BX9" s="435"/>
      <c r="BY9" s="435"/>
      <c r="BZ9" s="435"/>
      <c r="CA9" s="435"/>
      <c r="CB9" s="435"/>
      <c r="CC9" s="435"/>
      <c r="CF9"/>
      <c r="CG9"/>
      <c r="CH9"/>
      <c r="CI9"/>
      <c r="CJ9"/>
      <c r="CK9"/>
    </row>
    <row r="10" spans="1:89">
      <c r="B10" s="40" t="s">
        <v>438</v>
      </c>
    </row>
    <row r="11" spans="1:89">
      <c r="B11" s="257" t="s">
        <v>303</v>
      </c>
    </row>
    <row r="12" spans="1:89">
      <c r="B12" s="457" t="s">
        <v>152</v>
      </c>
      <c r="AD12" s="458">
        <f>Segments!AD90</f>
        <v>710.88295454545448</v>
      </c>
      <c r="AE12" s="458">
        <f>Segments!AE90</f>
        <v>297.08912037037038</v>
      </c>
      <c r="AF12" s="458">
        <f>Segments!AF90</f>
        <v>344.06828703703701</v>
      </c>
      <c r="AG12" s="458">
        <f>Segments!AG90</f>
        <v>634.16296296296298</v>
      </c>
      <c r="AH12" s="458">
        <f>Segments!AH90</f>
        <v>340.16551724137935</v>
      </c>
      <c r="AI12" s="458">
        <f>Segments!AI90</f>
        <v>423.10372762673705</v>
      </c>
      <c r="AJ12" s="458">
        <f>Segments!AJ90</f>
        <v>763.2692448681164</v>
      </c>
      <c r="AK12" s="458">
        <f>Segments!AK90</f>
        <v>346.21818566491584</v>
      </c>
      <c r="AL12" s="458">
        <f>Segments!AL90</f>
        <v>434.12258395364347</v>
      </c>
      <c r="AM12" s="458">
        <f>Segments!AM90</f>
        <v>780.34076961855931</v>
      </c>
      <c r="AN12" s="458">
        <f>Segments!AN90</f>
        <v>328.72650651682409</v>
      </c>
      <c r="AO12" s="458">
        <f>Segments!AO90</f>
        <v>367.388100224749</v>
      </c>
      <c r="AP12" s="458">
        <f>Segments!AP90</f>
        <v>696.11460674157308</v>
      </c>
      <c r="AQ12" s="458">
        <f>Segments!AQ90</f>
        <v>343.23370786516858</v>
      </c>
      <c r="AR12" s="458">
        <f>Segments!AR90</f>
        <v>391.50518102372035</v>
      </c>
      <c r="AS12" s="458">
        <f>Segments!AS90</f>
        <v>734.73888888888894</v>
      </c>
      <c r="AT12" s="458">
        <f>Segments!AT90</f>
        <v>352.15778426966295</v>
      </c>
      <c r="AU12" s="458">
        <f>Segments!AU90</f>
        <v>494.56221573033707</v>
      </c>
      <c r="AV12" s="458">
        <f>Segments!AV90</f>
        <v>846.72</v>
      </c>
      <c r="AW12" s="458">
        <f>Segments!AW90</f>
        <v>441.23999999999995</v>
      </c>
      <c r="AX12" s="458">
        <f>Segments!AX90</f>
        <v>361.25888888888898</v>
      </c>
      <c r="AY12" s="458">
        <f>Segments!AY90</f>
        <v>802.49888888888893</v>
      </c>
      <c r="AZ12" s="458">
        <f>Segments!AZ90</f>
        <v>399.34333333333336</v>
      </c>
      <c r="BA12" s="458">
        <f>Segments!BA90</f>
        <v>378.76106227106231</v>
      </c>
      <c r="BB12" s="458">
        <f>Segments!BB90</f>
        <v>778.10439560439568</v>
      </c>
      <c r="BC12" s="458">
        <f>Segments!BC90</f>
        <v>320.80500000000001</v>
      </c>
      <c r="BD12" s="458">
        <f>Segments!BD90</f>
        <v>314.28499999999991</v>
      </c>
      <c r="BE12" s="13">
        <f>SUM(BC12:BD12)</f>
        <v>635.08999999999992</v>
      </c>
      <c r="BF12" s="458">
        <f>Segments!BF90</f>
        <v>329.20310740640559</v>
      </c>
      <c r="BG12" s="458">
        <f>Segments!BG90</f>
        <v>331.20582281918621</v>
      </c>
      <c r="BH12" s="458">
        <f>SUM(BF12:BG12)</f>
        <v>660.4089302255918</v>
      </c>
      <c r="BI12" s="458">
        <f>Segments!BI90</f>
        <v>354.09685305993088</v>
      </c>
      <c r="BJ12" s="458">
        <f>Segments!BJ90</f>
        <v>335.60529891494355</v>
      </c>
      <c r="BK12" s="458">
        <f>SUM(BI12:BJ12)</f>
        <v>689.70215197487437</v>
      </c>
      <c r="BL12" s="458">
        <f>Segments!BL90</f>
        <v>363.52790094250264</v>
      </c>
      <c r="BM12" s="458">
        <f>Segments!BM90</f>
        <v>343.49871968073001</v>
      </c>
      <c r="BN12" s="458">
        <f>SUM(BL12:BM12)</f>
        <v>707.0266206232327</v>
      </c>
      <c r="BO12" s="458">
        <f>Segments!BO90</f>
        <v>376.62215874980467</v>
      </c>
      <c r="BP12" s="458">
        <f>Segments!BP90</f>
        <v>347.46475430062372</v>
      </c>
      <c r="BQ12" s="458">
        <f>SUM(BO12:BP12)</f>
        <v>724.08691305042839</v>
      </c>
      <c r="BR12" s="458">
        <f>Segments!BR90</f>
        <v>376.2628594587672</v>
      </c>
      <c r="BS12" s="458">
        <f>Segments!BS90</f>
        <v>354.28223941387643</v>
      </c>
      <c r="BT12" s="458">
        <f>SUM(BR12:BS12)</f>
        <v>730.54509887264362</v>
      </c>
      <c r="BU12" s="458">
        <f>Segments!BU90</f>
        <v>388.34866792202047</v>
      </c>
      <c r="BV12" s="458">
        <f>Segments!BV90</f>
        <v>367.09549578542305</v>
      </c>
      <c r="BW12" s="458">
        <f>SUM(BU12:BV12)</f>
        <v>755.44416370744352</v>
      </c>
      <c r="BX12" s="458">
        <f>Segments!BX90</f>
        <v>402.39399814197668</v>
      </c>
      <c r="BY12" s="458">
        <f>Segments!BY90</f>
        <v>370.25403252573562</v>
      </c>
      <c r="BZ12" s="458">
        <f>SUM(BX12:BY12)</f>
        <v>772.64803066771231</v>
      </c>
      <c r="CA12" s="458">
        <f>Segments!CA90</f>
        <v>405.85624772499966</v>
      </c>
      <c r="CB12" s="458">
        <f>Segments!CB90</f>
        <v>373.4397457213696</v>
      </c>
      <c r="CC12" s="458">
        <f>SUM(CA12:CB12)</f>
        <v>779.29599344636927</v>
      </c>
    </row>
    <row r="13" spans="1:89">
      <c r="B13" s="457" t="s">
        <v>279</v>
      </c>
      <c r="AD13" s="458">
        <f>Segments!AD96</f>
        <v>174.70852272727271</v>
      </c>
      <c r="AE13" s="458">
        <f>Segments!AE96</f>
        <v>86.425925925925924</v>
      </c>
      <c r="AF13" s="458">
        <f>Segments!AF96</f>
        <v>100.09259259259258</v>
      </c>
      <c r="AG13" s="458">
        <f>Segments!AG96</f>
        <v>186.5185185185185</v>
      </c>
      <c r="AH13" s="458">
        <f>Segments!AH96</f>
        <v>77.581609195402308</v>
      </c>
      <c r="AI13" s="458">
        <f>Segments!AI96</f>
        <v>107.72347174282721</v>
      </c>
      <c r="AJ13" s="458">
        <f>Segments!AJ96</f>
        <v>185.30508093822954</v>
      </c>
      <c r="AK13" s="458">
        <f>Segments!AK96</f>
        <v>83.788137931034498</v>
      </c>
      <c r="AL13" s="458">
        <f>Segments!AL96</f>
        <v>86.45347224720598</v>
      </c>
      <c r="AM13" s="458">
        <f>Segments!AM96</f>
        <v>170.24161017824048</v>
      </c>
      <c r="AN13" s="458">
        <f>Segments!AN96</f>
        <v>89.653307586206921</v>
      </c>
      <c r="AO13" s="458">
        <f>Segments!AO96</f>
        <v>77.929838481208805</v>
      </c>
      <c r="AP13" s="458">
        <f>Segments!AP96</f>
        <v>167.58314606741573</v>
      </c>
      <c r="AQ13" s="458">
        <f>Segments!AQ96</f>
        <v>82.630337078651692</v>
      </c>
      <c r="AR13" s="458">
        <f>Segments!AR96</f>
        <v>104.39410736579275</v>
      </c>
      <c r="AS13" s="458">
        <f>Segments!AS96</f>
        <v>187.02444444444444</v>
      </c>
      <c r="AT13" s="458">
        <f>Segments!AT96</f>
        <v>82.826027451393969</v>
      </c>
      <c r="AU13" s="458">
        <f>Segments!AU96</f>
        <v>100.62997254860605</v>
      </c>
      <c r="AV13" s="458">
        <f>Segments!AV96</f>
        <v>183.45600000000002</v>
      </c>
      <c r="AW13" s="458">
        <f>Segments!AW96</f>
        <v>98.028819999999996</v>
      </c>
      <c r="AX13" s="458">
        <f>Segments!AX96</f>
        <v>106.86451333333335</v>
      </c>
      <c r="AY13" s="458">
        <f>Segments!AY96</f>
        <v>204.89333333333335</v>
      </c>
      <c r="AZ13" s="458">
        <f>Segments!AZ96</f>
        <v>101.96000000000001</v>
      </c>
      <c r="BA13" s="458">
        <f>Segments!BA96</f>
        <v>88.243296703296693</v>
      </c>
      <c r="BB13" s="458">
        <f>Segments!BB96</f>
        <v>190.2032967032967</v>
      </c>
      <c r="BC13" s="458">
        <f>Segments!BC96</f>
        <v>78.418999999999997</v>
      </c>
      <c r="BD13" s="458">
        <f>Segments!BD96</f>
        <v>91.971000000000018</v>
      </c>
      <c r="BE13" s="13">
        <f>SUM(BC13:BD13)</f>
        <v>170.39000000000001</v>
      </c>
      <c r="BF13" s="458">
        <f>Segments!BF96</f>
        <v>78.418999999999997</v>
      </c>
      <c r="BG13" s="458">
        <f>Segments!BG96</f>
        <v>91.971000000000018</v>
      </c>
      <c r="BH13" s="458">
        <f>SUM(BF13:BG13)</f>
        <v>170.39000000000001</v>
      </c>
      <c r="BI13" s="458">
        <f>Segments!BI96</f>
        <v>81.555760000000006</v>
      </c>
      <c r="BJ13" s="458">
        <f>Segments!BJ96</f>
        <v>95.649840000000026</v>
      </c>
      <c r="BK13" s="458">
        <f>SUM(BI13:BJ13)</f>
        <v>177.20560000000003</v>
      </c>
      <c r="BL13" s="458">
        <f>Segments!BL96</f>
        <v>84.817990400000014</v>
      </c>
      <c r="BM13" s="458">
        <f>Segments!BM96</f>
        <v>99.47583360000003</v>
      </c>
      <c r="BN13" s="458">
        <f>SUM(BL13:BM13)</f>
        <v>184.29382400000003</v>
      </c>
      <c r="BO13" s="458">
        <f>Segments!BO96</f>
        <v>87.362530112000016</v>
      </c>
      <c r="BP13" s="458">
        <f>Segments!BP96</f>
        <v>102.46010860800003</v>
      </c>
      <c r="BQ13" s="458">
        <f>SUM(BO13:BP13)</f>
        <v>189.82263872000004</v>
      </c>
      <c r="BR13" s="458">
        <f>Segments!BR96</f>
        <v>89.983406015360018</v>
      </c>
      <c r="BS13" s="458">
        <f>Segments!BS96</f>
        <v>105.53391186624003</v>
      </c>
      <c r="BT13" s="458">
        <f>SUM(BR13:BS13)</f>
        <v>195.51731788160004</v>
      </c>
      <c r="BU13" s="458">
        <f>Segments!BU96</f>
        <v>92.682908195820815</v>
      </c>
      <c r="BV13" s="458">
        <f>Segments!BV96</f>
        <v>108.69992922222724</v>
      </c>
      <c r="BW13" s="458">
        <f>SUM(BU13:BV13)</f>
        <v>201.38283741804804</v>
      </c>
      <c r="BX13" s="458">
        <f>Segments!BX96</f>
        <v>95.46339544169544</v>
      </c>
      <c r="BY13" s="458">
        <f>Segments!BY96</f>
        <v>111.96092709889406</v>
      </c>
      <c r="BZ13" s="458">
        <f>SUM(BX13:BY13)</f>
        <v>207.42432254058951</v>
      </c>
      <c r="CA13" s="458">
        <f>Segments!CA96</f>
        <v>98.327297304946299</v>
      </c>
      <c r="CB13" s="458">
        <f>Segments!CB96</f>
        <v>115.31975491186088</v>
      </c>
      <c r="CC13" s="458">
        <f>SUM(CA13:CB13)</f>
        <v>213.6470522168072</v>
      </c>
    </row>
    <row r="14" spans="1:89">
      <c r="B14" s="457" t="s">
        <v>333</v>
      </c>
      <c r="AD14" s="459">
        <f>Segments!AD102</f>
        <v>174.70852272727271</v>
      </c>
      <c r="AE14" s="459">
        <f>Segments!AE102</f>
        <v>83.184953703703698</v>
      </c>
      <c r="AF14" s="459">
        <f>Segments!AF102</f>
        <v>96.339120370370367</v>
      </c>
      <c r="AG14" s="459">
        <f>Segments!AG102</f>
        <v>186.5185185185185</v>
      </c>
      <c r="AH14" s="459">
        <f>Segments!AH102</f>
        <v>101.4528735632184</v>
      </c>
      <c r="AI14" s="459">
        <f>Segments!AI102</f>
        <v>111.65085073100533</v>
      </c>
      <c r="AJ14" s="459">
        <f>Segments!AJ102</f>
        <v>213.10372429422375</v>
      </c>
      <c r="AK14" s="459">
        <f>Segments!AK102</f>
        <v>95.670059770114946</v>
      </c>
      <c r="AL14" s="459">
        <f>Segments!AL102</f>
        <v>150.41145841868502</v>
      </c>
      <c r="AM14" s="459">
        <f>Segments!AM102</f>
        <v>246.08151818879998</v>
      </c>
      <c r="AN14" s="459">
        <f>Segments!AN102</f>
        <v>125.50245608168699</v>
      </c>
      <c r="AO14" s="459">
        <f>Segments!AO102</f>
        <v>158.09979110932414</v>
      </c>
      <c r="AP14" s="459">
        <f>Segments!AP102</f>
        <v>283.60224719101114</v>
      </c>
      <c r="AQ14" s="459">
        <f>Segments!AQ102</f>
        <v>139.83595505617978</v>
      </c>
      <c r="AR14" s="459">
        <f>Segments!AR102</f>
        <v>140.70071161048685</v>
      </c>
      <c r="AS14" s="459">
        <f>Segments!AS102</f>
        <v>280.53666666666663</v>
      </c>
      <c r="AT14" s="459">
        <f>Segments!AT102</f>
        <v>151.21618827894312</v>
      </c>
      <c r="AU14" s="459">
        <f>Segments!AU102</f>
        <v>229.80781172105694</v>
      </c>
      <c r="AV14" s="459">
        <f>Segments!AV102</f>
        <v>381.02400000000006</v>
      </c>
      <c r="AW14" s="459">
        <f>Segments!AW102</f>
        <v>196.13118</v>
      </c>
      <c r="AX14" s="459">
        <f>Segments!AX102</f>
        <v>333.17659777777783</v>
      </c>
      <c r="AY14" s="459">
        <f>Segments!AY102</f>
        <v>529.3077777777778</v>
      </c>
      <c r="AZ14" s="459">
        <f>Segments!AZ102</f>
        <v>263.39666666666665</v>
      </c>
      <c r="BA14" s="459">
        <f>Segments!BA102</f>
        <v>341.79564102564098</v>
      </c>
      <c r="BB14" s="459">
        <f>Segments!BB102</f>
        <v>605.19230769230762</v>
      </c>
      <c r="BC14" s="459">
        <f>Segments!BC102</f>
        <v>244.67599999999999</v>
      </c>
      <c r="BD14" s="459">
        <f>Segments!BD102</f>
        <v>351.24400000000009</v>
      </c>
      <c r="BE14" s="656">
        <f>SUM(BC14:BD14)</f>
        <v>595.92000000000007</v>
      </c>
      <c r="BF14" s="459">
        <f>Segments!BF102</f>
        <v>276.23974337402842</v>
      </c>
      <c r="BG14" s="459">
        <f>Segments!BG102</f>
        <v>374.75135884292985</v>
      </c>
      <c r="BH14" s="459">
        <f>SUM(BF14:BG14)</f>
        <v>650.99110221695832</v>
      </c>
      <c r="BI14" s="459">
        <f>Segments!BI102</f>
        <v>292.48748519413459</v>
      </c>
      <c r="BJ14" s="459">
        <f>Segments!BJ102</f>
        <v>377.96871286178538</v>
      </c>
      <c r="BK14" s="459">
        <f>SUM(BI14:BJ14)</f>
        <v>670.45619805591991</v>
      </c>
      <c r="BL14" s="459">
        <f>Segments!BL102</f>
        <v>298.88454073792815</v>
      </c>
      <c r="BM14" s="459">
        <f>Segments!BM102</f>
        <v>386.18930272317942</v>
      </c>
      <c r="BN14" s="459">
        <f>SUM(BL14:BM14)</f>
        <v>685.07384346110757</v>
      </c>
      <c r="BO14" s="459">
        <f>Segments!BO102</f>
        <v>309.07196443082182</v>
      </c>
      <c r="BP14" s="459">
        <f>Segments!BP102</f>
        <v>394.85052233822984</v>
      </c>
      <c r="BQ14" s="459">
        <f>SUM(BO14:BP14)</f>
        <v>703.9224867690516</v>
      </c>
      <c r="BR14" s="459">
        <f>Segments!BR102</f>
        <v>310.34970227421968</v>
      </c>
      <c r="BS14" s="459">
        <f>Segments!BS102</f>
        <v>406.80844013216716</v>
      </c>
      <c r="BT14" s="459">
        <f>SUM(BR14:BS14)</f>
        <v>717.15814240638679</v>
      </c>
      <c r="BU14" s="459">
        <f>Segments!BU102</f>
        <v>322.59976648075963</v>
      </c>
      <c r="BV14" s="459">
        <f>Segments!BV102</f>
        <v>420.99507338434819</v>
      </c>
      <c r="BW14" s="459">
        <f>SUM(BU14:BV14)</f>
        <v>743.59483986510782</v>
      </c>
      <c r="BX14" s="459">
        <f>Segments!BX102</f>
        <v>333.0718703338589</v>
      </c>
      <c r="BY14" s="459">
        <f>Segments!BY102</f>
        <v>425.81018716365065</v>
      </c>
      <c r="BZ14" s="459">
        <f>SUM(BX14:BY14)</f>
        <v>758.88205749750955</v>
      </c>
      <c r="CA14" s="459">
        <f>Segments!CA102</f>
        <v>336.88136610645773</v>
      </c>
      <c r="CB14" s="459">
        <f>Segments!CB102</f>
        <v>430.68037360810627</v>
      </c>
      <c r="CC14" s="459">
        <f>SUM(CA14:CB14)</f>
        <v>767.56173971456406</v>
      </c>
    </row>
    <row r="15" spans="1:89" s="7" customFormat="1">
      <c r="A15" s="40"/>
      <c r="B15" s="460" t="s">
        <v>262</v>
      </c>
      <c r="C15" s="40"/>
      <c r="D15" s="40"/>
      <c r="E15" s="40"/>
      <c r="F15" s="40"/>
      <c r="G15" s="40"/>
      <c r="H15" s="40"/>
      <c r="I15" s="40"/>
      <c r="J15" s="40"/>
      <c r="K15" s="40"/>
      <c r="L15" s="40"/>
      <c r="M15" s="40"/>
      <c r="N15" s="40"/>
      <c r="O15" s="40"/>
      <c r="P15" s="40"/>
      <c r="Q15" s="40"/>
      <c r="R15" s="40"/>
      <c r="S15" s="40"/>
      <c r="T15" s="40"/>
      <c r="U15" s="40"/>
      <c r="V15" s="40"/>
      <c r="W15" s="40"/>
      <c r="X15" s="40"/>
      <c r="Y15" s="40"/>
      <c r="Z15" s="40"/>
      <c r="AA15" s="40"/>
      <c r="AB15" s="40"/>
      <c r="AC15" s="40"/>
      <c r="AD15" s="110">
        <f t="shared" ref="AD15:AW15" si="4">SUM(AD12:AD14)</f>
        <v>1060.3</v>
      </c>
      <c r="AE15" s="110">
        <f t="shared" si="4"/>
        <v>466.7</v>
      </c>
      <c r="AF15" s="110">
        <f t="shared" si="4"/>
        <v>540.49999999999989</v>
      </c>
      <c r="AG15" s="110">
        <f t="shared" si="4"/>
        <v>1007.1999999999999</v>
      </c>
      <c r="AH15" s="110">
        <f t="shared" si="4"/>
        <v>519.20000000000005</v>
      </c>
      <c r="AI15" s="110">
        <f t="shared" si="4"/>
        <v>642.47805010056959</v>
      </c>
      <c r="AJ15" s="110">
        <f t="shared" si="4"/>
        <v>1161.6780501005696</v>
      </c>
      <c r="AK15" s="110">
        <f t="shared" si="4"/>
        <v>525.67638336606524</v>
      </c>
      <c r="AL15" s="110">
        <f t="shared" si="4"/>
        <v>670.98751461953452</v>
      </c>
      <c r="AM15" s="110">
        <f t="shared" si="4"/>
        <v>1196.6638979855998</v>
      </c>
      <c r="AN15" s="110">
        <f t="shared" si="4"/>
        <v>543.88227018471798</v>
      </c>
      <c r="AO15" s="110">
        <f t="shared" si="4"/>
        <v>603.41772981528197</v>
      </c>
      <c r="AP15" s="110">
        <f t="shared" si="4"/>
        <v>1147.3</v>
      </c>
      <c r="AQ15" s="110">
        <f t="shared" si="4"/>
        <v>565.70000000000005</v>
      </c>
      <c r="AR15" s="110">
        <f t="shared" si="4"/>
        <v>636.59999999999991</v>
      </c>
      <c r="AS15" s="110">
        <f t="shared" si="4"/>
        <v>1202.3</v>
      </c>
      <c r="AT15" s="110">
        <f t="shared" si="4"/>
        <v>586.20000000000005</v>
      </c>
      <c r="AU15" s="110">
        <f t="shared" si="4"/>
        <v>825.00000000000011</v>
      </c>
      <c r="AV15" s="110">
        <f t="shared" si="4"/>
        <v>1411.2</v>
      </c>
      <c r="AW15" s="110">
        <f t="shared" si="4"/>
        <v>735.4</v>
      </c>
      <c r="AX15" s="110">
        <f t="shared" ref="AX15:BQ15" si="5">SUM(AX12:AX14)</f>
        <v>801.30000000000018</v>
      </c>
      <c r="AY15" s="110">
        <f t="shared" si="5"/>
        <v>1536.7</v>
      </c>
      <c r="AZ15" s="110">
        <f t="shared" si="5"/>
        <v>764.7</v>
      </c>
      <c r="BA15" s="110">
        <f t="shared" si="5"/>
        <v>808.8</v>
      </c>
      <c r="BB15" s="110">
        <f t="shared" si="5"/>
        <v>1573.5</v>
      </c>
      <c r="BC15" s="110">
        <f t="shared" si="5"/>
        <v>643.9</v>
      </c>
      <c r="BD15" s="110">
        <f t="shared" si="5"/>
        <v>757.5</v>
      </c>
      <c r="BE15" s="441">
        <f t="shared" si="5"/>
        <v>1401.4</v>
      </c>
      <c r="BF15" s="110">
        <f t="shared" si="5"/>
        <v>683.861850780434</v>
      </c>
      <c r="BG15" s="110">
        <f t="shared" si="5"/>
        <v>797.928181662116</v>
      </c>
      <c r="BH15" s="110">
        <f t="shared" si="5"/>
        <v>1481.79003244255</v>
      </c>
      <c r="BI15" s="110">
        <f t="shared" si="5"/>
        <v>728.14009825406549</v>
      </c>
      <c r="BJ15" s="110">
        <f t="shared" si="5"/>
        <v>809.22385177672891</v>
      </c>
      <c r="BK15" s="110">
        <f t="shared" si="5"/>
        <v>1537.3639500307943</v>
      </c>
      <c r="BL15" s="110">
        <f t="shared" si="5"/>
        <v>747.23043208043077</v>
      </c>
      <c r="BM15" s="110">
        <f t="shared" si="5"/>
        <v>829.16385600390947</v>
      </c>
      <c r="BN15" s="110">
        <f t="shared" si="5"/>
        <v>1576.3942880843404</v>
      </c>
      <c r="BO15" s="110">
        <f t="shared" si="5"/>
        <v>773.05665329262649</v>
      </c>
      <c r="BP15" s="110">
        <f t="shared" si="5"/>
        <v>844.7753852468536</v>
      </c>
      <c r="BQ15" s="110">
        <f t="shared" si="5"/>
        <v>1617.83203853948</v>
      </c>
      <c r="BR15" s="110">
        <f t="shared" ref="BR15:CC15" si="6">SUM(BR12:BR14)</f>
        <v>776.59596774834688</v>
      </c>
      <c r="BS15" s="110">
        <f t="shared" si="6"/>
        <v>866.62459141228362</v>
      </c>
      <c r="BT15" s="110">
        <f t="shared" si="6"/>
        <v>1643.2205591606305</v>
      </c>
      <c r="BU15" s="110">
        <f t="shared" si="6"/>
        <v>803.6313425986009</v>
      </c>
      <c r="BV15" s="110">
        <f t="shared" si="6"/>
        <v>896.79049839199843</v>
      </c>
      <c r="BW15" s="110">
        <f t="shared" si="6"/>
        <v>1700.4218409905993</v>
      </c>
      <c r="BX15" s="110">
        <f t="shared" si="6"/>
        <v>830.92926391753099</v>
      </c>
      <c r="BY15" s="110">
        <f t="shared" si="6"/>
        <v>908.02514678828038</v>
      </c>
      <c r="BZ15" s="110">
        <f t="shared" si="6"/>
        <v>1738.9544107058114</v>
      </c>
      <c r="CA15" s="110">
        <f t="shared" si="6"/>
        <v>841.06491113640368</v>
      </c>
      <c r="CB15" s="110">
        <f t="shared" si="6"/>
        <v>919.43987424133672</v>
      </c>
      <c r="CC15" s="110">
        <f t="shared" si="6"/>
        <v>1760.5047853777405</v>
      </c>
      <c r="CD15" s="40"/>
      <c r="CE15" s="40"/>
      <c r="CF15"/>
      <c r="CG15"/>
      <c r="CH15"/>
      <c r="CI15"/>
      <c r="CJ15"/>
      <c r="CK15"/>
    </row>
    <row r="16" spans="1:89">
      <c r="B16" s="461" t="s">
        <v>413</v>
      </c>
      <c r="AD16" s="458">
        <f>Segments!AD156</f>
        <v>122.2</v>
      </c>
      <c r="AE16" s="458">
        <f>Segments!AE156</f>
        <v>63</v>
      </c>
      <c r="AF16" s="458">
        <f>Segments!AF156</f>
        <v>69.800000000000011</v>
      </c>
      <c r="AG16" s="458">
        <f>Segments!AG156</f>
        <v>132.80000000000001</v>
      </c>
      <c r="AH16" s="458">
        <f>Segments!AH156</f>
        <v>63</v>
      </c>
      <c r="AI16" s="458">
        <f>Segments!AI156</f>
        <v>80.975398783987714</v>
      </c>
      <c r="AJ16" s="458">
        <f>Segments!AJ156</f>
        <v>143.97539878398771</v>
      </c>
      <c r="AK16" s="458">
        <f>Segments!AK156</f>
        <v>48.826040280871638</v>
      </c>
      <c r="AL16" s="458">
        <f>Segments!AL156</f>
        <v>71.373959719128365</v>
      </c>
      <c r="AM16" s="458">
        <f>Segments!AM156</f>
        <v>120.2</v>
      </c>
      <c r="AN16" s="458">
        <f>Segments!AN156</f>
        <v>58.503654356289992</v>
      </c>
      <c r="AO16" s="458">
        <f>Segments!AO156</f>
        <v>65.196345643710004</v>
      </c>
      <c r="AP16" s="458">
        <f>Segments!AP156</f>
        <v>123.7</v>
      </c>
      <c r="AQ16" s="458">
        <f>Segments!AQ156</f>
        <v>57</v>
      </c>
      <c r="AR16" s="458">
        <f>Segments!AR156</f>
        <v>67.400000000000006</v>
      </c>
      <c r="AS16" s="458">
        <f>Segments!AS156</f>
        <v>124.4</v>
      </c>
      <c r="AT16" s="458">
        <f>Segments!AT156</f>
        <v>62.2</v>
      </c>
      <c r="AU16" s="458">
        <f>Segments!AU156</f>
        <v>75.2</v>
      </c>
      <c r="AV16" s="458">
        <f>Segments!AV156</f>
        <v>137.4</v>
      </c>
      <c r="AW16" s="458">
        <f>Segments!AW156</f>
        <v>67.3</v>
      </c>
      <c r="AX16" s="458">
        <f>Segments!AX156</f>
        <v>80.500000000000014</v>
      </c>
      <c r="AY16" s="458">
        <f>Segments!AY156</f>
        <v>147.80000000000001</v>
      </c>
      <c r="AZ16" s="458">
        <f>Segments!AZ156</f>
        <v>71.8</v>
      </c>
      <c r="BA16" s="458">
        <f>Segments!BA156</f>
        <v>77.399999999999991</v>
      </c>
      <c r="BB16" s="458">
        <f>Segments!BB156</f>
        <v>149.19999999999999</v>
      </c>
      <c r="BC16" s="458">
        <f>Segments!BC156</f>
        <v>69</v>
      </c>
      <c r="BD16" s="458">
        <f>Segments!BD156</f>
        <v>78.599999999999994</v>
      </c>
      <c r="BE16" s="13">
        <f>SUM(BC16:BD16)</f>
        <v>147.6</v>
      </c>
      <c r="BF16" s="458">
        <f>Segments!BF156</f>
        <v>63.298529516945422</v>
      </c>
      <c r="BG16" s="458">
        <f>Segments!BG156</f>
        <v>75.138069756991868</v>
      </c>
      <c r="BH16" s="458">
        <f>SUM(BF16:BG16)</f>
        <v>138.4365992739373</v>
      </c>
      <c r="BI16" s="458">
        <f>Segments!BI156</f>
        <v>60.750013428440617</v>
      </c>
      <c r="BJ16" s="458">
        <f>Segments!BJ156</f>
        <v>74.739371628212538</v>
      </c>
      <c r="BK16" s="458">
        <f>SUM(BI16:BJ16)</f>
        <v>135.48938505665316</v>
      </c>
      <c r="BL16" s="458">
        <f>Segments!BL156</f>
        <v>62.04189947866211</v>
      </c>
      <c r="BM16" s="458">
        <f>Segments!BM156</f>
        <v>78.216857774521898</v>
      </c>
      <c r="BN16" s="458">
        <f>SUM(BL16:BM16)</f>
        <v>140.258757253184</v>
      </c>
      <c r="BO16" s="458">
        <f>Segments!BO156</f>
        <v>66.459221341305508</v>
      </c>
      <c r="BP16" s="458">
        <f>Segments!BP156</f>
        <v>83.252456010800941</v>
      </c>
      <c r="BQ16" s="458">
        <f>SUM(BO16:BP16)</f>
        <v>149.71167735210645</v>
      </c>
      <c r="BR16" s="458">
        <f>Segments!BR156</f>
        <v>68.306348744709638</v>
      </c>
      <c r="BS16" s="458">
        <f>Segments!BS156</f>
        <v>86.812826837214828</v>
      </c>
      <c r="BT16" s="458">
        <f>SUM(BR16:BS16)</f>
        <v>155.11917558192448</v>
      </c>
      <c r="BU16" s="458">
        <f>Segments!BU156</f>
        <v>72.482614860975673</v>
      </c>
      <c r="BV16" s="458">
        <f>Segments!BV156</f>
        <v>90.086590052649612</v>
      </c>
      <c r="BW16" s="458">
        <f>SUM(BU16:BV16)</f>
        <v>162.5692049136253</v>
      </c>
      <c r="BX16" s="458">
        <f>Segments!BX156</f>
        <v>74.866406899914736</v>
      </c>
      <c r="BY16" s="458">
        <f>Segments!BY156</f>
        <v>91.585030827134844</v>
      </c>
      <c r="BZ16" s="458">
        <f>SUM(BX16:BY16)</f>
        <v>166.45143772704958</v>
      </c>
      <c r="CA16" s="458">
        <f>Segments!CA156</f>
        <v>76.11168521128684</v>
      </c>
      <c r="CB16" s="458">
        <f>Segments!CB156</f>
        <v>93.108395674707182</v>
      </c>
      <c r="CC16" s="458">
        <f>SUM(CA16:CB16)</f>
        <v>169.22008088599404</v>
      </c>
    </row>
    <row r="17" spans="1:89">
      <c r="B17" s="461" t="s">
        <v>493</v>
      </c>
      <c r="AD17" s="458">
        <f>Segments!AD176</f>
        <v>48.5</v>
      </c>
      <c r="AE17" s="458">
        <f>Segments!AE176</f>
        <v>26</v>
      </c>
      <c r="AF17" s="458">
        <f>Segments!AF176</f>
        <v>28.200000000000003</v>
      </c>
      <c r="AG17" s="458">
        <f>Segments!AG176</f>
        <v>54.2</v>
      </c>
      <c r="AH17" s="458">
        <f>Segments!AH176</f>
        <v>31.9</v>
      </c>
      <c r="AI17" s="458">
        <f>Segments!AI176</f>
        <v>29.65</v>
      </c>
      <c r="AJ17" s="458">
        <f>Segments!AJ176</f>
        <v>61.55</v>
      </c>
      <c r="AK17" s="458">
        <f>Segments!AK176</f>
        <v>35</v>
      </c>
      <c r="AL17" s="458">
        <f>Segments!AL176</f>
        <v>42.3</v>
      </c>
      <c r="AM17" s="458">
        <f>Segments!AM176</f>
        <v>77.3</v>
      </c>
      <c r="AN17" s="458">
        <f>Segments!AN176</f>
        <v>41.7</v>
      </c>
      <c r="AO17" s="458">
        <f>Segments!AO176</f>
        <v>44.399999999999991</v>
      </c>
      <c r="AP17" s="458">
        <f>Segments!AP176</f>
        <v>86.1</v>
      </c>
      <c r="AQ17" s="458">
        <f>Segments!AQ176</f>
        <v>44.3</v>
      </c>
      <c r="AR17" s="458">
        <f>Segments!AR176</f>
        <v>44.600000000000009</v>
      </c>
      <c r="AS17" s="458">
        <f>Segments!AS176</f>
        <v>88.9</v>
      </c>
      <c r="AT17" s="458">
        <f>Segments!AT176</f>
        <v>50.9</v>
      </c>
      <c r="AU17" s="458">
        <f>Segments!AU176</f>
        <v>0</v>
      </c>
      <c r="AV17" s="458">
        <f>Segments!AV176</f>
        <v>0</v>
      </c>
      <c r="AW17" s="458">
        <f>Segments!AW176</f>
        <v>0</v>
      </c>
      <c r="AX17" s="458">
        <f>Segments!AX176</f>
        <v>0</v>
      </c>
      <c r="AY17" s="458">
        <f>Segments!AY176</f>
        <v>0</v>
      </c>
      <c r="AZ17" s="458">
        <f>Segments!AZ176</f>
        <v>0</v>
      </c>
      <c r="BA17" s="458">
        <f>Segments!BA176</f>
        <v>0</v>
      </c>
      <c r="BB17" s="458">
        <f>Segments!BB176</f>
        <v>0</v>
      </c>
      <c r="BC17" s="458">
        <f>Segments!BC176</f>
        <v>0</v>
      </c>
      <c r="BD17" s="458">
        <f>Segments!BD176</f>
        <v>0</v>
      </c>
      <c r="BE17" s="13">
        <f>Segments!BE176</f>
        <v>0</v>
      </c>
      <c r="BF17" s="458">
        <f>Segments!BF176</f>
        <v>0</v>
      </c>
      <c r="BG17" s="458">
        <f>Segments!BG176</f>
        <v>0</v>
      </c>
      <c r="BH17" s="458">
        <f>Segments!BH176</f>
        <v>0</v>
      </c>
      <c r="BI17" s="458">
        <f>Segments!BI176</f>
        <v>0</v>
      </c>
      <c r="BJ17" s="458">
        <f>Segments!BJ176</f>
        <v>0</v>
      </c>
      <c r="BK17" s="458">
        <f>Segments!BK176</f>
        <v>0</v>
      </c>
      <c r="BL17" s="458">
        <f>Segments!BL176</f>
        <v>0</v>
      </c>
      <c r="BM17" s="458">
        <f>Segments!BM176</f>
        <v>0</v>
      </c>
      <c r="BN17" s="458">
        <f>Segments!BN176</f>
        <v>0</v>
      </c>
      <c r="BO17" s="458">
        <f>Segments!BO176</f>
        <v>0</v>
      </c>
      <c r="BP17" s="458">
        <f>Segments!BP176</f>
        <v>0</v>
      </c>
      <c r="BQ17" s="458">
        <f>Segments!BQ176</f>
        <v>0</v>
      </c>
      <c r="BR17" s="458">
        <f>Segments!BR176</f>
        <v>0</v>
      </c>
      <c r="BS17" s="458">
        <f>Segments!BS176</f>
        <v>0</v>
      </c>
      <c r="BT17" s="458">
        <f>Segments!BT176</f>
        <v>0</v>
      </c>
      <c r="BU17" s="458">
        <f>Segments!BU176</f>
        <v>0</v>
      </c>
      <c r="BV17" s="458">
        <f>Segments!BV176</f>
        <v>0</v>
      </c>
      <c r="BW17" s="458">
        <f>Segments!BW176</f>
        <v>0</v>
      </c>
      <c r="BX17" s="458">
        <f>Segments!BX176</f>
        <v>0</v>
      </c>
      <c r="BY17" s="458">
        <f>Segments!BY176</f>
        <v>0</v>
      </c>
      <c r="BZ17" s="458">
        <f>Segments!BZ176</f>
        <v>0</v>
      </c>
      <c r="CA17" s="458">
        <f>Segments!CA176</f>
        <v>0</v>
      </c>
      <c r="CB17" s="458">
        <f>Segments!CB176</f>
        <v>0</v>
      </c>
      <c r="CC17" s="458">
        <f>Segments!CC176</f>
        <v>0</v>
      </c>
    </row>
    <row r="18" spans="1:89">
      <c r="B18" s="462"/>
      <c r="AD18" s="13"/>
      <c r="AE18" s="13"/>
      <c r="AF18" s="13"/>
      <c r="AG18" s="13"/>
      <c r="AH18" s="13"/>
      <c r="AI18" s="458"/>
      <c r="AJ18" s="458"/>
      <c r="AK18" s="458"/>
      <c r="AL18" s="458"/>
      <c r="AM18" s="458"/>
      <c r="AN18" s="458"/>
      <c r="AO18" s="458"/>
      <c r="AP18" s="458"/>
      <c r="AQ18" s="458"/>
      <c r="AR18" s="458"/>
      <c r="AS18" s="458"/>
      <c r="AT18" s="458"/>
      <c r="AU18" s="458"/>
      <c r="AV18" s="458"/>
      <c r="AW18" s="458"/>
      <c r="AX18" s="458"/>
      <c r="AY18" s="458"/>
      <c r="AZ18" s="458"/>
      <c r="BA18" s="458"/>
      <c r="BB18" s="458"/>
      <c r="BC18" s="458"/>
      <c r="BD18" s="458"/>
      <c r="BE18" s="13"/>
      <c r="BF18" s="458"/>
      <c r="BG18" s="458"/>
      <c r="BH18" s="458"/>
      <c r="BI18" s="458"/>
      <c r="BJ18" s="458"/>
      <c r="BK18" s="458"/>
      <c r="BL18" s="458"/>
      <c r="BM18" s="458"/>
      <c r="BN18" s="458"/>
      <c r="BO18" s="458"/>
      <c r="BP18" s="458"/>
      <c r="BQ18" s="458"/>
      <c r="BR18" s="458"/>
      <c r="BS18" s="458"/>
      <c r="BT18" s="458"/>
      <c r="BU18" s="458"/>
      <c r="BV18" s="458"/>
      <c r="BW18" s="458"/>
      <c r="BX18" s="458"/>
      <c r="BY18" s="458"/>
      <c r="BZ18" s="458"/>
      <c r="CA18" s="458"/>
      <c r="CB18" s="458"/>
      <c r="CC18" s="458"/>
    </row>
    <row r="19" spans="1:89" s="553" customFormat="1">
      <c r="A19" s="463"/>
      <c r="B19" s="463" t="s">
        <v>301</v>
      </c>
      <c r="C19" s="463"/>
      <c r="D19" s="463"/>
      <c r="E19" s="463"/>
      <c r="F19" s="463"/>
      <c r="G19" s="463"/>
      <c r="H19" s="463"/>
      <c r="I19" s="463"/>
      <c r="J19" s="463"/>
      <c r="K19" s="463"/>
      <c r="L19" s="463"/>
      <c r="M19" s="463"/>
      <c r="N19" s="463"/>
      <c r="O19" s="463"/>
      <c r="P19" s="463"/>
      <c r="Q19" s="463"/>
      <c r="R19" s="463"/>
      <c r="S19" s="463"/>
      <c r="T19" s="463"/>
      <c r="U19" s="463"/>
      <c r="V19" s="463"/>
      <c r="W19" s="463"/>
      <c r="X19" s="463"/>
      <c r="Y19" s="463"/>
      <c r="Z19" s="463"/>
      <c r="AA19" s="463"/>
      <c r="AB19" s="463"/>
      <c r="AC19" s="463"/>
      <c r="AD19" s="464">
        <f t="shared" ref="AD19:AP19" si="7">SUM(AD15:AD17)</f>
        <v>1231</v>
      </c>
      <c r="AE19" s="464">
        <f t="shared" si="7"/>
        <v>555.70000000000005</v>
      </c>
      <c r="AF19" s="464">
        <f t="shared" si="7"/>
        <v>638.5</v>
      </c>
      <c r="AG19" s="464">
        <f t="shared" si="7"/>
        <v>1194.2</v>
      </c>
      <c r="AH19" s="464">
        <f t="shared" si="7"/>
        <v>614.1</v>
      </c>
      <c r="AI19" s="463">
        <f t="shared" si="7"/>
        <v>753.10344888455722</v>
      </c>
      <c r="AJ19" s="463">
        <f t="shared" si="7"/>
        <v>1367.2034488845572</v>
      </c>
      <c r="AK19" s="463">
        <f t="shared" si="7"/>
        <v>609.5024236469369</v>
      </c>
      <c r="AL19" s="463">
        <f t="shared" si="7"/>
        <v>784.66147433866286</v>
      </c>
      <c r="AM19" s="463">
        <f t="shared" si="7"/>
        <v>1394.1638979855998</v>
      </c>
      <c r="AN19" s="463">
        <f t="shared" si="7"/>
        <v>644.08592454100801</v>
      </c>
      <c r="AO19" s="463">
        <f t="shared" si="7"/>
        <v>713.0140754589919</v>
      </c>
      <c r="AP19" s="463">
        <f t="shared" si="7"/>
        <v>1357.1</v>
      </c>
      <c r="AQ19" s="463">
        <f t="shared" ref="AQ19:BN19" si="8">SUM(AQ15:AQ17)</f>
        <v>667</v>
      </c>
      <c r="AR19" s="463">
        <f t="shared" si="8"/>
        <v>748.59999999999991</v>
      </c>
      <c r="AS19" s="463">
        <f t="shared" si="8"/>
        <v>1415.6000000000001</v>
      </c>
      <c r="AT19" s="463">
        <f t="shared" si="8"/>
        <v>699.30000000000007</v>
      </c>
      <c r="AU19" s="463">
        <f t="shared" si="8"/>
        <v>900.20000000000016</v>
      </c>
      <c r="AV19" s="463">
        <f t="shared" si="8"/>
        <v>1548.6000000000001</v>
      </c>
      <c r="AW19" s="463">
        <f t="shared" si="8"/>
        <v>802.69999999999993</v>
      </c>
      <c r="AX19" s="463">
        <f t="shared" si="8"/>
        <v>881.80000000000018</v>
      </c>
      <c r="AY19" s="463">
        <f t="shared" si="8"/>
        <v>1684.5</v>
      </c>
      <c r="AZ19" s="463">
        <f t="shared" si="8"/>
        <v>836.5</v>
      </c>
      <c r="BA19" s="463">
        <f t="shared" si="8"/>
        <v>886.19999999999993</v>
      </c>
      <c r="BB19" s="463">
        <f t="shared" si="8"/>
        <v>1722.7</v>
      </c>
      <c r="BC19" s="463">
        <f t="shared" si="8"/>
        <v>712.9</v>
      </c>
      <c r="BD19" s="463">
        <f t="shared" si="8"/>
        <v>836.1</v>
      </c>
      <c r="BE19" s="464">
        <f t="shared" si="8"/>
        <v>1549</v>
      </c>
      <c r="BF19" s="463">
        <f t="shared" si="8"/>
        <v>747.16038029737945</v>
      </c>
      <c r="BG19" s="463">
        <f t="shared" si="8"/>
        <v>873.06625141910786</v>
      </c>
      <c r="BH19" s="463">
        <f t="shared" si="8"/>
        <v>1620.2266317164872</v>
      </c>
      <c r="BI19" s="463">
        <f t="shared" si="8"/>
        <v>788.89011168250613</v>
      </c>
      <c r="BJ19" s="463">
        <f t="shared" si="8"/>
        <v>883.96322340494146</v>
      </c>
      <c r="BK19" s="463">
        <f t="shared" si="8"/>
        <v>1672.8533350874475</v>
      </c>
      <c r="BL19" s="463">
        <f t="shared" si="8"/>
        <v>809.27233155909289</v>
      </c>
      <c r="BM19" s="463">
        <f t="shared" si="8"/>
        <v>907.38071377843141</v>
      </c>
      <c r="BN19" s="463">
        <f t="shared" si="8"/>
        <v>1716.6530453375244</v>
      </c>
      <c r="BO19" s="463">
        <f>SUM(BO15:BO17)</f>
        <v>839.51587463393196</v>
      </c>
      <c r="BP19" s="463">
        <f>SUM(BP15:BP17)</f>
        <v>928.02784125765459</v>
      </c>
      <c r="BQ19" s="463">
        <f>SUM(BQ15:BQ17)</f>
        <v>1767.5437158915865</v>
      </c>
      <c r="BR19" s="463">
        <f t="shared" ref="BR19:CC19" si="9">SUM(BR15:BR17)</f>
        <v>844.90231649305656</v>
      </c>
      <c r="BS19" s="463">
        <f t="shared" si="9"/>
        <v>953.43741824949848</v>
      </c>
      <c r="BT19" s="463">
        <f t="shared" si="9"/>
        <v>1798.339734742555</v>
      </c>
      <c r="BU19" s="463">
        <f t="shared" si="9"/>
        <v>876.11395745957657</v>
      </c>
      <c r="BV19" s="463">
        <f t="shared" si="9"/>
        <v>986.87708844464805</v>
      </c>
      <c r="BW19" s="463">
        <f t="shared" si="9"/>
        <v>1862.9910459042246</v>
      </c>
      <c r="BX19" s="463">
        <f t="shared" si="9"/>
        <v>905.79567081744574</v>
      </c>
      <c r="BY19" s="463">
        <f t="shared" si="9"/>
        <v>999.61017761541518</v>
      </c>
      <c r="BZ19" s="463">
        <f t="shared" si="9"/>
        <v>1905.4058484328609</v>
      </c>
      <c r="CA19" s="463">
        <f t="shared" si="9"/>
        <v>917.17659634769052</v>
      </c>
      <c r="CB19" s="463">
        <f t="shared" si="9"/>
        <v>1012.5482699160439</v>
      </c>
      <c r="CC19" s="463">
        <f t="shared" si="9"/>
        <v>1929.7248662637346</v>
      </c>
      <c r="CD19" s="131"/>
      <c r="CE19" s="131"/>
      <c r="CF19"/>
      <c r="CG19"/>
      <c r="CH19"/>
      <c r="CI19"/>
      <c r="CJ19"/>
      <c r="CK19"/>
    </row>
    <row r="20" spans="1:89">
      <c r="B20" s="40"/>
      <c r="AD20" s="13"/>
      <c r="AE20" s="13"/>
      <c r="AF20" s="13"/>
      <c r="AG20" s="13"/>
      <c r="AH20" s="13"/>
      <c r="AI20" s="458"/>
      <c r="AJ20" s="458"/>
      <c r="AK20" s="458"/>
      <c r="AL20" s="458"/>
      <c r="AM20" s="458"/>
      <c r="AN20" s="458"/>
      <c r="AO20" s="458"/>
      <c r="AP20" s="458"/>
      <c r="AQ20" s="458"/>
      <c r="AR20" s="458"/>
      <c r="AS20" s="458"/>
      <c r="AT20" s="458"/>
      <c r="AU20" s="458"/>
      <c r="AV20" s="458"/>
      <c r="AW20" s="458"/>
      <c r="AX20" s="458"/>
      <c r="AY20" s="458"/>
      <c r="AZ20" s="458"/>
      <c r="BA20" s="458"/>
      <c r="BB20" s="458"/>
      <c r="BC20" s="458"/>
      <c r="BD20" s="458"/>
      <c r="BE20" s="13"/>
      <c r="BF20" s="458"/>
      <c r="BG20" s="458"/>
      <c r="BH20" s="458"/>
      <c r="BI20" s="458"/>
      <c r="BJ20" s="458"/>
      <c r="BK20" s="458"/>
      <c r="BL20" s="458"/>
      <c r="BM20" s="458"/>
      <c r="BN20" s="458"/>
      <c r="BO20" s="458"/>
      <c r="BP20" s="458"/>
      <c r="BQ20" s="458"/>
      <c r="BR20" s="458"/>
      <c r="BS20" s="458"/>
      <c r="BT20" s="458"/>
      <c r="BU20" s="458"/>
      <c r="BV20" s="458"/>
      <c r="BW20" s="458"/>
      <c r="BX20" s="458"/>
      <c r="BY20" s="458"/>
      <c r="BZ20" s="458"/>
      <c r="CA20" s="458"/>
      <c r="CB20" s="458"/>
      <c r="CC20" s="458"/>
    </row>
    <row r="21" spans="1:89" s="16" customFormat="1">
      <c r="A21" s="150"/>
      <c r="B21" s="150" t="s">
        <v>443</v>
      </c>
      <c r="C21" s="150"/>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150"/>
      <c r="AB21" s="150"/>
      <c r="AC21" s="150"/>
      <c r="AD21" s="16">
        <f t="shared" ref="AD21:AP21" si="10">AD19+AD24</f>
        <v>1242.7</v>
      </c>
      <c r="AE21" s="16">
        <f t="shared" si="10"/>
        <v>561.90000000000009</v>
      </c>
      <c r="AF21" s="16">
        <f t="shared" si="10"/>
        <v>656.4</v>
      </c>
      <c r="AG21" s="16">
        <f t="shared" si="10"/>
        <v>1218.3</v>
      </c>
      <c r="AH21" s="16">
        <f t="shared" si="10"/>
        <v>616.80000000000007</v>
      </c>
      <c r="AI21" s="150">
        <f t="shared" si="10"/>
        <v>758.90344888455718</v>
      </c>
      <c r="AJ21" s="150">
        <f t="shared" si="10"/>
        <v>1375.7034488845572</v>
      </c>
      <c r="AK21" s="150">
        <f t="shared" si="10"/>
        <v>613.70242364693695</v>
      </c>
      <c r="AL21" s="150">
        <f t="shared" si="10"/>
        <v>792.8614743386629</v>
      </c>
      <c r="AM21" s="150">
        <f t="shared" si="10"/>
        <v>1406.5638979855999</v>
      </c>
      <c r="AN21" s="150">
        <f t="shared" si="10"/>
        <v>653.08592454100801</v>
      </c>
      <c r="AO21" s="150">
        <f t="shared" si="10"/>
        <v>713.71407545899194</v>
      </c>
      <c r="AP21" s="150">
        <f t="shared" si="10"/>
        <v>1366.8</v>
      </c>
      <c r="AQ21" s="150">
        <f t="shared" ref="AQ21:BN21" si="11">AQ19+AQ24</f>
        <v>669.9</v>
      </c>
      <c r="AR21" s="150">
        <f t="shared" si="11"/>
        <v>750.39999999999986</v>
      </c>
      <c r="AS21" s="150">
        <f t="shared" si="11"/>
        <v>1420.3000000000002</v>
      </c>
      <c r="AT21" s="150">
        <f t="shared" si="11"/>
        <v>701.30000000000007</v>
      </c>
      <c r="AU21" s="150">
        <f t="shared" si="11"/>
        <v>924.30000000000018</v>
      </c>
      <c r="AV21" s="150">
        <f t="shared" si="11"/>
        <v>1574.7</v>
      </c>
      <c r="AW21" s="150">
        <f t="shared" si="11"/>
        <v>804.69999999999993</v>
      </c>
      <c r="AX21" s="150">
        <f t="shared" si="11"/>
        <v>931.20000000000016</v>
      </c>
      <c r="AY21" s="150">
        <f t="shared" si="11"/>
        <v>1735.9</v>
      </c>
      <c r="AZ21" s="150">
        <f t="shared" si="11"/>
        <v>840.8</v>
      </c>
      <c r="BA21" s="150">
        <f t="shared" si="11"/>
        <v>896.4</v>
      </c>
      <c r="BB21" s="150">
        <f t="shared" si="11"/>
        <v>1737.2</v>
      </c>
      <c r="BC21" s="150">
        <f t="shared" si="11"/>
        <v>714.19999999999993</v>
      </c>
      <c r="BD21" s="150">
        <f t="shared" si="11"/>
        <v>854.4</v>
      </c>
      <c r="BE21" s="16">
        <f t="shared" si="11"/>
        <v>1568.6</v>
      </c>
      <c r="BF21" s="150">
        <f t="shared" si="11"/>
        <v>765.4603802973794</v>
      </c>
      <c r="BG21" s="150">
        <f t="shared" si="11"/>
        <v>891.36625141910781</v>
      </c>
      <c r="BH21" s="150">
        <f t="shared" si="11"/>
        <v>1656.8266317164871</v>
      </c>
      <c r="BI21" s="150">
        <f t="shared" si="11"/>
        <v>807.19011168250609</v>
      </c>
      <c r="BJ21" s="150">
        <f t="shared" si="11"/>
        <v>902.26322340494141</v>
      </c>
      <c r="BK21" s="150">
        <f t="shared" si="11"/>
        <v>1709.4533350874474</v>
      </c>
      <c r="BL21" s="150">
        <f t="shared" si="11"/>
        <v>827.57233155909285</v>
      </c>
      <c r="BM21" s="150">
        <f t="shared" si="11"/>
        <v>925.68071377843137</v>
      </c>
      <c r="BN21" s="150">
        <f t="shared" si="11"/>
        <v>1753.2530453375243</v>
      </c>
      <c r="BO21" s="150">
        <f>BO19+BO24</f>
        <v>857.81587463393191</v>
      </c>
      <c r="BP21" s="150">
        <f>BP19+BP24</f>
        <v>946.32784125765454</v>
      </c>
      <c r="BQ21" s="150">
        <f>BQ19+BQ24</f>
        <v>1804.1437158915865</v>
      </c>
      <c r="BR21" s="150">
        <f t="shared" ref="BR21:CC21" si="12">BR19+BR24</f>
        <v>863.20231649305651</v>
      </c>
      <c r="BS21" s="150">
        <f t="shared" si="12"/>
        <v>971.73741824949843</v>
      </c>
      <c r="BT21" s="150">
        <f t="shared" si="12"/>
        <v>1834.9397347425549</v>
      </c>
      <c r="BU21" s="150">
        <f t="shared" si="12"/>
        <v>894.41395745957652</v>
      </c>
      <c r="BV21" s="150">
        <f t="shared" si="12"/>
        <v>1005.177088444648</v>
      </c>
      <c r="BW21" s="150">
        <f t="shared" si="12"/>
        <v>1899.5910459042245</v>
      </c>
      <c r="BX21" s="150">
        <f t="shared" si="12"/>
        <v>924.09567081744569</v>
      </c>
      <c r="BY21" s="150">
        <f t="shared" si="12"/>
        <v>1017.9101776154151</v>
      </c>
      <c r="BZ21" s="150">
        <f t="shared" si="12"/>
        <v>1942.0058484328608</v>
      </c>
      <c r="CA21" s="150">
        <f t="shared" si="12"/>
        <v>935.47659634769047</v>
      </c>
      <c r="CB21" s="150">
        <f t="shared" si="12"/>
        <v>1030.8482699160438</v>
      </c>
      <c r="CC21" s="150">
        <f t="shared" si="12"/>
        <v>1966.3248662637345</v>
      </c>
      <c r="CD21" s="150"/>
      <c r="CE21" s="150"/>
      <c r="CF21"/>
      <c r="CG21"/>
      <c r="CH21"/>
      <c r="CI21"/>
      <c r="CJ21"/>
      <c r="CK21"/>
    </row>
    <row r="22" spans="1:89">
      <c r="AD22" s="13"/>
      <c r="AE22" s="13"/>
      <c r="AF22" s="13"/>
      <c r="AG22" s="13"/>
      <c r="AH22" s="13"/>
      <c r="AU22" s="458"/>
      <c r="AV22" s="465"/>
    </row>
    <row r="23" spans="1:89">
      <c r="B23" s="257" t="s">
        <v>153</v>
      </c>
      <c r="AD23" s="209">
        <v>3.1</v>
      </c>
      <c r="AE23" s="209">
        <v>1</v>
      </c>
      <c r="AF23" s="209">
        <f>AG23-AE23</f>
        <v>0.60000000000000009</v>
      </c>
      <c r="AG23" s="209">
        <v>1.6</v>
      </c>
      <c r="AH23" s="209">
        <v>1</v>
      </c>
      <c r="AI23" s="458">
        <f>AI180</f>
        <v>1.2999999999999998</v>
      </c>
      <c r="AJ23" s="458">
        <f>AJ180</f>
        <v>2.2999999999999998</v>
      </c>
      <c r="AK23" s="151">
        <v>1.1000000000000001</v>
      </c>
      <c r="AL23" s="458">
        <f>2.4-AK23</f>
        <v>1.2999999999999998</v>
      </c>
      <c r="AM23" s="458">
        <f>+AL23+AK23</f>
        <v>2.4</v>
      </c>
      <c r="AN23" s="151">
        <v>1.5</v>
      </c>
      <c r="AO23" s="458">
        <f>+AP23-AN23</f>
        <v>1.08</v>
      </c>
      <c r="AP23" s="151">
        <v>2.58</v>
      </c>
      <c r="AQ23" s="151">
        <v>0.8</v>
      </c>
      <c r="AR23" s="458">
        <f>AS23-AQ23</f>
        <v>1</v>
      </c>
      <c r="AS23" s="151">
        <v>1.8</v>
      </c>
      <c r="AT23" s="151">
        <v>0.8</v>
      </c>
      <c r="AU23" s="458">
        <f>AV23-AT23</f>
        <v>1</v>
      </c>
      <c r="AV23" s="151">
        <f>1+0.8</f>
        <v>1.8</v>
      </c>
      <c r="AW23" s="151">
        <f>0.8</f>
        <v>0.8</v>
      </c>
      <c r="AX23" s="458">
        <f>AY23-AW23</f>
        <v>0.89999999999999991</v>
      </c>
      <c r="AY23" s="151">
        <v>1.7</v>
      </c>
      <c r="AZ23" s="151">
        <v>0.8</v>
      </c>
      <c r="BA23" s="458">
        <f>BB23-AZ23</f>
        <v>0.7</v>
      </c>
      <c r="BB23" s="151">
        <v>1.5</v>
      </c>
      <c r="BC23" s="151">
        <v>0.7</v>
      </c>
      <c r="BD23" s="458">
        <f>BE23-BC23</f>
        <v>0.8</v>
      </c>
      <c r="BE23" s="151">
        <v>1.5</v>
      </c>
      <c r="BF23" s="458">
        <f t="shared" ref="BF23:CB23" si="13">BF181</f>
        <v>1.1770114942528738</v>
      </c>
      <c r="BG23" s="458">
        <f t="shared" si="13"/>
        <v>1.1770114942528738</v>
      </c>
      <c r="BH23" s="458">
        <f>SUM(BF23:BG23)</f>
        <v>2.3540229885057475</v>
      </c>
      <c r="BI23" s="458">
        <f t="shared" si="13"/>
        <v>1.1770114942528738</v>
      </c>
      <c r="BJ23" s="458">
        <f t="shared" si="13"/>
        <v>1.1770114942528738</v>
      </c>
      <c r="BK23" s="458">
        <f>SUM(BI23:BJ23)</f>
        <v>2.3540229885057475</v>
      </c>
      <c r="BL23" s="458">
        <f t="shared" si="13"/>
        <v>1.1770114942528738</v>
      </c>
      <c r="BM23" s="458">
        <f t="shared" si="13"/>
        <v>1.1770114942528738</v>
      </c>
      <c r="BN23" s="458">
        <f>SUM(BL23:BM23)</f>
        <v>2.3540229885057475</v>
      </c>
      <c r="BO23" s="458">
        <f t="shared" si="13"/>
        <v>1.1770114942528738</v>
      </c>
      <c r="BP23" s="458">
        <f t="shared" si="13"/>
        <v>1.1770114942528738</v>
      </c>
      <c r="BQ23" s="458">
        <f>SUM(BO23:BP23)</f>
        <v>2.3540229885057475</v>
      </c>
      <c r="BR23" s="458">
        <f t="shared" si="13"/>
        <v>1.1770114942528738</v>
      </c>
      <c r="BS23" s="458">
        <f t="shared" si="13"/>
        <v>1.1770114942528738</v>
      </c>
      <c r="BT23" s="458">
        <f>SUM(BR23:BS23)</f>
        <v>2.3540229885057475</v>
      </c>
      <c r="BU23" s="458">
        <f t="shared" si="13"/>
        <v>1.1770114942528738</v>
      </c>
      <c r="BV23" s="458">
        <f t="shared" si="13"/>
        <v>1.1770114942528738</v>
      </c>
      <c r="BW23" s="458">
        <f>SUM(BU23:BV23)</f>
        <v>2.3540229885057475</v>
      </c>
      <c r="BX23" s="458">
        <f t="shared" si="13"/>
        <v>1.1770114942528738</v>
      </c>
      <c r="BY23" s="458">
        <f t="shared" si="13"/>
        <v>1.1770114942528738</v>
      </c>
      <c r="BZ23" s="458">
        <f>SUM(BX23:BY23)</f>
        <v>2.3540229885057475</v>
      </c>
      <c r="CA23" s="458">
        <f t="shared" si="13"/>
        <v>3.2938958718104772</v>
      </c>
      <c r="CB23" s="458">
        <f t="shared" si="13"/>
        <v>3.2938958718104772</v>
      </c>
      <c r="CC23" s="458">
        <f>SUM(CA23:CB23)</f>
        <v>6.5877917436209543</v>
      </c>
    </row>
    <row r="24" spans="1:89">
      <c r="B24" s="257" t="s">
        <v>442</v>
      </c>
      <c r="AD24" s="209">
        <v>11.7</v>
      </c>
      <c r="AE24" s="209">
        <v>6.2</v>
      </c>
      <c r="AF24" s="209">
        <f>AG24-AE24</f>
        <v>17.900000000000002</v>
      </c>
      <c r="AG24" s="209">
        <v>24.1</v>
      </c>
      <c r="AH24" s="209">
        <v>2.7</v>
      </c>
      <c r="AI24" s="458">
        <f>+(0.9+7.6)-AH24</f>
        <v>5.8</v>
      </c>
      <c r="AJ24" s="458">
        <f>AI24+AH24</f>
        <v>8.5</v>
      </c>
      <c r="AK24" s="151">
        <v>4.2</v>
      </c>
      <c r="AL24" s="458">
        <f>12.4-AK24</f>
        <v>8.1999999999999993</v>
      </c>
      <c r="AM24" s="458">
        <f>AL24+AK24</f>
        <v>12.399999999999999</v>
      </c>
      <c r="AN24" s="151">
        <v>9</v>
      </c>
      <c r="AO24" s="458">
        <f>+AP24-AN24</f>
        <v>0.69999999999999929</v>
      </c>
      <c r="AP24" s="151">
        <v>9.6999999999999993</v>
      </c>
      <c r="AQ24" s="151">
        <v>2.9</v>
      </c>
      <c r="AR24" s="458">
        <f>+AS24-AQ24</f>
        <v>1.8000000000000003</v>
      </c>
      <c r="AS24" s="151">
        <v>4.7</v>
      </c>
      <c r="AT24" s="151">
        <v>2</v>
      </c>
      <c r="AU24" s="458">
        <f>AV24-AT24</f>
        <v>24.1</v>
      </c>
      <c r="AV24" s="151">
        <f>26.1</f>
        <v>26.1</v>
      </c>
      <c r="AW24" s="151">
        <f>2</f>
        <v>2</v>
      </c>
      <c r="AX24" s="458">
        <f>AY24-AW24</f>
        <v>49.4</v>
      </c>
      <c r="AY24" s="151">
        <v>51.4</v>
      </c>
      <c r="AZ24" s="151">
        <v>4.3</v>
      </c>
      <c r="BA24" s="458">
        <f>BB24-AZ24</f>
        <v>10.199999999999999</v>
      </c>
      <c r="BB24" s="151">
        <v>14.5</v>
      </c>
      <c r="BC24" s="151">
        <v>1.3</v>
      </c>
      <c r="BD24" s="458">
        <f>BE24-BC24</f>
        <v>18.3</v>
      </c>
      <c r="BE24" s="151">
        <v>19.600000000000001</v>
      </c>
      <c r="BF24" s="458">
        <f>BD24</f>
        <v>18.3</v>
      </c>
      <c r="BG24" s="458">
        <f>BF24</f>
        <v>18.3</v>
      </c>
      <c r="BH24" s="458">
        <f>BG24+BF24</f>
        <v>36.6</v>
      </c>
      <c r="BI24" s="458">
        <f>BG24</f>
        <v>18.3</v>
      </c>
      <c r="BJ24" s="458">
        <f>BI24</f>
        <v>18.3</v>
      </c>
      <c r="BK24" s="458">
        <f>BJ24+BI24</f>
        <v>36.6</v>
      </c>
      <c r="BL24" s="458">
        <f>BJ24</f>
        <v>18.3</v>
      </c>
      <c r="BM24" s="458">
        <f>BL24</f>
        <v>18.3</v>
      </c>
      <c r="BN24" s="458">
        <f>BM24+BL24</f>
        <v>36.6</v>
      </c>
      <c r="BO24" s="458">
        <f>BM24</f>
        <v>18.3</v>
      </c>
      <c r="BP24" s="458">
        <f>BO24</f>
        <v>18.3</v>
      </c>
      <c r="BQ24" s="458">
        <f>BP24+BO24</f>
        <v>36.6</v>
      </c>
      <c r="BR24" s="458">
        <f>BP24</f>
        <v>18.3</v>
      </c>
      <c r="BS24" s="458">
        <f>BR24</f>
        <v>18.3</v>
      </c>
      <c r="BT24" s="458">
        <f>BS24+BR24</f>
        <v>36.6</v>
      </c>
      <c r="BU24" s="458">
        <f>BS24</f>
        <v>18.3</v>
      </c>
      <c r="BV24" s="458">
        <f>BU24</f>
        <v>18.3</v>
      </c>
      <c r="BW24" s="458">
        <f>BV24+BU24</f>
        <v>36.6</v>
      </c>
      <c r="BX24" s="458">
        <f>BV24</f>
        <v>18.3</v>
      </c>
      <c r="BY24" s="458">
        <f>BX24</f>
        <v>18.3</v>
      </c>
      <c r="BZ24" s="458">
        <f>BY24+BX24</f>
        <v>36.6</v>
      </c>
      <c r="CA24" s="458">
        <f>BY24</f>
        <v>18.3</v>
      </c>
      <c r="CB24" s="458">
        <f>CA24</f>
        <v>18.3</v>
      </c>
      <c r="CC24" s="458">
        <f>CB24+CA24</f>
        <v>36.6</v>
      </c>
    </row>
    <row r="25" spans="1:89">
      <c r="B25" s="257" t="s">
        <v>506</v>
      </c>
      <c r="AD25" s="13">
        <f>AD26-AD21</f>
        <v>-220.30000000000007</v>
      </c>
      <c r="AE25" s="13">
        <f>AE26-AE21</f>
        <v>-98.700000000000102</v>
      </c>
      <c r="AF25" s="13">
        <f>AG25-AE25</f>
        <v>-132.39999999999981</v>
      </c>
      <c r="AG25" s="13">
        <f>AG26-AG21</f>
        <v>-231.09999999999991</v>
      </c>
      <c r="AH25" s="13">
        <f>AH26-AH21</f>
        <v>-97.400000000000091</v>
      </c>
      <c r="AI25" s="458">
        <f>AI26-AI21</f>
        <v>-115.69999999999982</v>
      </c>
      <c r="AJ25" s="458">
        <f>AI25+AH25</f>
        <v>-213.09999999999991</v>
      </c>
      <c r="AK25" s="458">
        <f>AK26-AK21</f>
        <v>-105.80242364693697</v>
      </c>
      <c r="AL25" s="458">
        <f>+AM25-AK25</f>
        <v>-200.36147433866279</v>
      </c>
      <c r="AM25" s="458">
        <f>AM26-AM21</f>
        <v>-306.16389798559976</v>
      </c>
      <c r="AN25" s="458">
        <f>AN26-AN21</f>
        <v>-102.78592454100806</v>
      </c>
      <c r="AO25" s="458">
        <f>+AP25-AN25</f>
        <v>-80.914075458991988</v>
      </c>
      <c r="AP25" s="458">
        <f>AP26-AP21</f>
        <v>-183.70000000000005</v>
      </c>
      <c r="AQ25" s="458">
        <f>AQ26-AQ21</f>
        <v>-90.600000000000023</v>
      </c>
      <c r="AR25" s="458">
        <f>+AS25-AQ25</f>
        <v>-101.70000000000016</v>
      </c>
      <c r="AS25" s="458">
        <f>AS26-AS21</f>
        <v>-192.30000000000018</v>
      </c>
      <c r="AT25" s="458">
        <f>AT26-AT21</f>
        <v>-99.300000000000068</v>
      </c>
      <c r="AU25" s="458">
        <f>AV25-AT25</f>
        <v>-137.60000000000002</v>
      </c>
      <c r="AV25" s="458">
        <f>AV26-AV21</f>
        <v>-236.90000000000009</v>
      </c>
      <c r="AW25" s="458">
        <f>AW26-AW21</f>
        <v>-126.59999999999991</v>
      </c>
      <c r="AX25" s="458">
        <f>AY25-AW25</f>
        <v>-196.20000000000027</v>
      </c>
      <c r="AY25" s="458">
        <f>AY26-AY21</f>
        <v>-322.80000000000018</v>
      </c>
      <c r="AZ25" s="458">
        <f>AZ26-AZ21</f>
        <v>-154.79999999999995</v>
      </c>
      <c r="BA25" s="458">
        <f>BB25-AZ25</f>
        <v>-186.20000000000005</v>
      </c>
      <c r="BB25" s="458">
        <f>BB26-BB21</f>
        <v>-341</v>
      </c>
      <c r="BC25" s="458">
        <f>BC26-BC21</f>
        <v>4.2000000000000455</v>
      </c>
      <c r="BD25" s="458">
        <f>BE25-BC25</f>
        <v>-12.799999999999955</v>
      </c>
      <c r="BE25" s="458">
        <f>BE26-BE21</f>
        <v>-8.5999999999999091</v>
      </c>
      <c r="BF25" s="458">
        <f>BE25*BF19/BE19</f>
        <v>-4.1482112786038705</v>
      </c>
      <c r="BG25" s="458">
        <f>BF25*BG19/BF19</f>
        <v>-4.8472367735340534</v>
      </c>
      <c r="BH25" s="458">
        <f>SUM(BF25:BG25)</f>
        <v>-8.9954480521379239</v>
      </c>
      <c r="BI25" s="458">
        <f>BH25*BI19/BH19</f>
        <v>-4.3798934541442751</v>
      </c>
      <c r="BJ25" s="458">
        <f>BI25*BJ19/BI19</f>
        <v>-4.9077364243269317</v>
      </c>
      <c r="BK25" s="458">
        <f>SUM(BI25:BJ25)</f>
        <v>-9.2876298784712077</v>
      </c>
      <c r="BL25" s="458">
        <f>BK25*BL19/BK19</f>
        <v>-4.4930549073002757</v>
      </c>
      <c r="BM25" s="458">
        <f>BL25*BM19/BL19</f>
        <v>-5.0377496052255841</v>
      </c>
      <c r="BN25" s="458">
        <f>SUM(BL25:BM25)</f>
        <v>-9.5308045125258598</v>
      </c>
      <c r="BO25" s="458">
        <f>BN25*BO19/BN19</f>
        <v>-4.6609661212729119</v>
      </c>
      <c r="BP25" s="458">
        <f>BO25*BP19/BO19</f>
        <v>-5.1523818171825351</v>
      </c>
      <c r="BQ25" s="458">
        <f>SUM(BO25:BP25)</f>
        <v>-9.813347938455447</v>
      </c>
      <c r="BR25" s="458">
        <f>BQ25*BR19/BQ19</f>
        <v>-4.6908714795611433</v>
      </c>
      <c r="BS25" s="458">
        <f>BR25*BS19/BR19</f>
        <v>-5.2934550012560369</v>
      </c>
      <c r="BT25" s="458">
        <f>SUM(BR25:BS25)</f>
        <v>-9.984326480817181</v>
      </c>
      <c r="BU25" s="458">
        <f>BT25*BU19/BT19</f>
        <v>-4.8641575430292319</v>
      </c>
      <c r="BV25" s="458">
        <f>BU25*BV19/BU19</f>
        <v>-5.4791110139599004</v>
      </c>
      <c r="BW25" s="458">
        <f>SUM(BU25:BV25)</f>
        <v>-10.343268556989132</v>
      </c>
      <c r="BX25" s="458">
        <f>BW25*BX19/BW19</f>
        <v>-5.0289494958230812</v>
      </c>
      <c r="BY25" s="458">
        <f>BX25*BY19/BX19</f>
        <v>-5.549804730466418</v>
      </c>
      <c r="BZ25" s="458">
        <f>SUM(BX25:BY25)</f>
        <v>-10.578754226289499</v>
      </c>
      <c r="CA25" s="458">
        <f>BZ25*CA19/BZ19</f>
        <v>-5.0921360416979065</v>
      </c>
      <c r="CB25" s="458">
        <f>CA25*CB19/CA19</f>
        <v>-5.6216366179973454</v>
      </c>
      <c r="CC25" s="458">
        <f>SUM(CA25:CB25)</f>
        <v>-10.713772659695252</v>
      </c>
    </row>
    <row r="26" spans="1:89" s="7" customFormat="1">
      <c r="A26" s="73"/>
      <c r="B26" s="73" t="s">
        <v>507</v>
      </c>
      <c r="C26" s="73"/>
      <c r="D26" s="73"/>
      <c r="E26" s="73"/>
      <c r="F26" s="73"/>
      <c r="G26" s="73"/>
      <c r="H26" s="73"/>
      <c r="I26" s="73"/>
      <c r="J26" s="73"/>
      <c r="K26" s="73"/>
      <c r="L26" s="73"/>
      <c r="M26" s="73"/>
      <c r="N26" s="73"/>
      <c r="O26" s="73"/>
      <c r="P26" s="73"/>
      <c r="Q26" s="73"/>
      <c r="R26" s="73"/>
      <c r="S26" s="73"/>
      <c r="T26" s="73"/>
      <c r="U26" s="73"/>
      <c r="V26" s="73"/>
      <c r="W26" s="73"/>
      <c r="X26" s="73"/>
      <c r="Y26" s="73"/>
      <c r="Z26" s="73"/>
      <c r="AA26" s="73"/>
      <c r="AB26" s="73"/>
      <c r="AC26" s="73"/>
      <c r="AD26" s="466">
        <v>1022.4</v>
      </c>
      <c r="AE26" s="466">
        <v>463.2</v>
      </c>
      <c r="AF26" s="466">
        <f>AG26-AE26</f>
        <v>524</v>
      </c>
      <c r="AG26" s="466">
        <v>987.2</v>
      </c>
      <c r="AH26" s="466">
        <v>519.4</v>
      </c>
      <c r="AI26" s="143">
        <f>Segments!AI185</f>
        <v>643.20344888455736</v>
      </c>
      <c r="AJ26" s="143">
        <f>AI26+AH26</f>
        <v>1162.6034488845573</v>
      </c>
      <c r="AK26" s="181">
        <v>507.9</v>
      </c>
      <c r="AL26" s="143">
        <f>AL21+AL25</f>
        <v>592.50000000000011</v>
      </c>
      <c r="AM26" s="181">
        <v>1100.4000000000001</v>
      </c>
      <c r="AN26" s="181">
        <v>550.29999999999995</v>
      </c>
      <c r="AO26" s="143">
        <f>AO21+AO25</f>
        <v>632.79999999999995</v>
      </c>
      <c r="AP26" s="181">
        <v>1183.0999999999999</v>
      </c>
      <c r="AQ26" s="181">
        <v>579.29999999999995</v>
      </c>
      <c r="AR26" s="143">
        <f>+AS26-AQ26</f>
        <v>648.70000000000005</v>
      </c>
      <c r="AS26" s="181">
        <v>1228</v>
      </c>
      <c r="AT26" s="181">
        <v>602</v>
      </c>
      <c r="AU26" s="143">
        <f>AV26-AT26</f>
        <v>735.8</v>
      </c>
      <c r="AV26" s="181">
        <v>1337.8</v>
      </c>
      <c r="AW26" s="181">
        <f>678.1</f>
        <v>678.1</v>
      </c>
      <c r="AX26" s="143">
        <f>AX21+AX25</f>
        <v>734.99999999999989</v>
      </c>
      <c r="AY26" s="181">
        <v>1413.1</v>
      </c>
      <c r="AZ26" s="181">
        <v>686</v>
      </c>
      <c r="BA26" s="143">
        <f t="shared" ref="BA26:BN26" si="14">BA21+BA25</f>
        <v>710.19999999999993</v>
      </c>
      <c r="BB26" s="181">
        <v>1396.2</v>
      </c>
      <c r="BC26" s="181">
        <v>718.4</v>
      </c>
      <c r="BD26" s="143">
        <f t="shared" ref="BD26" si="15">BD21+BD25</f>
        <v>841.6</v>
      </c>
      <c r="BE26" s="181">
        <v>1560</v>
      </c>
      <c r="BF26" s="143">
        <f t="shared" si="14"/>
        <v>761.31216901877553</v>
      </c>
      <c r="BG26" s="143">
        <f t="shared" si="14"/>
        <v>886.51901464557375</v>
      </c>
      <c r="BH26" s="143">
        <f t="shared" si="14"/>
        <v>1647.8311836643493</v>
      </c>
      <c r="BI26" s="143">
        <f t="shared" si="14"/>
        <v>802.8102182283618</v>
      </c>
      <c r="BJ26" s="143">
        <f t="shared" si="14"/>
        <v>897.3554869806145</v>
      </c>
      <c r="BK26" s="143">
        <f t="shared" si="14"/>
        <v>1700.1657052089761</v>
      </c>
      <c r="BL26" s="143">
        <f t="shared" si="14"/>
        <v>823.07927665179261</v>
      </c>
      <c r="BM26" s="143">
        <f t="shared" si="14"/>
        <v>920.64296417320577</v>
      </c>
      <c r="BN26" s="143">
        <f t="shared" si="14"/>
        <v>1743.7222408249984</v>
      </c>
      <c r="BO26" s="143">
        <f>BO21+BO25</f>
        <v>853.15490851265895</v>
      </c>
      <c r="BP26" s="143">
        <f>BP21+BP25</f>
        <v>941.17545944047197</v>
      </c>
      <c r="BQ26" s="143">
        <f>BQ21+BQ25</f>
        <v>1794.3303679531309</v>
      </c>
      <c r="BR26" s="143">
        <f t="shared" ref="BR26:CC26" si="16">BR21+BR25</f>
        <v>858.5114450134954</v>
      </c>
      <c r="BS26" s="143">
        <f t="shared" si="16"/>
        <v>966.44396324824243</v>
      </c>
      <c r="BT26" s="143">
        <f t="shared" si="16"/>
        <v>1824.9554082617378</v>
      </c>
      <c r="BU26" s="143">
        <f t="shared" si="16"/>
        <v>889.54979991654727</v>
      </c>
      <c r="BV26" s="143">
        <f t="shared" si="16"/>
        <v>999.69797743068807</v>
      </c>
      <c r="BW26" s="143">
        <f t="shared" si="16"/>
        <v>1889.2477773472353</v>
      </c>
      <c r="BX26" s="143">
        <f t="shared" si="16"/>
        <v>919.06672132162259</v>
      </c>
      <c r="BY26" s="143">
        <f t="shared" si="16"/>
        <v>1012.3603728849487</v>
      </c>
      <c r="BZ26" s="143">
        <f t="shared" si="16"/>
        <v>1931.4270942065714</v>
      </c>
      <c r="CA26" s="143">
        <f t="shared" si="16"/>
        <v>930.38446030599255</v>
      </c>
      <c r="CB26" s="143">
        <f t="shared" si="16"/>
        <v>1025.2266332980464</v>
      </c>
      <c r="CC26" s="143">
        <f t="shared" si="16"/>
        <v>1955.6110936040393</v>
      </c>
      <c r="CD26" s="40"/>
      <c r="CE26" s="40"/>
      <c r="CF26"/>
      <c r="CG26"/>
      <c r="CH26"/>
      <c r="CI26"/>
      <c r="CJ26"/>
      <c r="CK26"/>
    </row>
    <row r="27" spans="1:89" s="7" customFormat="1">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c r="AA27" s="40"/>
      <c r="AB27" s="40"/>
      <c r="AC27" s="40"/>
      <c r="AD27" s="467"/>
      <c r="AE27" s="467"/>
      <c r="AF27" s="441"/>
      <c r="AG27" s="467"/>
      <c r="AH27" s="467"/>
      <c r="AI27" s="110"/>
      <c r="AJ27" s="110"/>
      <c r="AK27" s="468"/>
      <c r="AL27" s="110"/>
      <c r="AM27" s="174"/>
      <c r="AN27" s="174"/>
      <c r="AO27" s="110"/>
      <c r="AP27" s="174"/>
      <c r="AQ27" s="174"/>
      <c r="AR27" s="110"/>
      <c r="AS27" s="174"/>
      <c r="AT27" s="174"/>
      <c r="AU27" s="110"/>
      <c r="AV27" s="174"/>
      <c r="AW27" s="174"/>
      <c r="AX27" s="110"/>
      <c r="AY27" s="174"/>
      <c r="AZ27" s="174"/>
      <c r="BA27" s="110"/>
      <c r="BB27" s="174"/>
      <c r="BC27" s="174"/>
      <c r="BD27" s="441"/>
      <c r="BE27" s="110"/>
      <c r="BF27" s="110"/>
      <c r="BG27" s="110"/>
      <c r="BH27" s="110"/>
      <c r="BI27" s="110"/>
      <c r="BJ27" s="110"/>
      <c r="BK27" s="110"/>
      <c r="BL27" s="110"/>
      <c r="BM27" s="110"/>
      <c r="BN27" s="110"/>
      <c r="BO27" s="110"/>
      <c r="BP27" s="110"/>
      <c r="BQ27" s="110"/>
      <c r="BR27" s="110"/>
      <c r="BS27" s="110"/>
      <c r="BT27" s="110"/>
      <c r="BU27" s="110"/>
      <c r="BV27" s="110"/>
      <c r="BW27" s="110"/>
      <c r="BX27" s="110"/>
      <c r="BY27" s="110"/>
      <c r="BZ27" s="110"/>
      <c r="CA27" s="110"/>
      <c r="CB27" s="110"/>
      <c r="CC27" s="110"/>
      <c r="CD27" s="40"/>
      <c r="CE27" s="40"/>
      <c r="CF27"/>
      <c r="CG27"/>
      <c r="CH27"/>
      <c r="CI27"/>
      <c r="CJ27"/>
      <c r="CK27"/>
    </row>
    <row r="28" spans="1:89" s="7" customFormat="1">
      <c r="A28" s="40"/>
      <c r="B28" s="40" t="s">
        <v>630</v>
      </c>
      <c r="C28" s="40"/>
      <c r="D28" s="40"/>
      <c r="E28" s="40"/>
      <c r="F28" s="40"/>
      <c r="G28" s="40"/>
      <c r="H28" s="40"/>
      <c r="I28" s="40"/>
      <c r="J28" s="40"/>
      <c r="K28" s="40"/>
      <c r="L28" s="40"/>
      <c r="M28" s="40"/>
      <c r="N28" s="40"/>
      <c r="O28" s="40"/>
      <c r="P28" s="40"/>
      <c r="Q28" s="40"/>
      <c r="R28" s="40"/>
      <c r="S28" s="40"/>
      <c r="T28" s="40"/>
      <c r="U28" s="40"/>
      <c r="V28" s="40"/>
      <c r="W28" s="40"/>
      <c r="X28" s="40"/>
      <c r="Y28" s="40"/>
      <c r="Z28" s="40"/>
      <c r="AA28" s="40"/>
      <c r="AB28" s="40"/>
      <c r="AC28" s="40"/>
      <c r="AD28" s="467"/>
      <c r="AE28" s="467"/>
      <c r="AF28" s="441"/>
      <c r="AG28" s="467"/>
      <c r="AH28" s="467"/>
      <c r="AI28" s="110"/>
      <c r="AJ28" s="110"/>
      <c r="AK28" s="468"/>
      <c r="AL28" s="110"/>
      <c r="AM28" s="174"/>
      <c r="AN28" s="174"/>
      <c r="AO28" s="110"/>
      <c r="AP28" s="174"/>
      <c r="AQ28" s="174"/>
      <c r="AR28" s="110"/>
      <c r="AS28" s="174"/>
      <c r="AT28" s="174"/>
      <c r="AU28" s="110"/>
      <c r="AV28" s="174"/>
      <c r="AW28" s="174"/>
      <c r="AX28" s="110"/>
      <c r="AY28" s="174"/>
      <c r="AZ28" s="174"/>
      <c r="BA28" s="110"/>
      <c r="BB28" s="174"/>
      <c r="BC28" s="174"/>
      <c r="BD28" s="441"/>
      <c r="BE28" s="110"/>
      <c r="BF28" s="110"/>
      <c r="BG28" s="110"/>
      <c r="BH28" s="110"/>
      <c r="BI28" s="110"/>
      <c r="BJ28" s="110"/>
      <c r="BK28" s="110"/>
      <c r="BL28" s="110"/>
      <c r="BM28" s="110"/>
      <c r="BN28" s="110"/>
      <c r="BO28" s="110"/>
      <c r="BP28" s="110"/>
      <c r="BQ28" s="110"/>
      <c r="BR28" s="110"/>
      <c r="BS28" s="110"/>
      <c r="BT28" s="110"/>
      <c r="BU28" s="110"/>
      <c r="BV28" s="110"/>
      <c r="BW28" s="110"/>
      <c r="BX28" s="110"/>
      <c r="BY28" s="110"/>
      <c r="BZ28" s="110"/>
      <c r="CA28" s="110"/>
      <c r="CB28" s="110"/>
      <c r="CC28" s="110"/>
      <c r="CD28" s="40"/>
      <c r="CE28" s="40"/>
      <c r="CF28"/>
      <c r="CG28"/>
      <c r="CH28"/>
      <c r="CI28"/>
      <c r="CJ28"/>
      <c r="CK28"/>
    </row>
    <row r="29" spans="1:89" s="7" customFormat="1">
      <c r="A29" s="40"/>
      <c r="B29" s="257" t="s">
        <v>303</v>
      </c>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13">
        <f>-Segments!AD111</f>
        <v>30.6</v>
      </c>
      <c r="AE29" s="13">
        <f>-Segments!AE111</f>
        <v>13.2</v>
      </c>
      <c r="AF29" s="13">
        <f>-Segments!AF111</f>
        <v>18</v>
      </c>
      <c r="AG29" s="13">
        <f>-Segments!AG111</f>
        <v>31.2</v>
      </c>
      <c r="AH29" s="13">
        <f>-Segments!AH111</f>
        <v>17.7</v>
      </c>
      <c r="AI29" s="13">
        <f>-Segments!AI111</f>
        <v>17.599999999999998</v>
      </c>
      <c r="AJ29" s="13">
        <f>-Segments!AJ111</f>
        <v>35.299999999999997</v>
      </c>
      <c r="AK29" s="13">
        <f>-Segments!AK111</f>
        <v>18.100000000000001</v>
      </c>
      <c r="AL29" s="13">
        <f>-Segments!AL111</f>
        <v>22.6</v>
      </c>
      <c r="AM29" s="13">
        <f>-Segments!AM111</f>
        <v>40.700000000000003</v>
      </c>
      <c r="AN29" s="13">
        <f>-Segments!AN111</f>
        <v>17.399999999999999</v>
      </c>
      <c r="AO29" s="13">
        <f>-Segments!AO111</f>
        <v>19.700000000000003</v>
      </c>
      <c r="AP29" s="13">
        <f>-Segments!AP111</f>
        <v>37.1</v>
      </c>
      <c r="AQ29" s="13">
        <f>-Segments!AQ111</f>
        <v>10.5</v>
      </c>
      <c r="AR29" s="13">
        <f>-Segments!AR111</f>
        <v>15.2</v>
      </c>
      <c r="AS29" s="13">
        <f>-Segments!AS111</f>
        <v>25.7</v>
      </c>
      <c r="AT29" s="13">
        <f>-Segments!AT111</f>
        <v>14.7</v>
      </c>
      <c r="AU29" s="13">
        <f>-Segments!AU111</f>
        <v>26.099999999999998</v>
      </c>
      <c r="AV29" s="13">
        <f>-Segments!AV111</f>
        <v>40.799999999999997</v>
      </c>
      <c r="AW29" s="13">
        <f>-Segments!AW111</f>
        <v>31</v>
      </c>
      <c r="AX29" s="13">
        <f>-Segments!AX111</f>
        <v>33</v>
      </c>
      <c r="AY29" s="13">
        <f>-Segments!AY111</f>
        <v>64</v>
      </c>
      <c r="AZ29" s="13">
        <f>-Segments!AZ111</f>
        <v>37.1</v>
      </c>
      <c r="BA29" s="13">
        <f>-Segments!BA111</f>
        <v>37.800000000000004</v>
      </c>
      <c r="BB29" s="13">
        <f>-Segments!BB111</f>
        <v>74.900000000000006</v>
      </c>
      <c r="BC29" s="13">
        <f>-Segments!BC111</f>
        <v>38.5</v>
      </c>
      <c r="BD29" s="13">
        <f>-Segments!BD111</f>
        <v>57</v>
      </c>
      <c r="BE29" s="13">
        <f>-Segments!BE111</f>
        <v>95.5</v>
      </c>
      <c r="BF29" s="13">
        <f>-Segments!BF111</f>
        <v>40.889394711984323</v>
      </c>
      <c r="BG29" s="13">
        <f>-Segments!BG111</f>
        <v>60.042120600317631</v>
      </c>
      <c r="BH29" s="13">
        <f>-Segments!BH111</f>
        <v>100.93151531230195</v>
      </c>
      <c r="BI29" s="13">
        <f>-Segments!BI111</f>
        <v>43.536874953846123</v>
      </c>
      <c r="BJ29" s="13">
        <f>-Segments!BJ111</f>
        <v>60.892091816862752</v>
      </c>
      <c r="BK29" s="13">
        <f>-Segments!BK111</f>
        <v>104.42896677070888</v>
      </c>
      <c r="BL29" s="13">
        <f>-Segments!BL111</f>
        <v>44.67832215421118</v>
      </c>
      <c r="BM29" s="13">
        <f>-Segments!BM111</f>
        <v>62.392527778511976</v>
      </c>
      <c r="BN29" s="13">
        <f>-Segments!BN111</f>
        <v>107.07084993272315</v>
      </c>
      <c r="BO29" s="13">
        <f>-Segments!BO111</f>
        <v>46.222520813427728</v>
      </c>
      <c r="BP29" s="13">
        <f>-Segments!BP111</f>
        <v>63.567256711644404</v>
      </c>
      <c r="BQ29" s="13">
        <f>-Segments!BQ111</f>
        <v>109.78977752507214</v>
      </c>
      <c r="BR29" s="13">
        <f>-Segments!BR111</f>
        <v>46.434143125192342</v>
      </c>
      <c r="BS29" s="13">
        <f>-Segments!BS111</f>
        <v>65.211355393399529</v>
      </c>
      <c r="BT29" s="13">
        <f>-Segments!BT111</f>
        <v>111.64549851859186</v>
      </c>
      <c r="BU29" s="13">
        <f>-Segments!BU111</f>
        <v>48.050639369538942</v>
      </c>
      <c r="BV29" s="13">
        <f>-Segments!BV111</f>
        <v>67.48126522553649</v>
      </c>
      <c r="BW29" s="13">
        <f>-Segments!BW111</f>
        <v>115.53190459507543</v>
      </c>
      <c r="BX29" s="13">
        <f>-Segments!BX111</f>
        <v>49.682833764287828</v>
      </c>
      <c r="BY29" s="13">
        <f>-Segments!BY111</f>
        <v>68.326644708821078</v>
      </c>
      <c r="BZ29" s="13">
        <f>-Segments!BZ111</f>
        <v>118.00947847310891</v>
      </c>
      <c r="CA29" s="13">
        <f>-Segments!CA111</f>
        <v>50.288863299816015</v>
      </c>
      <c r="CB29" s="13">
        <f>-Segments!CB111</f>
        <v>69.185574695387686</v>
      </c>
      <c r="CC29" s="13">
        <f>-Segments!CC111</f>
        <v>119.4744379952037</v>
      </c>
      <c r="CD29" s="40"/>
      <c r="CE29" s="40"/>
      <c r="CF29"/>
      <c r="CG29"/>
      <c r="CH29"/>
      <c r="CI29"/>
      <c r="CJ29"/>
      <c r="CK29"/>
    </row>
    <row r="30" spans="1:89" s="7" customFormat="1">
      <c r="A30" s="40"/>
      <c r="B30" s="461" t="s">
        <v>413</v>
      </c>
      <c r="C30" s="40"/>
      <c r="D30" s="40"/>
      <c r="E30" s="40"/>
      <c r="F30" s="40"/>
      <c r="G30" s="40"/>
      <c r="H30" s="40"/>
      <c r="I30" s="40"/>
      <c r="J30" s="40"/>
      <c r="K30" s="40"/>
      <c r="L30" s="40"/>
      <c r="M30" s="40"/>
      <c r="N30" s="40"/>
      <c r="O30" s="40"/>
      <c r="P30" s="40"/>
      <c r="Q30" s="40"/>
      <c r="R30" s="40"/>
      <c r="S30" s="40"/>
      <c r="T30" s="40"/>
      <c r="U30" s="40"/>
      <c r="V30" s="40"/>
      <c r="W30" s="40"/>
      <c r="X30" s="40"/>
      <c r="Y30" s="40"/>
      <c r="Z30" s="40"/>
      <c r="AA30" s="40"/>
      <c r="AB30" s="40"/>
      <c r="AC30" s="40"/>
      <c r="AD30" s="13">
        <f>Segments!AD161</f>
        <v>0</v>
      </c>
      <c r="AE30" s="13">
        <f>Segments!AE161</f>
        <v>0</v>
      </c>
      <c r="AF30" s="13">
        <f>Segments!AF161</f>
        <v>0</v>
      </c>
      <c r="AG30" s="13">
        <f>Segments!AG161</f>
        <v>0</v>
      </c>
      <c r="AH30" s="13">
        <f>Segments!AH161</f>
        <v>0</v>
      </c>
      <c r="AI30" s="13">
        <f>Segments!AI161</f>
        <v>0</v>
      </c>
      <c r="AJ30" s="13">
        <f>Segments!AJ161</f>
        <v>0</v>
      </c>
      <c r="AK30" s="13">
        <f>Segments!AK161</f>
        <v>0</v>
      </c>
      <c r="AL30" s="13">
        <f>Segments!AL161</f>
        <v>0</v>
      </c>
      <c r="AM30" s="13">
        <f>Segments!AM161</f>
        <v>0</v>
      </c>
      <c r="AN30" s="13">
        <f>Segments!AN161</f>
        <v>0</v>
      </c>
      <c r="AO30" s="13">
        <f>Segments!AO161</f>
        <v>0</v>
      </c>
      <c r="AP30" s="13">
        <f>Segments!AP161</f>
        <v>0</v>
      </c>
      <c r="AQ30" s="13">
        <f>Segments!AQ161</f>
        <v>0</v>
      </c>
      <c r="AR30" s="13">
        <f>Segments!AR161</f>
        <v>0</v>
      </c>
      <c r="AS30" s="13">
        <f>Segments!AS161</f>
        <v>0</v>
      </c>
      <c r="AT30" s="13">
        <f>Segments!AT161</f>
        <v>0</v>
      </c>
      <c r="AU30" s="13">
        <f>Segments!AU161</f>
        <v>0</v>
      </c>
      <c r="AV30" s="13">
        <f>Segments!AV161</f>
        <v>0</v>
      </c>
      <c r="AW30" s="13">
        <f>Segments!AW161</f>
        <v>0</v>
      </c>
      <c r="AX30" s="13">
        <f>Segments!AX161</f>
        <v>0</v>
      </c>
      <c r="AY30" s="13">
        <f>Segments!AY161</f>
        <v>0</v>
      </c>
      <c r="AZ30" s="13">
        <f>Segments!AZ161</f>
        <v>0</v>
      </c>
      <c r="BA30" s="13">
        <f>Segments!BA161</f>
        <v>0</v>
      </c>
      <c r="BB30" s="13">
        <f>Segments!BB161</f>
        <v>0</v>
      </c>
      <c r="BC30" s="13">
        <f>Segments!BC161</f>
        <v>0</v>
      </c>
      <c r="BD30" s="13">
        <f>Segments!BD161</f>
        <v>0</v>
      </c>
      <c r="BE30" s="13">
        <f>Segments!BE161</f>
        <v>0</v>
      </c>
      <c r="BF30" s="13">
        <f>Segments!BF161</f>
        <v>0</v>
      </c>
      <c r="BG30" s="13">
        <f>Segments!BG161</f>
        <v>0</v>
      </c>
      <c r="BH30" s="13">
        <f>Segments!BH161</f>
        <v>0</v>
      </c>
      <c r="BI30" s="13">
        <f>Segments!BI161</f>
        <v>0</v>
      </c>
      <c r="BJ30" s="13">
        <f>Segments!BJ161</f>
        <v>0</v>
      </c>
      <c r="BK30" s="13">
        <f>Segments!BK161</f>
        <v>0</v>
      </c>
      <c r="BL30" s="13">
        <f>Segments!BL161</f>
        <v>0</v>
      </c>
      <c r="BM30" s="13">
        <f>Segments!BM161</f>
        <v>0</v>
      </c>
      <c r="BN30" s="13">
        <f>Segments!BN161</f>
        <v>0</v>
      </c>
      <c r="BO30" s="13">
        <f>Segments!BO161</f>
        <v>0</v>
      </c>
      <c r="BP30" s="13">
        <f>Segments!BP161</f>
        <v>0</v>
      </c>
      <c r="BQ30" s="13">
        <f>Segments!BQ161</f>
        <v>0</v>
      </c>
      <c r="BR30" s="13">
        <f>Segments!BR161</f>
        <v>0</v>
      </c>
      <c r="BS30" s="13">
        <f>Segments!BS161</f>
        <v>0</v>
      </c>
      <c r="BT30" s="13">
        <f>Segments!BT161</f>
        <v>0</v>
      </c>
      <c r="BU30" s="13">
        <f>Segments!BU161</f>
        <v>0</v>
      </c>
      <c r="BV30" s="13">
        <f>Segments!BV161</f>
        <v>0</v>
      </c>
      <c r="BW30" s="13">
        <f>Segments!BW161</f>
        <v>0</v>
      </c>
      <c r="BX30" s="13">
        <f>Segments!BX161</f>
        <v>0</v>
      </c>
      <c r="BY30" s="13">
        <f>Segments!BY161</f>
        <v>0</v>
      </c>
      <c r="BZ30" s="13">
        <f>Segments!BZ161</f>
        <v>0</v>
      </c>
      <c r="CA30" s="13">
        <f>Segments!CA161</f>
        <v>0</v>
      </c>
      <c r="CB30" s="13">
        <f>Segments!CB161</f>
        <v>0</v>
      </c>
      <c r="CC30" s="13">
        <f>Segments!CC161</f>
        <v>0</v>
      </c>
      <c r="CD30" s="40"/>
      <c r="CE30" s="40"/>
      <c r="CF30"/>
      <c r="CG30"/>
      <c r="CH30"/>
      <c r="CI30"/>
      <c r="CJ30"/>
      <c r="CK30"/>
    </row>
    <row r="31" spans="1:89" s="7" customFormat="1">
      <c r="A31" s="40"/>
      <c r="B31" s="40" t="s">
        <v>631</v>
      </c>
      <c r="C31" s="40"/>
      <c r="D31" s="40"/>
      <c r="E31" s="40"/>
      <c r="F31" s="40"/>
      <c r="G31" s="40"/>
      <c r="H31" s="40"/>
      <c r="I31" s="40"/>
      <c r="J31" s="40"/>
      <c r="K31" s="40"/>
      <c r="L31" s="40"/>
      <c r="M31" s="40"/>
      <c r="N31" s="40"/>
      <c r="O31" s="40"/>
      <c r="P31" s="40"/>
      <c r="Q31" s="40"/>
      <c r="R31" s="40"/>
      <c r="S31" s="40"/>
      <c r="T31" s="40"/>
      <c r="U31" s="40"/>
      <c r="V31" s="40"/>
      <c r="W31" s="40"/>
      <c r="X31" s="40"/>
      <c r="Y31" s="40"/>
      <c r="Z31" s="40"/>
      <c r="AA31" s="40"/>
      <c r="AB31" s="40"/>
      <c r="AC31" s="40"/>
      <c r="AD31" s="441">
        <f>SUM(AD29:AD30)</f>
        <v>30.6</v>
      </c>
      <c r="AE31" s="441">
        <f t="shared" ref="AE31:CC31" si="17">SUM(AE29:AE30)</f>
        <v>13.2</v>
      </c>
      <c r="AF31" s="441">
        <f t="shared" si="17"/>
        <v>18</v>
      </c>
      <c r="AG31" s="441">
        <f t="shared" si="17"/>
        <v>31.2</v>
      </c>
      <c r="AH31" s="441">
        <f t="shared" si="17"/>
        <v>17.7</v>
      </c>
      <c r="AI31" s="441">
        <f t="shared" si="17"/>
        <v>17.599999999999998</v>
      </c>
      <c r="AJ31" s="441">
        <f t="shared" si="17"/>
        <v>35.299999999999997</v>
      </c>
      <c r="AK31" s="441">
        <f t="shared" si="17"/>
        <v>18.100000000000001</v>
      </c>
      <c r="AL31" s="441">
        <f t="shared" si="17"/>
        <v>22.6</v>
      </c>
      <c r="AM31" s="441">
        <f t="shared" si="17"/>
        <v>40.700000000000003</v>
      </c>
      <c r="AN31" s="441">
        <f t="shared" si="17"/>
        <v>17.399999999999999</v>
      </c>
      <c r="AO31" s="441">
        <f t="shared" si="17"/>
        <v>19.700000000000003</v>
      </c>
      <c r="AP31" s="441">
        <f t="shared" si="17"/>
        <v>37.1</v>
      </c>
      <c r="AQ31" s="441">
        <f t="shared" si="17"/>
        <v>10.5</v>
      </c>
      <c r="AR31" s="441">
        <f t="shared" si="17"/>
        <v>15.2</v>
      </c>
      <c r="AS31" s="441">
        <f t="shared" si="17"/>
        <v>25.7</v>
      </c>
      <c r="AT31" s="441">
        <f t="shared" si="17"/>
        <v>14.7</v>
      </c>
      <c r="AU31" s="441">
        <f t="shared" si="17"/>
        <v>26.099999999999998</v>
      </c>
      <c r="AV31" s="441">
        <f t="shared" si="17"/>
        <v>40.799999999999997</v>
      </c>
      <c r="AW31" s="441">
        <f t="shared" si="17"/>
        <v>31</v>
      </c>
      <c r="AX31" s="441">
        <f t="shared" si="17"/>
        <v>33</v>
      </c>
      <c r="AY31" s="441">
        <f t="shared" si="17"/>
        <v>64</v>
      </c>
      <c r="AZ31" s="441">
        <f t="shared" si="17"/>
        <v>37.1</v>
      </c>
      <c r="BA31" s="441">
        <f t="shared" si="17"/>
        <v>37.800000000000004</v>
      </c>
      <c r="BB31" s="441">
        <f t="shared" si="17"/>
        <v>74.900000000000006</v>
      </c>
      <c r="BC31" s="441">
        <f t="shared" si="17"/>
        <v>38.5</v>
      </c>
      <c r="BD31" s="441">
        <f t="shared" si="17"/>
        <v>57</v>
      </c>
      <c r="BE31" s="441">
        <f t="shared" si="17"/>
        <v>95.5</v>
      </c>
      <c r="BF31" s="441">
        <f t="shared" si="17"/>
        <v>40.889394711984323</v>
      </c>
      <c r="BG31" s="441">
        <f t="shared" si="17"/>
        <v>60.042120600317631</v>
      </c>
      <c r="BH31" s="441">
        <f t="shared" si="17"/>
        <v>100.93151531230195</v>
      </c>
      <c r="BI31" s="441">
        <f t="shared" si="17"/>
        <v>43.536874953846123</v>
      </c>
      <c r="BJ31" s="441">
        <f t="shared" si="17"/>
        <v>60.892091816862752</v>
      </c>
      <c r="BK31" s="441">
        <f t="shared" si="17"/>
        <v>104.42896677070888</v>
      </c>
      <c r="BL31" s="441">
        <f t="shared" si="17"/>
        <v>44.67832215421118</v>
      </c>
      <c r="BM31" s="441">
        <f t="shared" si="17"/>
        <v>62.392527778511976</v>
      </c>
      <c r="BN31" s="441">
        <f t="shared" si="17"/>
        <v>107.07084993272315</v>
      </c>
      <c r="BO31" s="441">
        <f t="shared" si="17"/>
        <v>46.222520813427728</v>
      </c>
      <c r="BP31" s="441">
        <f t="shared" si="17"/>
        <v>63.567256711644404</v>
      </c>
      <c r="BQ31" s="441">
        <f t="shared" si="17"/>
        <v>109.78977752507214</v>
      </c>
      <c r="BR31" s="441">
        <f t="shared" si="17"/>
        <v>46.434143125192342</v>
      </c>
      <c r="BS31" s="441">
        <f t="shared" si="17"/>
        <v>65.211355393399529</v>
      </c>
      <c r="BT31" s="441">
        <f t="shared" si="17"/>
        <v>111.64549851859186</v>
      </c>
      <c r="BU31" s="441">
        <f t="shared" si="17"/>
        <v>48.050639369538942</v>
      </c>
      <c r="BV31" s="441">
        <f t="shared" si="17"/>
        <v>67.48126522553649</v>
      </c>
      <c r="BW31" s="441">
        <f t="shared" si="17"/>
        <v>115.53190459507543</v>
      </c>
      <c r="BX31" s="441">
        <f t="shared" si="17"/>
        <v>49.682833764287828</v>
      </c>
      <c r="BY31" s="441">
        <f t="shared" si="17"/>
        <v>68.326644708821078</v>
      </c>
      <c r="BZ31" s="441">
        <f t="shared" si="17"/>
        <v>118.00947847310891</v>
      </c>
      <c r="CA31" s="441">
        <f t="shared" si="17"/>
        <v>50.288863299816015</v>
      </c>
      <c r="CB31" s="441">
        <f t="shared" si="17"/>
        <v>69.185574695387686</v>
      </c>
      <c r="CC31" s="441">
        <f t="shared" si="17"/>
        <v>119.4744379952037</v>
      </c>
      <c r="CD31" s="40"/>
      <c r="CE31" s="40"/>
      <c r="CF31"/>
      <c r="CG31"/>
      <c r="CH31"/>
      <c r="CI31"/>
      <c r="CJ31"/>
      <c r="CK31"/>
    </row>
    <row r="32" spans="1:89" s="7" customFormat="1">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c r="AA32" s="40"/>
      <c r="AB32" s="40"/>
      <c r="AC32" s="40"/>
      <c r="AD32" s="467"/>
      <c r="AE32" s="467"/>
      <c r="AF32" s="441"/>
      <c r="AG32" s="467"/>
      <c r="AH32" s="467"/>
      <c r="AI32" s="110"/>
      <c r="AJ32" s="110"/>
      <c r="AK32" s="468"/>
      <c r="AL32" s="110"/>
      <c r="AM32" s="174"/>
      <c r="AN32" s="174"/>
      <c r="AO32" s="110"/>
      <c r="AP32" s="174"/>
      <c r="AQ32" s="174"/>
      <c r="AR32" s="110"/>
      <c r="AS32" s="174"/>
      <c r="AT32" s="174"/>
      <c r="AU32" s="110"/>
      <c r="AV32" s="174"/>
      <c r="AW32" s="174"/>
      <c r="AX32" s="110"/>
      <c r="AY32" s="174"/>
      <c r="AZ32" s="174"/>
      <c r="BA32" s="110"/>
      <c r="BB32" s="174"/>
      <c r="BC32" s="174"/>
      <c r="BD32" s="441"/>
      <c r="BE32" s="441"/>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40"/>
      <c r="CE32" s="40"/>
      <c r="CF32"/>
      <c r="CG32"/>
      <c r="CH32"/>
      <c r="CI32"/>
      <c r="CJ32"/>
      <c r="CK32"/>
    </row>
    <row r="33" spans="1:89" s="7" customFormat="1">
      <c r="A33" s="40"/>
      <c r="B33" s="40" t="s">
        <v>632</v>
      </c>
      <c r="C33" s="40"/>
      <c r="D33" s="40"/>
      <c r="E33" s="40"/>
      <c r="F33" s="40"/>
      <c r="G33" s="40"/>
      <c r="H33" s="40"/>
      <c r="I33" s="40"/>
      <c r="J33" s="40"/>
      <c r="K33" s="40"/>
      <c r="L33" s="40"/>
      <c r="M33" s="40"/>
      <c r="N33" s="40"/>
      <c r="O33" s="40"/>
      <c r="P33" s="40"/>
      <c r="Q33" s="40"/>
      <c r="R33" s="40"/>
      <c r="S33" s="40"/>
      <c r="T33" s="40"/>
      <c r="U33" s="40"/>
      <c r="V33" s="40"/>
      <c r="W33" s="40"/>
      <c r="X33" s="40"/>
      <c r="Y33" s="40"/>
      <c r="Z33" s="40"/>
      <c r="AA33" s="40"/>
      <c r="AB33" s="40"/>
      <c r="AC33" s="40"/>
      <c r="AD33" s="441">
        <f>AD26-AD31</f>
        <v>991.8</v>
      </c>
      <c r="AE33" s="441">
        <f t="shared" ref="AE33:CC33" si="18">AE26-AE31</f>
        <v>450</v>
      </c>
      <c r="AF33" s="441">
        <f t="shared" si="18"/>
        <v>506</v>
      </c>
      <c r="AG33" s="441">
        <f t="shared" si="18"/>
        <v>956</v>
      </c>
      <c r="AH33" s="441">
        <f t="shared" si="18"/>
        <v>501.7</v>
      </c>
      <c r="AI33" s="441">
        <f t="shared" si="18"/>
        <v>625.60344888455734</v>
      </c>
      <c r="AJ33" s="441">
        <f t="shared" si="18"/>
        <v>1127.3034488845574</v>
      </c>
      <c r="AK33" s="441">
        <f t="shared" si="18"/>
        <v>489.79999999999995</v>
      </c>
      <c r="AL33" s="441">
        <f t="shared" si="18"/>
        <v>569.90000000000009</v>
      </c>
      <c r="AM33" s="441">
        <f t="shared" si="18"/>
        <v>1059.7</v>
      </c>
      <c r="AN33" s="441">
        <f t="shared" si="18"/>
        <v>532.9</v>
      </c>
      <c r="AO33" s="441">
        <f t="shared" si="18"/>
        <v>613.09999999999991</v>
      </c>
      <c r="AP33" s="441">
        <f t="shared" si="18"/>
        <v>1146</v>
      </c>
      <c r="AQ33" s="441">
        <f t="shared" si="18"/>
        <v>568.79999999999995</v>
      </c>
      <c r="AR33" s="441">
        <f t="shared" si="18"/>
        <v>633.5</v>
      </c>
      <c r="AS33" s="441">
        <f t="shared" si="18"/>
        <v>1202.3</v>
      </c>
      <c r="AT33" s="441">
        <f t="shared" si="18"/>
        <v>587.29999999999995</v>
      </c>
      <c r="AU33" s="441">
        <f t="shared" si="18"/>
        <v>709.69999999999993</v>
      </c>
      <c r="AV33" s="441">
        <f t="shared" si="18"/>
        <v>1297</v>
      </c>
      <c r="AW33" s="441">
        <f t="shared" si="18"/>
        <v>647.1</v>
      </c>
      <c r="AX33" s="441">
        <f t="shared" si="18"/>
        <v>701.99999999999989</v>
      </c>
      <c r="AY33" s="441">
        <f t="shared" si="18"/>
        <v>1349.1</v>
      </c>
      <c r="AZ33" s="441">
        <f t="shared" si="18"/>
        <v>648.9</v>
      </c>
      <c r="BA33" s="441">
        <f t="shared" si="18"/>
        <v>672.4</v>
      </c>
      <c r="BB33" s="441">
        <f t="shared" si="18"/>
        <v>1321.3</v>
      </c>
      <c r="BC33" s="441">
        <f t="shared" si="18"/>
        <v>679.9</v>
      </c>
      <c r="BD33" s="441">
        <f t="shared" si="18"/>
        <v>784.6</v>
      </c>
      <c r="BE33" s="441">
        <f t="shared" si="18"/>
        <v>1464.5</v>
      </c>
      <c r="BF33" s="441">
        <f t="shared" si="18"/>
        <v>720.42277430679121</v>
      </c>
      <c r="BG33" s="441">
        <f t="shared" si="18"/>
        <v>826.47689404525613</v>
      </c>
      <c r="BH33" s="441">
        <f t="shared" si="18"/>
        <v>1546.8996683520472</v>
      </c>
      <c r="BI33" s="441">
        <f t="shared" si="18"/>
        <v>759.2733432745157</v>
      </c>
      <c r="BJ33" s="441">
        <f t="shared" si="18"/>
        <v>836.46339516375178</v>
      </c>
      <c r="BK33" s="441">
        <f t="shared" si="18"/>
        <v>1595.7367384382671</v>
      </c>
      <c r="BL33" s="441">
        <f t="shared" si="18"/>
        <v>778.40095449758144</v>
      </c>
      <c r="BM33" s="441">
        <f t="shared" si="18"/>
        <v>858.25043639469379</v>
      </c>
      <c r="BN33" s="441">
        <f t="shared" si="18"/>
        <v>1636.6513908922752</v>
      </c>
      <c r="BO33" s="441">
        <f t="shared" si="18"/>
        <v>806.93238769923119</v>
      </c>
      <c r="BP33" s="441">
        <f t="shared" si="18"/>
        <v>877.60820272882756</v>
      </c>
      <c r="BQ33" s="441">
        <f t="shared" si="18"/>
        <v>1684.5405904280587</v>
      </c>
      <c r="BR33" s="441">
        <f t="shared" si="18"/>
        <v>812.07730188830305</v>
      </c>
      <c r="BS33" s="441">
        <f t="shared" si="18"/>
        <v>901.23260785484285</v>
      </c>
      <c r="BT33" s="441">
        <f t="shared" si="18"/>
        <v>1713.3099097431459</v>
      </c>
      <c r="BU33" s="441">
        <f t="shared" si="18"/>
        <v>841.49916054700839</v>
      </c>
      <c r="BV33" s="441">
        <f t="shared" si="18"/>
        <v>932.21671220515157</v>
      </c>
      <c r="BW33" s="441">
        <f t="shared" si="18"/>
        <v>1773.7158727521598</v>
      </c>
      <c r="BX33" s="441">
        <f t="shared" si="18"/>
        <v>869.38388755733479</v>
      </c>
      <c r="BY33" s="441">
        <f t="shared" si="18"/>
        <v>944.03372817612762</v>
      </c>
      <c r="BZ33" s="441">
        <f t="shared" si="18"/>
        <v>1813.4176157334625</v>
      </c>
      <c r="CA33" s="441">
        <f t="shared" si="18"/>
        <v>880.09559700617649</v>
      </c>
      <c r="CB33" s="441">
        <f t="shared" si="18"/>
        <v>956.04105860265872</v>
      </c>
      <c r="CC33" s="441">
        <f t="shared" si="18"/>
        <v>1836.1366556088356</v>
      </c>
      <c r="CD33" s="40"/>
      <c r="CE33" s="40"/>
      <c r="CF33"/>
      <c r="CG33"/>
      <c r="CH33"/>
      <c r="CI33"/>
      <c r="CJ33"/>
      <c r="CK33"/>
    </row>
    <row r="34" spans="1:89" s="7" customFormat="1">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c r="AA34" s="40"/>
      <c r="AB34" s="40"/>
      <c r="AC34" s="40"/>
      <c r="AD34" s="467"/>
      <c r="AE34" s="467"/>
      <c r="AF34" s="441"/>
      <c r="AG34" s="467"/>
      <c r="AH34" s="467"/>
      <c r="AI34" s="110"/>
      <c r="AJ34" s="110"/>
      <c r="AK34" s="468"/>
      <c r="AL34" s="110"/>
      <c r="AM34" s="174"/>
      <c r="AN34" s="174"/>
      <c r="AO34" s="110"/>
      <c r="AP34" s="174"/>
      <c r="AQ34" s="174"/>
      <c r="AR34" s="110"/>
      <c r="AS34" s="174"/>
      <c r="AT34" s="174"/>
      <c r="AU34" s="110"/>
      <c r="AV34" s="174"/>
      <c r="AW34" s="174"/>
      <c r="AX34" s="110"/>
      <c r="AY34" s="174"/>
      <c r="AZ34" s="174"/>
      <c r="BA34" s="110"/>
      <c r="BB34" s="174"/>
      <c r="BC34" s="174"/>
      <c r="BD34" s="441"/>
      <c r="BE34" s="441"/>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40"/>
      <c r="CE34" s="40"/>
      <c r="CF34"/>
      <c r="CG34"/>
      <c r="CH34"/>
      <c r="CI34"/>
      <c r="CJ34"/>
      <c r="CK34"/>
    </row>
    <row r="35" spans="1:89">
      <c r="B35" s="257" t="s">
        <v>453</v>
      </c>
      <c r="AD35" s="13">
        <f>-(AD26+-AD43+-AD37)</f>
        <v>-776.5</v>
      </c>
      <c r="AE35" s="13">
        <f>-(AE26+-AE43+-AE37)</f>
        <v>-362.7</v>
      </c>
      <c r="AF35" s="13">
        <f>AG35-AE35</f>
        <v>-382.40000000000003</v>
      </c>
      <c r="AG35" s="13">
        <f>-(AG26+-AG43+-AG37)</f>
        <v>-745.1</v>
      </c>
      <c r="AH35" s="13">
        <f>-(AH26+-AH43+-AH37)</f>
        <v>-394</v>
      </c>
      <c r="AI35" s="13">
        <f>AJ35-AH35</f>
        <v>-499.60344888455734</v>
      </c>
      <c r="AJ35" s="13">
        <f>-(AJ26+-AJ43+-AJ36)</f>
        <v>-893.60344888455734</v>
      </c>
      <c r="AK35" s="13">
        <f>-(AK26+-AK43+-AK36)</f>
        <v>-388.6</v>
      </c>
      <c r="AL35" s="13">
        <f>AM35-AK35</f>
        <v>-430.6</v>
      </c>
      <c r="AM35" s="13">
        <f>-(AM26+-AM43+-AM36)</f>
        <v>-819.2</v>
      </c>
      <c r="AN35" s="13">
        <f>-(AN26+-AN43+-AN36)</f>
        <v>-420.9</v>
      </c>
      <c r="AO35" s="13">
        <f>AP35-AN35</f>
        <v>-474.9</v>
      </c>
      <c r="AP35" s="13">
        <f>-(AP26+-AP43+-AP36)</f>
        <v>-895.8</v>
      </c>
      <c r="AQ35" s="13">
        <f>-(AQ26+-AQ43+-AQ36)</f>
        <v>-452.4</v>
      </c>
      <c r="AR35" s="13">
        <f>AS35-AQ35</f>
        <v>-482.20000000000005</v>
      </c>
      <c r="AS35" s="13">
        <f>-(AS26+-AS43+-AS36)</f>
        <v>-934.6</v>
      </c>
      <c r="AT35" s="13">
        <f>-(AT26+-AT43+-AT36)</f>
        <v>-474.79999999999995</v>
      </c>
      <c r="AU35" s="13">
        <f>AV35-AT35</f>
        <v>-544.79999999999995</v>
      </c>
      <c r="AV35" s="13">
        <f>-(AV26+-AV43+-AV36)</f>
        <v>-1019.5999999999999</v>
      </c>
      <c r="AW35" s="13">
        <f>-(AW26+-AW43+-AW36)</f>
        <v>-522.90000000000009</v>
      </c>
      <c r="AX35" s="13">
        <f>AY35-AW35</f>
        <v>-512.09999999999991</v>
      </c>
      <c r="AY35" s="13">
        <f>-(AY26+-AY43+-AY36)</f>
        <v>-1035</v>
      </c>
      <c r="AZ35" s="13">
        <f>-(AZ26+-AZ43+-AZ36)</f>
        <v>-535.1</v>
      </c>
      <c r="BA35" s="13">
        <f>BB35-AZ35</f>
        <v>-516.9</v>
      </c>
      <c r="BB35" s="13">
        <f>-(BB26+-BB43+-BB36)</f>
        <v>-1052</v>
      </c>
      <c r="BC35" s="13">
        <f>-(BC26+-BC43+-BC36)</f>
        <v>-568.4</v>
      </c>
      <c r="BD35" s="13">
        <f>-(BD26+-BD43+-BD36)</f>
        <v>-620.29999999999995</v>
      </c>
      <c r="BE35" s="13">
        <f>SUM(BC35:BD35)</f>
        <v>-1188.6999999999998</v>
      </c>
      <c r="BF35" s="13">
        <f>-(BF26+-BF43+-BF36)</f>
        <v>-608.60025402688643</v>
      </c>
      <c r="BG35" s="13">
        <f>-(BG26+-BG43+-BG36)</f>
        <v>-654.80782117189244</v>
      </c>
      <c r="BH35" s="13">
        <f>SUM(BF35:BG35)</f>
        <v>-1263.408075198779</v>
      </c>
      <c r="BI35" s="13">
        <f>-(BI26+-BI43+-BI36)</f>
        <v>-628.65609145357485</v>
      </c>
      <c r="BJ35" s="13">
        <f>-(BJ26+-BJ43+-BJ36)</f>
        <v>-662.8678737235922</v>
      </c>
      <c r="BK35" s="13">
        <f>SUM(BI35:BJ35)</f>
        <v>-1291.5239651771672</v>
      </c>
      <c r="BL35" s="13">
        <f>-(BL26+-BL43+-BL36)</f>
        <v>-640.80511852376856</v>
      </c>
      <c r="BM35" s="13">
        <f>-(BM26+-BM43+-BM36)</f>
        <v>-675.83164380613084</v>
      </c>
      <c r="BN35" s="13">
        <f>SUM(BL35:BM35)</f>
        <v>-1316.6367623298993</v>
      </c>
      <c r="BO35" s="13">
        <f>-(BO26+-BO43+-BO36)</f>
        <v>-658.27315732701732</v>
      </c>
      <c r="BP35" s="13">
        <f>-(BP26+-BP43+-BP36)</f>
        <v>-688.64018330301417</v>
      </c>
      <c r="BQ35" s="13">
        <f>SUM(BO35:BP35)</f>
        <v>-1346.9133406300316</v>
      </c>
      <c r="BR35" s="13">
        <f>-(BR26+-BR43+-BR36)</f>
        <v>-665.19980448180297</v>
      </c>
      <c r="BS35" s="13">
        <f>-(BS26+-BS43+-BS36)</f>
        <v>-702.13239409516268</v>
      </c>
      <c r="BT35" s="13">
        <f>SUM(BR35:BS35)</f>
        <v>-1367.3321985769658</v>
      </c>
      <c r="BU35" s="13">
        <f>-(BU26+-BU43+-BU36)</f>
        <v>-682.85298837913297</v>
      </c>
      <c r="BV35" s="13">
        <f>-(BV26+-BV43+-BV36)</f>
        <v>-717.90677304528128</v>
      </c>
      <c r="BW35" s="13">
        <f>SUM(BU35:BV35)</f>
        <v>-1400.7597614244141</v>
      </c>
      <c r="BX35" s="13">
        <f>-(BX26+-BX43+-BX36)</f>
        <v>-698.68296880210096</v>
      </c>
      <c r="BY35" s="13">
        <f>-(BY26+-BY43+-BY36)</f>
        <v>-725.76091961760926</v>
      </c>
      <c r="BZ35" s="13">
        <f>SUM(BX35:BY35)</f>
        <v>-1424.4438884197102</v>
      </c>
      <c r="CA35" s="13">
        <f>-(CA26+-CA43+-CA36)</f>
        <v>-707.32979572804379</v>
      </c>
      <c r="CB35" s="13">
        <f>-(CB26+-CB43+-CB36)</f>
        <v>-733.70154893713584</v>
      </c>
      <c r="CC35" s="13">
        <f>SUM(CA35:CB35)</f>
        <v>-1441.0313446651796</v>
      </c>
    </row>
    <row r="36" spans="1:89">
      <c r="AD36" s="469"/>
      <c r="AE36" s="13"/>
      <c r="AF36" s="13"/>
      <c r="AG36" s="469"/>
      <c r="AH36" s="13"/>
      <c r="AJ36" s="458"/>
      <c r="AK36" s="458"/>
      <c r="AL36" s="458"/>
      <c r="AM36" s="458"/>
      <c r="AN36" s="458"/>
      <c r="AO36" s="458"/>
      <c r="AP36" s="458"/>
      <c r="AQ36" s="458"/>
      <c r="AR36" s="458"/>
      <c r="AS36" s="458"/>
      <c r="AT36" s="458"/>
      <c r="AU36" s="458"/>
      <c r="AV36" s="458"/>
      <c r="AW36" s="458"/>
      <c r="AX36" s="458"/>
      <c r="AY36" s="458"/>
      <c r="AZ36" s="458"/>
      <c r="BA36" s="458"/>
      <c r="BB36" s="458"/>
      <c r="BC36" s="458"/>
      <c r="BD36" s="458"/>
      <c r="BE36" s="13"/>
      <c r="BF36" s="458"/>
      <c r="BG36" s="458"/>
      <c r="BH36" s="458"/>
      <c r="BI36" s="458"/>
      <c r="BJ36" s="458"/>
      <c r="BK36" s="458"/>
      <c r="BL36" s="458"/>
      <c r="BM36" s="458"/>
      <c r="BN36" s="458"/>
      <c r="BO36" s="458"/>
      <c r="BP36" s="458"/>
      <c r="BQ36" s="458"/>
      <c r="BR36" s="458"/>
      <c r="BS36" s="458"/>
      <c r="BT36" s="458"/>
      <c r="BU36" s="458"/>
      <c r="BV36" s="458"/>
      <c r="BW36" s="458"/>
      <c r="BX36" s="458"/>
      <c r="BY36" s="458"/>
      <c r="BZ36" s="458"/>
      <c r="CA36" s="458"/>
      <c r="CB36" s="458"/>
      <c r="CC36" s="458"/>
    </row>
    <row r="37" spans="1:89">
      <c r="B37" s="40" t="s">
        <v>157</v>
      </c>
      <c r="AD37" s="13"/>
      <c r="AE37" s="13"/>
      <c r="AF37" s="13"/>
      <c r="AG37" s="13"/>
      <c r="AH37" s="13"/>
      <c r="AY37" s="458"/>
      <c r="BD37" s="458"/>
      <c r="BE37" s="13"/>
    </row>
    <row r="38" spans="1:89">
      <c r="B38" s="257" t="s">
        <v>348</v>
      </c>
      <c r="C38" s="458"/>
      <c r="AD38" s="13">
        <f>Segments!AD137</f>
        <v>46.4</v>
      </c>
      <c r="AE38" s="13">
        <f>Segments!AE137</f>
        <v>22.9</v>
      </c>
      <c r="AF38" s="13">
        <f>Segments!AF137</f>
        <v>21.700000000000003</v>
      </c>
      <c r="AG38" s="13">
        <f>Segments!AG137</f>
        <v>44.6</v>
      </c>
      <c r="AH38" s="13">
        <f>Segments!AH137</f>
        <v>19.8</v>
      </c>
      <c r="AI38" s="458">
        <f>Segments!AI137</f>
        <v>19.3</v>
      </c>
      <c r="AJ38" s="458">
        <f>Segments!AJ137</f>
        <v>39.1</v>
      </c>
      <c r="AK38" s="458">
        <f>Segments!AK137</f>
        <v>20.100000000000001</v>
      </c>
      <c r="AL38" s="458">
        <f>Segments!AL137</f>
        <v>22.799999999999997</v>
      </c>
      <c r="AM38" s="458">
        <f>Segments!AM137</f>
        <v>42.9</v>
      </c>
      <c r="AN38" s="458">
        <f>Segments!AN137</f>
        <v>24.1</v>
      </c>
      <c r="AO38" s="458">
        <f>Segments!AO137</f>
        <v>31.299999999999997</v>
      </c>
      <c r="AP38" s="458">
        <f>Segments!AP137</f>
        <v>55.4</v>
      </c>
      <c r="AQ38" s="458">
        <f>Segments!AQ137</f>
        <v>27.5</v>
      </c>
      <c r="AR38" s="458">
        <f>Segments!AR137</f>
        <v>27.5</v>
      </c>
      <c r="AS38" s="458">
        <f>Segments!AS137</f>
        <v>55</v>
      </c>
      <c r="AT38" s="458">
        <f>Segments!AT137</f>
        <v>26.7</v>
      </c>
      <c r="AU38" s="458">
        <f>Segments!AU137</f>
        <v>35.400000000000006</v>
      </c>
      <c r="AV38" s="458">
        <f>Segments!AV137</f>
        <v>62.1</v>
      </c>
      <c r="AW38" s="458">
        <f>Segments!AW137</f>
        <v>32</v>
      </c>
      <c r="AX38" s="458">
        <f>Segments!AX137</f>
        <v>33.599999999999994</v>
      </c>
      <c r="AY38" s="458">
        <f>Segments!AY137</f>
        <v>65.599999999999994</v>
      </c>
      <c r="AZ38" s="458">
        <f>Segments!AZ137</f>
        <v>33.799999999999997</v>
      </c>
      <c r="BA38" s="458">
        <f>Segments!BA137</f>
        <v>31.299999999999997</v>
      </c>
      <c r="BB38" s="458">
        <f>Segments!BB137</f>
        <v>65.099999999999994</v>
      </c>
      <c r="BC38" s="458">
        <f>Segments!BC137</f>
        <v>34.4</v>
      </c>
      <c r="BD38" s="458">
        <f>Segments!BD137</f>
        <v>35.000000000000007</v>
      </c>
      <c r="BE38" s="13">
        <f>SUM(BC38:BD38)</f>
        <v>69.400000000000006</v>
      </c>
      <c r="BF38" s="458">
        <f>Segments!BF137</f>
        <v>35.567500000000003</v>
      </c>
      <c r="BG38" s="458">
        <f>Segments!BG137</f>
        <v>35.567500000000003</v>
      </c>
      <c r="BH38" s="458">
        <f>SUM(BF38:BG38)</f>
        <v>71.135000000000005</v>
      </c>
      <c r="BI38" s="458">
        <f>Segments!BI137</f>
        <v>36.456687500000001</v>
      </c>
      <c r="BJ38" s="458">
        <f>Segments!BJ137</f>
        <v>36.456687500000001</v>
      </c>
      <c r="BK38" s="458">
        <f>SUM(BI38:BJ38)</f>
        <v>72.913375000000002</v>
      </c>
      <c r="BL38" s="458">
        <f>Segments!BL137</f>
        <v>37.368104687500001</v>
      </c>
      <c r="BM38" s="458">
        <f>Segments!BM137</f>
        <v>37.368104687500001</v>
      </c>
      <c r="BN38" s="458">
        <f>SUM(BL38:BM38)</f>
        <v>74.736209375000001</v>
      </c>
      <c r="BO38" s="458">
        <f>Segments!BO137</f>
        <v>38.302307304687496</v>
      </c>
      <c r="BP38" s="458">
        <f>Segments!BP137</f>
        <v>38.302307304687496</v>
      </c>
      <c r="BQ38" s="458">
        <f>SUM(BO38:BP38)</f>
        <v>76.604614609374991</v>
      </c>
      <c r="BR38" s="458">
        <f>Segments!BR137</f>
        <v>39.259864987304681</v>
      </c>
      <c r="BS38" s="458">
        <f>Segments!BS137</f>
        <v>39.259864987304681</v>
      </c>
      <c r="BT38" s="458">
        <f>SUM(BR38:BS38)</f>
        <v>78.519729974609362</v>
      </c>
      <c r="BU38" s="458">
        <f>Segments!BU137</f>
        <v>40.241361611987294</v>
      </c>
      <c r="BV38" s="458">
        <f>Segments!BV137</f>
        <v>40.241361611987294</v>
      </c>
      <c r="BW38" s="458">
        <f>SUM(BU38:BV38)</f>
        <v>80.482723223974588</v>
      </c>
      <c r="BX38" s="458">
        <f>Segments!BX137</f>
        <v>41.247395652286976</v>
      </c>
      <c r="BY38" s="458">
        <f>Segments!BY137</f>
        <v>41.247395652286976</v>
      </c>
      <c r="BZ38" s="458">
        <f>SUM(BX38:BY38)</f>
        <v>82.494791304573951</v>
      </c>
      <c r="CA38" s="458">
        <f>Segments!CA137</f>
        <v>42.278580543594146</v>
      </c>
      <c r="CB38" s="458">
        <f>Segments!CB137</f>
        <v>42.278580543594146</v>
      </c>
      <c r="CC38" s="458">
        <f>SUM(CA38:CB38)</f>
        <v>84.557161087188291</v>
      </c>
    </row>
    <row r="39" spans="1:89">
      <c r="B39" s="257" t="s">
        <v>413</v>
      </c>
      <c r="AD39" s="13">
        <f>Segments!AD168</f>
        <v>6.4</v>
      </c>
      <c r="AE39" s="13">
        <f>Segments!AE168</f>
        <v>4.0999999999999996</v>
      </c>
      <c r="AF39" s="13">
        <f>Segments!AF168</f>
        <v>4</v>
      </c>
      <c r="AG39" s="13">
        <f>Segments!AG168</f>
        <v>8.1</v>
      </c>
      <c r="AH39" s="13">
        <f>Segments!AH168</f>
        <v>3.9</v>
      </c>
      <c r="AI39" s="458">
        <f>Segments!AI168</f>
        <v>4</v>
      </c>
      <c r="AJ39" s="458">
        <f>Segments!AJ168</f>
        <v>7.9</v>
      </c>
      <c r="AK39" s="458">
        <f>Segments!AK168</f>
        <v>3.9</v>
      </c>
      <c r="AL39" s="458">
        <f>Segments!AL168</f>
        <v>4.0999999999999996</v>
      </c>
      <c r="AM39" s="458">
        <f>Segments!AM168</f>
        <v>8</v>
      </c>
      <c r="AN39" s="458">
        <f>Segments!AN168</f>
        <v>4</v>
      </c>
      <c r="AO39" s="458">
        <f>Segments!AO168</f>
        <v>3.9000000000000004</v>
      </c>
      <c r="AP39" s="458">
        <f>Segments!AP168</f>
        <v>7.9</v>
      </c>
      <c r="AQ39" s="458">
        <f>Segments!AQ168</f>
        <v>3.7</v>
      </c>
      <c r="AR39" s="458">
        <f>Segments!AR168</f>
        <v>3.7</v>
      </c>
      <c r="AS39" s="458">
        <f>Segments!AS168</f>
        <v>7.4</v>
      </c>
      <c r="AT39" s="458">
        <f>Segments!AT168</f>
        <v>3.7</v>
      </c>
      <c r="AU39" s="458">
        <f>Segments!AU168</f>
        <v>4</v>
      </c>
      <c r="AV39" s="458">
        <f>Segments!AV168</f>
        <v>7.7</v>
      </c>
      <c r="AW39" s="458">
        <f>Segments!AW168</f>
        <v>4.0999999999999996</v>
      </c>
      <c r="AX39" s="458">
        <f>Segments!AX168</f>
        <v>4.2000000000000011</v>
      </c>
      <c r="AY39" s="458">
        <f>Segments!AY168</f>
        <v>8.3000000000000007</v>
      </c>
      <c r="AZ39" s="458">
        <f>Segments!AZ168</f>
        <v>4.2</v>
      </c>
      <c r="BA39" s="458">
        <f>Segments!BA168</f>
        <v>4.2</v>
      </c>
      <c r="BB39" s="458">
        <f>Segments!BB168</f>
        <v>8.4</v>
      </c>
      <c r="BC39" s="458">
        <f>Segments!BC168</f>
        <v>3.9</v>
      </c>
      <c r="BD39" s="458">
        <f>Segments!BD168</f>
        <v>3.9</v>
      </c>
      <c r="BE39" s="13">
        <f>SUM(BC39:BD39)</f>
        <v>7.8</v>
      </c>
      <c r="BF39" s="458">
        <f>Segments!BF168</f>
        <v>4.7750000000000004</v>
      </c>
      <c r="BG39" s="458">
        <f>Segments!BG168</f>
        <v>5.65</v>
      </c>
      <c r="BH39" s="458">
        <f>SUM(BF39:BG39)</f>
        <v>10.425000000000001</v>
      </c>
      <c r="BI39" s="458">
        <f>Segments!BI168</f>
        <v>5.65</v>
      </c>
      <c r="BJ39" s="458">
        <f>Segments!BJ168</f>
        <v>5.65</v>
      </c>
      <c r="BK39" s="458">
        <f>SUM(BI39:BJ39)</f>
        <v>11.3</v>
      </c>
      <c r="BL39" s="458">
        <f>Segments!BL168</f>
        <v>5.65</v>
      </c>
      <c r="BM39" s="458">
        <f>Segments!BM168</f>
        <v>5.65</v>
      </c>
      <c r="BN39" s="458">
        <f>SUM(BL39:BM39)</f>
        <v>11.3</v>
      </c>
      <c r="BO39" s="458">
        <f>Segments!BO168</f>
        <v>5.65</v>
      </c>
      <c r="BP39" s="458">
        <f>Segments!BP168</f>
        <v>5.65</v>
      </c>
      <c r="BQ39" s="458">
        <f>SUM(BO39:BP39)</f>
        <v>11.3</v>
      </c>
      <c r="BR39" s="458">
        <f>Segments!BR168</f>
        <v>5.65</v>
      </c>
      <c r="BS39" s="458">
        <f>Segments!BS168</f>
        <v>5.65</v>
      </c>
      <c r="BT39" s="458">
        <f>SUM(BR39:BS39)</f>
        <v>11.3</v>
      </c>
      <c r="BU39" s="458">
        <f>Segments!BU168</f>
        <v>5.65</v>
      </c>
      <c r="BV39" s="458">
        <f>Segments!BV168</f>
        <v>5.65</v>
      </c>
      <c r="BW39" s="458">
        <f>SUM(BU39:BV39)</f>
        <v>11.3</v>
      </c>
      <c r="BX39" s="458">
        <f>Segments!BX168</f>
        <v>5.65</v>
      </c>
      <c r="BY39" s="458">
        <f>Segments!BY168</f>
        <v>5.65</v>
      </c>
      <c r="BZ39" s="458">
        <f>SUM(BX39:BY39)</f>
        <v>11.3</v>
      </c>
      <c r="CA39" s="458">
        <f>Segments!CA168</f>
        <v>5.65</v>
      </c>
      <c r="CB39" s="458">
        <f>Segments!CB168</f>
        <v>5.65</v>
      </c>
      <c r="CC39" s="458">
        <f>SUM(CA39:CB39)</f>
        <v>11.3</v>
      </c>
    </row>
    <row r="40" spans="1:89">
      <c r="B40" s="257" t="s">
        <v>155</v>
      </c>
      <c r="AD40" s="13">
        <f>Segments!AD193</f>
        <v>4</v>
      </c>
      <c r="AE40" s="13">
        <f>Segments!AE193</f>
        <v>2.2000000000000002</v>
      </c>
      <c r="AF40" s="13">
        <f>Segments!AF193</f>
        <v>1.8999999999999995</v>
      </c>
      <c r="AG40" s="13">
        <f>Segments!AG193</f>
        <v>4.0999999999999996</v>
      </c>
      <c r="AH40" s="13">
        <f>Segments!AH193</f>
        <v>3</v>
      </c>
      <c r="AI40" s="458">
        <f>Segments!AI193</f>
        <v>2.8</v>
      </c>
      <c r="AJ40" s="458">
        <f>Segments!AJ193</f>
        <v>5.8</v>
      </c>
      <c r="AK40" s="458">
        <f>Segments!AK193</f>
        <v>2.9</v>
      </c>
      <c r="AL40" s="458">
        <f>Segments!AL193</f>
        <v>4</v>
      </c>
      <c r="AM40" s="458">
        <f>Segments!AM193</f>
        <v>6.9</v>
      </c>
      <c r="AN40" s="458">
        <f>Segments!AN193</f>
        <v>2.8</v>
      </c>
      <c r="AO40" s="458">
        <f>Segments!AO193</f>
        <v>-0.89999999999999991</v>
      </c>
      <c r="AP40" s="458">
        <f>Segments!AP193</f>
        <v>1.9</v>
      </c>
      <c r="AQ40" s="458">
        <f>Segments!AQ193</f>
        <v>3.1</v>
      </c>
      <c r="AR40" s="458">
        <f>Segments!AR193</f>
        <v>5.2000000000000011</v>
      </c>
      <c r="AS40" s="458">
        <f>Segments!AS193</f>
        <v>8.3000000000000007</v>
      </c>
      <c r="AT40" s="458">
        <f>Segments!AT193</f>
        <v>4.3</v>
      </c>
      <c r="AU40" s="458">
        <f>AV40-AT40</f>
        <v>-1.0999999999999996</v>
      </c>
      <c r="AV40" s="458">
        <f>Segments!AV193</f>
        <v>3.2</v>
      </c>
      <c r="AW40" s="458">
        <f>Segments!AW193</f>
        <v>1.8</v>
      </c>
      <c r="AX40" s="458">
        <f>AY40-AW40</f>
        <v>2.0999999999999996</v>
      </c>
      <c r="AY40" s="458">
        <f>Segments!AY193</f>
        <v>3.9</v>
      </c>
      <c r="AZ40" s="458">
        <f>Segments!AZ193</f>
        <v>2.1</v>
      </c>
      <c r="BA40" s="458">
        <f>Segments!BA193</f>
        <v>2.4999999999999996</v>
      </c>
      <c r="BB40" s="458">
        <f>Segments!BB193</f>
        <v>4.5999999999999996</v>
      </c>
      <c r="BC40" s="458">
        <f>Segments!BC193</f>
        <v>3.2</v>
      </c>
      <c r="BD40" s="458">
        <f>Segments!BD193</f>
        <v>2.0999999999999996</v>
      </c>
      <c r="BE40" s="13">
        <f>SUM(BC40:BD40)</f>
        <v>5.3</v>
      </c>
      <c r="BF40" s="458">
        <f>Segments!BF193</f>
        <v>3.2</v>
      </c>
      <c r="BG40" s="458">
        <f>Segments!BG193</f>
        <v>2.0999999999999996</v>
      </c>
      <c r="BH40" s="458">
        <f>SUM(BF40:BG40)</f>
        <v>5.3</v>
      </c>
      <c r="BI40" s="458">
        <f>Segments!BI193</f>
        <v>3.2</v>
      </c>
      <c r="BJ40" s="458">
        <f>Segments!BJ193</f>
        <v>2.0999999999999996</v>
      </c>
      <c r="BK40" s="458">
        <f>SUM(BI40:BJ40)</f>
        <v>5.3</v>
      </c>
      <c r="BL40" s="458">
        <f>Segments!BL193</f>
        <v>3.2</v>
      </c>
      <c r="BM40" s="458">
        <f>Segments!BM193</f>
        <v>2.0999999999999996</v>
      </c>
      <c r="BN40" s="458">
        <f>SUM(BL40:BM40)</f>
        <v>5.3</v>
      </c>
      <c r="BO40" s="458">
        <f>Segments!BO193</f>
        <v>3.2</v>
      </c>
      <c r="BP40" s="458">
        <f>Segments!BP193</f>
        <v>2.0999999999999996</v>
      </c>
      <c r="BQ40" s="458">
        <f>SUM(BO40:BP40)</f>
        <v>5.3</v>
      </c>
      <c r="BR40" s="458">
        <f>Segments!BR193</f>
        <v>3.2</v>
      </c>
      <c r="BS40" s="458">
        <f>Segments!BS193</f>
        <v>2.0999999999999996</v>
      </c>
      <c r="BT40" s="458">
        <f>SUM(BR40:BS40)</f>
        <v>5.3</v>
      </c>
      <c r="BU40" s="458">
        <f>Segments!BU193</f>
        <v>3.2</v>
      </c>
      <c r="BV40" s="458">
        <f>Segments!BV193</f>
        <v>2.0999999999999996</v>
      </c>
      <c r="BW40" s="458">
        <f>SUM(BU40:BV40)</f>
        <v>5.3</v>
      </c>
      <c r="BX40" s="458">
        <f>Segments!BX193</f>
        <v>3.2</v>
      </c>
      <c r="BY40" s="458">
        <f>Segments!BY193</f>
        <v>2.0999999999999996</v>
      </c>
      <c r="BZ40" s="458">
        <f>SUM(BX40:BY40)</f>
        <v>5.3</v>
      </c>
      <c r="CA40" s="458">
        <f>Segments!CA193</f>
        <v>3.2</v>
      </c>
      <c r="CB40" s="458">
        <f>Segments!CB193</f>
        <v>2.0999999999999996</v>
      </c>
      <c r="CC40" s="458">
        <f>SUM(CA40:CB40)</f>
        <v>5.3</v>
      </c>
    </row>
    <row r="41" spans="1:89" s="7" customFormat="1">
      <c r="A41" s="73"/>
      <c r="B41" s="73" t="s">
        <v>427</v>
      </c>
      <c r="C41" s="73"/>
      <c r="D41" s="73"/>
      <c r="E41" s="73"/>
      <c r="F41" s="73"/>
      <c r="G41" s="73"/>
      <c r="H41" s="73"/>
      <c r="I41" s="73"/>
      <c r="J41" s="73"/>
      <c r="K41" s="73"/>
      <c r="L41" s="73"/>
      <c r="M41" s="73"/>
      <c r="N41" s="73"/>
      <c r="O41" s="73"/>
      <c r="P41" s="73"/>
      <c r="Q41" s="73"/>
      <c r="R41" s="73"/>
      <c r="S41" s="73"/>
      <c r="T41" s="73"/>
      <c r="U41" s="73"/>
      <c r="V41" s="73"/>
      <c r="W41" s="73"/>
      <c r="X41" s="73"/>
      <c r="Y41" s="73"/>
      <c r="Z41" s="73"/>
      <c r="AA41" s="73"/>
      <c r="AB41" s="73"/>
      <c r="AC41" s="73"/>
      <c r="AD41" s="211">
        <f t="shared" ref="AD41:BN41" si="19">SUM(AD38:AD40)</f>
        <v>56.8</v>
      </c>
      <c r="AE41" s="211">
        <f t="shared" si="19"/>
        <v>29.2</v>
      </c>
      <c r="AF41" s="211">
        <f t="shared" si="19"/>
        <v>27.6</v>
      </c>
      <c r="AG41" s="211">
        <f t="shared" si="19"/>
        <v>56.800000000000004</v>
      </c>
      <c r="AH41" s="211">
        <f t="shared" si="19"/>
        <v>26.7</v>
      </c>
      <c r="AI41" s="143">
        <f t="shared" si="19"/>
        <v>26.1</v>
      </c>
      <c r="AJ41" s="143">
        <f t="shared" si="19"/>
        <v>52.8</v>
      </c>
      <c r="AK41" s="143">
        <f t="shared" si="19"/>
        <v>26.9</v>
      </c>
      <c r="AL41" s="143">
        <f t="shared" si="19"/>
        <v>30.9</v>
      </c>
      <c r="AM41" s="143">
        <f t="shared" si="19"/>
        <v>57.8</v>
      </c>
      <c r="AN41" s="143">
        <f t="shared" si="19"/>
        <v>30.900000000000002</v>
      </c>
      <c r="AO41" s="143">
        <f t="shared" si="19"/>
        <v>34.299999999999997</v>
      </c>
      <c r="AP41" s="143">
        <f t="shared" si="19"/>
        <v>65.2</v>
      </c>
      <c r="AQ41" s="143">
        <f t="shared" si="19"/>
        <v>34.299999999999997</v>
      </c>
      <c r="AR41" s="143">
        <f t="shared" si="19"/>
        <v>36.4</v>
      </c>
      <c r="AS41" s="143">
        <f t="shared" si="19"/>
        <v>70.7</v>
      </c>
      <c r="AT41" s="143">
        <f t="shared" si="19"/>
        <v>34.699999999999996</v>
      </c>
      <c r="AU41" s="143">
        <f t="shared" si="19"/>
        <v>38.300000000000004</v>
      </c>
      <c r="AV41" s="143">
        <f t="shared" si="19"/>
        <v>73</v>
      </c>
      <c r="AW41" s="143">
        <f t="shared" si="19"/>
        <v>37.9</v>
      </c>
      <c r="AX41" s="143">
        <f t="shared" si="19"/>
        <v>39.9</v>
      </c>
      <c r="AY41" s="143">
        <f t="shared" si="19"/>
        <v>77.8</v>
      </c>
      <c r="AZ41" s="143">
        <f t="shared" si="19"/>
        <v>40.1</v>
      </c>
      <c r="BA41" s="143">
        <f t="shared" si="19"/>
        <v>38</v>
      </c>
      <c r="BB41" s="143">
        <f t="shared" si="19"/>
        <v>78.099999999999994</v>
      </c>
      <c r="BC41" s="143">
        <f t="shared" si="19"/>
        <v>41.5</v>
      </c>
      <c r="BD41" s="211">
        <f t="shared" si="19"/>
        <v>41.000000000000007</v>
      </c>
      <c r="BE41" s="211">
        <f t="shared" si="19"/>
        <v>82.5</v>
      </c>
      <c r="BF41" s="143">
        <f t="shared" si="19"/>
        <v>43.542500000000004</v>
      </c>
      <c r="BG41" s="143">
        <f t="shared" si="19"/>
        <v>43.317500000000003</v>
      </c>
      <c r="BH41" s="143">
        <f t="shared" si="19"/>
        <v>86.86</v>
      </c>
      <c r="BI41" s="143">
        <f t="shared" si="19"/>
        <v>45.306687500000002</v>
      </c>
      <c r="BJ41" s="143">
        <f t="shared" si="19"/>
        <v>44.206687500000001</v>
      </c>
      <c r="BK41" s="143">
        <f t="shared" si="19"/>
        <v>89.513374999999996</v>
      </c>
      <c r="BL41" s="143">
        <f t="shared" si="19"/>
        <v>46.218104687500002</v>
      </c>
      <c r="BM41" s="143">
        <f t="shared" si="19"/>
        <v>45.118104687500001</v>
      </c>
      <c r="BN41" s="143">
        <f t="shared" si="19"/>
        <v>91.336209374999996</v>
      </c>
      <c r="BO41" s="143">
        <f>SUM(BO38:BO40)</f>
        <v>47.152307304687497</v>
      </c>
      <c r="BP41" s="143">
        <f>SUM(BP38:BP40)</f>
        <v>46.052307304687496</v>
      </c>
      <c r="BQ41" s="143">
        <f>SUM(BQ38:BQ40)</f>
        <v>93.204614609374985</v>
      </c>
      <c r="BR41" s="143">
        <f t="shared" ref="BR41:CC41" si="20">SUM(BR38:BR40)</f>
        <v>48.109864987304682</v>
      </c>
      <c r="BS41" s="143">
        <f t="shared" si="20"/>
        <v>47.009864987304681</v>
      </c>
      <c r="BT41" s="143">
        <f t="shared" si="20"/>
        <v>95.119729974609356</v>
      </c>
      <c r="BU41" s="143">
        <f t="shared" si="20"/>
        <v>49.091361611987296</v>
      </c>
      <c r="BV41" s="143">
        <f t="shared" si="20"/>
        <v>47.991361611987294</v>
      </c>
      <c r="BW41" s="143">
        <f t="shared" si="20"/>
        <v>97.082723223974583</v>
      </c>
      <c r="BX41" s="143">
        <f t="shared" si="20"/>
        <v>50.097395652286977</v>
      </c>
      <c r="BY41" s="143">
        <f t="shared" si="20"/>
        <v>48.997395652286976</v>
      </c>
      <c r="BZ41" s="143">
        <f t="shared" si="20"/>
        <v>99.094791304573945</v>
      </c>
      <c r="CA41" s="143">
        <f t="shared" si="20"/>
        <v>51.128580543594147</v>
      </c>
      <c r="CB41" s="143">
        <f t="shared" si="20"/>
        <v>50.028580543594146</v>
      </c>
      <c r="CC41" s="143">
        <f t="shared" si="20"/>
        <v>101.15716108718829</v>
      </c>
      <c r="CD41" s="40"/>
      <c r="CE41" s="40"/>
      <c r="CF41"/>
      <c r="CG41"/>
      <c r="CH41"/>
      <c r="CI41"/>
      <c r="CJ41"/>
      <c r="CK41"/>
    </row>
    <row r="42" spans="1:89">
      <c r="C42" s="458"/>
      <c r="AD42" s="458"/>
      <c r="AE42" s="458"/>
      <c r="AF42" s="458"/>
      <c r="AG42" s="458"/>
      <c r="AH42" s="458"/>
      <c r="BD42" s="458"/>
    </row>
    <row r="43" spans="1:89">
      <c r="B43" s="40" t="s">
        <v>154</v>
      </c>
      <c r="AD43" s="458">
        <f>AD60+AD41</f>
        <v>245.90000000000003</v>
      </c>
      <c r="AE43" s="458">
        <f>AE60+AE41</f>
        <v>100.50000000000001</v>
      </c>
      <c r="AF43" s="458">
        <f>AG43-AE43</f>
        <v>141.60000000000002</v>
      </c>
      <c r="AG43" s="458">
        <f t="shared" ref="AG43:AP43" si="21">AG60+AG41</f>
        <v>242.10000000000002</v>
      </c>
      <c r="AH43" s="458">
        <f t="shared" si="21"/>
        <v>125.4</v>
      </c>
      <c r="AI43" s="458">
        <f t="shared" si="21"/>
        <v>143.6</v>
      </c>
      <c r="AJ43" s="458">
        <f>AJ60+AJ41</f>
        <v>268.99999999999994</v>
      </c>
      <c r="AK43" s="458">
        <f t="shared" si="21"/>
        <v>119.29999999999998</v>
      </c>
      <c r="AL43" s="458">
        <f t="shared" si="21"/>
        <v>161.9</v>
      </c>
      <c r="AM43" s="458">
        <f t="shared" si="21"/>
        <v>281.2</v>
      </c>
      <c r="AN43" s="458">
        <f t="shared" si="21"/>
        <v>129.4</v>
      </c>
      <c r="AO43" s="458">
        <f t="shared" si="21"/>
        <v>157.9</v>
      </c>
      <c r="AP43" s="458">
        <f t="shared" si="21"/>
        <v>287.3</v>
      </c>
      <c r="AQ43" s="458">
        <f t="shared" ref="AQ43:BG43" si="22">AQ60+AQ41</f>
        <v>126.9</v>
      </c>
      <c r="AR43" s="458">
        <f t="shared" si="22"/>
        <v>166.5</v>
      </c>
      <c r="AS43" s="458">
        <f t="shared" si="22"/>
        <v>293.39999999999998</v>
      </c>
      <c r="AT43" s="458">
        <f t="shared" si="22"/>
        <v>127.20000000000002</v>
      </c>
      <c r="AU43" s="458">
        <f t="shared" si="22"/>
        <v>190.99999999999994</v>
      </c>
      <c r="AV43" s="458">
        <f t="shared" si="22"/>
        <v>318.2</v>
      </c>
      <c r="AW43" s="458">
        <f t="shared" si="22"/>
        <v>155.19999999999999</v>
      </c>
      <c r="AX43" s="458">
        <f t="shared" si="22"/>
        <v>222.89999999999998</v>
      </c>
      <c r="AY43" s="458">
        <f t="shared" si="22"/>
        <v>378.09999999999997</v>
      </c>
      <c r="AZ43" s="458">
        <f t="shared" si="22"/>
        <v>150.9</v>
      </c>
      <c r="BA43" s="458">
        <f t="shared" si="22"/>
        <v>193.3</v>
      </c>
      <c r="BB43" s="458">
        <f t="shared" si="22"/>
        <v>344.19999999999993</v>
      </c>
      <c r="BC43" s="458">
        <f t="shared" si="22"/>
        <v>150</v>
      </c>
      <c r="BD43" s="458">
        <f t="shared" si="22"/>
        <v>221.30000000000007</v>
      </c>
      <c r="BE43" s="458">
        <f>SUM(BC43:BD43)</f>
        <v>371.30000000000007</v>
      </c>
      <c r="BF43" s="458">
        <f t="shared" si="22"/>
        <v>152.71191499188907</v>
      </c>
      <c r="BG43" s="458">
        <f t="shared" si="22"/>
        <v>231.71119347368131</v>
      </c>
      <c r="BH43" s="458">
        <f>SUM(BF43:BG43)</f>
        <v>384.42310846557041</v>
      </c>
      <c r="BI43" s="458">
        <f>BI60+BI41</f>
        <v>174.15412677478702</v>
      </c>
      <c r="BJ43" s="458">
        <f>BJ60+BJ41</f>
        <v>234.4876132570223</v>
      </c>
      <c r="BK43" s="458">
        <f>SUM(BI43:BJ43)</f>
        <v>408.64174003180932</v>
      </c>
      <c r="BL43" s="458">
        <f>BL60+BL41</f>
        <v>182.27415812802406</v>
      </c>
      <c r="BM43" s="458">
        <f>BM60+BM41</f>
        <v>244.81132036707496</v>
      </c>
      <c r="BN43" s="458">
        <f>SUM(BL43:BM43)</f>
        <v>427.08547849509898</v>
      </c>
      <c r="BO43" s="458">
        <f>BO60+BO41</f>
        <v>194.88175118564163</v>
      </c>
      <c r="BP43" s="458">
        <f>BP60+BP41</f>
        <v>252.53527613745777</v>
      </c>
      <c r="BQ43" s="458">
        <f>SUM(BO43:BP43)</f>
        <v>447.41702732309943</v>
      </c>
      <c r="BR43" s="458">
        <f>BR60+BR41</f>
        <v>193.31164053169243</v>
      </c>
      <c r="BS43" s="458">
        <f>BS60+BS41</f>
        <v>264.31156915307969</v>
      </c>
      <c r="BT43" s="458">
        <f>SUM(BR43:BS43)</f>
        <v>457.62320968477212</v>
      </c>
      <c r="BU43" s="458">
        <f>BU60+BU41</f>
        <v>206.69681153741425</v>
      </c>
      <c r="BV43" s="458">
        <f>BV60+BV41</f>
        <v>281.79120438540679</v>
      </c>
      <c r="BW43" s="458">
        <f>SUM(BU43:BV43)</f>
        <v>488.48801592282103</v>
      </c>
      <c r="BX43" s="458">
        <f>BX60+BX41</f>
        <v>220.38375251952169</v>
      </c>
      <c r="BY43" s="458">
        <f>BY60+BY41</f>
        <v>286.59945326733941</v>
      </c>
      <c r="BZ43" s="458">
        <f>SUM(BX43:BY43)</f>
        <v>506.98320578686111</v>
      </c>
      <c r="CA43" s="458">
        <f>CA60+CA41</f>
        <v>223.05466457794878</v>
      </c>
      <c r="CB43" s="458">
        <f>CB60+CB41</f>
        <v>291.52508436091057</v>
      </c>
      <c r="CC43" s="458">
        <f>SUM(CA43:CB43)</f>
        <v>514.57974893885932</v>
      </c>
    </row>
    <row r="44" spans="1:89">
      <c r="B44" s="40" t="s">
        <v>381</v>
      </c>
      <c r="AD44" s="458">
        <f>AD54+AD41</f>
        <v>245.90000000000003</v>
      </c>
      <c r="AE44" s="458">
        <f t="shared" ref="AE44:BG44" si="23">AE54+AE41</f>
        <v>100.50000000000001</v>
      </c>
      <c r="AF44" s="458">
        <f t="shared" si="23"/>
        <v>141.6</v>
      </c>
      <c r="AG44" s="458">
        <f t="shared" si="23"/>
        <v>242.10000000000002</v>
      </c>
      <c r="AH44" s="458">
        <f t="shared" si="23"/>
        <v>125.4</v>
      </c>
      <c r="AI44" s="458">
        <f t="shared" si="23"/>
        <v>143.6</v>
      </c>
      <c r="AJ44" s="458">
        <f t="shared" si="23"/>
        <v>268.99999999999994</v>
      </c>
      <c r="AK44" s="458">
        <f t="shared" si="23"/>
        <v>119.29999999999998</v>
      </c>
      <c r="AL44" s="458">
        <f t="shared" si="23"/>
        <v>161.9</v>
      </c>
      <c r="AM44" s="458">
        <f t="shared" si="23"/>
        <v>281.2</v>
      </c>
      <c r="AN44" s="458">
        <f t="shared" si="23"/>
        <v>129.4</v>
      </c>
      <c r="AO44" s="458">
        <f t="shared" si="23"/>
        <v>157.9</v>
      </c>
      <c r="AP44" s="458">
        <f t="shared" si="23"/>
        <v>287.3</v>
      </c>
      <c r="AQ44" s="458">
        <f t="shared" si="23"/>
        <v>126.9</v>
      </c>
      <c r="AR44" s="458">
        <f t="shared" si="23"/>
        <v>166.5</v>
      </c>
      <c r="AS44" s="458">
        <f t="shared" si="23"/>
        <v>293.39999999999998</v>
      </c>
      <c r="AT44" s="458">
        <f t="shared" si="23"/>
        <v>127.20000000000002</v>
      </c>
      <c r="AU44" s="458">
        <f t="shared" si="23"/>
        <v>190.99999999999994</v>
      </c>
      <c r="AV44" s="458">
        <f t="shared" si="23"/>
        <v>318.2</v>
      </c>
      <c r="AW44" s="458">
        <f t="shared" si="23"/>
        <v>155.19999999999999</v>
      </c>
      <c r="AX44" s="458">
        <f t="shared" si="23"/>
        <v>222.89999999999998</v>
      </c>
      <c r="AY44" s="458">
        <f t="shared" si="23"/>
        <v>378.09999999999997</v>
      </c>
      <c r="AZ44" s="458">
        <f t="shared" si="23"/>
        <v>150.9</v>
      </c>
      <c r="BA44" s="458">
        <f t="shared" si="23"/>
        <v>193.3</v>
      </c>
      <c r="BB44" s="458">
        <f t="shared" si="23"/>
        <v>344.19999999999993</v>
      </c>
      <c r="BC44" s="458">
        <f t="shared" si="23"/>
        <v>150</v>
      </c>
      <c r="BD44" s="458">
        <f t="shared" si="23"/>
        <v>221.30000000000007</v>
      </c>
      <c r="BE44" s="458">
        <f>SUM(BC44:BD44)</f>
        <v>371.30000000000007</v>
      </c>
      <c r="BF44" s="458">
        <f t="shared" si="23"/>
        <v>152.71191499188907</v>
      </c>
      <c r="BG44" s="458">
        <f t="shared" si="23"/>
        <v>231.71119347368131</v>
      </c>
      <c r="BH44" s="458">
        <f>SUM(BF44:BG44)</f>
        <v>384.42310846557041</v>
      </c>
      <c r="BI44" s="458">
        <f>BI54+BI41</f>
        <v>174.15412677478702</v>
      </c>
      <c r="BJ44" s="458">
        <f>BJ54+BJ41</f>
        <v>234.4876132570223</v>
      </c>
      <c r="BK44" s="458">
        <f>SUM(BI44:BJ44)</f>
        <v>408.64174003180932</v>
      </c>
      <c r="BL44" s="458">
        <f>BL54+BL41</f>
        <v>182.27415812802406</v>
      </c>
      <c r="BM44" s="458">
        <f>BM54+BM41</f>
        <v>244.81132036707496</v>
      </c>
      <c r="BN44" s="458">
        <f>SUM(BL44:BM44)</f>
        <v>427.08547849509898</v>
      </c>
      <c r="BO44" s="458">
        <f>BO54+BO41</f>
        <v>194.88175118564163</v>
      </c>
      <c r="BP44" s="458">
        <f>BP54+BP41</f>
        <v>252.53527613745777</v>
      </c>
      <c r="BQ44" s="458">
        <f>SUM(BO44:BP44)</f>
        <v>447.41702732309943</v>
      </c>
      <c r="BR44" s="458">
        <f>BR54+BR41</f>
        <v>193.31164053169243</v>
      </c>
      <c r="BS44" s="458">
        <f>BS54+BS41</f>
        <v>264.31156915307969</v>
      </c>
      <c r="BT44" s="458">
        <f>SUM(BR44:BS44)</f>
        <v>457.62320968477212</v>
      </c>
      <c r="BU44" s="458">
        <f>BU54+BU41</f>
        <v>206.69681153741425</v>
      </c>
      <c r="BV44" s="458">
        <f>BV54+BV41</f>
        <v>281.79120438540679</v>
      </c>
      <c r="BW44" s="458">
        <f>SUM(BU44:BV44)</f>
        <v>488.48801592282103</v>
      </c>
      <c r="BX44" s="458">
        <f>BX54+BX41</f>
        <v>220.38375251952169</v>
      </c>
      <c r="BY44" s="458">
        <f>BY54+BY41</f>
        <v>286.59945326733941</v>
      </c>
      <c r="BZ44" s="458">
        <f>SUM(BX44:BY44)</f>
        <v>506.98320578686111</v>
      </c>
      <c r="CA44" s="458">
        <f>CA54+CA41</f>
        <v>223.05466457794878</v>
      </c>
      <c r="CB44" s="458">
        <f>CB54+CB41</f>
        <v>291.52508436091057</v>
      </c>
      <c r="CC44" s="458">
        <f>SUM(CA44:CB44)</f>
        <v>514.57974893885932</v>
      </c>
    </row>
    <row r="45" spans="1:89">
      <c r="B45" s="40" t="s">
        <v>224</v>
      </c>
      <c r="AD45" s="458">
        <f>AD44-AD56</f>
        <v>215.30000000000004</v>
      </c>
      <c r="AE45" s="458">
        <f t="shared" ref="AE45:AS45" si="24">AE44-AE56</f>
        <v>88.300000000000011</v>
      </c>
      <c r="AF45" s="458">
        <f t="shared" si="24"/>
        <v>126.19999999999999</v>
      </c>
      <c r="AG45" s="458">
        <f t="shared" si="24"/>
        <v>214.50000000000003</v>
      </c>
      <c r="AH45" s="458">
        <f t="shared" si="24"/>
        <v>110.2</v>
      </c>
      <c r="AI45" s="458">
        <f t="shared" si="24"/>
        <v>126.69999999999999</v>
      </c>
      <c r="AJ45" s="458">
        <f t="shared" si="24"/>
        <v>236.89999999999995</v>
      </c>
      <c r="AK45" s="458">
        <f t="shared" si="24"/>
        <v>102.69999999999999</v>
      </c>
      <c r="AL45" s="458">
        <f t="shared" si="24"/>
        <v>142.80000000000001</v>
      </c>
      <c r="AM45" s="458">
        <f t="shared" si="24"/>
        <v>245.5</v>
      </c>
      <c r="AN45" s="458">
        <f t="shared" si="24"/>
        <v>115</v>
      </c>
      <c r="AO45" s="458">
        <f t="shared" si="24"/>
        <v>144.6</v>
      </c>
      <c r="AP45" s="458">
        <f t="shared" si="24"/>
        <v>259.60000000000002</v>
      </c>
      <c r="AQ45" s="458">
        <f t="shared" si="24"/>
        <v>114</v>
      </c>
      <c r="AR45" s="458">
        <f t="shared" si="24"/>
        <v>155.19999999999999</v>
      </c>
      <c r="AS45" s="458">
        <f t="shared" si="24"/>
        <v>269.2</v>
      </c>
      <c r="AT45" s="458">
        <f t="shared" ref="AT45:BG45" si="25">AT44-AT56</f>
        <v>115.70000000000002</v>
      </c>
      <c r="AU45" s="458">
        <f t="shared" si="25"/>
        <v>180.79999999999995</v>
      </c>
      <c r="AV45" s="458">
        <f t="shared" si="25"/>
        <v>296.5</v>
      </c>
      <c r="AW45" s="458">
        <f t="shared" si="25"/>
        <v>145.39999999999998</v>
      </c>
      <c r="AX45" s="458">
        <f t="shared" si="25"/>
        <v>212.79999999999998</v>
      </c>
      <c r="AY45" s="458">
        <f t="shared" si="25"/>
        <v>358.2</v>
      </c>
      <c r="AZ45" s="458">
        <f t="shared" si="25"/>
        <v>138.20000000000002</v>
      </c>
      <c r="BA45" s="458">
        <f t="shared" si="25"/>
        <v>177.5</v>
      </c>
      <c r="BB45" s="458">
        <f t="shared" si="25"/>
        <v>315.69999999999993</v>
      </c>
      <c r="BC45" s="458">
        <f t="shared" si="25"/>
        <v>133.69999999999999</v>
      </c>
      <c r="BD45" s="458">
        <f t="shared" si="25"/>
        <v>202.50000000000006</v>
      </c>
      <c r="BE45" s="458">
        <f>SUM(BC45:BD45)</f>
        <v>336.20000000000005</v>
      </c>
      <c r="BF45" s="458">
        <f t="shared" si="25"/>
        <v>136.56885489664242</v>
      </c>
      <c r="BG45" s="458">
        <f t="shared" si="25"/>
        <v>211.85839636211497</v>
      </c>
      <c r="BH45" s="458">
        <f>SUM(BF45:BG45)</f>
        <v>348.42725125875739</v>
      </c>
      <c r="BI45" s="458">
        <f>BI44-BI56</f>
        <v>155.3719047821121</v>
      </c>
      <c r="BJ45" s="458">
        <f>BJ44-BJ56</f>
        <v>214.44084233216569</v>
      </c>
      <c r="BK45" s="458">
        <f>SUM(BI45:BJ45)</f>
        <v>369.81274711427778</v>
      </c>
      <c r="BL45" s="458">
        <f>BL44-BL56</f>
        <v>162.54141474002694</v>
      </c>
      <c r="BM45" s="458">
        <f>BM44-BM56</f>
        <v>223.84830727029288</v>
      </c>
      <c r="BN45" s="458">
        <f>SUM(BL45:BM45)</f>
        <v>386.38972201031982</v>
      </c>
      <c r="BO45" s="458">
        <f>BO44-BO56</f>
        <v>173.62677290918538</v>
      </c>
      <c r="BP45" s="458">
        <f>BP44-BP56</f>
        <v>230.93497122904816</v>
      </c>
      <c r="BQ45" s="458">
        <f>SUM(BO45:BP45)</f>
        <v>404.56174413823351</v>
      </c>
      <c r="BR45" s="458">
        <f>BR44-BR56</f>
        <v>172.40678218334011</v>
      </c>
      <c r="BS45" s="458">
        <f>BS44-BS56</f>
        <v>241.65402232783748</v>
      </c>
      <c r="BT45" s="458">
        <f>SUM(BR45:BS45)</f>
        <v>414.06080451117759</v>
      </c>
      <c r="BU45" s="458">
        <f>BU44-BU56</f>
        <v>184.17070327448317</v>
      </c>
      <c r="BV45" s="458">
        <f>BV44-BV56</f>
        <v>257.50122414469291</v>
      </c>
      <c r="BW45" s="458">
        <f>SUM(BU45:BV45)</f>
        <v>441.67192741917609</v>
      </c>
      <c r="BX45" s="458">
        <f>BX44-BX56</f>
        <v>196.18636455159196</v>
      </c>
      <c r="BY45" s="458">
        <f>BY44-BY56</f>
        <v>261.94022220867237</v>
      </c>
      <c r="BZ45" s="458">
        <f>SUM(BX45:BY45)</f>
        <v>458.12658676026433</v>
      </c>
      <c r="CA45" s="458">
        <f>CA44-CA56</f>
        <v>198.64802262790155</v>
      </c>
      <c r="CB45" s="458">
        <f>CB44-CB56</f>
        <v>266.48753851242429</v>
      </c>
      <c r="CC45" s="458">
        <f>SUM(CA45:CB45)</f>
        <v>465.13556114032588</v>
      </c>
    </row>
    <row r="46" spans="1:89">
      <c r="A46" s="458"/>
      <c r="B46" s="40"/>
      <c r="AD46" s="458"/>
      <c r="AE46" s="458"/>
      <c r="AF46" s="458"/>
      <c r="AG46" s="458"/>
      <c r="AH46" s="458"/>
      <c r="AI46" s="458"/>
      <c r="AJ46" s="458"/>
      <c r="AK46" s="458"/>
      <c r="AL46" s="458"/>
      <c r="AM46" s="458"/>
      <c r="AN46" s="458"/>
      <c r="AO46" s="458"/>
      <c r="AP46" s="458"/>
      <c r="AQ46" s="458"/>
      <c r="AR46" s="458"/>
      <c r="AS46" s="458"/>
      <c r="AT46" s="458"/>
      <c r="AU46" s="458"/>
      <c r="AV46" s="458"/>
      <c r="AW46" s="458"/>
      <c r="AX46" s="458"/>
      <c r="AY46" s="458"/>
      <c r="AZ46" s="458"/>
      <c r="BA46" s="458"/>
      <c r="BB46" s="458"/>
      <c r="BC46" s="458"/>
      <c r="BD46" s="458"/>
      <c r="BE46" s="458"/>
      <c r="BF46" s="458"/>
      <c r="BG46" s="458"/>
      <c r="BH46" s="458"/>
      <c r="BI46" s="458"/>
      <c r="BJ46" s="458"/>
      <c r="BK46" s="458"/>
      <c r="BL46" s="458"/>
      <c r="BM46" s="458"/>
      <c r="BN46" s="458"/>
      <c r="BO46" s="458"/>
      <c r="BP46" s="458"/>
      <c r="BQ46" s="458"/>
      <c r="BR46" s="458"/>
      <c r="BS46" s="458"/>
      <c r="BT46" s="458"/>
      <c r="BU46" s="458"/>
      <c r="BV46" s="458"/>
      <c r="BW46" s="458"/>
      <c r="BX46" s="458"/>
      <c r="BY46" s="458"/>
      <c r="BZ46" s="458"/>
      <c r="CA46" s="458"/>
      <c r="CB46" s="458"/>
      <c r="CC46" s="458"/>
    </row>
    <row r="47" spans="1:89">
      <c r="B47" s="40" t="s">
        <v>440</v>
      </c>
      <c r="C47" s="458"/>
      <c r="AD47" s="458"/>
      <c r="AE47" s="458"/>
      <c r="AF47" s="458"/>
      <c r="AG47" s="458"/>
      <c r="AH47" s="458"/>
      <c r="AJ47" s="458"/>
      <c r="AT47" s="458"/>
      <c r="BD47" s="13"/>
    </row>
    <row r="48" spans="1:89">
      <c r="B48" s="257" t="s">
        <v>303</v>
      </c>
      <c r="AD48" s="458">
        <f>Segments!AD147</f>
        <v>191.8</v>
      </c>
      <c r="AE48" s="458">
        <f>Segments!AE147</f>
        <v>75.900000000000006</v>
      </c>
      <c r="AF48" s="458">
        <f>Segments!AF147</f>
        <v>109.2</v>
      </c>
      <c r="AG48" s="458">
        <f>Segments!AG147</f>
        <v>185.1</v>
      </c>
      <c r="AH48" s="458">
        <f>Segments!AH147</f>
        <v>102</v>
      </c>
      <c r="AI48" s="458">
        <f>Segments!AI147</f>
        <v>121.69999999999999</v>
      </c>
      <c r="AJ48" s="458">
        <f>Segments!AJ147</f>
        <v>223.69999999999996</v>
      </c>
      <c r="AK48" s="458">
        <f>Segments!AK147</f>
        <v>95.5</v>
      </c>
      <c r="AL48" s="458">
        <f>Segments!AL147</f>
        <v>129.69999999999999</v>
      </c>
      <c r="AM48" s="458">
        <f>Segments!AM147</f>
        <v>225.2</v>
      </c>
      <c r="AN48" s="458">
        <f>Segments!AN147</f>
        <v>96.3</v>
      </c>
      <c r="AO48" s="458">
        <f>Segments!AO147</f>
        <v>124.60000000000001</v>
      </c>
      <c r="AP48" s="458">
        <f>Segments!AP147</f>
        <v>220.9</v>
      </c>
      <c r="AQ48" s="458">
        <f>Segments!AQ147</f>
        <v>95.2</v>
      </c>
      <c r="AR48" s="458">
        <f>Segments!AR147</f>
        <v>131.30000000000001</v>
      </c>
      <c r="AS48" s="458">
        <f>Segments!AS147</f>
        <v>226.5</v>
      </c>
      <c r="AT48" s="458">
        <f>Segments!AT147</f>
        <v>93.100000000000009</v>
      </c>
      <c r="AU48" s="458">
        <f>Segments!AU147</f>
        <v>175.99999999999994</v>
      </c>
      <c r="AV48" s="458">
        <f>Segments!AV147</f>
        <v>269.09999999999997</v>
      </c>
      <c r="AW48" s="458">
        <f>Segments!AW147</f>
        <v>131.30000000000001</v>
      </c>
      <c r="AX48" s="458">
        <f>Segments!AX147</f>
        <v>190.39999999999998</v>
      </c>
      <c r="AY48" s="458">
        <f>Segments!AY147</f>
        <v>321.7</v>
      </c>
      <c r="AZ48" s="458">
        <f>Segments!AZ147</f>
        <v>124.5</v>
      </c>
      <c r="BA48" s="458">
        <f>Segments!BA147</f>
        <v>163.30000000000001</v>
      </c>
      <c r="BB48" s="458">
        <f>Segments!BB147</f>
        <v>287.8</v>
      </c>
      <c r="BC48" s="458">
        <f>Segments!BC147</f>
        <v>122.39999999999999</v>
      </c>
      <c r="BD48" s="13">
        <f>Segments!BD147</f>
        <v>186.50000000000006</v>
      </c>
      <c r="BE48" s="458">
        <f>SUM(BC48:BD48)</f>
        <v>308.90000000000003</v>
      </c>
      <c r="BF48" s="458">
        <f>Segments!BF147</f>
        <v>121.22150648209762</v>
      </c>
      <c r="BG48" s="458">
        <f>Segments!BG147</f>
        <v>196.94397134612353</v>
      </c>
      <c r="BH48" s="458">
        <f>SUM(BF48:BG48)</f>
        <v>318.16547782822113</v>
      </c>
      <c r="BI48" s="458">
        <f>Segments!BI147</f>
        <v>141.03950747873688</v>
      </c>
      <c r="BJ48" s="458">
        <f>Segments!BJ147</f>
        <v>198.86823284498732</v>
      </c>
      <c r="BK48" s="458">
        <f>SUM(BI48:BJ48)</f>
        <v>339.90774032372417</v>
      </c>
      <c r="BL48" s="458">
        <f>Segments!BL147</f>
        <v>148.17716507305818</v>
      </c>
      <c r="BM48" s="458">
        <f>Segments!BM147</f>
        <v>207.95755013563081</v>
      </c>
      <c r="BN48" s="458">
        <f>SUM(BL48:BM48)</f>
        <v>356.13471520868899</v>
      </c>
      <c r="BO48" s="458">
        <f>Segments!BO147</f>
        <v>159.60793503302136</v>
      </c>
      <c r="BP48" s="458">
        <f>Segments!BP147</f>
        <v>214.27962050097833</v>
      </c>
      <c r="BQ48" s="458">
        <f>SUM(BO48:BP48)</f>
        <v>373.88755553399972</v>
      </c>
      <c r="BR48" s="458">
        <f>Segments!BR147</f>
        <v>156.97881360971314</v>
      </c>
      <c r="BS48" s="458">
        <f>Segments!BS147</f>
        <v>224.76768526104641</v>
      </c>
      <c r="BT48" s="458">
        <f>SUM(BR48:BS48)</f>
        <v>381.74649887075952</v>
      </c>
      <c r="BU48" s="458">
        <f>Segments!BU147</f>
        <v>169.15310744679545</v>
      </c>
      <c r="BV48" s="458">
        <f>Segments!BV147</f>
        <v>240.96177206878411</v>
      </c>
      <c r="BW48" s="458">
        <f>SUM(BU48:BV48)</f>
        <v>410.11487951557956</v>
      </c>
      <c r="BX48" s="458">
        <f>Segments!BX147</f>
        <v>181.70308510887114</v>
      </c>
      <c r="BY48" s="458">
        <f>Segments!BY147</f>
        <v>244.62481874688345</v>
      </c>
      <c r="BZ48" s="458">
        <f>SUM(BX48:BY48)</f>
        <v>426.32790385575458</v>
      </c>
      <c r="CA48" s="458">
        <f>Segments!CA147</f>
        <v>183.2744156248946</v>
      </c>
      <c r="CB48" s="458">
        <f>Segments!CB147</f>
        <v>248.3777819543983</v>
      </c>
      <c r="CC48" s="458">
        <f>SUM(CA48:CB48)</f>
        <v>431.65219757929287</v>
      </c>
    </row>
    <row r="49" spans="1:89">
      <c r="B49" s="257" t="s">
        <v>413</v>
      </c>
      <c r="AD49" s="458">
        <f>Segments!AD164</f>
        <v>8.5</v>
      </c>
      <c r="AE49" s="458">
        <f>Segments!AE164</f>
        <v>-0.3</v>
      </c>
      <c r="AF49" s="458">
        <f>Segments!AF164</f>
        <v>4.7</v>
      </c>
      <c r="AG49" s="458">
        <f>Segments!AG164</f>
        <v>4.4000000000000004</v>
      </c>
      <c r="AH49" s="458">
        <f>Segments!AH164</f>
        <v>0.8</v>
      </c>
      <c r="AI49" s="458">
        <f>Segments!AI164</f>
        <v>3</v>
      </c>
      <c r="AJ49" s="458">
        <f>Segments!AJ164</f>
        <v>3.8</v>
      </c>
      <c r="AK49" s="458">
        <f>Segments!AK164</f>
        <v>-1.2</v>
      </c>
      <c r="AL49" s="458">
        <f>Segments!AL164</f>
        <v>3</v>
      </c>
      <c r="AM49" s="458">
        <f>Segments!AM164</f>
        <v>1.8</v>
      </c>
      <c r="AN49" s="458">
        <f>Segments!AN164</f>
        <v>-0.5</v>
      </c>
      <c r="AO49" s="458">
        <f>Segments!AO164</f>
        <v>0.9</v>
      </c>
      <c r="AP49" s="458">
        <f>Segments!AP164</f>
        <v>0.4</v>
      </c>
      <c r="AQ49" s="458">
        <f>Segments!AQ164</f>
        <v>-1.5</v>
      </c>
      <c r="AR49" s="458">
        <f>Segments!AR164</f>
        <v>3.6</v>
      </c>
      <c r="AS49" s="458">
        <f>Segments!AS164</f>
        <v>2.1</v>
      </c>
      <c r="AT49" s="458">
        <f>Segments!AT164</f>
        <v>2</v>
      </c>
      <c r="AU49" s="458">
        <f>Segments!AU164</f>
        <v>4.0999999999999996</v>
      </c>
      <c r="AV49" s="458">
        <f>Segments!AV164</f>
        <v>6.1</v>
      </c>
      <c r="AW49" s="458">
        <f>Segments!AW164</f>
        <v>3.2</v>
      </c>
      <c r="AX49" s="458">
        <f>Segments!AX164</f>
        <v>8.1999999999999993</v>
      </c>
      <c r="AY49" s="458">
        <f>Segments!AY164</f>
        <v>11.4</v>
      </c>
      <c r="AZ49" s="458">
        <f>Segments!AZ164</f>
        <v>3.8</v>
      </c>
      <c r="BA49" s="458">
        <f>Segments!BA164</f>
        <v>7.6000000000000005</v>
      </c>
      <c r="BB49" s="458">
        <f>Segments!BB164</f>
        <v>11.4</v>
      </c>
      <c r="BC49" s="458">
        <f>Segments!BC164</f>
        <v>2.9</v>
      </c>
      <c r="BD49" s="13">
        <f>Segments!BD164</f>
        <v>7.2999999999999989</v>
      </c>
      <c r="BE49" s="458">
        <f>SUM(BC49:BD49)</f>
        <v>10.199999999999999</v>
      </c>
      <c r="BF49" s="458">
        <f>Segments!BF164</f>
        <v>3.4766585097914482</v>
      </c>
      <c r="BG49" s="458">
        <f>Segments!BG164</f>
        <v>6.9784721275577688</v>
      </c>
      <c r="BH49" s="458">
        <f>SUM(BF49:BG49)</f>
        <v>10.455130637349217</v>
      </c>
      <c r="BI49" s="458">
        <f>Segments!BI164</f>
        <v>3.3366817960501174</v>
      </c>
      <c r="BJ49" s="458">
        <f>Segments!BJ164</f>
        <v>6.941442912035007</v>
      </c>
      <c r="BK49" s="458">
        <f>SUM(BI49:BJ49)</f>
        <v>10.278124708085125</v>
      </c>
      <c r="BL49" s="458">
        <f>Segments!BL164</f>
        <v>3.4076383674659039</v>
      </c>
      <c r="BM49" s="458">
        <f>Segments!BM164</f>
        <v>7.2644155439441453</v>
      </c>
      <c r="BN49" s="458">
        <f>SUM(BL49:BM49)</f>
        <v>10.67205391141005</v>
      </c>
      <c r="BO49" s="458">
        <f>Segments!BO164</f>
        <v>3.6502588479327631</v>
      </c>
      <c r="BP49" s="458">
        <f>Segments!BP164</f>
        <v>7.7320983317919447</v>
      </c>
      <c r="BQ49" s="458">
        <f>SUM(BO49:BP49)</f>
        <v>11.382357179724707</v>
      </c>
      <c r="BR49" s="458">
        <f>Segments!BR164</f>
        <v>3.7517119346746091</v>
      </c>
      <c r="BS49" s="458">
        <f>Segments!BS164</f>
        <v>8.0627689047286033</v>
      </c>
      <c r="BT49" s="458">
        <f>SUM(BR49:BS49)</f>
        <v>11.814480839403213</v>
      </c>
      <c r="BU49" s="458">
        <f>Segments!BU164</f>
        <v>3.9810924786315276</v>
      </c>
      <c r="BV49" s="458">
        <f>Segments!BV164</f>
        <v>8.366820704635396</v>
      </c>
      <c r="BW49" s="458">
        <f>SUM(BU49:BV49)</f>
        <v>12.347913183266924</v>
      </c>
      <c r="BX49" s="458">
        <f>Segments!BX164</f>
        <v>4.1120217583635617</v>
      </c>
      <c r="BY49" s="458">
        <f>Segments!BY164</f>
        <v>8.5059888681690126</v>
      </c>
      <c r="BZ49" s="458">
        <f>SUM(BX49:BY49)</f>
        <v>12.618010626532573</v>
      </c>
      <c r="CA49" s="458">
        <f>Segments!CA164</f>
        <v>4.1804184094600387</v>
      </c>
      <c r="CB49" s="458">
        <f>Segments!CB164</f>
        <v>8.6474718629180973</v>
      </c>
      <c r="CC49" s="458">
        <f>SUM(CA49:CB49)</f>
        <v>12.827890272378136</v>
      </c>
    </row>
    <row r="50" spans="1:89">
      <c r="B50" s="257" t="s">
        <v>493</v>
      </c>
      <c r="AD50" s="458">
        <f>Segments!AD188</f>
        <v>-11.2</v>
      </c>
      <c r="AE50" s="458">
        <f>Segments!AE188</f>
        <v>-4.3</v>
      </c>
      <c r="AF50" s="458">
        <f>Segments!AF188</f>
        <v>9.9999999999999645E-2</v>
      </c>
      <c r="AG50" s="458">
        <f>Segments!AG188</f>
        <v>-4.2</v>
      </c>
      <c r="AH50" s="458">
        <f>Segments!AH188</f>
        <v>-4.0999999999999996</v>
      </c>
      <c r="AI50" s="458">
        <f>Segments!AI188</f>
        <v>-7.2000000000000011</v>
      </c>
      <c r="AJ50" s="458">
        <f>Segments!AJ188</f>
        <v>-11.3</v>
      </c>
      <c r="AK50" s="458">
        <f>Segments!AK188</f>
        <v>-1.9</v>
      </c>
      <c r="AL50" s="458">
        <f>Segments!AL188</f>
        <v>-1.7000000000000002</v>
      </c>
      <c r="AM50" s="458">
        <f>Segments!AM188</f>
        <v>-3.6</v>
      </c>
      <c r="AN50" s="458">
        <f>Segments!AN188</f>
        <v>2.7</v>
      </c>
      <c r="AO50" s="458">
        <f>Segments!AO188</f>
        <v>-1.9000000000000001</v>
      </c>
      <c r="AP50" s="458">
        <f>Segments!AP188</f>
        <v>0.8</v>
      </c>
      <c r="AQ50" s="458">
        <f>Segments!AQ188</f>
        <v>-1.0999999999999996</v>
      </c>
      <c r="AR50" s="458">
        <f>Segments!AR188</f>
        <v>-4.8000000000000007</v>
      </c>
      <c r="AS50" s="458">
        <f>Segments!AS188</f>
        <v>-5.9</v>
      </c>
      <c r="AT50" s="458">
        <f>Segments!AT188</f>
        <v>-2.6000000000000005</v>
      </c>
      <c r="AU50" s="458">
        <f>Segments!AU188</f>
        <v>-27.4</v>
      </c>
      <c r="AV50" s="458">
        <f>Segments!AV188</f>
        <v>-30</v>
      </c>
      <c r="AW50" s="458">
        <f>Segments!AW188</f>
        <v>-17.2</v>
      </c>
      <c r="AX50" s="458">
        <f>Segments!AX188</f>
        <v>-15.600000000000005</v>
      </c>
      <c r="AY50" s="458">
        <f>Segments!AY188</f>
        <v>-32.800000000000004</v>
      </c>
      <c r="AZ50" s="458">
        <f>Segments!AZ188</f>
        <v>-17.5</v>
      </c>
      <c r="BA50" s="458">
        <f>Segments!BA188</f>
        <v>-15.600000000000001</v>
      </c>
      <c r="BB50" s="458">
        <f>Segments!BB188</f>
        <v>-33.1</v>
      </c>
      <c r="BC50" s="458">
        <f>Segments!BC188</f>
        <v>-16.8</v>
      </c>
      <c r="BD50" s="13">
        <f>Segments!BD188</f>
        <v>-13.5</v>
      </c>
      <c r="BE50" s="458">
        <f>SUM(BC50:BD50)</f>
        <v>-30.3</v>
      </c>
      <c r="BF50" s="458">
        <f>Segments!BF188</f>
        <v>-15.528749999999999</v>
      </c>
      <c r="BG50" s="458">
        <f>Segments!BG188</f>
        <v>-15.528749999999999</v>
      </c>
      <c r="BH50" s="458">
        <f>SUM(BF50:BG50)</f>
        <v>-31.057499999999997</v>
      </c>
      <c r="BI50" s="458">
        <f>Segments!BI188</f>
        <v>-15.528749999999999</v>
      </c>
      <c r="BJ50" s="458">
        <f>Segments!BJ188</f>
        <v>-15.528749999999999</v>
      </c>
      <c r="BK50" s="458">
        <f>SUM(BI50:BJ50)</f>
        <v>-31.057499999999997</v>
      </c>
      <c r="BL50" s="458">
        <f>Segments!BL188</f>
        <v>-15.528749999999999</v>
      </c>
      <c r="BM50" s="458">
        <f>Segments!BM188</f>
        <v>-15.528749999999999</v>
      </c>
      <c r="BN50" s="458">
        <f>SUM(BL50:BM50)</f>
        <v>-31.057499999999997</v>
      </c>
      <c r="BO50" s="458">
        <f>Segments!BO188</f>
        <v>-15.528749999999999</v>
      </c>
      <c r="BP50" s="458">
        <f>Segments!BP188</f>
        <v>-15.528749999999999</v>
      </c>
      <c r="BQ50" s="458">
        <f>SUM(BO50:BP50)</f>
        <v>-31.057499999999997</v>
      </c>
      <c r="BR50" s="458">
        <f>Segments!BR188</f>
        <v>-15.528749999999999</v>
      </c>
      <c r="BS50" s="458">
        <f>Segments!BS188</f>
        <v>-15.528749999999999</v>
      </c>
      <c r="BT50" s="458">
        <f>SUM(BR50:BS50)</f>
        <v>-31.057499999999997</v>
      </c>
      <c r="BU50" s="458">
        <f>Segments!BU188</f>
        <v>-15.528749999999999</v>
      </c>
      <c r="BV50" s="458">
        <f>Segments!BV188</f>
        <v>-15.528749999999999</v>
      </c>
      <c r="BW50" s="458">
        <f>SUM(BU50:BV50)</f>
        <v>-31.057499999999997</v>
      </c>
      <c r="BX50" s="458">
        <f>Segments!BX188</f>
        <v>-15.528749999999999</v>
      </c>
      <c r="BY50" s="458">
        <f>Segments!BY188</f>
        <v>-15.528749999999999</v>
      </c>
      <c r="BZ50" s="458">
        <f>SUM(BX50:BY50)</f>
        <v>-31.057499999999997</v>
      </c>
      <c r="CA50" s="458">
        <f>Segments!CA188</f>
        <v>-15.528749999999999</v>
      </c>
      <c r="CB50" s="458">
        <f>Segments!CB188</f>
        <v>-15.528749999999999</v>
      </c>
      <c r="CC50" s="458">
        <f>SUM(CA50:CB50)</f>
        <v>-31.057499999999997</v>
      </c>
    </row>
    <row r="51" spans="1:89" s="7" customFormat="1">
      <c r="A51" s="73"/>
      <c r="B51" s="73" t="s">
        <v>11</v>
      </c>
      <c r="C51" s="73"/>
      <c r="D51" s="73"/>
      <c r="E51" s="73"/>
      <c r="F51" s="73"/>
      <c r="G51" s="73"/>
      <c r="H51" s="73"/>
      <c r="I51" s="73"/>
      <c r="J51" s="73"/>
      <c r="K51" s="73"/>
      <c r="L51" s="73"/>
      <c r="M51" s="73"/>
      <c r="N51" s="73"/>
      <c r="O51" s="73"/>
      <c r="P51" s="73"/>
      <c r="Q51" s="73"/>
      <c r="R51" s="73"/>
      <c r="S51" s="73"/>
      <c r="T51" s="73"/>
      <c r="U51" s="73"/>
      <c r="V51" s="73"/>
      <c r="W51" s="73"/>
      <c r="X51" s="73"/>
      <c r="Y51" s="73"/>
      <c r="Z51" s="73"/>
      <c r="AA51" s="73"/>
      <c r="AB51" s="73"/>
      <c r="AC51" s="73"/>
      <c r="AD51" s="143">
        <f t="shared" ref="AD51:BN51" si="26">SUM(AD48:AD50)</f>
        <v>189.10000000000002</v>
      </c>
      <c r="AE51" s="143">
        <f t="shared" si="26"/>
        <v>71.300000000000011</v>
      </c>
      <c r="AF51" s="143">
        <f t="shared" si="26"/>
        <v>114</v>
      </c>
      <c r="AG51" s="143">
        <f t="shared" si="26"/>
        <v>185.3</v>
      </c>
      <c r="AH51" s="143">
        <f t="shared" si="26"/>
        <v>98.7</v>
      </c>
      <c r="AI51" s="143">
        <f t="shared" si="26"/>
        <v>117.49999999999999</v>
      </c>
      <c r="AJ51" s="143">
        <f t="shared" si="26"/>
        <v>216.19999999999996</v>
      </c>
      <c r="AK51" s="143">
        <f t="shared" si="26"/>
        <v>92.399999999999991</v>
      </c>
      <c r="AL51" s="143">
        <f t="shared" si="26"/>
        <v>131</v>
      </c>
      <c r="AM51" s="143">
        <f t="shared" si="26"/>
        <v>223.4</v>
      </c>
      <c r="AN51" s="143">
        <f t="shared" si="26"/>
        <v>98.5</v>
      </c>
      <c r="AO51" s="143">
        <f t="shared" si="26"/>
        <v>123.60000000000001</v>
      </c>
      <c r="AP51" s="143">
        <f t="shared" si="26"/>
        <v>222.10000000000002</v>
      </c>
      <c r="AQ51" s="143">
        <f t="shared" si="26"/>
        <v>92.600000000000009</v>
      </c>
      <c r="AR51" s="143">
        <f t="shared" si="26"/>
        <v>130.1</v>
      </c>
      <c r="AS51" s="143">
        <f t="shared" si="26"/>
        <v>222.7</v>
      </c>
      <c r="AT51" s="143">
        <f t="shared" si="26"/>
        <v>92.500000000000014</v>
      </c>
      <c r="AU51" s="143">
        <f t="shared" si="26"/>
        <v>152.69999999999993</v>
      </c>
      <c r="AV51" s="143">
        <f t="shared" si="26"/>
        <v>245.2</v>
      </c>
      <c r="AW51" s="143">
        <f t="shared" si="26"/>
        <v>117.3</v>
      </c>
      <c r="AX51" s="143">
        <f t="shared" si="26"/>
        <v>182.99999999999997</v>
      </c>
      <c r="AY51" s="143">
        <f t="shared" si="26"/>
        <v>300.29999999999995</v>
      </c>
      <c r="AZ51" s="143">
        <f t="shared" si="26"/>
        <v>110.80000000000001</v>
      </c>
      <c r="BA51" s="143">
        <f t="shared" si="26"/>
        <v>155.30000000000001</v>
      </c>
      <c r="BB51" s="143">
        <f t="shared" si="26"/>
        <v>266.09999999999997</v>
      </c>
      <c r="BC51" s="143">
        <f t="shared" si="26"/>
        <v>108.5</v>
      </c>
      <c r="BD51" s="211">
        <f t="shared" si="26"/>
        <v>180.30000000000007</v>
      </c>
      <c r="BE51" s="143">
        <f t="shared" si="26"/>
        <v>288.8</v>
      </c>
      <c r="BF51" s="143">
        <f t="shared" si="26"/>
        <v>109.16941499188907</v>
      </c>
      <c r="BG51" s="143">
        <f t="shared" si="26"/>
        <v>188.39369347368131</v>
      </c>
      <c r="BH51" s="143">
        <f t="shared" si="26"/>
        <v>297.56310846557034</v>
      </c>
      <c r="BI51" s="143">
        <f t="shared" si="26"/>
        <v>128.84743927478701</v>
      </c>
      <c r="BJ51" s="143">
        <f t="shared" si="26"/>
        <v>190.28092575702232</v>
      </c>
      <c r="BK51" s="143">
        <f t="shared" si="26"/>
        <v>319.12836503180927</v>
      </c>
      <c r="BL51" s="143">
        <f t="shared" si="26"/>
        <v>136.05605344052407</v>
      </c>
      <c r="BM51" s="143">
        <f t="shared" si="26"/>
        <v>199.69321567957496</v>
      </c>
      <c r="BN51" s="143">
        <f t="shared" si="26"/>
        <v>335.74926912009903</v>
      </c>
      <c r="BO51" s="143">
        <f>SUM(BO48:BO50)</f>
        <v>147.72944388095414</v>
      </c>
      <c r="BP51" s="143">
        <f>SUM(BP48:BP50)</f>
        <v>206.48296883277027</v>
      </c>
      <c r="BQ51" s="143">
        <f>SUM(BQ48:BQ50)</f>
        <v>354.2124127137244</v>
      </c>
      <c r="BR51" s="143">
        <f t="shared" ref="BR51:CC51" si="27">SUM(BR48:BR50)</f>
        <v>145.20177554438774</v>
      </c>
      <c r="BS51" s="143">
        <f t="shared" si="27"/>
        <v>217.30170416577502</v>
      </c>
      <c r="BT51" s="143">
        <f t="shared" si="27"/>
        <v>362.50347971016271</v>
      </c>
      <c r="BU51" s="143">
        <f t="shared" si="27"/>
        <v>157.60544992542697</v>
      </c>
      <c r="BV51" s="143">
        <f t="shared" si="27"/>
        <v>233.7998427734195</v>
      </c>
      <c r="BW51" s="143">
        <f t="shared" si="27"/>
        <v>391.40529269884649</v>
      </c>
      <c r="BX51" s="143">
        <f t="shared" si="27"/>
        <v>170.2863568672347</v>
      </c>
      <c r="BY51" s="143">
        <f t="shared" si="27"/>
        <v>237.60205761505244</v>
      </c>
      <c r="BZ51" s="143">
        <f t="shared" si="27"/>
        <v>407.88841448228715</v>
      </c>
      <c r="CA51" s="143">
        <f t="shared" si="27"/>
        <v>171.92608403435463</v>
      </c>
      <c r="CB51" s="143">
        <f t="shared" si="27"/>
        <v>241.49650381731641</v>
      </c>
      <c r="CC51" s="143">
        <f t="shared" si="27"/>
        <v>413.42258785167098</v>
      </c>
      <c r="CD51" s="40"/>
      <c r="CE51" s="40"/>
      <c r="CF51"/>
      <c r="CG51"/>
      <c r="CH51"/>
      <c r="CI51"/>
      <c r="CJ51"/>
      <c r="CK51"/>
    </row>
    <row r="52" spans="1:89">
      <c r="B52" s="257" t="s">
        <v>67</v>
      </c>
      <c r="AD52" s="470">
        <f t="shared" ref="AD52:BZ52" si="28">AD51/AD26</f>
        <v>0.1849569640062598</v>
      </c>
      <c r="AE52" s="470">
        <f t="shared" si="28"/>
        <v>0.15392918825561316</v>
      </c>
      <c r="AF52" s="470">
        <f t="shared" si="28"/>
        <v>0.21755725190839695</v>
      </c>
      <c r="AG52" s="470">
        <f t="shared" si="28"/>
        <v>0.18770259319286872</v>
      </c>
      <c r="AH52" s="470">
        <f t="shared" si="28"/>
        <v>0.19002695417789758</v>
      </c>
      <c r="AI52" s="470">
        <f t="shared" si="28"/>
        <v>0.18267936871882193</v>
      </c>
      <c r="AJ52" s="470">
        <f t="shared" si="28"/>
        <v>0.18596194618847023</v>
      </c>
      <c r="AK52" s="470">
        <f t="shared" si="28"/>
        <v>0.18192557590076786</v>
      </c>
      <c r="AL52" s="470">
        <f t="shared" si="28"/>
        <v>0.22109704641350206</v>
      </c>
      <c r="AM52" s="470">
        <f t="shared" si="28"/>
        <v>0.203017084696474</v>
      </c>
      <c r="AN52" s="470">
        <f t="shared" si="28"/>
        <v>0.17899327639469381</v>
      </c>
      <c r="AO52" s="470">
        <f t="shared" si="28"/>
        <v>0.19532237673830596</v>
      </c>
      <c r="AP52" s="470">
        <f t="shared" si="28"/>
        <v>0.18772715746766971</v>
      </c>
      <c r="AQ52" s="470">
        <f t="shared" si="28"/>
        <v>0.15984809252546178</v>
      </c>
      <c r="AR52" s="470">
        <f t="shared" si="28"/>
        <v>0.20055495606597809</v>
      </c>
      <c r="AS52" s="470">
        <f t="shared" si="28"/>
        <v>0.18135179153094461</v>
      </c>
      <c r="AT52" s="470">
        <f t="shared" si="28"/>
        <v>0.15365448504983392</v>
      </c>
      <c r="AU52" s="470">
        <f t="shared" si="28"/>
        <v>0.20752921989671097</v>
      </c>
      <c r="AV52" s="470">
        <f t="shared" si="28"/>
        <v>0.18328599192704439</v>
      </c>
      <c r="AW52" s="470">
        <f t="shared" si="28"/>
        <v>0.17298333579118122</v>
      </c>
      <c r="AX52" s="470">
        <f t="shared" si="28"/>
        <v>0.24897959183673468</v>
      </c>
      <c r="AY52" s="470">
        <f t="shared" si="28"/>
        <v>0.21251149954001838</v>
      </c>
      <c r="AZ52" s="470">
        <f t="shared" si="28"/>
        <v>0.16151603498542275</v>
      </c>
      <c r="BA52" s="470">
        <f t="shared" si="28"/>
        <v>0.21867079695860325</v>
      </c>
      <c r="BB52" s="470">
        <f t="shared" si="28"/>
        <v>0.19058874086807046</v>
      </c>
      <c r="BC52" s="470">
        <f t="shared" si="28"/>
        <v>0.15103006681514478</v>
      </c>
      <c r="BD52" s="470">
        <f t="shared" si="28"/>
        <v>0.21423479087452479</v>
      </c>
      <c r="BE52" s="470">
        <f t="shared" si="28"/>
        <v>0.18512820512820513</v>
      </c>
      <c r="BF52" s="470">
        <f t="shared" si="28"/>
        <v>0.14339638775588351</v>
      </c>
      <c r="BG52" s="470">
        <f t="shared" si="28"/>
        <v>0.21250947848986662</v>
      </c>
      <c r="BH52" s="470">
        <f t="shared" si="28"/>
        <v>0.18057863658331016</v>
      </c>
      <c r="BI52" s="470">
        <f t="shared" si="28"/>
        <v>0.16049551481684798</v>
      </c>
      <c r="BJ52" s="470">
        <f t="shared" si="28"/>
        <v>0.21204631666907381</v>
      </c>
      <c r="BK52" s="470">
        <f t="shared" si="28"/>
        <v>0.18770427144487281</v>
      </c>
      <c r="BL52" s="470">
        <f t="shared" si="28"/>
        <v>0.16530127449446549</v>
      </c>
      <c r="BM52" s="470">
        <f t="shared" si="28"/>
        <v>0.21690625296736157</v>
      </c>
      <c r="BN52" s="470">
        <f t="shared" si="28"/>
        <v>0.19254744893386672</v>
      </c>
      <c r="BO52" s="470">
        <f t="shared" si="28"/>
        <v>0.17315664764620195</v>
      </c>
      <c r="BP52" s="470">
        <f t="shared" si="28"/>
        <v>0.21938839008352834</v>
      </c>
      <c r="BQ52" s="470">
        <f t="shared" si="28"/>
        <v>0.1974064637371041</v>
      </c>
      <c r="BR52" s="470">
        <f t="shared" si="28"/>
        <v>0.16913202076427208</v>
      </c>
      <c r="BS52" s="470">
        <f t="shared" si="28"/>
        <v>0.22484666719363483</v>
      </c>
      <c r="BT52" s="470">
        <f t="shared" si="28"/>
        <v>0.19863689713681593</v>
      </c>
      <c r="BU52" s="470">
        <f t="shared" si="28"/>
        <v>0.17717439758877204</v>
      </c>
      <c r="BV52" s="470">
        <f t="shared" si="28"/>
        <v>0.23387047693574983</v>
      </c>
      <c r="BW52" s="470">
        <f t="shared" si="28"/>
        <v>0.20717520348147958</v>
      </c>
      <c r="BX52" s="470">
        <f t="shared" si="28"/>
        <v>0.18528182221891579</v>
      </c>
      <c r="BY52" s="470">
        <f t="shared" si="28"/>
        <v>0.23470106493594955</v>
      </c>
      <c r="BZ52" s="470">
        <f t="shared" si="28"/>
        <v>0.21118499150486825</v>
      </c>
      <c r="CA52" s="470">
        <f t="shared" ref="CA52:CB52" si="29">CA51/CA19</f>
        <v>0.18745145124612353</v>
      </c>
      <c r="CB52" s="470">
        <f t="shared" si="29"/>
        <v>0.23850369507553479</v>
      </c>
      <c r="CC52" s="470">
        <f>CC51/CC26</f>
        <v>0.21140327399644951</v>
      </c>
    </row>
    <row r="53" spans="1:89">
      <c r="AD53" s="470"/>
      <c r="AE53" s="470"/>
      <c r="AF53" s="470"/>
      <c r="AG53" s="470"/>
      <c r="AH53" s="470"/>
      <c r="AI53" s="470"/>
      <c r="AJ53" s="470"/>
      <c r="AK53" s="470"/>
      <c r="AL53" s="470"/>
      <c r="AM53" s="470"/>
      <c r="AN53" s="470"/>
      <c r="AO53" s="470"/>
      <c r="AP53" s="470"/>
      <c r="AQ53" s="470"/>
      <c r="AR53" s="470"/>
      <c r="AS53" s="470"/>
      <c r="AT53" s="470"/>
      <c r="AU53" s="470"/>
      <c r="AV53" s="470"/>
      <c r="AW53" s="470"/>
      <c r="AX53" s="470"/>
      <c r="AY53" s="470"/>
      <c r="AZ53" s="470"/>
      <c r="BA53" s="470"/>
      <c r="BB53" s="470"/>
      <c r="BC53" s="470"/>
      <c r="BD53" s="471"/>
      <c r="BE53" s="470"/>
      <c r="BF53" s="470"/>
      <c r="BG53" s="470"/>
      <c r="BH53" s="470"/>
      <c r="BI53" s="470"/>
      <c r="BJ53" s="470"/>
      <c r="BK53" s="470"/>
      <c r="BL53" s="470"/>
      <c r="BM53" s="470"/>
      <c r="BN53" s="470"/>
      <c r="BO53" s="470"/>
      <c r="BP53" s="470"/>
      <c r="BQ53" s="470"/>
      <c r="BR53" s="470"/>
      <c r="BS53" s="470"/>
      <c r="BT53" s="470"/>
      <c r="BU53" s="470"/>
      <c r="BV53" s="470"/>
      <c r="BW53" s="470"/>
      <c r="BX53" s="470"/>
      <c r="BY53" s="470"/>
      <c r="BZ53" s="470"/>
      <c r="CA53" s="470"/>
      <c r="CB53" s="470"/>
      <c r="CC53" s="470"/>
    </row>
    <row r="54" spans="1:89">
      <c r="B54" s="40" t="s">
        <v>136</v>
      </c>
      <c r="AD54" s="472">
        <f>AD51</f>
        <v>189.10000000000002</v>
      </c>
      <c r="AE54" s="472">
        <f t="shared" ref="AE54:CB54" si="30">AE51</f>
        <v>71.300000000000011</v>
      </c>
      <c r="AF54" s="472">
        <f t="shared" si="30"/>
        <v>114</v>
      </c>
      <c r="AG54" s="472">
        <f t="shared" si="30"/>
        <v>185.3</v>
      </c>
      <c r="AH54" s="472">
        <f t="shared" si="30"/>
        <v>98.7</v>
      </c>
      <c r="AI54" s="472">
        <f t="shared" si="30"/>
        <v>117.49999999999999</v>
      </c>
      <c r="AJ54" s="472">
        <f t="shared" si="30"/>
        <v>216.19999999999996</v>
      </c>
      <c r="AK54" s="472">
        <f t="shared" si="30"/>
        <v>92.399999999999991</v>
      </c>
      <c r="AL54" s="472">
        <f t="shared" si="30"/>
        <v>131</v>
      </c>
      <c r="AM54" s="472">
        <f t="shared" si="30"/>
        <v>223.4</v>
      </c>
      <c r="AN54" s="472">
        <f t="shared" si="30"/>
        <v>98.5</v>
      </c>
      <c r="AO54" s="472">
        <f t="shared" si="30"/>
        <v>123.60000000000001</v>
      </c>
      <c r="AP54" s="472">
        <f t="shared" si="30"/>
        <v>222.10000000000002</v>
      </c>
      <c r="AQ54" s="472">
        <f t="shared" si="30"/>
        <v>92.600000000000009</v>
      </c>
      <c r="AR54" s="472">
        <f t="shared" si="30"/>
        <v>130.1</v>
      </c>
      <c r="AS54" s="472">
        <f t="shared" si="30"/>
        <v>222.7</v>
      </c>
      <c r="AT54" s="472">
        <f t="shared" si="30"/>
        <v>92.500000000000014</v>
      </c>
      <c r="AU54" s="472">
        <f t="shared" si="30"/>
        <v>152.69999999999993</v>
      </c>
      <c r="AV54" s="472">
        <f t="shared" si="30"/>
        <v>245.2</v>
      </c>
      <c r="AW54" s="472">
        <f t="shared" si="30"/>
        <v>117.3</v>
      </c>
      <c r="AX54" s="472">
        <f t="shared" si="30"/>
        <v>182.99999999999997</v>
      </c>
      <c r="AY54" s="472">
        <f t="shared" si="30"/>
        <v>300.29999999999995</v>
      </c>
      <c r="AZ54" s="472">
        <f t="shared" si="30"/>
        <v>110.80000000000001</v>
      </c>
      <c r="BA54" s="472">
        <f t="shared" si="30"/>
        <v>155.30000000000001</v>
      </c>
      <c r="BB54" s="472">
        <f t="shared" si="30"/>
        <v>266.09999999999997</v>
      </c>
      <c r="BC54" s="472">
        <f t="shared" si="30"/>
        <v>108.5</v>
      </c>
      <c r="BD54" s="473">
        <f t="shared" si="30"/>
        <v>180.30000000000007</v>
      </c>
      <c r="BE54" s="472">
        <f>SUM(BC54:BD54)</f>
        <v>288.80000000000007</v>
      </c>
      <c r="BF54" s="472">
        <f t="shared" si="30"/>
        <v>109.16941499188907</v>
      </c>
      <c r="BG54" s="472">
        <f t="shared" si="30"/>
        <v>188.39369347368131</v>
      </c>
      <c r="BH54" s="472">
        <f>SUM(BF54:BG54)</f>
        <v>297.56310846557039</v>
      </c>
      <c r="BI54" s="472">
        <f t="shared" si="30"/>
        <v>128.84743927478701</v>
      </c>
      <c r="BJ54" s="472">
        <f t="shared" si="30"/>
        <v>190.28092575702232</v>
      </c>
      <c r="BK54" s="472">
        <f>SUM(BI54:BJ54)</f>
        <v>319.12836503180932</v>
      </c>
      <c r="BL54" s="472">
        <f t="shared" si="30"/>
        <v>136.05605344052407</v>
      </c>
      <c r="BM54" s="472">
        <f t="shared" si="30"/>
        <v>199.69321567957496</v>
      </c>
      <c r="BN54" s="472">
        <f>SUM(BL54:BM54)</f>
        <v>335.74926912009903</v>
      </c>
      <c r="BO54" s="472">
        <f t="shared" si="30"/>
        <v>147.72944388095414</v>
      </c>
      <c r="BP54" s="472">
        <f t="shared" si="30"/>
        <v>206.48296883277027</v>
      </c>
      <c r="BQ54" s="472">
        <f>SUM(BO54:BP54)</f>
        <v>354.2124127137244</v>
      </c>
      <c r="BR54" s="472">
        <f t="shared" si="30"/>
        <v>145.20177554438774</v>
      </c>
      <c r="BS54" s="472">
        <f t="shared" si="30"/>
        <v>217.30170416577502</v>
      </c>
      <c r="BT54" s="472">
        <f>SUM(BR54:BS54)</f>
        <v>362.50347971016276</v>
      </c>
      <c r="BU54" s="472">
        <f t="shared" si="30"/>
        <v>157.60544992542697</v>
      </c>
      <c r="BV54" s="472">
        <f t="shared" si="30"/>
        <v>233.7998427734195</v>
      </c>
      <c r="BW54" s="472">
        <f>SUM(BU54:BV54)</f>
        <v>391.40529269884644</v>
      </c>
      <c r="BX54" s="472">
        <f t="shared" si="30"/>
        <v>170.2863568672347</v>
      </c>
      <c r="BY54" s="472">
        <f t="shared" si="30"/>
        <v>237.60205761505244</v>
      </c>
      <c r="BZ54" s="472">
        <f>SUM(BX54:BY54)</f>
        <v>407.88841448228715</v>
      </c>
      <c r="CA54" s="472">
        <f t="shared" si="30"/>
        <v>171.92608403435463</v>
      </c>
      <c r="CB54" s="472">
        <f t="shared" si="30"/>
        <v>241.49650381731641</v>
      </c>
      <c r="CC54" s="472">
        <f>SUM(CA54:CB54)</f>
        <v>413.42258785167104</v>
      </c>
    </row>
    <row r="55" spans="1:89">
      <c r="B55" s="257" t="s">
        <v>258</v>
      </c>
      <c r="AD55" s="470"/>
      <c r="AE55" s="470"/>
      <c r="AF55" s="470"/>
      <c r="AG55" s="470"/>
      <c r="AH55" s="470"/>
      <c r="AI55" s="470"/>
      <c r="AJ55" s="470"/>
      <c r="AK55" s="470"/>
      <c r="AL55" s="470"/>
      <c r="AM55" s="474"/>
      <c r="AN55" s="470"/>
      <c r="AO55" s="470"/>
      <c r="AP55" s="470"/>
      <c r="AQ55" s="470"/>
      <c r="AR55" s="470"/>
      <c r="AS55" s="470"/>
      <c r="AT55" s="470"/>
      <c r="AU55" s="470"/>
      <c r="AV55" s="470"/>
      <c r="AW55" s="470"/>
      <c r="AX55" s="470"/>
      <c r="AY55" s="470"/>
      <c r="AZ55" s="470"/>
      <c r="BA55" s="470"/>
      <c r="BB55" s="470"/>
      <c r="BC55" s="470"/>
      <c r="BD55" s="471"/>
      <c r="BE55" s="470"/>
      <c r="BF55" s="470"/>
      <c r="BG55" s="470"/>
      <c r="BH55" s="470"/>
      <c r="BI55" s="470"/>
      <c r="BJ55" s="470"/>
      <c r="BK55" s="470"/>
      <c r="BL55" s="470"/>
      <c r="BM55" s="470"/>
      <c r="BN55" s="470"/>
      <c r="BO55" s="470"/>
      <c r="BP55" s="470"/>
      <c r="BQ55" s="470"/>
      <c r="BR55" s="470"/>
      <c r="BS55" s="470"/>
      <c r="BT55" s="470"/>
      <c r="BU55" s="470"/>
      <c r="BV55" s="470"/>
      <c r="BW55" s="470"/>
      <c r="BX55" s="470"/>
      <c r="BY55" s="470"/>
      <c r="BZ55" s="470"/>
      <c r="CA55" s="470"/>
      <c r="CB55" s="470"/>
      <c r="CC55" s="470"/>
    </row>
    <row r="56" spans="1:89">
      <c r="B56" s="257" t="s">
        <v>357</v>
      </c>
      <c r="AD56" s="475">
        <v>30.6</v>
      </c>
      <c r="AE56" s="475">
        <v>12.2</v>
      </c>
      <c r="AF56" s="472">
        <f>AG56-AE56</f>
        <v>15.400000000000002</v>
      </c>
      <c r="AG56" s="475">
        <v>27.6</v>
      </c>
      <c r="AH56" s="475">
        <v>15.2</v>
      </c>
      <c r="AI56" s="472">
        <f>Segments!AI145</f>
        <v>16.899999999999999</v>
      </c>
      <c r="AJ56" s="472">
        <f>Segments!AJ145</f>
        <v>32.1</v>
      </c>
      <c r="AK56" s="472">
        <f>Segments!AK145</f>
        <v>16.600000000000001</v>
      </c>
      <c r="AL56" s="472">
        <f>Segments!AL145</f>
        <v>19.099999999999998</v>
      </c>
      <c r="AM56" s="472">
        <f>Segments!AM145</f>
        <v>35.700000000000003</v>
      </c>
      <c r="AN56" s="472">
        <f>Segments!AN145</f>
        <v>14.399999999999999</v>
      </c>
      <c r="AO56" s="472">
        <f>Segments!AO145</f>
        <v>13.3</v>
      </c>
      <c r="AP56" s="472">
        <f>Segments!AP145</f>
        <v>27.7</v>
      </c>
      <c r="AQ56" s="472">
        <f>Segments!AQ145</f>
        <v>12.9</v>
      </c>
      <c r="AR56" s="472">
        <f>Segments!AR145</f>
        <v>11.3</v>
      </c>
      <c r="AS56" s="472">
        <f>Segments!AS145</f>
        <v>24.200000000000003</v>
      </c>
      <c r="AT56" s="472">
        <f>Segments!AT145</f>
        <v>11.5</v>
      </c>
      <c r="AU56" s="472">
        <f>Segments!AU145</f>
        <v>10.199999999999999</v>
      </c>
      <c r="AV56" s="472">
        <f>Segments!AV145</f>
        <v>21.7</v>
      </c>
      <c r="AW56" s="472">
        <f>Segments!AW145</f>
        <v>9.8000000000000007</v>
      </c>
      <c r="AX56" s="472">
        <f>Segments!AX145</f>
        <v>10.100000000000001</v>
      </c>
      <c r="AY56" s="472">
        <f>Segments!AY145</f>
        <v>19.900000000000002</v>
      </c>
      <c r="AZ56" s="472">
        <f>Segments!AZ145</f>
        <v>12.7</v>
      </c>
      <c r="BA56" s="472">
        <f>Segments!BA145</f>
        <v>15.8</v>
      </c>
      <c r="BB56" s="472">
        <f>Segments!BB145</f>
        <v>28.5</v>
      </c>
      <c r="BC56" s="472">
        <f>Segments!BC145</f>
        <v>16.299999999999997</v>
      </c>
      <c r="BD56" s="473">
        <f>Segments!BD145</f>
        <v>18.799999999999997</v>
      </c>
      <c r="BE56" s="472">
        <f>SUM(BC56:BD56)</f>
        <v>35.099999999999994</v>
      </c>
      <c r="BF56" s="472">
        <f>Segments!BF145</f>
        <v>16.143060095246661</v>
      </c>
      <c r="BG56" s="472">
        <f>Segments!BG145</f>
        <v>19.852797111566332</v>
      </c>
      <c r="BH56" s="472">
        <f>SUM(BF56:BG56)</f>
        <v>35.995857206812993</v>
      </c>
      <c r="BI56" s="472">
        <f>Segments!BI145</f>
        <v>18.782221992674927</v>
      </c>
      <c r="BJ56" s="472">
        <f>Segments!BJ145</f>
        <v>20.046770924856627</v>
      </c>
      <c r="BK56" s="472">
        <f>SUM(BI56:BJ56)</f>
        <v>38.828992917531551</v>
      </c>
      <c r="BL56" s="472">
        <f>Segments!BL145</f>
        <v>19.732743387997125</v>
      </c>
      <c r="BM56" s="472">
        <f>Segments!BM145</f>
        <v>20.963013096782085</v>
      </c>
      <c r="BN56" s="472">
        <f>SUM(BL56:BM56)</f>
        <v>40.69575648477921</v>
      </c>
      <c r="BO56" s="472">
        <f>Segments!BO145</f>
        <v>21.254978276456271</v>
      </c>
      <c r="BP56" s="472">
        <f>Segments!BP145</f>
        <v>21.600304908409605</v>
      </c>
      <c r="BQ56" s="472">
        <f>SUM(BO56:BP56)</f>
        <v>42.855283184865876</v>
      </c>
      <c r="BR56" s="472">
        <f>Segments!BR145</f>
        <v>20.90485834835232</v>
      </c>
      <c r="BS56" s="472">
        <f>Segments!BS145</f>
        <v>22.657546825242207</v>
      </c>
      <c r="BT56" s="472">
        <f>SUM(BR56:BS56)</f>
        <v>43.562405173594527</v>
      </c>
      <c r="BU56" s="472">
        <f>Segments!BU145</f>
        <v>22.526108262931089</v>
      </c>
      <c r="BV56" s="472">
        <f>Segments!BV145</f>
        <v>24.289980240713888</v>
      </c>
      <c r="BW56" s="472">
        <f>SUM(BU56:BV56)</f>
        <v>46.816088503644977</v>
      </c>
      <c r="BX56" s="472">
        <f>Segments!BX145</f>
        <v>24.197387967929735</v>
      </c>
      <c r="BY56" s="472">
        <f>Segments!BY145</f>
        <v>24.659231058667064</v>
      </c>
      <c r="BZ56" s="472">
        <f>SUM(BX56:BY56)</f>
        <v>48.856619026596803</v>
      </c>
      <c r="CA56" s="472">
        <f>Segments!CA145</f>
        <v>24.406641950047234</v>
      </c>
      <c r="CB56" s="472">
        <f>Segments!CB145</f>
        <v>25.037545848486257</v>
      </c>
      <c r="CC56" s="472">
        <f>SUM(CA56:CB56)</f>
        <v>49.444187798533491</v>
      </c>
    </row>
    <row r="57" spans="1:89">
      <c r="AD57" s="458">
        <f>AD54-AD56</f>
        <v>158.50000000000003</v>
      </c>
      <c r="AE57" s="458">
        <f t="shared" ref="AE57:AY57" si="31">AE54-AE56</f>
        <v>59.100000000000009</v>
      </c>
      <c r="AF57" s="458">
        <f t="shared" si="31"/>
        <v>98.6</v>
      </c>
      <c r="AG57" s="458">
        <f t="shared" si="31"/>
        <v>157.70000000000002</v>
      </c>
      <c r="AH57" s="458">
        <f t="shared" si="31"/>
        <v>83.5</v>
      </c>
      <c r="AI57" s="458">
        <f t="shared" si="31"/>
        <v>100.6</v>
      </c>
      <c r="AJ57" s="458">
        <f t="shared" si="31"/>
        <v>184.09999999999997</v>
      </c>
      <c r="AK57" s="458">
        <f>AK54-AK56</f>
        <v>75.799999999999983</v>
      </c>
      <c r="AL57" s="458">
        <f t="shared" si="31"/>
        <v>111.9</v>
      </c>
      <c r="AM57" s="458">
        <f t="shared" si="31"/>
        <v>187.7</v>
      </c>
      <c r="AN57" s="458">
        <f t="shared" si="31"/>
        <v>84.1</v>
      </c>
      <c r="AO57" s="458">
        <f t="shared" si="31"/>
        <v>110.30000000000001</v>
      </c>
      <c r="AP57" s="458">
        <f t="shared" si="31"/>
        <v>194.40000000000003</v>
      </c>
      <c r="AQ57" s="458">
        <f t="shared" si="31"/>
        <v>79.7</v>
      </c>
      <c r="AR57" s="458">
        <f t="shared" si="31"/>
        <v>118.8</v>
      </c>
      <c r="AS57" s="458">
        <f t="shared" si="31"/>
        <v>198.5</v>
      </c>
      <c r="AT57" s="458">
        <f t="shared" si="31"/>
        <v>81.000000000000014</v>
      </c>
      <c r="AU57" s="458">
        <f t="shared" si="31"/>
        <v>142.49999999999994</v>
      </c>
      <c r="AV57" s="458">
        <f t="shared" si="31"/>
        <v>223.5</v>
      </c>
      <c r="AW57" s="458">
        <f t="shared" si="31"/>
        <v>107.5</v>
      </c>
      <c r="AX57" s="458">
        <f t="shared" si="31"/>
        <v>172.89999999999998</v>
      </c>
      <c r="AY57" s="458">
        <f t="shared" si="31"/>
        <v>280.39999999999998</v>
      </c>
      <c r="AZ57" s="458"/>
      <c r="BA57" s="458"/>
      <c r="BB57" s="458"/>
      <c r="BC57" s="458"/>
      <c r="BD57" s="13"/>
      <c r="BE57" s="458"/>
      <c r="BF57" s="458"/>
      <c r="BG57" s="458"/>
      <c r="BH57" s="458"/>
      <c r="BI57" s="458"/>
      <c r="BJ57" s="458"/>
      <c r="BK57" s="458"/>
      <c r="BL57" s="458"/>
      <c r="BM57" s="458"/>
      <c r="BN57" s="458"/>
      <c r="BO57" s="458"/>
      <c r="BP57" s="458"/>
      <c r="BQ57" s="458"/>
      <c r="BR57" s="458"/>
      <c r="BS57" s="458"/>
      <c r="BT57" s="458"/>
      <c r="BU57" s="458"/>
      <c r="BV57" s="458"/>
      <c r="BW57" s="458"/>
      <c r="BX57" s="458"/>
      <c r="BY57" s="458"/>
      <c r="BZ57" s="458"/>
      <c r="CA57" s="458"/>
      <c r="CB57" s="458"/>
      <c r="CC57" s="458"/>
    </row>
    <row r="58" spans="1:89">
      <c r="B58" s="257" t="s">
        <v>291</v>
      </c>
      <c r="AD58" s="458"/>
      <c r="AE58" s="458"/>
      <c r="AF58" s="458"/>
      <c r="AG58" s="458"/>
      <c r="AH58" s="458"/>
      <c r="AI58" s="458"/>
      <c r="AJ58" s="458"/>
      <c r="AK58" s="458"/>
      <c r="AL58" s="458"/>
      <c r="AM58" s="458"/>
      <c r="AN58" s="458"/>
      <c r="AO58" s="458"/>
      <c r="AP58" s="458"/>
      <c r="AQ58" s="458"/>
      <c r="AR58" s="458"/>
      <c r="AS58" s="458"/>
      <c r="AT58" s="458"/>
      <c r="AU58" s="458"/>
      <c r="AV58" s="458"/>
      <c r="AW58" s="458"/>
      <c r="AX58" s="458"/>
      <c r="AY58" s="458"/>
      <c r="AZ58" s="458"/>
      <c r="BA58" s="458"/>
      <c r="BB58" s="458"/>
      <c r="BC58" s="458"/>
      <c r="BD58" s="13"/>
      <c r="BE58" s="458"/>
      <c r="BF58" s="458"/>
      <c r="BG58" s="458"/>
      <c r="BH58" s="458"/>
      <c r="BI58" s="458"/>
      <c r="BJ58" s="458"/>
      <c r="BK58" s="458"/>
      <c r="BL58" s="458"/>
      <c r="BM58" s="458"/>
      <c r="BN58" s="458"/>
      <c r="BO58" s="458"/>
      <c r="BP58" s="458"/>
      <c r="BQ58" s="458"/>
      <c r="BR58" s="458"/>
      <c r="BS58" s="458"/>
      <c r="BT58" s="458"/>
      <c r="BU58" s="458"/>
      <c r="BV58" s="458"/>
      <c r="BW58" s="458"/>
      <c r="BX58" s="458"/>
      <c r="BY58" s="458"/>
      <c r="BZ58" s="458"/>
      <c r="CA58" s="458"/>
      <c r="CB58" s="458"/>
      <c r="CC58" s="458"/>
    </row>
    <row r="59" spans="1:89">
      <c r="AD59" s="458"/>
      <c r="AE59" s="458"/>
      <c r="AF59" s="458"/>
      <c r="AG59" s="458"/>
      <c r="AH59" s="458"/>
      <c r="AI59" s="458"/>
      <c r="AJ59" s="458"/>
      <c r="AK59" s="458"/>
      <c r="AL59" s="458"/>
      <c r="AM59" s="458"/>
      <c r="AN59" s="458"/>
      <c r="AO59" s="458"/>
      <c r="AP59" s="458"/>
      <c r="AQ59" s="458"/>
      <c r="AR59" s="458"/>
      <c r="AS59" s="458"/>
      <c r="AT59" s="458"/>
      <c r="AU59" s="458"/>
      <c r="AV59" s="458"/>
      <c r="AW59" s="458"/>
      <c r="AX59" s="458"/>
      <c r="AY59" s="458"/>
      <c r="AZ59" s="458"/>
      <c r="BA59" s="458"/>
      <c r="BB59" s="458"/>
      <c r="BC59" s="458"/>
      <c r="BD59" s="13"/>
      <c r="BE59" s="458"/>
      <c r="BF59" s="458"/>
      <c r="BG59" s="458"/>
      <c r="BH59" s="458"/>
      <c r="BI59" s="458"/>
      <c r="BJ59" s="458"/>
      <c r="BK59" s="458"/>
      <c r="BL59" s="458"/>
      <c r="BM59" s="458"/>
      <c r="BN59" s="458"/>
      <c r="BO59" s="458"/>
      <c r="BP59" s="458"/>
      <c r="BQ59" s="458"/>
      <c r="BR59" s="458"/>
      <c r="BS59" s="458"/>
      <c r="BT59" s="458"/>
      <c r="BU59" s="458"/>
      <c r="BV59" s="458"/>
      <c r="BW59" s="458"/>
      <c r="BX59" s="458"/>
      <c r="BY59" s="458"/>
      <c r="BZ59" s="458"/>
      <c r="CA59" s="458"/>
      <c r="CB59" s="458"/>
      <c r="CC59" s="458"/>
    </row>
    <row r="60" spans="1:89" s="7" customFormat="1">
      <c r="A60" s="40"/>
      <c r="B60" s="40" t="s">
        <v>423</v>
      </c>
      <c r="C60" s="40"/>
      <c r="D60" s="40"/>
      <c r="E60" s="40"/>
      <c r="F60" s="40"/>
      <c r="G60" s="40"/>
      <c r="H60" s="40"/>
      <c r="I60" s="40"/>
      <c r="J60" s="40"/>
      <c r="K60" s="40"/>
      <c r="L60" s="40"/>
      <c r="M60" s="40"/>
      <c r="N60" s="40"/>
      <c r="O60" s="40"/>
      <c r="P60" s="40"/>
      <c r="Q60" s="40"/>
      <c r="R60" s="40"/>
      <c r="S60" s="40"/>
      <c r="T60" s="40"/>
      <c r="U60" s="40"/>
      <c r="V60" s="40"/>
      <c r="W60" s="40"/>
      <c r="X60" s="40"/>
      <c r="Y60" s="40"/>
      <c r="Z60" s="40"/>
      <c r="AA60" s="40"/>
      <c r="AB60" s="40"/>
      <c r="AC60" s="40"/>
      <c r="AD60" s="110">
        <f>AD58+AD54</f>
        <v>189.10000000000002</v>
      </c>
      <c r="AE60" s="110">
        <f t="shared" ref="AE60:CB60" si="32">AE58+AE54</f>
        <v>71.300000000000011</v>
      </c>
      <c r="AF60" s="110">
        <f t="shared" si="32"/>
        <v>114</v>
      </c>
      <c r="AG60" s="110">
        <f t="shared" si="32"/>
        <v>185.3</v>
      </c>
      <c r="AH60" s="110">
        <f t="shared" si="32"/>
        <v>98.7</v>
      </c>
      <c r="AI60" s="110">
        <f t="shared" si="32"/>
        <v>117.49999999999999</v>
      </c>
      <c r="AJ60" s="110">
        <f t="shared" si="32"/>
        <v>216.19999999999996</v>
      </c>
      <c r="AK60" s="110">
        <f t="shared" si="32"/>
        <v>92.399999999999991</v>
      </c>
      <c r="AL60" s="110">
        <f t="shared" si="32"/>
        <v>131</v>
      </c>
      <c r="AM60" s="110">
        <f t="shared" si="32"/>
        <v>223.4</v>
      </c>
      <c r="AN60" s="110">
        <f t="shared" si="32"/>
        <v>98.5</v>
      </c>
      <c r="AO60" s="110">
        <f t="shared" si="32"/>
        <v>123.60000000000001</v>
      </c>
      <c r="AP60" s="110">
        <f t="shared" si="32"/>
        <v>222.10000000000002</v>
      </c>
      <c r="AQ60" s="110">
        <f t="shared" si="32"/>
        <v>92.600000000000009</v>
      </c>
      <c r="AR60" s="110">
        <f t="shared" si="32"/>
        <v>130.1</v>
      </c>
      <c r="AS60" s="110">
        <f t="shared" si="32"/>
        <v>222.7</v>
      </c>
      <c r="AT60" s="110">
        <f t="shared" si="32"/>
        <v>92.500000000000014</v>
      </c>
      <c r="AU60" s="110">
        <f t="shared" si="32"/>
        <v>152.69999999999993</v>
      </c>
      <c r="AV60" s="110">
        <f t="shared" si="32"/>
        <v>245.2</v>
      </c>
      <c r="AW60" s="110">
        <f t="shared" si="32"/>
        <v>117.3</v>
      </c>
      <c r="AX60" s="110">
        <f t="shared" si="32"/>
        <v>182.99999999999997</v>
      </c>
      <c r="AY60" s="110">
        <f t="shared" si="32"/>
        <v>300.29999999999995</v>
      </c>
      <c r="AZ60" s="110">
        <f t="shared" si="32"/>
        <v>110.80000000000001</v>
      </c>
      <c r="BA60" s="110">
        <f t="shared" si="32"/>
        <v>155.30000000000001</v>
      </c>
      <c r="BB60" s="110">
        <f t="shared" si="32"/>
        <v>266.09999999999997</v>
      </c>
      <c r="BC60" s="110">
        <f t="shared" si="32"/>
        <v>108.5</v>
      </c>
      <c r="BD60" s="441">
        <f t="shared" si="32"/>
        <v>180.30000000000007</v>
      </c>
      <c r="BE60" s="110">
        <f>SUM(BC60:BD60)</f>
        <v>288.80000000000007</v>
      </c>
      <c r="BF60" s="110">
        <f t="shared" si="32"/>
        <v>109.16941499188907</v>
      </c>
      <c r="BG60" s="110">
        <f t="shared" si="32"/>
        <v>188.39369347368131</v>
      </c>
      <c r="BH60" s="110">
        <f>SUM(BF60:BG60)</f>
        <v>297.56310846557039</v>
      </c>
      <c r="BI60" s="110">
        <f t="shared" si="32"/>
        <v>128.84743927478701</v>
      </c>
      <c r="BJ60" s="110">
        <f t="shared" si="32"/>
        <v>190.28092575702232</v>
      </c>
      <c r="BK60" s="110">
        <f>SUM(BI60:BJ60)</f>
        <v>319.12836503180932</v>
      </c>
      <c r="BL60" s="110">
        <f t="shared" si="32"/>
        <v>136.05605344052407</v>
      </c>
      <c r="BM60" s="110">
        <f t="shared" si="32"/>
        <v>199.69321567957496</v>
      </c>
      <c r="BN60" s="110">
        <f>SUM(BL60:BM60)</f>
        <v>335.74926912009903</v>
      </c>
      <c r="BO60" s="110">
        <f t="shared" si="32"/>
        <v>147.72944388095414</v>
      </c>
      <c r="BP60" s="110">
        <f t="shared" si="32"/>
        <v>206.48296883277027</v>
      </c>
      <c r="BQ60" s="110">
        <f>SUM(BO60:BP60)</f>
        <v>354.2124127137244</v>
      </c>
      <c r="BR60" s="110">
        <f t="shared" si="32"/>
        <v>145.20177554438774</v>
      </c>
      <c r="BS60" s="110">
        <f t="shared" si="32"/>
        <v>217.30170416577502</v>
      </c>
      <c r="BT60" s="110">
        <f>SUM(BR60:BS60)</f>
        <v>362.50347971016276</v>
      </c>
      <c r="BU60" s="110">
        <f t="shared" si="32"/>
        <v>157.60544992542697</v>
      </c>
      <c r="BV60" s="110">
        <f t="shared" si="32"/>
        <v>233.7998427734195</v>
      </c>
      <c r="BW60" s="110">
        <f>SUM(BU60:BV60)</f>
        <v>391.40529269884644</v>
      </c>
      <c r="BX60" s="110">
        <f t="shared" si="32"/>
        <v>170.2863568672347</v>
      </c>
      <c r="BY60" s="110">
        <f t="shared" si="32"/>
        <v>237.60205761505244</v>
      </c>
      <c r="BZ60" s="110">
        <f>SUM(BX60:BY60)</f>
        <v>407.88841448228715</v>
      </c>
      <c r="CA60" s="110">
        <f t="shared" si="32"/>
        <v>171.92608403435463</v>
      </c>
      <c r="CB60" s="110">
        <f t="shared" si="32"/>
        <v>241.49650381731641</v>
      </c>
      <c r="CC60" s="110">
        <f>SUM(CA60:CB60)</f>
        <v>413.42258785167104</v>
      </c>
      <c r="CD60" s="40"/>
      <c r="CE60" s="40"/>
      <c r="CF60"/>
      <c r="CG60"/>
      <c r="CH60"/>
      <c r="CI60"/>
      <c r="CJ60"/>
      <c r="CK60"/>
    </row>
    <row r="61" spans="1:89" s="552" customFormat="1">
      <c r="A61" s="134"/>
      <c r="B61" s="476" t="s">
        <v>511</v>
      </c>
      <c r="C61" s="134"/>
      <c r="D61" s="134"/>
      <c r="E61" s="134"/>
      <c r="F61" s="134"/>
      <c r="G61" s="134"/>
      <c r="H61" s="134"/>
      <c r="I61" s="134"/>
      <c r="J61" s="134"/>
      <c r="K61" s="134"/>
      <c r="L61" s="134"/>
      <c r="M61" s="134"/>
      <c r="N61" s="134"/>
      <c r="O61" s="134"/>
      <c r="P61" s="134"/>
      <c r="Q61" s="134"/>
      <c r="R61" s="134"/>
      <c r="S61" s="134"/>
      <c r="T61" s="134"/>
      <c r="U61" s="134"/>
      <c r="V61" s="134"/>
      <c r="W61" s="134"/>
      <c r="X61" s="134"/>
      <c r="Y61" s="134"/>
      <c r="Z61" s="134"/>
      <c r="AA61" s="134"/>
      <c r="AB61" s="134"/>
      <c r="AC61" s="134"/>
      <c r="AD61" s="477"/>
      <c r="AE61" s="477"/>
      <c r="AF61" s="477"/>
      <c r="AG61" s="138">
        <f>AG60/AD60-1</f>
        <v>-2.0095187731359099E-2</v>
      </c>
      <c r="AH61" s="477">
        <f t="shared" ref="AH61:BL61" si="33">AH60/AE60-1</f>
        <v>0.38429172510518916</v>
      </c>
      <c r="AI61" s="138">
        <f t="shared" si="33"/>
        <v>3.0701754385964897E-2</v>
      </c>
      <c r="AJ61" s="138">
        <f t="shared" si="33"/>
        <v>0.16675661090124105</v>
      </c>
      <c r="AK61" s="138">
        <f t="shared" si="33"/>
        <v>-6.3829787234042645E-2</v>
      </c>
      <c r="AL61" s="138">
        <f t="shared" si="33"/>
        <v>0.11489361702127665</v>
      </c>
      <c r="AM61" s="138">
        <f t="shared" si="33"/>
        <v>3.3302497687326849E-2</v>
      </c>
      <c r="AN61" s="138">
        <f t="shared" si="33"/>
        <v>6.6017316017316086E-2</v>
      </c>
      <c r="AO61" s="138">
        <f t="shared" si="33"/>
        <v>-5.6488549618320505E-2</v>
      </c>
      <c r="AP61" s="138">
        <f t="shared" si="33"/>
        <v>-5.8191584601611224E-3</v>
      </c>
      <c r="AQ61" s="138">
        <f t="shared" si="33"/>
        <v>-5.9898477157360297E-2</v>
      </c>
      <c r="AR61" s="138">
        <f t="shared" si="33"/>
        <v>5.2588996763753837E-2</v>
      </c>
      <c r="AS61" s="138">
        <f t="shared" si="33"/>
        <v>2.7014858171992007E-3</v>
      </c>
      <c r="AT61" s="138">
        <f t="shared" si="33"/>
        <v>-1.0799136069113979E-3</v>
      </c>
      <c r="AU61" s="138">
        <f t="shared" si="33"/>
        <v>0.17371252882398114</v>
      </c>
      <c r="AV61" s="138">
        <f t="shared" si="33"/>
        <v>0.10103277952402334</v>
      </c>
      <c r="AW61" s="138">
        <f t="shared" si="33"/>
        <v>0.26810810810810781</v>
      </c>
      <c r="AX61" s="138">
        <f t="shared" si="33"/>
        <v>0.19842829076620849</v>
      </c>
      <c r="AY61" s="138">
        <f t="shared" si="33"/>
        <v>0.22471451876019555</v>
      </c>
      <c r="AZ61" s="138">
        <f t="shared" si="33"/>
        <v>-5.5413469735720255E-2</v>
      </c>
      <c r="BA61" s="138">
        <f t="shared" si="33"/>
        <v>-0.15136612021857909</v>
      </c>
      <c r="BB61" s="138">
        <f t="shared" si="33"/>
        <v>-0.11388611388611392</v>
      </c>
      <c r="BC61" s="138">
        <f t="shared" si="33"/>
        <v>-2.0758122743682383E-2</v>
      </c>
      <c r="BD61" s="478">
        <f t="shared" si="33"/>
        <v>0.1609787508048941</v>
      </c>
      <c r="BE61" s="138">
        <f>BE60/BB60-1</f>
        <v>8.5306275836152246E-2</v>
      </c>
      <c r="BF61" s="138">
        <f>BF60/BC60-1</f>
        <v>6.1697234275490676E-3</v>
      </c>
      <c r="BG61" s="138">
        <f>BG60/BD60-1</f>
        <v>4.4890146831288114E-2</v>
      </c>
      <c r="BH61" s="138">
        <f>BH60/BE60-1</f>
        <v>3.0343173357237907E-2</v>
      </c>
      <c r="BI61" s="138">
        <f t="shared" si="33"/>
        <v>0.18025217305011609</v>
      </c>
      <c r="BJ61" s="138">
        <f t="shared" si="33"/>
        <v>1.0017491820152991E-2</v>
      </c>
      <c r="BK61" s="138">
        <f t="shared" si="33"/>
        <v>7.2472883743698757E-2</v>
      </c>
      <c r="BL61" s="138">
        <f t="shared" si="33"/>
        <v>5.594689507459738E-2</v>
      </c>
      <c r="BM61" s="138">
        <f>BM60/BJ60-1</f>
        <v>4.9465230869076171E-2</v>
      </c>
      <c r="BN61" s="138">
        <f>BN60/BK60-1</f>
        <v>5.2082189831772041E-2</v>
      </c>
      <c r="BO61" s="138">
        <f>BO60/BL60-1</f>
        <v>8.5798390775262412E-2</v>
      </c>
      <c r="BP61" s="138">
        <f>BP60/BM60-1</f>
        <v>3.4000920512442745E-2</v>
      </c>
      <c r="BQ61" s="138">
        <f>BQ60/BN60-1</f>
        <v>5.4990867566180768E-2</v>
      </c>
      <c r="BR61" s="138">
        <f t="shared" ref="BR61:CC61" si="34">BR60/BO60-1</f>
        <v>-1.7110118810189756E-2</v>
      </c>
      <c r="BS61" s="138">
        <f t="shared" si="34"/>
        <v>5.2395291457508986E-2</v>
      </c>
      <c r="BT61" s="138">
        <f t="shared" si="34"/>
        <v>2.3407048140741571E-2</v>
      </c>
      <c r="BU61" s="138">
        <f t="shared" si="34"/>
        <v>8.5423710106406148E-2</v>
      </c>
      <c r="BV61" s="138">
        <f t="shared" si="34"/>
        <v>7.592272997112981E-2</v>
      </c>
      <c r="BW61" s="138">
        <f t="shared" si="34"/>
        <v>7.9728373950484377E-2</v>
      </c>
      <c r="BX61" s="138">
        <f t="shared" si="34"/>
        <v>8.0459825138076591E-2</v>
      </c>
      <c r="BY61" s="138">
        <f t="shared" si="34"/>
        <v>1.6262692038325088E-2</v>
      </c>
      <c r="BZ61" s="138">
        <f t="shared" si="34"/>
        <v>4.2112669631483746E-2</v>
      </c>
      <c r="CA61" s="138">
        <f t="shared" si="34"/>
        <v>9.629233940323001E-3</v>
      </c>
      <c r="CB61" s="138">
        <f t="shared" si="34"/>
        <v>1.63906249017991E-2</v>
      </c>
      <c r="CC61" s="138">
        <f t="shared" si="34"/>
        <v>1.3567861142631754E-2</v>
      </c>
      <c r="CD61" s="134"/>
      <c r="CE61" s="134"/>
      <c r="CF61"/>
      <c r="CG61"/>
      <c r="CH61"/>
      <c r="CI61"/>
      <c r="CJ61"/>
      <c r="CK61"/>
    </row>
    <row r="62" spans="1:89" s="552" customFormat="1">
      <c r="A62" s="134"/>
      <c r="B62" s="476"/>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c r="AD62" s="477"/>
      <c r="AE62" s="477"/>
      <c r="AF62" s="477"/>
      <c r="AG62" s="138"/>
      <c r="AH62" s="477"/>
      <c r="AI62" s="138"/>
      <c r="AJ62" s="138"/>
      <c r="AK62" s="138"/>
      <c r="AL62" s="138"/>
      <c r="AM62" s="138"/>
      <c r="AN62" s="138"/>
      <c r="AO62" s="138"/>
      <c r="AP62" s="138"/>
      <c r="AQ62" s="138"/>
      <c r="AR62" s="138"/>
      <c r="AS62" s="138"/>
      <c r="AT62" s="138"/>
      <c r="AU62" s="138"/>
      <c r="AV62" s="138"/>
      <c r="AW62" s="138"/>
      <c r="AX62" s="138"/>
      <c r="AY62" s="138"/>
      <c r="AZ62" s="138"/>
      <c r="BA62" s="138"/>
      <c r="BB62" s="138"/>
      <c r="BC62" s="138"/>
      <c r="BD62" s="478"/>
      <c r="BE62" s="138"/>
      <c r="BF62" s="138"/>
      <c r="BG62" s="138"/>
      <c r="BH62" s="138"/>
      <c r="BI62" s="138"/>
      <c r="BJ62" s="138"/>
      <c r="BK62" s="138"/>
      <c r="BL62" s="138"/>
      <c r="BM62" s="138"/>
      <c r="BN62" s="138"/>
      <c r="BO62" s="138"/>
      <c r="BP62" s="138"/>
      <c r="BQ62" s="138"/>
      <c r="BR62" s="138"/>
      <c r="BS62" s="138"/>
      <c r="BT62" s="138"/>
      <c r="BU62" s="138"/>
      <c r="BV62" s="138"/>
      <c r="BW62" s="138"/>
      <c r="BX62" s="138"/>
      <c r="BY62" s="138"/>
      <c r="BZ62" s="138"/>
      <c r="CA62" s="138"/>
      <c r="CB62" s="138"/>
      <c r="CC62" s="138"/>
      <c r="CD62" s="134"/>
      <c r="CE62" s="134"/>
      <c r="CF62"/>
      <c r="CG62"/>
      <c r="CH62"/>
      <c r="CI62"/>
      <c r="CJ62"/>
      <c r="CK62"/>
    </row>
    <row r="63" spans="1:89">
      <c r="B63" s="257" t="s">
        <v>189</v>
      </c>
      <c r="AD63" s="151">
        <v>-36.9</v>
      </c>
      <c r="AE63" s="151">
        <v>-11.8</v>
      </c>
      <c r="AF63" s="458">
        <f>AG63-AE63</f>
        <v>-6.5</v>
      </c>
      <c r="AG63" s="151">
        <v>-18.3</v>
      </c>
      <c r="AH63" s="151">
        <v>-7.6</v>
      </c>
      <c r="AI63" s="458">
        <f>AI171</f>
        <v>-8.7000000000000011</v>
      </c>
      <c r="AJ63" s="458">
        <f>AJ171</f>
        <v>-16.3</v>
      </c>
      <c r="AK63" s="151">
        <v>-9</v>
      </c>
      <c r="AL63" s="458">
        <f>+AM63-AK63</f>
        <v>-11.3</v>
      </c>
      <c r="AM63" s="151">
        <v>-20.3</v>
      </c>
      <c r="AN63" s="151">
        <v>-9.8000000000000007</v>
      </c>
      <c r="AO63" s="458">
        <f>+AP63-AN63</f>
        <v>-7.3999999999999986</v>
      </c>
      <c r="AP63" s="209">
        <v>-17.2</v>
      </c>
      <c r="AQ63" s="209">
        <v>-6.2</v>
      </c>
      <c r="AR63" s="458">
        <f>+AS63-AQ63</f>
        <v>-9.6999999999999993</v>
      </c>
      <c r="AS63" s="209">
        <v>-15.9</v>
      </c>
      <c r="AT63" s="151">
        <v>-8</v>
      </c>
      <c r="AU63" s="458">
        <f>AV63-AT63</f>
        <v>-8.8000000000000007</v>
      </c>
      <c r="AV63" s="151">
        <f>-16.8</f>
        <v>-16.8</v>
      </c>
      <c r="AW63" s="151">
        <f>-7.3</f>
        <v>-7.3</v>
      </c>
      <c r="AX63" s="458">
        <f>AY63-AW63</f>
        <v>-7.3999999999999995</v>
      </c>
      <c r="AY63" s="151">
        <f>-14.7</f>
        <v>-14.7</v>
      </c>
      <c r="AZ63" s="151">
        <v>-6.9</v>
      </c>
      <c r="BA63" s="458">
        <f>BB63-AZ63</f>
        <v>-6.1</v>
      </c>
      <c r="BB63" s="151">
        <v>-13</v>
      </c>
      <c r="BC63" s="151">
        <v>-6.2</v>
      </c>
      <c r="BD63" s="458">
        <f>BE63-BC63</f>
        <v>-7.3999999999999995</v>
      </c>
      <c r="BE63" s="151">
        <f>-13.6</f>
        <v>-13.6</v>
      </c>
      <c r="BF63" s="13">
        <f t="shared" ref="BF63:CB63" si="35">BF172</f>
        <v>-7.1159146283388521</v>
      </c>
      <c r="BG63" s="13">
        <f t="shared" si="35"/>
        <v>-7.1744666336787359</v>
      </c>
      <c r="BH63" s="458">
        <f>SUM(BF63:BG63)</f>
        <v>-14.290381262017588</v>
      </c>
      <c r="BI63" s="13">
        <f t="shared" si="35"/>
        <v>-6.9260382555546993</v>
      </c>
      <c r="BJ63" s="13">
        <f t="shared" si="35"/>
        <v>-7.186242351337242</v>
      </c>
      <c r="BK63" s="458">
        <f>SUM(BI63:BJ63)</f>
        <v>-14.112280606891941</v>
      </c>
      <c r="BL63" s="13">
        <f t="shared" si="35"/>
        <v>-6.3098088894267255</v>
      </c>
      <c r="BM63" s="13">
        <f t="shared" si="35"/>
        <v>-6.7546287278034569</v>
      </c>
      <c r="BN63" s="458">
        <f>SUM(BL63:BM63)</f>
        <v>-13.064437617230183</v>
      </c>
      <c r="BO63" s="13">
        <f t="shared" si="35"/>
        <v>-5.8771038920909175</v>
      </c>
      <c r="BP63" s="13">
        <f t="shared" si="35"/>
        <v>-6.2424309588447846</v>
      </c>
      <c r="BQ63" s="458">
        <f>SUM(BO63:BP63)</f>
        <v>-12.119534850935702</v>
      </c>
      <c r="BR63" s="13">
        <f t="shared" si="35"/>
        <v>-4.8060342626513179</v>
      </c>
      <c r="BS63" s="13">
        <f t="shared" si="35"/>
        <v>-4.7088388849980864</v>
      </c>
      <c r="BT63" s="458">
        <f>SUM(BR63:BS63)</f>
        <v>-9.5148731476494035</v>
      </c>
      <c r="BU63" s="13">
        <f t="shared" si="35"/>
        <v>-3.2354675956341548</v>
      </c>
      <c r="BV63" s="13">
        <f t="shared" si="35"/>
        <v>-3.1349884141996975</v>
      </c>
      <c r="BW63" s="458">
        <f>SUM(BU63:BV63)</f>
        <v>-6.3704560098338519</v>
      </c>
      <c r="BX63" s="13">
        <f t="shared" si="35"/>
        <v>-1.5527928706001399</v>
      </c>
      <c r="BY63" s="13">
        <f t="shared" si="35"/>
        <v>-1.3940066282464048</v>
      </c>
      <c r="BZ63" s="458">
        <f>SUM(BX63:BY63)</f>
        <v>-2.9467994988465449</v>
      </c>
      <c r="CA63" s="13">
        <f t="shared" si="35"/>
        <v>-1.3940066282464048</v>
      </c>
      <c r="CB63" s="13">
        <f t="shared" si="35"/>
        <v>-1.2994588218828518</v>
      </c>
      <c r="CC63" s="458">
        <f>SUM(CA63:CB63)</f>
        <v>-2.6934654501292563</v>
      </c>
    </row>
    <row r="64" spans="1:89">
      <c r="B64" s="257" t="s">
        <v>190</v>
      </c>
      <c r="AD64" s="458">
        <f>AD23</f>
        <v>3.1</v>
      </c>
      <c r="AE64" s="458">
        <f t="shared" ref="AE64:CB64" si="36">AE23</f>
        <v>1</v>
      </c>
      <c r="AF64" s="458">
        <f t="shared" si="36"/>
        <v>0.60000000000000009</v>
      </c>
      <c r="AG64" s="458">
        <f t="shared" si="36"/>
        <v>1.6</v>
      </c>
      <c r="AH64" s="458">
        <f t="shared" si="36"/>
        <v>1</v>
      </c>
      <c r="AI64" s="458">
        <f t="shared" si="36"/>
        <v>1.2999999999999998</v>
      </c>
      <c r="AJ64" s="458">
        <f t="shared" si="36"/>
        <v>2.2999999999999998</v>
      </c>
      <c r="AK64" s="458">
        <f t="shared" si="36"/>
        <v>1.1000000000000001</v>
      </c>
      <c r="AL64" s="458">
        <f t="shared" si="36"/>
        <v>1.2999999999999998</v>
      </c>
      <c r="AM64" s="458">
        <f t="shared" si="36"/>
        <v>2.4</v>
      </c>
      <c r="AN64" s="458">
        <f t="shared" si="36"/>
        <v>1.5</v>
      </c>
      <c r="AO64" s="458">
        <f t="shared" si="36"/>
        <v>1.08</v>
      </c>
      <c r="AP64" s="458">
        <f t="shared" si="36"/>
        <v>2.58</v>
      </c>
      <c r="AQ64" s="458">
        <f t="shared" si="36"/>
        <v>0.8</v>
      </c>
      <c r="AR64" s="458">
        <f t="shared" si="36"/>
        <v>1</v>
      </c>
      <c r="AS64" s="458">
        <f t="shared" si="36"/>
        <v>1.8</v>
      </c>
      <c r="AT64" s="458">
        <f t="shared" si="36"/>
        <v>0.8</v>
      </c>
      <c r="AU64" s="458">
        <f t="shared" si="36"/>
        <v>1</v>
      </c>
      <c r="AV64" s="458">
        <f t="shared" si="36"/>
        <v>1.8</v>
      </c>
      <c r="AW64" s="458">
        <f t="shared" si="36"/>
        <v>0.8</v>
      </c>
      <c r="AX64" s="458">
        <f t="shared" si="36"/>
        <v>0.89999999999999991</v>
      </c>
      <c r="AY64" s="458">
        <f t="shared" si="36"/>
        <v>1.7</v>
      </c>
      <c r="AZ64" s="458">
        <f t="shared" si="36"/>
        <v>0.8</v>
      </c>
      <c r="BA64" s="458">
        <f t="shared" si="36"/>
        <v>0.7</v>
      </c>
      <c r="BB64" s="458">
        <f t="shared" si="36"/>
        <v>1.5</v>
      </c>
      <c r="BC64" s="458">
        <f t="shared" si="36"/>
        <v>0.7</v>
      </c>
      <c r="BD64" s="458">
        <f t="shared" ref="BD64" si="37">BD23</f>
        <v>0.8</v>
      </c>
      <c r="BE64" s="13">
        <f>SUM(BC64:BD64)</f>
        <v>1.5</v>
      </c>
      <c r="BF64" s="458">
        <f t="shared" si="36"/>
        <v>1.1770114942528738</v>
      </c>
      <c r="BG64" s="458">
        <f t="shared" si="36"/>
        <v>1.1770114942528738</v>
      </c>
      <c r="BH64" s="458">
        <f>SUM(BF64:BG64)</f>
        <v>2.3540229885057475</v>
      </c>
      <c r="BI64" s="458">
        <f t="shared" si="36"/>
        <v>1.1770114942528738</v>
      </c>
      <c r="BJ64" s="458">
        <f t="shared" si="36"/>
        <v>1.1770114942528738</v>
      </c>
      <c r="BK64" s="458">
        <f>SUM(BI64:BJ64)</f>
        <v>2.3540229885057475</v>
      </c>
      <c r="BL64" s="458">
        <f t="shared" si="36"/>
        <v>1.1770114942528738</v>
      </c>
      <c r="BM64" s="458">
        <f t="shared" si="36"/>
        <v>1.1770114942528738</v>
      </c>
      <c r="BN64" s="458">
        <f>SUM(BL64:BM64)</f>
        <v>2.3540229885057475</v>
      </c>
      <c r="BO64" s="458">
        <f t="shared" si="36"/>
        <v>1.1770114942528738</v>
      </c>
      <c r="BP64" s="458">
        <f t="shared" si="36"/>
        <v>1.1770114942528738</v>
      </c>
      <c r="BQ64" s="458">
        <f>SUM(BO64:BP64)</f>
        <v>2.3540229885057475</v>
      </c>
      <c r="BR64" s="458">
        <f t="shared" si="36"/>
        <v>1.1770114942528738</v>
      </c>
      <c r="BS64" s="458">
        <f t="shared" si="36"/>
        <v>1.1770114942528738</v>
      </c>
      <c r="BT64" s="458">
        <f>SUM(BR64:BS64)</f>
        <v>2.3540229885057475</v>
      </c>
      <c r="BU64" s="458">
        <f t="shared" si="36"/>
        <v>1.1770114942528738</v>
      </c>
      <c r="BV64" s="458">
        <f t="shared" si="36"/>
        <v>1.1770114942528738</v>
      </c>
      <c r="BW64" s="458">
        <f>SUM(BU64:BV64)</f>
        <v>2.3540229885057475</v>
      </c>
      <c r="BX64" s="458">
        <f t="shared" si="36"/>
        <v>1.1770114942528738</v>
      </c>
      <c r="BY64" s="458">
        <f t="shared" si="36"/>
        <v>1.1770114942528738</v>
      </c>
      <c r="BZ64" s="458">
        <f>SUM(BX64:BY64)</f>
        <v>2.3540229885057475</v>
      </c>
      <c r="CA64" s="458">
        <f t="shared" si="36"/>
        <v>3.2938958718104772</v>
      </c>
      <c r="CB64" s="458">
        <f t="shared" si="36"/>
        <v>3.2938958718104772</v>
      </c>
      <c r="CC64" s="458">
        <f>SUM(CA64:CB64)</f>
        <v>6.5877917436209543</v>
      </c>
    </row>
    <row r="65" spans="1:89">
      <c r="B65" s="257" t="s">
        <v>191</v>
      </c>
      <c r="AD65" s="458"/>
      <c r="AE65" s="458"/>
      <c r="AF65" s="458"/>
      <c r="AG65" s="458"/>
      <c r="AH65" s="458"/>
      <c r="AK65" s="139">
        <v>0</v>
      </c>
      <c r="AL65" s="257">
        <f>+AM65-AK65</f>
        <v>0.9</v>
      </c>
      <c r="AM65" s="139">
        <v>0.9</v>
      </c>
      <c r="BE65" s="11"/>
    </row>
    <row r="66" spans="1:89">
      <c r="A66" s="479"/>
      <c r="B66" s="73" t="s">
        <v>419</v>
      </c>
      <c r="C66" s="479"/>
      <c r="D66" s="479"/>
      <c r="E66" s="479"/>
      <c r="F66" s="479"/>
      <c r="G66" s="479"/>
      <c r="H66" s="479"/>
      <c r="I66" s="479"/>
      <c r="J66" s="479"/>
      <c r="K66" s="479"/>
      <c r="L66" s="479"/>
      <c r="M66" s="479"/>
      <c r="N66" s="479"/>
      <c r="O66" s="479"/>
      <c r="P66" s="479"/>
      <c r="Q66" s="479"/>
      <c r="R66" s="479"/>
      <c r="S66" s="479"/>
      <c r="T66" s="479"/>
      <c r="U66" s="479"/>
      <c r="V66" s="479"/>
      <c r="W66" s="479"/>
      <c r="X66" s="479"/>
      <c r="Y66" s="479"/>
      <c r="Z66" s="479"/>
      <c r="AA66" s="479"/>
      <c r="AB66" s="479"/>
      <c r="AC66" s="479"/>
      <c r="AD66" s="480">
        <f>AD63+AD64+AD65</f>
        <v>-33.799999999999997</v>
      </c>
      <c r="AE66" s="480">
        <f t="shared" ref="AE66:CB66" si="38">AE63+AE64+AE65</f>
        <v>-10.8</v>
      </c>
      <c r="AF66" s="480">
        <f t="shared" si="38"/>
        <v>-5.9</v>
      </c>
      <c r="AG66" s="480">
        <f t="shared" si="38"/>
        <v>-16.7</v>
      </c>
      <c r="AH66" s="480">
        <f t="shared" si="38"/>
        <v>-6.6</v>
      </c>
      <c r="AI66" s="480">
        <f t="shared" si="38"/>
        <v>-7.4000000000000012</v>
      </c>
      <c r="AJ66" s="480">
        <f t="shared" si="38"/>
        <v>-14</v>
      </c>
      <c r="AK66" s="480">
        <f>AK63+AK64+AK65</f>
        <v>-7.9</v>
      </c>
      <c r="AL66" s="480">
        <f>AL63+AL64+AL65</f>
        <v>-9.1</v>
      </c>
      <c r="AM66" s="480">
        <f t="shared" si="38"/>
        <v>-17.000000000000004</v>
      </c>
      <c r="AN66" s="480">
        <f t="shared" si="38"/>
        <v>-8.3000000000000007</v>
      </c>
      <c r="AO66" s="480">
        <f t="shared" si="38"/>
        <v>-6.3199999999999985</v>
      </c>
      <c r="AP66" s="480">
        <f t="shared" si="38"/>
        <v>-14.62</v>
      </c>
      <c r="AQ66" s="480">
        <f t="shared" si="38"/>
        <v>-5.4</v>
      </c>
      <c r="AR66" s="480">
        <f t="shared" si="38"/>
        <v>-8.6999999999999993</v>
      </c>
      <c r="AS66" s="480">
        <f t="shared" si="38"/>
        <v>-14.1</v>
      </c>
      <c r="AT66" s="480">
        <f t="shared" si="38"/>
        <v>-7.2</v>
      </c>
      <c r="AU66" s="480">
        <f t="shared" si="38"/>
        <v>-7.8000000000000007</v>
      </c>
      <c r="AV66" s="480">
        <f t="shared" si="38"/>
        <v>-15</v>
      </c>
      <c r="AW66" s="480">
        <f t="shared" si="38"/>
        <v>-6.5</v>
      </c>
      <c r="AX66" s="480">
        <f t="shared" si="38"/>
        <v>-6.5</v>
      </c>
      <c r="AY66" s="480">
        <f t="shared" si="38"/>
        <v>-13</v>
      </c>
      <c r="AZ66" s="480">
        <f t="shared" si="38"/>
        <v>-6.1000000000000005</v>
      </c>
      <c r="BA66" s="480">
        <f t="shared" si="38"/>
        <v>-5.3999999999999995</v>
      </c>
      <c r="BB66" s="480">
        <f t="shared" si="38"/>
        <v>-11.5</v>
      </c>
      <c r="BC66" s="480">
        <f t="shared" si="38"/>
        <v>-5.5</v>
      </c>
      <c r="BD66" s="480">
        <f t="shared" ref="BD66" si="39">BD63+BD64+BD65</f>
        <v>-6.6</v>
      </c>
      <c r="BE66" s="481">
        <f>SUM(BC66:BD66)</f>
        <v>-12.1</v>
      </c>
      <c r="BF66" s="480">
        <f t="shared" si="38"/>
        <v>-5.9389031340859786</v>
      </c>
      <c r="BG66" s="480">
        <f t="shared" si="38"/>
        <v>-5.9974551394258624</v>
      </c>
      <c r="BH66" s="480">
        <f>SUM(BF66:BG66)</f>
        <v>-11.936358273511841</v>
      </c>
      <c r="BI66" s="480">
        <f t="shared" si="38"/>
        <v>-5.7490267613018258</v>
      </c>
      <c r="BJ66" s="480">
        <f t="shared" si="38"/>
        <v>-6.0092308570843684</v>
      </c>
      <c r="BK66" s="480">
        <f>SUM(BI66:BJ66)</f>
        <v>-11.758257618386194</v>
      </c>
      <c r="BL66" s="480">
        <f t="shared" si="38"/>
        <v>-5.1327973951738519</v>
      </c>
      <c r="BM66" s="480">
        <f t="shared" si="38"/>
        <v>-5.5776172335505834</v>
      </c>
      <c r="BN66" s="480">
        <f>SUM(BL66:BM66)</f>
        <v>-10.710414628724436</v>
      </c>
      <c r="BO66" s="480">
        <f t="shared" si="38"/>
        <v>-4.700092397838044</v>
      </c>
      <c r="BP66" s="480">
        <f t="shared" si="38"/>
        <v>-5.0654194645919111</v>
      </c>
      <c r="BQ66" s="480">
        <f>SUM(BO66:BP66)</f>
        <v>-9.7655118624299551</v>
      </c>
      <c r="BR66" s="480">
        <f t="shared" si="38"/>
        <v>-3.6290227683984444</v>
      </c>
      <c r="BS66" s="480">
        <f t="shared" si="38"/>
        <v>-3.5318273907452129</v>
      </c>
      <c r="BT66" s="480">
        <f>SUM(BR66:BS66)</f>
        <v>-7.1608501591436573</v>
      </c>
      <c r="BU66" s="480">
        <f t="shared" si="38"/>
        <v>-2.0584561013812808</v>
      </c>
      <c r="BV66" s="480">
        <f t="shared" si="38"/>
        <v>-1.9579769199468238</v>
      </c>
      <c r="BW66" s="480">
        <f>SUM(BU66:BV66)</f>
        <v>-4.0164330213281048</v>
      </c>
      <c r="BX66" s="480">
        <f t="shared" si="38"/>
        <v>-0.37578137634726616</v>
      </c>
      <c r="BY66" s="480">
        <f t="shared" si="38"/>
        <v>-0.21699513399353099</v>
      </c>
      <c r="BZ66" s="480">
        <f>SUM(BX66:BY66)</f>
        <v>-0.59277651034079715</v>
      </c>
      <c r="CA66" s="480">
        <f t="shared" si="38"/>
        <v>1.8998892435640724</v>
      </c>
      <c r="CB66" s="480">
        <f t="shared" si="38"/>
        <v>1.9944370499276254</v>
      </c>
      <c r="CC66" s="480">
        <f>SUM(CA66:CB66)</f>
        <v>3.894326293491698</v>
      </c>
    </row>
    <row r="67" spans="1:89">
      <c r="B67" s="40"/>
      <c r="AD67" s="458"/>
      <c r="AE67" s="458"/>
      <c r="AF67" s="458"/>
      <c r="AG67" s="458"/>
      <c r="AH67" s="458"/>
      <c r="AI67" s="458"/>
      <c r="AJ67" s="458"/>
      <c r="AK67" s="458"/>
      <c r="AL67" s="458"/>
      <c r="AM67" s="458"/>
      <c r="AN67" s="458"/>
      <c r="AO67" s="458"/>
      <c r="AP67" s="458"/>
      <c r="AQ67" s="458"/>
      <c r="AR67" s="458"/>
      <c r="AS67" s="482"/>
      <c r="AT67" s="482"/>
      <c r="AU67" s="458"/>
      <c r="AV67" s="458"/>
      <c r="AW67" s="458"/>
      <c r="AX67" s="458"/>
      <c r="AY67" s="458"/>
      <c r="AZ67" s="458"/>
      <c r="BA67" s="458"/>
      <c r="BB67" s="458"/>
      <c r="BC67" s="458"/>
      <c r="BD67" s="13"/>
      <c r="BE67" s="13"/>
      <c r="BF67" s="458"/>
      <c r="BG67" s="458"/>
      <c r="BH67" s="458"/>
      <c r="BI67" s="458"/>
      <c r="BJ67" s="458"/>
      <c r="BK67" s="458"/>
      <c r="BL67" s="458"/>
      <c r="BM67" s="458"/>
      <c r="BN67" s="458"/>
      <c r="BO67" s="458"/>
      <c r="BP67" s="458"/>
      <c r="BQ67" s="458"/>
      <c r="BR67" s="458"/>
      <c r="BS67" s="458"/>
      <c r="BT67" s="458"/>
      <c r="BU67" s="458"/>
      <c r="BV67" s="458"/>
      <c r="BW67" s="458"/>
      <c r="BX67" s="458"/>
      <c r="BY67" s="458"/>
      <c r="BZ67" s="458"/>
      <c r="CA67" s="458"/>
      <c r="CB67" s="458"/>
      <c r="CC67" s="458"/>
    </row>
    <row r="68" spans="1:89" s="7" customFormat="1">
      <c r="A68" s="40"/>
      <c r="B68" s="40" t="s">
        <v>140</v>
      </c>
      <c r="C68" s="40"/>
      <c r="D68" s="40"/>
      <c r="E68" s="40"/>
      <c r="F68" s="40"/>
      <c r="G68" s="40"/>
      <c r="H68" s="40"/>
      <c r="I68" s="40"/>
      <c r="J68" s="40"/>
      <c r="K68" s="40"/>
      <c r="L68" s="40"/>
      <c r="M68" s="40"/>
      <c r="N68" s="40"/>
      <c r="O68" s="40"/>
      <c r="P68" s="40"/>
      <c r="Q68" s="40"/>
      <c r="R68" s="40"/>
      <c r="S68" s="40"/>
      <c r="T68" s="40"/>
      <c r="U68" s="40"/>
      <c r="V68" s="40"/>
      <c r="W68" s="40"/>
      <c r="X68" s="40"/>
      <c r="Y68" s="40"/>
      <c r="Z68" s="40"/>
      <c r="AA68" s="40"/>
      <c r="AB68" s="40"/>
      <c r="AC68" s="40"/>
      <c r="AD68" s="110">
        <f>AD60+AD66</f>
        <v>155.30000000000001</v>
      </c>
      <c r="AE68" s="110">
        <f t="shared" ref="AE68:BG68" si="40">AE60+AE66</f>
        <v>60.500000000000014</v>
      </c>
      <c r="AF68" s="110">
        <f t="shared" si="40"/>
        <v>108.1</v>
      </c>
      <c r="AG68" s="110">
        <f t="shared" si="40"/>
        <v>168.60000000000002</v>
      </c>
      <c r="AH68" s="110">
        <f t="shared" si="40"/>
        <v>92.100000000000009</v>
      </c>
      <c r="AI68" s="110">
        <f t="shared" si="40"/>
        <v>110.09999999999998</v>
      </c>
      <c r="AJ68" s="110">
        <f t="shared" si="40"/>
        <v>202.19999999999996</v>
      </c>
      <c r="AK68" s="110">
        <f t="shared" si="40"/>
        <v>84.499999999999986</v>
      </c>
      <c r="AL68" s="110">
        <f t="shared" si="40"/>
        <v>121.9</v>
      </c>
      <c r="AM68" s="110">
        <f t="shared" si="40"/>
        <v>206.4</v>
      </c>
      <c r="AN68" s="110">
        <f t="shared" si="40"/>
        <v>90.2</v>
      </c>
      <c r="AO68" s="110">
        <f t="shared" si="40"/>
        <v>117.28000000000002</v>
      </c>
      <c r="AP68" s="110">
        <f t="shared" si="40"/>
        <v>207.48000000000002</v>
      </c>
      <c r="AQ68" s="110">
        <f t="shared" si="40"/>
        <v>87.2</v>
      </c>
      <c r="AR68" s="110">
        <f t="shared" si="40"/>
        <v>121.39999999999999</v>
      </c>
      <c r="AS68" s="110">
        <f t="shared" si="40"/>
        <v>208.6</v>
      </c>
      <c r="AT68" s="110">
        <f t="shared" si="40"/>
        <v>85.300000000000011</v>
      </c>
      <c r="AU68" s="110">
        <f t="shared" si="40"/>
        <v>144.89999999999992</v>
      </c>
      <c r="AV68" s="110">
        <f t="shared" si="40"/>
        <v>230.2</v>
      </c>
      <c r="AW68" s="110">
        <f t="shared" si="40"/>
        <v>110.8</v>
      </c>
      <c r="AX68" s="110">
        <f t="shared" si="40"/>
        <v>176.49999999999997</v>
      </c>
      <c r="AY68" s="110">
        <f t="shared" si="40"/>
        <v>287.29999999999995</v>
      </c>
      <c r="AZ68" s="110">
        <f t="shared" si="40"/>
        <v>104.70000000000002</v>
      </c>
      <c r="BA68" s="110">
        <f t="shared" si="40"/>
        <v>149.9</v>
      </c>
      <c r="BB68" s="110">
        <f t="shared" si="40"/>
        <v>254.59999999999997</v>
      </c>
      <c r="BC68" s="110">
        <f t="shared" si="40"/>
        <v>103</v>
      </c>
      <c r="BD68" s="110">
        <f t="shared" ref="BD68" si="41">BD60+BD66</f>
        <v>173.70000000000007</v>
      </c>
      <c r="BE68" s="110">
        <f t="shared" si="40"/>
        <v>276.70000000000005</v>
      </c>
      <c r="BF68" s="110">
        <f t="shared" si="40"/>
        <v>103.23051185780309</v>
      </c>
      <c r="BG68" s="110">
        <f t="shared" si="40"/>
        <v>182.39623833425546</v>
      </c>
      <c r="BH68" s="110">
        <f>SUM(BF68:BG68)</f>
        <v>285.62675019205858</v>
      </c>
      <c r="BI68" s="110">
        <f>BI60+BI66</f>
        <v>123.09841251348519</v>
      </c>
      <c r="BJ68" s="110">
        <f>BJ60+BJ66</f>
        <v>184.27169489993796</v>
      </c>
      <c r="BK68" s="110">
        <f>SUM(BI68:BJ68)</f>
        <v>307.37010741342317</v>
      </c>
      <c r="BL68" s="110">
        <f>BL60+BL66</f>
        <v>130.92325604535023</v>
      </c>
      <c r="BM68" s="110">
        <f>BM60+BM66</f>
        <v>194.11559844602436</v>
      </c>
      <c r="BN68" s="110">
        <f>SUM(BL68:BM68)</f>
        <v>325.03885449137459</v>
      </c>
      <c r="BO68" s="110">
        <f>BO60+BO66</f>
        <v>143.0293514831161</v>
      </c>
      <c r="BP68" s="110">
        <f>BP60+BP66</f>
        <v>201.41754936817836</v>
      </c>
      <c r="BQ68" s="110">
        <f>SUM(BO68:BP68)</f>
        <v>344.44690085129446</v>
      </c>
      <c r="BR68" s="110">
        <f>BR60+BR66</f>
        <v>141.5727527759893</v>
      </c>
      <c r="BS68" s="110">
        <f>BS60+BS66</f>
        <v>213.76987677502981</v>
      </c>
      <c r="BT68" s="110">
        <f>SUM(BR68:BS68)</f>
        <v>355.34262955101912</v>
      </c>
      <c r="BU68" s="110">
        <f>BU60+BU66</f>
        <v>155.5469938240457</v>
      </c>
      <c r="BV68" s="110">
        <f>BV60+BV66</f>
        <v>231.84186585347268</v>
      </c>
      <c r="BW68" s="110">
        <f>SUM(BU68:BV68)</f>
        <v>387.38885967751838</v>
      </c>
      <c r="BX68" s="110">
        <f>BX60+BX66</f>
        <v>169.91057549088742</v>
      </c>
      <c r="BY68" s="110">
        <f>BY60+BY66</f>
        <v>237.38506248105892</v>
      </c>
      <c r="BZ68" s="110">
        <f>SUM(BX68:BY68)</f>
        <v>407.29563797194635</v>
      </c>
      <c r="CA68" s="110">
        <f>CA60+CA66</f>
        <v>173.82597327791871</v>
      </c>
      <c r="CB68" s="110">
        <f>CB60+CB66</f>
        <v>243.49094086724403</v>
      </c>
      <c r="CC68" s="110">
        <f>SUM(CA68:CB68)</f>
        <v>417.31691414516274</v>
      </c>
      <c r="CD68" s="40"/>
      <c r="CE68" s="40"/>
      <c r="CF68"/>
      <c r="CG68"/>
      <c r="CH68"/>
      <c r="CI68"/>
      <c r="CJ68"/>
      <c r="CK68"/>
    </row>
    <row r="69" spans="1:89">
      <c r="B69" s="257" t="s">
        <v>141</v>
      </c>
      <c r="AD69" s="151">
        <v>-34.5</v>
      </c>
      <c r="AE69" s="151">
        <v>-16.7</v>
      </c>
      <c r="AF69" s="458">
        <f>AG69-AE69</f>
        <v>-28.7</v>
      </c>
      <c r="AG69" s="151">
        <v>-45.4</v>
      </c>
      <c r="AH69" s="151">
        <v>-23.3</v>
      </c>
      <c r="AI69" s="458">
        <f>AI112</f>
        <v>-27.499999999999996</v>
      </c>
      <c r="AJ69" s="458">
        <f>AJ112</f>
        <v>-50.8</v>
      </c>
      <c r="AK69" s="151">
        <v>-23.1</v>
      </c>
      <c r="AL69" s="458">
        <f>+AM69-AK69</f>
        <v>-34.9</v>
      </c>
      <c r="AM69" s="151">
        <v>-58</v>
      </c>
      <c r="AN69" s="151">
        <v>-22.7</v>
      </c>
      <c r="AO69" s="458">
        <f>+AP69-AN69</f>
        <v>-31.900000000000002</v>
      </c>
      <c r="AP69" s="209">
        <v>-54.6</v>
      </c>
      <c r="AQ69" s="151">
        <v>-24.2</v>
      </c>
      <c r="AR69" s="458">
        <f>AS69-AQ69</f>
        <v>-33.299999999999997</v>
      </c>
      <c r="AS69" s="151">
        <v>-57.5</v>
      </c>
      <c r="AT69" s="151">
        <v>-24.1</v>
      </c>
      <c r="AU69" s="458">
        <f>AV69-AT69</f>
        <v>-39.699999999999996</v>
      </c>
      <c r="AV69" s="151">
        <f>-63.8</f>
        <v>-63.8</v>
      </c>
      <c r="AW69" s="151">
        <f>-27.8</f>
        <v>-27.8</v>
      </c>
      <c r="AX69" s="458">
        <f>AY69-AW69</f>
        <v>-50.400000000000006</v>
      </c>
      <c r="AY69" s="151">
        <v>-78.2</v>
      </c>
      <c r="AZ69" s="151">
        <v>-27.6</v>
      </c>
      <c r="BA69" s="458">
        <f>BB69-AZ69</f>
        <v>-40.800000000000004</v>
      </c>
      <c r="BB69" s="151">
        <v>-68.400000000000006</v>
      </c>
      <c r="BC69" s="151">
        <f>-27.5-0.8-0.2</f>
        <v>-28.5</v>
      </c>
      <c r="BD69" s="458">
        <f>BE69-BC69</f>
        <v>-50.400000000000006</v>
      </c>
      <c r="BE69" s="151">
        <v>-78.900000000000006</v>
      </c>
      <c r="BF69" s="458">
        <f>BF112</f>
        <v>-26.12623552876693</v>
      </c>
      <c r="BG69" s="458">
        <f>BG112</f>
        <v>-48.763032366806733</v>
      </c>
      <c r="BH69" s="458">
        <f>SUM(BF69:BG69)</f>
        <v>-74.889267895573667</v>
      </c>
      <c r="BI69" s="458">
        <f>BI112</f>
        <v>-31.294857156243079</v>
      </c>
      <c r="BJ69" s="458">
        <f>BJ112</f>
        <v>-49.267477192524403</v>
      </c>
      <c r="BK69" s="458">
        <f>SUM(BI69:BJ69)</f>
        <v>-80.562334348767479</v>
      </c>
      <c r="BL69" s="458">
        <f>BL112</f>
        <v>-33.357153797205932</v>
      </c>
      <c r="BM69" s="458">
        <f>BM112</f>
        <v>-51.945775604772685</v>
      </c>
      <c r="BN69" s="458">
        <f>SUM(BL69:BM69)</f>
        <v>-85.302929401978616</v>
      </c>
      <c r="BO69" s="458">
        <f>BO112</f>
        <v>-36.532311961997948</v>
      </c>
      <c r="BP69" s="458">
        <f>BP112</f>
        <v>-53.945173337930619</v>
      </c>
      <c r="BQ69" s="458">
        <f>SUM(BO69:BP69)</f>
        <v>-90.47748529992856</v>
      </c>
      <c r="BR69" s="458">
        <f>BR112</f>
        <v>-36.200368328291091</v>
      </c>
      <c r="BS69" s="458">
        <f>BS112</f>
        <v>-57.333698984936284</v>
      </c>
      <c r="BT69" s="458">
        <f>SUM(BR69:BS69)</f>
        <v>-93.534067313227382</v>
      </c>
      <c r="BU69" s="458">
        <f>BU112</f>
        <v>-39.906265668334377</v>
      </c>
      <c r="BV69" s="458">
        <f>BV112</f>
        <v>-62.265565683827631</v>
      </c>
      <c r="BW69" s="458">
        <f>SUM(BU69:BV69)</f>
        <v>-102.171831352162</v>
      </c>
      <c r="BX69" s="458">
        <f>BX112</f>
        <v>-43.713956256887307</v>
      </c>
      <c r="BY69" s="458">
        <f>BY112</f>
        <v>-63.817749426717555</v>
      </c>
      <c r="BZ69" s="458">
        <f>SUM(BX69:BY69)</f>
        <v>-107.53170568360486</v>
      </c>
      <c r="CA69" s="458">
        <f>CA112</f>
        <v>-44.82579939836144</v>
      </c>
      <c r="CB69" s="458">
        <f>CB112</f>
        <v>-65.536018505627339</v>
      </c>
      <c r="CC69" s="458">
        <f>SUM(CA69:CB69)</f>
        <v>-110.36181790398878</v>
      </c>
    </row>
    <row r="70" spans="1:89">
      <c r="B70" s="257" t="s">
        <v>358</v>
      </c>
      <c r="AD70" s="151">
        <v>0</v>
      </c>
      <c r="AE70" s="151">
        <v>-0.1</v>
      </c>
      <c r="AF70" s="458">
        <f>AG70-AE70</f>
        <v>0.2</v>
      </c>
      <c r="AG70" s="151">
        <v>0.1</v>
      </c>
      <c r="AH70" s="151">
        <v>0</v>
      </c>
      <c r="AI70" s="151">
        <v>-0.1</v>
      </c>
      <c r="AJ70" s="458">
        <f>AI70+AH70</f>
        <v>-0.1</v>
      </c>
      <c r="AK70" s="151">
        <v>-0.1</v>
      </c>
      <c r="AL70" s="458">
        <f>+AM70-AK70</f>
        <v>0.1</v>
      </c>
      <c r="AM70" s="151">
        <v>0</v>
      </c>
      <c r="AN70" s="151">
        <v>0</v>
      </c>
      <c r="AO70" s="458">
        <f>+AP70-AN70</f>
        <v>-0.1</v>
      </c>
      <c r="AP70" s="151">
        <v>-0.1</v>
      </c>
      <c r="AQ70" s="151">
        <v>0</v>
      </c>
      <c r="AR70" s="458">
        <f>AQ70*AR61</f>
        <v>0</v>
      </c>
      <c r="AS70" s="458">
        <f>AR70+AQ70</f>
        <v>0</v>
      </c>
      <c r="AT70" s="151">
        <v>0</v>
      </c>
      <c r="AU70" s="458">
        <f>AT70*AU61</f>
        <v>0</v>
      </c>
      <c r="AV70" s="458">
        <f>0</f>
        <v>0</v>
      </c>
      <c r="AW70" s="151">
        <v>0</v>
      </c>
      <c r="AX70" s="458">
        <f>AY70-AW70</f>
        <v>0</v>
      </c>
      <c r="AY70" s="151">
        <v>0</v>
      </c>
      <c r="AZ70" s="151">
        <v>0</v>
      </c>
      <c r="BA70" s="458">
        <f>BB70-AZ70</f>
        <v>0</v>
      </c>
      <c r="BB70" s="151">
        <v>0</v>
      </c>
      <c r="BC70" s="151">
        <v>0</v>
      </c>
      <c r="BD70" s="458">
        <f>BE70-BC70</f>
        <v>0.1</v>
      </c>
      <c r="BE70" s="13">
        <v>0.1</v>
      </c>
      <c r="BF70" s="458">
        <f>BD70*BF61</f>
        <v>6.1697234275490684E-4</v>
      </c>
      <c r="BG70" s="458">
        <f>BF70*BG61</f>
        <v>2.7695979057111586E-5</v>
      </c>
      <c r="BH70" s="458">
        <f>BG70+BF70</f>
        <v>6.4466832181201837E-4</v>
      </c>
      <c r="BI70" s="458">
        <f>BG70*BI61</f>
        <v>4.9922604097948687E-6</v>
      </c>
      <c r="BJ70" s="458">
        <f>BI70*BJ61</f>
        <v>5.0009927819193716E-8</v>
      </c>
      <c r="BK70" s="458">
        <f>BJ70+BI70</f>
        <v>5.0422703376140627E-6</v>
      </c>
      <c r="BL70" s="458">
        <f>BJ70*BL61</f>
        <v>2.7979001843886196E-9</v>
      </c>
      <c r="BM70" s="458">
        <f>BL70*BM61</f>
        <v>1.3839877856941385E-10</v>
      </c>
      <c r="BN70" s="458">
        <f>BM70+BL70</f>
        <v>2.9362989629580332E-9</v>
      </c>
      <c r="BO70" s="458">
        <f>BM70*BO61</f>
        <v>1.1874392486517582E-11</v>
      </c>
      <c r="BP70" s="458">
        <f>BO70*BP61</f>
        <v>4.0374027506763167E-13</v>
      </c>
      <c r="BQ70" s="458">
        <f>BP70+BO70</f>
        <v>1.2278132761585214E-11</v>
      </c>
      <c r="BR70" s="458">
        <f>BP70*BR61</f>
        <v>-6.908044074865871E-15</v>
      </c>
      <c r="BS70" s="458">
        <f>BR70*BS61</f>
        <v>-3.6194898270391535E-16</v>
      </c>
      <c r="BT70" s="458">
        <f>BS70+BR70</f>
        <v>-7.2699930575697861E-15</v>
      </c>
      <c r="BU70" s="458">
        <f>BS70*BU61</f>
        <v>-3.0919024971807876E-17</v>
      </c>
      <c r="BV70" s="458">
        <f>BU70*BV61</f>
        <v>-2.3474567839051889E-18</v>
      </c>
      <c r="BW70" s="458">
        <f>BV70+BU70</f>
        <v>-3.3266481755713065E-17</v>
      </c>
      <c r="BX70" s="458">
        <f>BV70*BX61</f>
        <v>-1.8887596235220314E-19</v>
      </c>
      <c r="BY70" s="458">
        <f>BX70*BY61</f>
        <v>-3.0716316091761633E-21</v>
      </c>
      <c r="BZ70" s="458">
        <f>BY70+BX70</f>
        <v>-1.919475939613793E-19</v>
      </c>
      <c r="CA70" s="458">
        <f>BY70*CA61</f>
        <v>-2.9577459343248066E-23</v>
      </c>
      <c r="CB70" s="458">
        <f>CA70*CB61</f>
        <v>-4.8479304164339223E-25</v>
      </c>
      <c r="CC70" s="458">
        <f>CB70+CA70</f>
        <v>-3.0062252384891457E-23</v>
      </c>
    </row>
    <row r="71" spans="1:89">
      <c r="AD71" s="140"/>
      <c r="AE71" s="140"/>
      <c r="AF71" s="458"/>
      <c r="AG71" s="140"/>
      <c r="AH71" s="140"/>
      <c r="AI71" s="458"/>
      <c r="AJ71" s="458"/>
      <c r="AK71" s="140"/>
      <c r="AL71" s="458"/>
      <c r="AM71" s="458"/>
      <c r="AN71" s="483"/>
      <c r="AO71" s="458"/>
      <c r="AP71" s="458"/>
      <c r="AQ71" s="458"/>
      <c r="AR71" s="458"/>
      <c r="AS71" s="458"/>
      <c r="AT71" s="458"/>
      <c r="AU71" s="458"/>
      <c r="AV71" s="458"/>
      <c r="AW71" s="458"/>
      <c r="AX71" s="458"/>
      <c r="AY71" s="458"/>
      <c r="AZ71" s="458"/>
      <c r="BA71" s="458"/>
      <c r="BB71" s="458"/>
      <c r="BC71" s="458"/>
      <c r="BD71" s="13"/>
      <c r="BE71" s="13"/>
      <c r="BF71" s="458"/>
      <c r="BG71" s="458"/>
      <c r="BH71" s="458"/>
      <c r="BI71" s="458"/>
      <c r="BJ71" s="458"/>
      <c r="BK71" s="458"/>
      <c r="BL71" s="458"/>
      <c r="BM71" s="458"/>
      <c r="BN71" s="458"/>
      <c r="BO71" s="458"/>
      <c r="BP71" s="458"/>
      <c r="BQ71" s="458"/>
      <c r="BR71" s="458"/>
      <c r="BS71" s="458"/>
      <c r="BT71" s="458"/>
      <c r="BU71" s="458"/>
      <c r="BV71" s="458"/>
      <c r="BW71" s="458"/>
      <c r="BX71" s="458"/>
      <c r="BY71" s="458"/>
      <c r="BZ71" s="458"/>
      <c r="CA71" s="458"/>
      <c r="CB71" s="458"/>
      <c r="CC71" s="458"/>
    </row>
    <row r="72" spans="1:89" s="7" customFormat="1">
      <c r="A72" s="73"/>
      <c r="B72" s="73" t="s">
        <v>142</v>
      </c>
      <c r="C72" s="73"/>
      <c r="D72" s="73"/>
      <c r="E72" s="73"/>
      <c r="F72" s="73"/>
      <c r="G72" s="73"/>
      <c r="H72" s="73"/>
      <c r="I72" s="73"/>
      <c r="J72" s="73"/>
      <c r="K72" s="73"/>
      <c r="L72" s="73"/>
      <c r="M72" s="73"/>
      <c r="N72" s="73"/>
      <c r="O72" s="73"/>
      <c r="P72" s="73"/>
      <c r="Q72" s="73"/>
      <c r="R72" s="73"/>
      <c r="S72" s="73"/>
      <c r="T72" s="73"/>
      <c r="U72" s="73"/>
      <c r="V72" s="73"/>
      <c r="W72" s="73"/>
      <c r="X72" s="73"/>
      <c r="Y72" s="73"/>
      <c r="Z72" s="73"/>
      <c r="AA72" s="73"/>
      <c r="AB72" s="73"/>
      <c r="AC72" s="73"/>
      <c r="AD72" s="143">
        <f>AD68+AD69-AD70</f>
        <v>120.80000000000001</v>
      </c>
      <c r="AE72" s="143">
        <f t="shared" ref="AE72:BG72" si="42">AE68+AE69-AE70</f>
        <v>43.900000000000013</v>
      </c>
      <c r="AF72" s="143">
        <f t="shared" si="42"/>
        <v>79.199999999999989</v>
      </c>
      <c r="AG72" s="143">
        <f t="shared" si="42"/>
        <v>123.10000000000002</v>
      </c>
      <c r="AH72" s="143">
        <f t="shared" si="42"/>
        <v>68.800000000000011</v>
      </c>
      <c r="AI72" s="143">
        <f t="shared" si="42"/>
        <v>82.699999999999974</v>
      </c>
      <c r="AJ72" s="143">
        <f t="shared" si="42"/>
        <v>151.49999999999997</v>
      </c>
      <c r="AK72" s="143">
        <f t="shared" si="42"/>
        <v>61.499999999999986</v>
      </c>
      <c r="AL72" s="143">
        <f t="shared" si="42"/>
        <v>86.9</v>
      </c>
      <c r="AM72" s="143">
        <f t="shared" si="42"/>
        <v>148.4</v>
      </c>
      <c r="AN72" s="143">
        <f t="shared" si="42"/>
        <v>67.5</v>
      </c>
      <c r="AO72" s="143">
        <f t="shared" si="42"/>
        <v>85.48</v>
      </c>
      <c r="AP72" s="143">
        <f t="shared" si="42"/>
        <v>152.98000000000002</v>
      </c>
      <c r="AQ72" s="143">
        <f t="shared" si="42"/>
        <v>63</v>
      </c>
      <c r="AR72" s="143">
        <f t="shared" si="42"/>
        <v>88.1</v>
      </c>
      <c r="AS72" s="143">
        <f t="shared" si="42"/>
        <v>151.1</v>
      </c>
      <c r="AT72" s="143">
        <f t="shared" si="42"/>
        <v>61.20000000000001</v>
      </c>
      <c r="AU72" s="143">
        <f t="shared" si="42"/>
        <v>105.19999999999993</v>
      </c>
      <c r="AV72" s="143">
        <f t="shared" si="42"/>
        <v>166.39999999999998</v>
      </c>
      <c r="AW72" s="143">
        <f t="shared" si="42"/>
        <v>83</v>
      </c>
      <c r="AX72" s="143">
        <f t="shared" si="42"/>
        <v>126.09999999999997</v>
      </c>
      <c r="AY72" s="143">
        <f t="shared" si="42"/>
        <v>209.09999999999997</v>
      </c>
      <c r="AZ72" s="143">
        <f t="shared" si="42"/>
        <v>77.100000000000023</v>
      </c>
      <c r="BA72" s="143">
        <f t="shared" si="42"/>
        <v>109.1</v>
      </c>
      <c r="BB72" s="143">
        <f t="shared" si="42"/>
        <v>186.19999999999996</v>
      </c>
      <c r="BC72" s="143">
        <f>BC68+BC69-BC70</f>
        <v>74.5</v>
      </c>
      <c r="BD72" s="211">
        <f t="shared" si="42"/>
        <v>123.20000000000007</v>
      </c>
      <c r="BE72" s="211">
        <f>SUM(BC72:BD72)</f>
        <v>197.70000000000007</v>
      </c>
      <c r="BF72" s="143">
        <f t="shared" si="42"/>
        <v>77.103659356693413</v>
      </c>
      <c r="BG72" s="143">
        <f t="shared" si="42"/>
        <v>133.63317827146966</v>
      </c>
      <c r="BH72" s="143">
        <f>SUM(BF72:BG72)</f>
        <v>210.73683762816307</v>
      </c>
      <c r="BI72" s="143">
        <f>BI68+BI69-BI70</f>
        <v>91.803550364981689</v>
      </c>
      <c r="BJ72" s="143">
        <f>BJ68+BJ69-BJ70</f>
        <v>135.00421765740361</v>
      </c>
      <c r="BK72" s="143">
        <f>SUM(BI72:BJ72)</f>
        <v>226.80776802238529</v>
      </c>
      <c r="BL72" s="143">
        <f>BL68+BL69-BL70</f>
        <v>97.566102245346386</v>
      </c>
      <c r="BM72" s="143">
        <f>BM68+BM69-BM70</f>
        <v>142.1698228411133</v>
      </c>
      <c r="BN72" s="143">
        <f>SUM(BL72:BM72)</f>
        <v>239.7359250864597</v>
      </c>
      <c r="BO72" s="143">
        <f>BO68+BO69-BO70</f>
        <v>106.49703952110627</v>
      </c>
      <c r="BP72" s="143">
        <f>BP68+BP69-BP70</f>
        <v>147.47237603024735</v>
      </c>
      <c r="BQ72" s="143">
        <f>SUM(BO72:BP72)</f>
        <v>253.96941555135362</v>
      </c>
      <c r="BR72" s="143">
        <f>BR68+BR69-BR70</f>
        <v>105.37238444769821</v>
      </c>
      <c r="BS72" s="143">
        <f>BS68+BS69-BS70</f>
        <v>156.43617779009352</v>
      </c>
      <c r="BT72" s="143">
        <f>SUM(BR72:BS72)</f>
        <v>261.80856223779176</v>
      </c>
      <c r="BU72" s="143">
        <f>BU68+BU69-BU70</f>
        <v>115.64072815571132</v>
      </c>
      <c r="BV72" s="143">
        <f>BV68+BV69-BV70</f>
        <v>169.57630016964504</v>
      </c>
      <c r="BW72" s="143">
        <f>SUM(BU72:BV72)</f>
        <v>285.21702832535635</v>
      </c>
      <c r="BX72" s="143">
        <f>BX68+BX69-BX70</f>
        <v>126.19661923400011</v>
      </c>
      <c r="BY72" s="143">
        <f>BY68+BY69-BY70</f>
        <v>173.56731305434135</v>
      </c>
      <c r="BZ72" s="143">
        <f>SUM(BX72:BY72)</f>
        <v>299.76393228834149</v>
      </c>
      <c r="CA72" s="143">
        <f>CA68+CA69-CA70</f>
        <v>129.00017387955728</v>
      </c>
      <c r="CB72" s="143">
        <f>CB68+CB69-CB70</f>
        <v>177.9549223616167</v>
      </c>
      <c r="CC72" s="143">
        <f>SUM(CA72:CB72)</f>
        <v>306.95509624117398</v>
      </c>
      <c r="CD72" s="40"/>
      <c r="CE72" s="40"/>
      <c r="CF72"/>
      <c r="CG72"/>
      <c r="CH72"/>
      <c r="CI72"/>
      <c r="CJ72"/>
      <c r="CK72"/>
    </row>
    <row r="73" spans="1:89" s="7" customFormat="1">
      <c r="A73" s="73"/>
      <c r="B73" s="73" t="s">
        <v>143</v>
      </c>
      <c r="C73" s="73"/>
      <c r="D73" s="73"/>
      <c r="E73" s="73"/>
      <c r="F73" s="73"/>
      <c r="G73" s="73"/>
      <c r="H73" s="73"/>
      <c r="I73" s="73"/>
      <c r="J73" s="73"/>
      <c r="K73" s="73"/>
      <c r="L73" s="73"/>
      <c r="M73" s="73"/>
      <c r="N73" s="73"/>
      <c r="O73" s="73"/>
      <c r="P73" s="73"/>
      <c r="Q73" s="73"/>
      <c r="R73" s="73"/>
      <c r="S73" s="73"/>
      <c r="T73" s="73"/>
      <c r="U73" s="73"/>
      <c r="V73" s="73"/>
      <c r="W73" s="73"/>
      <c r="X73" s="73"/>
      <c r="Y73" s="73"/>
      <c r="Z73" s="73"/>
      <c r="AA73" s="73"/>
      <c r="AB73" s="73"/>
      <c r="AC73" s="73"/>
      <c r="AD73" s="143">
        <f>AD72+AD58</f>
        <v>120.80000000000001</v>
      </c>
      <c r="AE73" s="143">
        <f>AE72+AE58</f>
        <v>43.900000000000013</v>
      </c>
      <c r="AF73" s="143">
        <f>AG73-AE73</f>
        <v>79.200000000000017</v>
      </c>
      <c r="AG73" s="143">
        <f>AG72+AG58</f>
        <v>123.10000000000002</v>
      </c>
      <c r="AH73" s="143">
        <f>AH72+AH58</f>
        <v>68.800000000000011</v>
      </c>
      <c r="AI73" s="143">
        <f t="shared" ref="AI73:AP73" si="43">AI72+AI58</f>
        <v>82.699999999999974</v>
      </c>
      <c r="AJ73" s="143">
        <f t="shared" si="43"/>
        <v>151.49999999999997</v>
      </c>
      <c r="AK73" s="143">
        <f t="shared" si="43"/>
        <v>61.499999999999986</v>
      </c>
      <c r="AL73" s="143">
        <f t="shared" si="43"/>
        <v>86.9</v>
      </c>
      <c r="AM73" s="143">
        <f t="shared" si="43"/>
        <v>148.4</v>
      </c>
      <c r="AN73" s="143">
        <f t="shared" si="43"/>
        <v>67.5</v>
      </c>
      <c r="AO73" s="143">
        <f t="shared" si="43"/>
        <v>85.48</v>
      </c>
      <c r="AP73" s="143">
        <f t="shared" si="43"/>
        <v>152.98000000000002</v>
      </c>
      <c r="AQ73" s="143">
        <f t="shared" ref="AQ73:BG73" si="44">AQ72+AQ58</f>
        <v>63</v>
      </c>
      <c r="AR73" s="143">
        <f t="shared" si="44"/>
        <v>88.1</v>
      </c>
      <c r="AS73" s="143">
        <f t="shared" si="44"/>
        <v>151.1</v>
      </c>
      <c r="AT73" s="143">
        <f t="shared" si="44"/>
        <v>61.20000000000001</v>
      </c>
      <c r="AU73" s="143">
        <f t="shared" si="44"/>
        <v>105.19999999999993</v>
      </c>
      <c r="AV73" s="143">
        <f t="shared" si="44"/>
        <v>166.39999999999998</v>
      </c>
      <c r="AW73" s="143">
        <f t="shared" si="44"/>
        <v>83</v>
      </c>
      <c r="AX73" s="143">
        <f t="shared" si="44"/>
        <v>126.09999999999997</v>
      </c>
      <c r="AY73" s="143">
        <f t="shared" si="44"/>
        <v>209.09999999999997</v>
      </c>
      <c r="AZ73" s="143">
        <f t="shared" si="44"/>
        <v>77.100000000000023</v>
      </c>
      <c r="BA73" s="143">
        <f t="shared" si="44"/>
        <v>109.1</v>
      </c>
      <c r="BB73" s="143">
        <f t="shared" si="44"/>
        <v>186.19999999999996</v>
      </c>
      <c r="BC73" s="143">
        <f t="shared" si="44"/>
        <v>74.5</v>
      </c>
      <c r="BD73" s="211">
        <f t="shared" si="44"/>
        <v>123.20000000000007</v>
      </c>
      <c r="BE73" s="211">
        <f>SUM(BC73:BD73)</f>
        <v>197.70000000000007</v>
      </c>
      <c r="BF73" s="143">
        <f t="shared" si="44"/>
        <v>77.103659356693413</v>
      </c>
      <c r="BG73" s="143">
        <f t="shared" si="44"/>
        <v>133.63317827146966</v>
      </c>
      <c r="BH73" s="143">
        <f>SUM(BF73:BG73)</f>
        <v>210.73683762816307</v>
      </c>
      <c r="BI73" s="143">
        <f>BI72+BI58</f>
        <v>91.803550364981689</v>
      </c>
      <c r="BJ73" s="143">
        <f>BJ72+BJ58</f>
        <v>135.00421765740361</v>
      </c>
      <c r="BK73" s="143">
        <f>SUM(BI73:BJ73)</f>
        <v>226.80776802238529</v>
      </c>
      <c r="BL73" s="143">
        <f>BL72+BL58</f>
        <v>97.566102245346386</v>
      </c>
      <c r="BM73" s="143">
        <f>BM72+BM58</f>
        <v>142.1698228411133</v>
      </c>
      <c r="BN73" s="143">
        <f>SUM(BL73:BM73)</f>
        <v>239.7359250864597</v>
      </c>
      <c r="BO73" s="143">
        <f>BO72+BO58</f>
        <v>106.49703952110627</v>
      </c>
      <c r="BP73" s="143">
        <f>BP72+BP58</f>
        <v>147.47237603024735</v>
      </c>
      <c r="BQ73" s="143">
        <f>SUM(BO73:BP73)</f>
        <v>253.96941555135362</v>
      </c>
      <c r="BR73" s="143">
        <f>BR72+BR58</f>
        <v>105.37238444769821</v>
      </c>
      <c r="BS73" s="143">
        <f>BS72+BS58</f>
        <v>156.43617779009352</v>
      </c>
      <c r="BT73" s="143">
        <f>SUM(BR73:BS73)</f>
        <v>261.80856223779176</v>
      </c>
      <c r="BU73" s="143">
        <f>BU72+BU58</f>
        <v>115.64072815571132</v>
      </c>
      <c r="BV73" s="143">
        <f>BV72+BV58</f>
        <v>169.57630016964504</v>
      </c>
      <c r="BW73" s="143">
        <f>SUM(BU73:BV73)</f>
        <v>285.21702832535635</v>
      </c>
      <c r="BX73" s="143">
        <f>BX72+BX58</f>
        <v>126.19661923400011</v>
      </c>
      <c r="BY73" s="143">
        <f>BY72+BY58</f>
        <v>173.56731305434135</v>
      </c>
      <c r="BZ73" s="143">
        <f>SUM(BX73:BY73)</f>
        <v>299.76393228834149</v>
      </c>
      <c r="CA73" s="143">
        <f>CA72+CA58</f>
        <v>129.00017387955728</v>
      </c>
      <c r="CB73" s="143">
        <f>CB72+CB58</f>
        <v>177.9549223616167</v>
      </c>
      <c r="CC73" s="143">
        <f>SUM(CA73:CB73)</f>
        <v>306.95509624117398</v>
      </c>
      <c r="CD73" s="40"/>
      <c r="CE73" s="40"/>
      <c r="CF73"/>
      <c r="CG73"/>
      <c r="CH73"/>
      <c r="CI73"/>
      <c r="CJ73"/>
      <c r="CK73"/>
    </row>
    <row r="74" spans="1:89" s="552" customFormat="1">
      <c r="A74" s="134"/>
      <c r="B74" s="138" t="s">
        <v>144</v>
      </c>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c r="AD74" s="138"/>
      <c r="AE74" s="138"/>
      <c r="AF74" s="138"/>
      <c r="AG74" s="138">
        <f>AG73/AD73-1</f>
        <v>1.9039735099337873E-2</v>
      </c>
      <c r="AH74" s="138">
        <f>AH73/AE73-1</f>
        <v>0.56719817767653735</v>
      </c>
      <c r="AI74" s="138">
        <f t="shared" ref="AI74:AP74" si="45">AI73/AF73-1</f>
        <v>4.4191919191918672E-2</v>
      </c>
      <c r="AJ74" s="138">
        <f t="shared" si="45"/>
        <v>0.23070674248578338</v>
      </c>
      <c r="AK74" s="138">
        <f t="shared" si="45"/>
        <v>-0.106104651162791</v>
      </c>
      <c r="AL74" s="138">
        <f t="shared" si="45"/>
        <v>5.0785973397823758E-2</v>
      </c>
      <c r="AM74" s="138">
        <f>AM73/AJ73-1</f>
        <v>-2.0462046204620221E-2</v>
      </c>
      <c r="AN74" s="138">
        <f t="shared" si="45"/>
        <v>9.7560975609756406E-2</v>
      </c>
      <c r="AO74" s="138">
        <f t="shared" si="45"/>
        <v>-1.634062140391257E-2</v>
      </c>
      <c r="AP74" s="138">
        <f t="shared" si="45"/>
        <v>3.0862533692722405E-2</v>
      </c>
      <c r="AQ74" s="138">
        <f t="shared" ref="AQ74:BL74" si="46">AQ73/AN73-1</f>
        <v>-6.6666666666666652E-2</v>
      </c>
      <c r="AR74" s="138">
        <f t="shared" si="46"/>
        <v>3.0650444548432354E-2</v>
      </c>
      <c r="AS74" s="138">
        <f t="shared" si="46"/>
        <v>-1.228918812916735E-2</v>
      </c>
      <c r="AT74" s="138">
        <f t="shared" si="46"/>
        <v>-2.8571428571428359E-2</v>
      </c>
      <c r="AU74" s="138">
        <f t="shared" si="46"/>
        <v>0.19409761634506184</v>
      </c>
      <c r="AV74" s="138">
        <f t="shared" si="46"/>
        <v>0.10125744540039694</v>
      </c>
      <c r="AW74" s="138">
        <f t="shared" si="46"/>
        <v>0.35620915032679723</v>
      </c>
      <c r="AX74" s="138">
        <f t="shared" si="46"/>
        <v>0.19866920152091305</v>
      </c>
      <c r="AY74" s="138">
        <f t="shared" si="46"/>
        <v>0.25661057692307687</v>
      </c>
      <c r="AZ74" s="138">
        <f t="shared" si="46"/>
        <v>-7.1084337349397342E-2</v>
      </c>
      <c r="BA74" s="138">
        <f t="shared" si="46"/>
        <v>-0.134813639968279</v>
      </c>
      <c r="BB74" s="138">
        <f t="shared" si="46"/>
        <v>-0.1095169775227165</v>
      </c>
      <c r="BC74" s="138">
        <f t="shared" si="46"/>
        <v>-3.3722438391699416E-2</v>
      </c>
      <c r="BD74" s="478">
        <f t="shared" si="46"/>
        <v>0.12923923006416205</v>
      </c>
      <c r="BE74" s="478">
        <f>BE73/BB73-1</f>
        <v>6.1761546723953398E-2</v>
      </c>
      <c r="BF74" s="138">
        <f>BF73/BC73-1</f>
        <v>3.4948447740851263E-2</v>
      </c>
      <c r="BG74" s="138">
        <f>BG73/BD73-1</f>
        <v>8.4684888567123195E-2</v>
      </c>
      <c r="BH74" s="138">
        <f>BH73/BE73-1</f>
        <v>6.594252720365712E-2</v>
      </c>
      <c r="BI74" s="138">
        <f t="shared" si="46"/>
        <v>0.19065101618957292</v>
      </c>
      <c r="BJ74" s="138">
        <f t="shared" si="46"/>
        <v>1.025972294955646E-2</v>
      </c>
      <c r="BK74" s="138">
        <f t="shared" si="46"/>
        <v>7.6260660333997921E-2</v>
      </c>
      <c r="BL74" s="138">
        <f t="shared" si="46"/>
        <v>6.277046865240643E-2</v>
      </c>
      <c r="BM74" s="138">
        <f>BM73/BJ73-1</f>
        <v>5.3076898692851593E-2</v>
      </c>
      <c r="BN74" s="138">
        <f>BN73/BK73-1</f>
        <v>5.7000503892787435E-2</v>
      </c>
      <c r="BO74" s="138">
        <f>BO73/BL73-1</f>
        <v>9.1537296973302595E-2</v>
      </c>
      <c r="BP74" s="138">
        <f>BP73/BM73-1</f>
        <v>3.7297318679647695E-2</v>
      </c>
      <c r="BQ74" s="138">
        <f>BQ73/BN73-1</f>
        <v>5.9371537493851489E-2</v>
      </c>
      <c r="BR74" s="138">
        <f t="shared" ref="BR74:CC74" si="47">BR73/BO73-1</f>
        <v>-1.0560435092518916E-2</v>
      </c>
      <c r="BS74" s="138">
        <f t="shared" si="47"/>
        <v>6.0782920850259048E-2</v>
      </c>
      <c r="BT74" s="138">
        <f t="shared" si="47"/>
        <v>3.0866498902711426E-2</v>
      </c>
      <c r="BU74" s="138">
        <f t="shared" si="47"/>
        <v>9.7448147935855323E-2</v>
      </c>
      <c r="BV74" s="138">
        <f t="shared" si="47"/>
        <v>8.3996697983652835E-2</v>
      </c>
      <c r="BW74" s="138">
        <f t="shared" si="47"/>
        <v>8.9410620827226728E-2</v>
      </c>
      <c r="BX74" s="138">
        <f t="shared" si="47"/>
        <v>9.1281776296627815E-2</v>
      </c>
      <c r="BY74" s="138">
        <f t="shared" si="47"/>
        <v>2.353520439297041E-2</v>
      </c>
      <c r="BZ74" s="138">
        <f t="shared" si="47"/>
        <v>5.1002929412724329E-2</v>
      </c>
      <c r="CA74" s="138">
        <f t="shared" si="47"/>
        <v>2.221576665503755E-2</v>
      </c>
      <c r="CB74" s="138">
        <f t="shared" si="47"/>
        <v>2.527900691705498E-2</v>
      </c>
      <c r="CC74" s="138">
        <f t="shared" si="47"/>
        <v>2.3989423603888893E-2</v>
      </c>
      <c r="CD74" s="134"/>
      <c r="CE74" s="134"/>
      <c r="CF74"/>
      <c r="CG74"/>
      <c r="CH74"/>
      <c r="CI74"/>
      <c r="CJ74"/>
      <c r="CK74"/>
    </row>
    <row r="75" spans="1:89">
      <c r="AD75" s="458"/>
      <c r="AE75" s="458"/>
      <c r="AF75" s="458"/>
      <c r="AG75" s="458"/>
      <c r="AH75" s="458"/>
      <c r="BD75" s="11"/>
      <c r="BE75" s="11"/>
    </row>
    <row r="76" spans="1:89">
      <c r="B76" s="257" t="s">
        <v>145</v>
      </c>
      <c r="AD76" s="458"/>
      <c r="AE76" s="458"/>
      <c r="AF76" s="458"/>
      <c r="AG76" s="458"/>
      <c r="AH76" s="458"/>
      <c r="AI76" s="151">
        <v>0</v>
      </c>
      <c r="AJ76" s="151">
        <v>0</v>
      </c>
      <c r="AK76" s="151">
        <v>0</v>
      </c>
      <c r="AL76" s="151">
        <v>0</v>
      </c>
      <c r="AM76" s="151">
        <v>0</v>
      </c>
      <c r="AN76" s="151">
        <v>0</v>
      </c>
      <c r="AO76" s="151">
        <v>0</v>
      </c>
      <c r="AP76" s="151">
        <v>0</v>
      </c>
      <c r="AQ76" s="151">
        <v>0</v>
      </c>
      <c r="AR76" s="151">
        <v>0</v>
      </c>
      <c r="AS76" s="151">
        <v>0</v>
      </c>
      <c r="AT76" s="151">
        <v>0</v>
      </c>
      <c r="AU76" s="458">
        <f>AV76-AT76</f>
        <v>0</v>
      </c>
      <c r="AV76" s="151">
        <v>0</v>
      </c>
      <c r="AW76" s="151">
        <v>0</v>
      </c>
      <c r="AX76" s="458">
        <f>AY76-AW76</f>
        <v>0</v>
      </c>
      <c r="AY76" s="151">
        <v>0</v>
      </c>
      <c r="AZ76" s="151">
        <v>0</v>
      </c>
      <c r="BA76" s="458">
        <f>BB76-AZ76</f>
        <v>0</v>
      </c>
      <c r="BB76" s="151">
        <v>0</v>
      </c>
      <c r="BC76" s="151">
        <v>0</v>
      </c>
      <c r="BD76" s="151">
        <v>0</v>
      </c>
      <c r="BE76" s="151">
        <v>0</v>
      </c>
      <c r="BF76" s="485">
        <v>0</v>
      </c>
      <c r="BG76" s="485">
        <v>0</v>
      </c>
      <c r="BH76" s="485">
        <v>0</v>
      </c>
      <c r="BI76" s="485">
        <v>0</v>
      </c>
      <c r="BJ76" s="485">
        <v>0</v>
      </c>
      <c r="BK76" s="485">
        <v>0</v>
      </c>
      <c r="BL76" s="485">
        <v>0</v>
      </c>
      <c r="BM76" s="485">
        <v>0</v>
      </c>
      <c r="BN76" s="485">
        <v>0</v>
      </c>
      <c r="BO76" s="485">
        <v>0</v>
      </c>
      <c r="BP76" s="485">
        <v>0</v>
      </c>
      <c r="BQ76" s="485">
        <v>0</v>
      </c>
      <c r="BR76" s="485">
        <v>0</v>
      </c>
      <c r="BS76" s="485">
        <v>0</v>
      </c>
      <c r="BT76" s="485">
        <v>0</v>
      </c>
      <c r="BU76" s="485">
        <v>0</v>
      </c>
      <c r="BV76" s="485">
        <v>0</v>
      </c>
      <c r="BW76" s="485">
        <v>0</v>
      </c>
      <c r="BX76" s="485">
        <v>0</v>
      </c>
      <c r="BY76" s="485">
        <v>0</v>
      </c>
      <c r="BZ76" s="485">
        <v>0</v>
      </c>
      <c r="CA76" s="485">
        <v>0</v>
      </c>
      <c r="CB76" s="485">
        <v>0</v>
      </c>
      <c r="CC76" s="485">
        <v>0</v>
      </c>
    </row>
    <row r="77" spans="1:89" s="7" customFormat="1">
      <c r="A77" s="73"/>
      <c r="B77" s="73" t="s">
        <v>146</v>
      </c>
      <c r="C77" s="73"/>
      <c r="D77" s="73"/>
      <c r="E77" s="73"/>
      <c r="F77" s="73"/>
      <c r="G77" s="73"/>
      <c r="H77" s="73"/>
      <c r="I77" s="73"/>
      <c r="J77" s="73"/>
      <c r="K77" s="73"/>
      <c r="L77" s="73"/>
      <c r="M77" s="73"/>
      <c r="N77" s="73"/>
      <c r="O77" s="73"/>
      <c r="P77" s="73"/>
      <c r="Q77" s="73"/>
      <c r="R77" s="73"/>
      <c r="S77" s="73"/>
      <c r="T77" s="73"/>
      <c r="U77" s="73"/>
      <c r="V77" s="73"/>
      <c r="W77" s="73"/>
      <c r="X77" s="73"/>
      <c r="Y77" s="73"/>
      <c r="Z77" s="73"/>
      <c r="AA77" s="73"/>
      <c r="AB77" s="73"/>
      <c r="AC77" s="73"/>
      <c r="AD77" s="143">
        <f t="shared" ref="AD77:AK77" si="48">AD73-AD76</f>
        <v>120.80000000000001</v>
      </c>
      <c r="AE77" s="143">
        <f t="shared" si="48"/>
        <v>43.900000000000013</v>
      </c>
      <c r="AF77" s="143">
        <f t="shared" si="48"/>
        <v>79.200000000000017</v>
      </c>
      <c r="AG77" s="143">
        <f t="shared" si="48"/>
        <v>123.10000000000002</v>
      </c>
      <c r="AH77" s="143">
        <f t="shared" si="48"/>
        <v>68.800000000000011</v>
      </c>
      <c r="AI77" s="143">
        <f t="shared" si="48"/>
        <v>82.699999999999974</v>
      </c>
      <c r="AJ77" s="143">
        <f t="shared" si="48"/>
        <v>151.49999999999997</v>
      </c>
      <c r="AK77" s="143">
        <f t="shared" si="48"/>
        <v>61.499999999999986</v>
      </c>
      <c r="AL77" s="143">
        <f>AM77-AK77</f>
        <v>86.90000000000002</v>
      </c>
      <c r="AM77" s="143">
        <f>AM73-AM76</f>
        <v>148.4</v>
      </c>
      <c r="AN77" s="143">
        <f>AN73-AN76</f>
        <v>67.5</v>
      </c>
      <c r="AO77" s="143">
        <f>AP77-AN77</f>
        <v>85.480000000000018</v>
      </c>
      <c r="AP77" s="143">
        <f>AP73-AP76</f>
        <v>152.98000000000002</v>
      </c>
      <c r="AQ77" s="143">
        <f>AQ73-AQ76</f>
        <v>63</v>
      </c>
      <c r="AR77" s="143">
        <f>AS77-AQ77</f>
        <v>88.1</v>
      </c>
      <c r="AS77" s="143">
        <f>AS73-AS76</f>
        <v>151.1</v>
      </c>
      <c r="AT77" s="143">
        <f>AT73-AT76</f>
        <v>61.20000000000001</v>
      </c>
      <c r="AU77" s="143">
        <f>AV77-AT77</f>
        <v>105.19999999999996</v>
      </c>
      <c r="AV77" s="143">
        <f>AV73-AV76</f>
        <v>166.39999999999998</v>
      </c>
      <c r="AW77" s="143">
        <f>AW73-AW76</f>
        <v>83</v>
      </c>
      <c r="AX77" s="143">
        <f>AY77-AW77</f>
        <v>126.09999999999997</v>
      </c>
      <c r="AY77" s="143">
        <f>AY73-AY76</f>
        <v>209.09999999999997</v>
      </c>
      <c r="AZ77" s="143">
        <f>AZ73-AZ76</f>
        <v>77.100000000000023</v>
      </c>
      <c r="BA77" s="143">
        <f>BB77-AZ77</f>
        <v>109.09999999999994</v>
      </c>
      <c r="BB77" s="143">
        <f>BB73-BB76</f>
        <v>186.19999999999996</v>
      </c>
      <c r="BC77" s="143">
        <f>BC73-BC76</f>
        <v>74.5</v>
      </c>
      <c r="BD77" s="211">
        <f>BD73-BD76</f>
        <v>123.20000000000007</v>
      </c>
      <c r="BE77" s="211">
        <f>SUM(BC77:BD77)</f>
        <v>197.70000000000007</v>
      </c>
      <c r="BF77" s="143">
        <f>BF73-BF76</f>
        <v>77.103659356693413</v>
      </c>
      <c r="BG77" s="143">
        <f>BG73-BG76</f>
        <v>133.63317827146966</v>
      </c>
      <c r="BH77" s="143">
        <f>SUM(BF77:BG77)</f>
        <v>210.73683762816307</v>
      </c>
      <c r="BI77" s="143">
        <f>BI73-BI76</f>
        <v>91.803550364981689</v>
      </c>
      <c r="BJ77" s="143">
        <f>BJ73-BJ76</f>
        <v>135.00421765740361</v>
      </c>
      <c r="BK77" s="143">
        <f>SUM(BI77:BJ77)</f>
        <v>226.80776802238529</v>
      </c>
      <c r="BL77" s="143">
        <f>BL73-BL76</f>
        <v>97.566102245346386</v>
      </c>
      <c r="BM77" s="143">
        <f>BM73-BM76</f>
        <v>142.1698228411133</v>
      </c>
      <c r="BN77" s="143">
        <f>SUM(BL77:BM77)</f>
        <v>239.7359250864597</v>
      </c>
      <c r="BO77" s="143">
        <f>BO73-BO76</f>
        <v>106.49703952110627</v>
      </c>
      <c r="BP77" s="143">
        <f>BP73-BP76</f>
        <v>147.47237603024735</v>
      </c>
      <c r="BQ77" s="143">
        <f>SUM(BO77:BP77)</f>
        <v>253.96941555135362</v>
      </c>
      <c r="BR77" s="143">
        <f>BR73-BR76</f>
        <v>105.37238444769821</v>
      </c>
      <c r="BS77" s="143">
        <f>BS73-BS76</f>
        <v>156.43617779009352</v>
      </c>
      <c r="BT77" s="143">
        <f>SUM(BR77:BS77)</f>
        <v>261.80856223779176</v>
      </c>
      <c r="BU77" s="143">
        <f>BU73-BU76</f>
        <v>115.64072815571132</v>
      </c>
      <c r="BV77" s="143">
        <f>BV73-BV76</f>
        <v>169.57630016964504</v>
      </c>
      <c r="BW77" s="143">
        <f>SUM(BU77:BV77)</f>
        <v>285.21702832535635</v>
      </c>
      <c r="BX77" s="143">
        <f>BX73-BX76</f>
        <v>126.19661923400011</v>
      </c>
      <c r="BY77" s="143">
        <f>BY73-BY76</f>
        <v>173.56731305434135</v>
      </c>
      <c r="BZ77" s="143">
        <f>SUM(BX77:BY77)</f>
        <v>299.76393228834149</v>
      </c>
      <c r="CA77" s="143">
        <f>CA73-CA76</f>
        <v>129.00017387955728</v>
      </c>
      <c r="CB77" s="143">
        <f>CB73-CB76</f>
        <v>177.9549223616167</v>
      </c>
      <c r="CC77" s="143">
        <f>SUM(CA77:CB77)</f>
        <v>306.95509624117398</v>
      </c>
      <c r="CD77" s="40"/>
      <c r="CE77" s="40"/>
      <c r="CF77"/>
      <c r="CG77"/>
      <c r="CH77"/>
      <c r="CI77"/>
      <c r="CJ77"/>
      <c r="CK77"/>
    </row>
    <row r="78" spans="1:89">
      <c r="AD78" s="458"/>
      <c r="AE78" s="458"/>
      <c r="AF78" s="458"/>
      <c r="AG78" s="458"/>
      <c r="AH78" s="458"/>
      <c r="AT78" s="458"/>
      <c r="BD78" s="11"/>
      <c r="BE78" s="11"/>
    </row>
    <row r="79" spans="1:89">
      <c r="B79" s="257" t="s">
        <v>147</v>
      </c>
      <c r="AD79" s="151">
        <v>0</v>
      </c>
      <c r="AE79" s="151">
        <v>0</v>
      </c>
      <c r="AF79" s="458">
        <f>AG79-AE79</f>
        <v>0</v>
      </c>
      <c r="AG79" s="151">
        <v>0</v>
      </c>
      <c r="AH79" s="151">
        <v>0</v>
      </c>
      <c r="AI79" s="458">
        <f>AJ79-AH79</f>
        <v>0</v>
      </c>
      <c r="AJ79" s="151">
        <v>0</v>
      </c>
      <c r="AK79" s="151">
        <v>0</v>
      </c>
      <c r="AL79" s="458">
        <f>AM79-AK79</f>
        <v>0</v>
      </c>
      <c r="AM79" s="151">
        <v>0</v>
      </c>
      <c r="AN79" s="151">
        <v>0</v>
      </c>
      <c r="AO79" s="458">
        <f>AP79-AN79</f>
        <v>0</v>
      </c>
      <c r="AP79" s="151">
        <v>0</v>
      </c>
      <c r="AQ79" s="151">
        <v>-3</v>
      </c>
      <c r="AR79" s="458">
        <f>AS79-AQ79</f>
        <v>3</v>
      </c>
      <c r="AS79" s="151">
        <v>0</v>
      </c>
      <c r="AT79" s="151">
        <f>-7.4-4.8-2</f>
        <v>-14.2</v>
      </c>
      <c r="AU79" s="458">
        <f>AV79-AT79</f>
        <v>16.5</v>
      </c>
      <c r="AV79" s="151">
        <f>-(7.6+5.4+6.2-17.8-3.7)</f>
        <v>2.3000000000000016</v>
      </c>
      <c r="AW79" s="151">
        <f>-0.5</f>
        <v>-0.5</v>
      </c>
      <c r="AX79" s="458">
        <f>AY79-AW79</f>
        <v>-1.2</v>
      </c>
      <c r="AY79" s="151">
        <f>-(1.3+0.6-0.2)</f>
        <v>-1.7</v>
      </c>
      <c r="AZ79" s="151">
        <v>0.7</v>
      </c>
      <c r="BA79" s="458">
        <f>BB79-AZ79</f>
        <v>-0.7</v>
      </c>
      <c r="BB79" s="151">
        <v>0</v>
      </c>
      <c r="BC79" s="151">
        <f>-2.5-0.5-3.8</f>
        <v>-6.8</v>
      </c>
      <c r="BD79" s="209">
        <v>0</v>
      </c>
      <c r="BE79" s="13">
        <f>SUM(BC79:BD79)</f>
        <v>-6.8</v>
      </c>
      <c r="BF79" s="485">
        <v>0</v>
      </c>
      <c r="BG79" s="485">
        <v>0</v>
      </c>
      <c r="BH79" s="458">
        <f>SUM(BF79:BG79)</f>
        <v>0</v>
      </c>
      <c r="BI79" s="485">
        <v>0</v>
      </c>
      <c r="BJ79" s="485">
        <v>0</v>
      </c>
      <c r="BK79" s="458">
        <f>SUM(BI79:BJ79)</f>
        <v>0</v>
      </c>
      <c r="BL79" s="485">
        <v>0</v>
      </c>
      <c r="BM79" s="485">
        <v>0</v>
      </c>
      <c r="BN79" s="458">
        <f>SUM(BL79:BM79)</f>
        <v>0</v>
      </c>
      <c r="BO79" s="485">
        <v>0</v>
      </c>
      <c r="BP79" s="485">
        <v>0</v>
      </c>
      <c r="BQ79" s="458">
        <f>SUM(BO79:BP79)</f>
        <v>0</v>
      </c>
      <c r="BR79" s="485">
        <v>0</v>
      </c>
      <c r="BS79" s="485">
        <v>0</v>
      </c>
      <c r="BT79" s="458">
        <f>SUM(BR79:BS79)</f>
        <v>0</v>
      </c>
      <c r="BU79" s="485">
        <v>0</v>
      </c>
      <c r="BV79" s="485">
        <v>0</v>
      </c>
      <c r="BW79" s="458">
        <f>SUM(BU79:BV79)</f>
        <v>0</v>
      </c>
      <c r="BX79" s="485">
        <v>0</v>
      </c>
      <c r="BY79" s="485">
        <v>0</v>
      </c>
      <c r="BZ79" s="458">
        <f>SUM(BX79:BY79)</f>
        <v>0</v>
      </c>
      <c r="CA79" s="485">
        <v>0</v>
      </c>
      <c r="CB79" s="485">
        <v>0</v>
      </c>
      <c r="CC79" s="458">
        <f>SUM(CA79:CB79)</f>
        <v>0</v>
      </c>
    </row>
    <row r="80" spans="1:89">
      <c r="B80" s="257" t="s">
        <v>148</v>
      </c>
      <c r="AD80" s="151">
        <v>0</v>
      </c>
      <c r="AE80" s="151">
        <v>0</v>
      </c>
      <c r="AF80" s="458">
        <f>AG80-AE80</f>
        <v>0</v>
      </c>
      <c r="AG80" s="151">
        <v>0</v>
      </c>
      <c r="AH80" s="151">
        <v>0</v>
      </c>
      <c r="AI80" s="458">
        <f>AJ80-AH80</f>
        <v>0</v>
      </c>
      <c r="AJ80" s="151">
        <v>0</v>
      </c>
      <c r="AK80" s="151">
        <v>0</v>
      </c>
      <c r="AL80" s="458">
        <f>AM80-AK80</f>
        <v>0</v>
      </c>
      <c r="AM80" s="151">
        <v>0</v>
      </c>
      <c r="AN80" s="151">
        <v>0</v>
      </c>
      <c r="AO80" s="458">
        <f>AP80-AN80</f>
        <v>0</v>
      </c>
      <c r="AP80" s="151">
        <v>0</v>
      </c>
      <c r="AQ80" s="151">
        <v>0.9</v>
      </c>
      <c r="AR80" s="458">
        <f>AS80-AQ80</f>
        <v>-0.9</v>
      </c>
      <c r="AS80" s="151">
        <v>0</v>
      </c>
      <c r="AT80" s="151">
        <f>2.2+1.4+0.6</f>
        <v>4.2</v>
      </c>
      <c r="AU80" s="458">
        <f>AV80-AT80</f>
        <v>-0.30000000000000027</v>
      </c>
      <c r="AV80" s="151">
        <f>2.3+1.6+1.1-1.1</f>
        <v>3.9</v>
      </c>
      <c r="AW80" s="151">
        <f>0.1</f>
        <v>0.1</v>
      </c>
      <c r="AX80" s="458">
        <f>AY80-AW80</f>
        <v>0.30000000000000004</v>
      </c>
      <c r="AY80" s="151">
        <v>0.4</v>
      </c>
      <c r="AZ80" s="151">
        <f>-0.2</f>
        <v>-0.2</v>
      </c>
      <c r="BA80" s="458">
        <f>BB80-AZ80</f>
        <v>0.2</v>
      </c>
      <c r="BB80" s="151">
        <v>0</v>
      </c>
      <c r="BC80" s="151">
        <f>0.8+0.2</f>
        <v>1</v>
      </c>
      <c r="BD80" s="209">
        <v>0</v>
      </c>
      <c r="BE80" s="458">
        <f>SUM(BC80:BD80)</f>
        <v>1</v>
      </c>
      <c r="BF80" s="485">
        <v>0</v>
      </c>
      <c r="BG80" s="485">
        <v>0</v>
      </c>
      <c r="BH80" s="458">
        <f>SUM(BF80:BG80)</f>
        <v>0</v>
      </c>
      <c r="BI80" s="485">
        <v>0</v>
      </c>
      <c r="BJ80" s="485">
        <v>0</v>
      </c>
      <c r="BK80" s="458">
        <f>SUM(BI80:BJ80)</f>
        <v>0</v>
      </c>
      <c r="BL80" s="485">
        <v>0</v>
      </c>
      <c r="BM80" s="485">
        <v>0</v>
      </c>
      <c r="BN80" s="458">
        <f>SUM(BL80:BM80)</f>
        <v>0</v>
      </c>
      <c r="BO80" s="485">
        <v>0</v>
      </c>
      <c r="BP80" s="485">
        <v>0</v>
      </c>
      <c r="BQ80" s="458">
        <f>SUM(BO80:BP80)</f>
        <v>0</v>
      </c>
      <c r="BR80" s="485">
        <v>0</v>
      </c>
      <c r="BS80" s="485">
        <v>0</v>
      </c>
      <c r="BT80" s="458">
        <f>SUM(BR80:BS80)</f>
        <v>0</v>
      </c>
      <c r="BU80" s="485">
        <v>0</v>
      </c>
      <c r="BV80" s="485">
        <v>0</v>
      </c>
      <c r="BW80" s="458">
        <f>SUM(BU80:BV80)</f>
        <v>0</v>
      </c>
      <c r="BX80" s="485">
        <v>0</v>
      </c>
      <c r="BY80" s="485">
        <v>0</v>
      </c>
      <c r="BZ80" s="458">
        <f>SUM(BX80:BY80)</f>
        <v>0</v>
      </c>
      <c r="CA80" s="485">
        <v>0</v>
      </c>
      <c r="CB80" s="485">
        <v>0</v>
      </c>
      <c r="CC80" s="458">
        <f>SUM(CA80:CB80)</f>
        <v>0</v>
      </c>
    </row>
    <row r="81" spans="1:83">
      <c r="A81" s="479"/>
      <c r="B81" s="73" t="s">
        <v>149</v>
      </c>
      <c r="C81" s="479"/>
      <c r="D81" s="479"/>
      <c r="E81" s="479"/>
      <c r="F81" s="479"/>
      <c r="G81" s="479"/>
      <c r="H81" s="479"/>
      <c r="I81" s="479"/>
      <c r="J81" s="479"/>
      <c r="K81" s="479"/>
      <c r="L81" s="479"/>
      <c r="M81" s="479"/>
      <c r="N81" s="479"/>
      <c r="O81" s="479"/>
      <c r="P81" s="479"/>
      <c r="Q81" s="479"/>
      <c r="R81" s="479"/>
      <c r="S81" s="479"/>
      <c r="T81" s="479"/>
      <c r="U81" s="479"/>
      <c r="V81" s="479"/>
      <c r="W81" s="479"/>
      <c r="X81" s="479"/>
      <c r="Y81" s="479"/>
      <c r="Z81" s="479"/>
      <c r="AA81" s="479"/>
      <c r="AB81" s="479"/>
      <c r="AC81" s="479"/>
      <c r="AD81" s="480">
        <f>AD72+AD79+AD80</f>
        <v>120.80000000000001</v>
      </c>
      <c r="AE81" s="480">
        <f>AE72+AE79+AE80</f>
        <v>43.900000000000013</v>
      </c>
      <c r="AF81" s="480">
        <f>AG81-AE81</f>
        <v>79.200000000000017</v>
      </c>
      <c r="AG81" s="480">
        <f>AG72+AG79+AG80</f>
        <v>123.10000000000002</v>
      </c>
      <c r="AH81" s="480">
        <f>AH72+AH79+AH80</f>
        <v>68.800000000000011</v>
      </c>
      <c r="AI81" s="480">
        <f t="shared" ref="AI81:AP81" si="49">AI72+AI79+AI80</f>
        <v>82.699999999999974</v>
      </c>
      <c r="AJ81" s="480">
        <f t="shared" si="49"/>
        <v>151.49999999999997</v>
      </c>
      <c r="AK81" s="480">
        <f t="shared" si="49"/>
        <v>61.499999999999986</v>
      </c>
      <c r="AL81" s="480">
        <f t="shared" si="49"/>
        <v>86.9</v>
      </c>
      <c r="AM81" s="480">
        <f t="shared" si="49"/>
        <v>148.4</v>
      </c>
      <c r="AN81" s="480">
        <f t="shared" si="49"/>
        <v>67.5</v>
      </c>
      <c r="AO81" s="480">
        <f t="shared" si="49"/>
        <v>85.48</v>
      </c>
      <c r="AP81" s="480">
        <f t="shared" si="49"/>
        <v>152.98000000000002</v>
      </c>
      <c r="AQ81" s="480">
        <f t="shared" ref="AQ81:BN81" si="50">AQ72+AQ79+AQ80</f>
        <v>60.9</v>
      </c>
      <c r="AR81" s="480">
        <f t="shared" si="50"/>
        <v>90.199999999999989</v>
      </c>
      <c r="AS81" s="480">
        <f t="shared" si="50"/>
        <v>151.1</v>
      </c>
      <c r="AT81" s="480">
        <f t="shared" si="50"/>
        <v>51.200000000000017</v>
      </c>
      <c r="AU81" s="480">
        <f t="shared" si="50"/>
        <v>121.39999999999993</v>
      </c>
      <c r="AV81" s="480">
        <f t="shared" si="50"/>
        <v>172.6</v>
      </c>
      <c r="AW81" s="480">
        <f t="shared" si="50"/>
        <v>82.6</v>
      </c>
      <c r="AX81" s="480">
        <f t="shared" si="50"/>
        <v>125.19999999999996</v>
      </c>
      <c r="AY81" s="480">
        <f t="shared" si="50"/>
        <v>207.79999999999998</v>
      </c>
      <c r="AZ81" s="480">
        <f t="shared" si="50"/>
        <v>77.600000000000023</v>
      </c>
      <c r="BA81" s="480">
        <f t="shared" si="50"/>
        <v>108.6</v>
      </c>
      <c r="BB81" s="480">
        <f t="shared" si="50"/>
        <v>186.19999999999996</v>
      </c>
      <c r="BC81" s="480">
        <f t="shared" si="50"/>
        <v>68.7</v>
      </c>
      <c r="BD81" s="480">
        <f t="shared" si="50"/>
        <v>123.20000000000007</v>
      </c>
      <c r="BE81" s="480">
        <f t="shared" si="50"/>
        <v>191.90000000000006</v>
      </c>
      <c r="BF81" s="480">
        <f t="shared" si="50"/>
        <v>77.103659356693413</v>
      </c>
      <c r="BG81" s="480">
        <f t="shared" si="50"/>
        <v>133.63317827146966</v>
      </c>
      <c r="BH81" s="480">
        <f t="shared" si="50"/>
        <v>210.73683762816307</v>
      </c>
      <c r="BI81" s="480">
        <f t="shared" si="50"/>
        <v>91.803550364981689</v>
      </c>
      <c r="BJ81" s="480">
        <f t="shared" si="50"/>
        <v>135.00421765740361</v>
      </c>
      <c r="BK81" s="480">
        <f t="shared" si="50"/>
        <v>226.80776802238529</v>
      </c>
      <c r="BL81" s="480">
        <f t="shared" si="50"/>
        <v>97.566102245346386</v>
      </c>
      <c r="BM81" s="480">
        <f t="shared" si="50"/>
        <v>142.1698228411133</v>
      </c>
      <c r="BN81" s="480">
        <f t="shared" si="50"/>
        <v>239.7359250864597</v>
      </c>
      <c r="BO81" s="480">
        <f>BO72+BO79+BO80</f>
        <v>106.49703952110627</v>
      </c>
      <c r="BP81" s="480">
        <f>BP72+BP79+BP80</f>
        <v>147.47237603024735</v>
      </c>
      <c r="BQ81" s="480">
        <f>BQ72+BQ79+BQ80</f>
        <v>253.96941555135362</v>
      </c>
      <c r="BR81" s="480">
        <f t="shared" ref="BR81:CC81" si="51">BR72+BR79+BR80</f>
        <v>105.37238444769821</v>
      </c>
      <c r="BS81" s="480">
        <f t="shared" si="51"/>
        <v>156.43617779009352</v>
      </c>
      <c r="BT81" s="480">
        <f t="shared" si="51"/>
        <v>261.80856223779176</v>
      </c>
      <c r="BU81" s="480">
        <f t="shared" si="51"/>
        <v>115.64072815571132</v>
      </c>
      <c r="BV81" s="480">
        <f t="shared" si="51"/>
        <v>169.57630016964504</v>
      </c>
      <c r="BW81" s="480">
        <f t="shared" si="51"/>
        <v>285.21702832535635</v>
      </c>
      <c r="BX81" s="480">
        <f t="shared" si="51"/>
        <v>126.19661923400011</v>
      </c>
      <c r="BY81" s="480">
        <f t="shared" si="51"/>
        <v>173.56731305434135</v>
      </c>
      <c r="BZ81" s="480">
        <f t="shared" si="51"/>
        <v>299.76393228834149</v>
      </c>
      <c r="CA81" s="480">
        <f t="shared" si="51"/>
        <v>129.00017387955728</v>
      </c>
      <c r="CB81" s="480">
        <f t="shared" si="51"/>
        <v>177.9549223616167</v>
      </c>
      <c r="CC81" s="480">
        <f t="shared" si="51"/>
        <v>306.95509624117398</v>
      </c>
    </row>
    <row r="82" spans="1:83">
      <c r="B82" s="40"/>
      <c r="AD82" s="458"/>
      <c r="AE82" s="458"/>
      <c r="AF82" s="458"/>
      <c r="AG82" s="458"/>
      <c r="AH82" s="458"/>
    </row>
    <row r="83" spans="1:83" collapsed="1">
      <c r="A83" s="486" t="s">
        <v>264</v>
      </c>
      <c r="B83" s="486"/>
      <c r="C83" s="486"/>
      <c r="D83" s="486"/>
      <c r="E83" s="486"/>
      <c r="F83" s="486"/>
      <c r="G83" s="486"/>
      <c r="H83" s="486"/>
      <c r="I83" s="486"/>
      <c r="J83" s="486"/>
      <c r="K83" s="486"/>
      <c r="L83" s="486"/>
      <c r="M83" s="486"/>
      <c r="N83" s="486"/>
      <c r="O83" s="486"/>
      <c r="P83" s="486"/>
      <c r="Q83" s="486"/>
      <c r="R83" s="486"/>
      <c r="S83" s="486"/>
      <c r="T83" s="486"/>
      <c r="U83" s="486"/>
      <c r="V83" s="486"/>
      <c r="W83" s="486"/>
      <c r="X83" s="486"/>
      <c r="Y83" s="486"/>
      <c r="Z83" s="486"/>
      <c r="AA83" s="486"/>
      <c r="AB83" s="486"/>
      <c r="AC83" s="486"/>
      <c r="AD83" s="486"/>
      <c r="AE83" s="486"/>
      <c r="AF83" s="486"/>
      <c r="AG83" s="486"/>
      <c r="AH83" s="486"/>
      <c r="AI83" s="486"/>
      <c r="AJ83" s="486"/>
      <c r="AK83" s="486"/>
      <c r="AL83" s="486"/>
      <c r="AM83" s="486"/>
      <c r="AN83" s="486"/>
      <c r="AO83" s="486"/>
      <c r="AP83" s="486"/>
      <c r="AQ83" s="486"/>
      <c r="AR83" s="486"/>
      <c r="AS83" s="486"/>
      <c r="AT83" s="486"/>
      <c r="AU83" s="486"/>
      <c r="AV83" s="486"/>
      <c r="AW83" s="486"/>
      <c r="AX83" s="486"/>
      <c r="AY83" s="486"/>
      <c r="AZ83" s="486"/>
      <c r="BA83" s="486"/>
      <c r="BB83" s="486"/>
      <c r="BC83" s="486"/>
      <c r="BD83" s="486"/>
      <c r="BE83" s="486"/>
      <c r="BF83" s="486"/>
      <c r="BG83" s="486"/>
      <c r="BH83" s="486"/>
      <c r="BI83" s="486"/>
      <c r="BJ83" s="486"/>
      <c r="BK83" s="486"/>
      <c r="BL83" s="486"/>
      <c r="BM83" s="486"/>
      <c r="BN83" s="486"/>
      <c r="BO83" s="486"/>
      <c r="BP83" s="486"/>
      <c r="BQ83" s="486"/>
      <c r="BR83" s="487"/>
      <c r="BS83" s="487"/>
      <c r="BT83" s="487"/>
      <c r="BU83" s="487"/>
      <c r="BV83" s="487"/>
      <c r="BW83" s="487"/>
      <c r="BX83" s="487"/>
      <c r="BY83" s="487"/>
      <c r="BZ83" s="487"/>
      <c r="CA83" s="487"/>
      <c r="CB83" s="487"/>
      <c r="CC83" s="487"/>
      <c r="CD83" s="487"/>
      <c r="CE83" s="487"/>
    </row>
    <row r="84" spans="1:83" hidden="1" outlineLevel="1">
      <c r="B84" s="488" t="s">
        <v>8</v>
      </c>
      <c r="AD84" s="458"/>
      <c r="AE84" s="458"/>
      <c r="AF84" s="458"/>
      <c r="AG84" s="458"/>
      <c r="AH84" s="458"/>
    </row>
    <row r="85" spans="1:83" hidden="1" outlineLevel="1">
      <c r="B85" s="257" t="s">
        <v>303</v>
      </c>
      <c r="AD85" s="458"/>
      <c r="AE85" s="458"/>
      <c r="AF85" s="458"/>
      <c r="AG85" s="458"/>
      <c r="AH85" s="458"/>
    </row>
    <row r="86" spans="1:83" hidden="1" outlineLevel="1">
      <c r="B86" s="462" t="s">
        <v>261</v>
      </c>
      <c r="AD86" s="458"/>
      <c r="AE86" s="458"/>
      <c r="AF86" s="458"/>
      <c r="AG86" s="470">
        <f t="shared" ref="AG86:AP91" si="52">AG12/AD12-1</f>
        <v>-0.10792211445208588</v>
      </c>
      <c r="AH86" s="458">
        <f t="shared" si="52"/>
        <v>0.14499486489881264</v>
      </c>
      <c r="AI86" s="470">
        <f t="shared" si="52"/>
        <v>0.22970858857791887</v>
      </c>
      <c r="AJ86" s="470">
        <f t="shared" si="52"/>
        <v>0.20358533917202859</v>
      </c>
      <c r="AK86" s="470">
        <f t="shared" si="52"/>
        <v>1.7793303896942447E-2</v>
      </c>
      <c r="AL86" s="470">
        <f t="shared" si="52"/>
        <v>2.6042919519317698E-2</v>
      </c>
      <c r="AM86" s="470">
        <f t="shared" si="52"/>
        <v>2.236632075145728E-2</v>
      </c>
      <c r="AN86" s="470">
        <f t="shared" si="52"/>
        <v>-5.0522127006410122E-2</v>
      </c>
      <c r="AO86" s="470">
        <f t="shared" si="52"/>
        <v>-0.15372267234090853</v>
      </c>
      <c r="AP86" s="470">
        <f t="shared" si="52"/>
        <v>-0.10793510496466441</v>
      </c>
      <c r="AQ86" s="470">
        <f t="shared" ref="AQ86:AZ91" si="53">AQ12/AN12-1</f>
        <v>4.4131522894403474E-2</v>
      </c>
      <c r="AR86" s="470">
        <f t="shared" si="53"/>
        <v>6.5644697757542447E-2</v>
      </c>
      <c r="AS86" s="470">
        <f t="shared" si="53"/>
        <v>5.5485521742046684E-2</v>
      </c>
      <c r="AT86" s="470">
        <f t="shared" si="53"/>
        <v>2.6000000000000023E-2</v>
      </c>
      <c r="AU86" s="470">
        <f t="shared" si="53"/>
        <v>0.26323287583867949</v>
      </c>
      <c r="AV86" s="470">
        <f t="shared" si="53"/>
        <v>0.15240939714032953</v>
      </c>
      <c r="AW86" s="470">
        <f t="shared" si="53"/>
        <v>0.2529610865058225</v>
      </c>
      <c r="AX86" s="470">
        <f t="shared" si="53"/>
        <v>-0.2695380330351248</v>
      </c>
      <c r="AY86" s="470">
        <f t="shared" si="53"/>
        <v>-5.2226368942638768E-2</v>
      </c>
      <c r="AZ86" s="470">
        <f t="shared" si="53"/>
        <v>-9.4952104674704496E-2</v>
      </c>
      <c r="BA86" s="470">
        <f t="shared" ref="BA86:BJ91" si="54">BA12/AX12-1</f>
        <v>4.8447730756201235E-2</v>
      </c>
      <c r="BB86" s="470">
        <f t="shared" si="54"/>
        <v>-3.0398164561036278E-2</v>
      </c>
      <c r="BC86" s="470">
        <f t="shared" si="54"/>
        <v>-0.19666869777885365</v>
      </c>
      <c r="BD86" s="470">
        <f t="shared" si="54"/>
        <v>-0.1702288558503402</v>
      </c>
      <c r="BE86" s="470">
        <f t="shared" si="54"/>
        <v>-0.18379846767644692</v>
      </c>
      <c r="BF86" s="470">
        <f t="shared" si="54"/>
        <v>2.6178231032576216E-2</v>
      </c>
      <c r="BG86" s="470">
        <f t="shared" si="54"/>
        <v>5.3839104059011156E-2</v>
      </c>
      <c r="BH86" s="470">
        <f t="shared" si="54"/>
        <v>3.9866680668239063E-2</v>
      </c>
      <c r="BI86" s="470">
        <f t="shared" si="54"/>
        <v>7.5618197682422394E-2</v>
      </c>
      <c r="BJ86" s="470">
        <f t="shared" si="54"/>
        <v>1.328320878633571E-2</v>
      </c>
      <c r="BK86" s="470">
        <f t="shared" ref="BK86:BT91" si="55">BK12/BH12-1</f>
        <v>4.4356186611946846E-2</v>
      </c>
      <c r="BL86" s="470">
        <f t="shared" si="55"/>
        <v>2.6634091212822897E-2</v>
      </c>
      <c r="BM86" s="470">
        <f t="shared" ref="BM86:BO91" si="56">BM12/BJ12-1</f>
        <v>2.351995272812113E-2</v>
      </c>
      <c r="BN86" s="470">
        <f t="shared" si="56"/>
        <v>2.5118768440480999E-2</v>
      </c>
      <c r="BO86" s="470">
        <f t="shared" si="56"/>
        <v>3.6019952728121085E-2</v>
      </c>
      <c r="BP86" s="470">
        <f t="shared" si="55"/>
        <v>1.1545995349211191E-2</v>
      </c>
      <c r="BQ86" s="470">
        <f t="shared" si="55"/>
        <v>2.4129632363994125E-2</v>
      </c>
      <c r="BR86" s="470">
        <f t="shared" si="55"/>
        <v>-9.5400465078887553E-4</v>
      </c>
      <c r="BS86" s="470">
        <f t="shared" si="55"/>
        <v>1.9620652249966897E-2</v>
      </c>
      <c r="BT86" s="470">
        <f t="shared" si="55"/>
        <v>8.919075467070936E-3</v>
      </c>
      <c r="BU86" s="470">
        <f t="shared" ref="BU86:CC91" si="57">BU12/BR12-1</f>
        <v>3.2120652249967074E-2</v>
      </c>
      <c r="BV86" s="470">
        <f t="shared" si="57"/>
        <v>3.61668041636658E-2</v>
      </c>
      <c r="BW86" s="470">
        <f t="shared" si="57"/>
        <v>3.4082857955276769E-2</v>
      </c>
      <c r="BX86" s="470">
        <f t="shared" si="57"/>
        <v>3.61668041636658E-2</v>
      </c>
      <c r="BY86" s="470">
        <f t="shared" si="57"/>
        <v>8.6041282897102445E-3</v>
      </c>
      <c r="BZ86" s="470">
        <f t="shared" si="57"/>
        <v>2.2773181376951168E-2</v>
      </c>
      <c r="CA86" s="470">
        <f t="shared" si="57"/>
        <v>8.6041282897102445E-3</v>
      </c>
      <c r="CB86" s="470">
        <f t="shared" si="57"/>
        <v>8.6041282897102445E-3</v>
      </c>
      <c r="CC86" s="470">
        <f t="shared" si="57"/>
        <v>8.6041282897102445E-3</v>
      </c>
    </row>
    <row r="87" spans="1:83" hidden="1" outlineLevel="1">
      <c r="B87" s="462" t="s">
        <v>260</v>
      </c>
      <c r="AD87" s="458"/>
      <c r="AE87" s="458"/>
      <c r="AF87" s="458"/>
      <c r="AG87" s="470">
        <f t="shared" si="52"/>
        <v>6.7598280878842454E-2</v>
      </c>
      <c r="AH87" s="458">
        <f t="shared" si="52"/>
        <v>-0.10233406973393511</v>
      </c>
      <c r="AI87" s="470">
        <f t="shared" si="52"/>
        <v>7.6238200575887261E-2</v>
      </c>
      <c r="AJ87" s="470">
        <f t="shared" si="52"/>
        <v>-6.5057217370536602E-3</v>
      </c>
      <c r="AK87" s="470">
        <f t="shared" si="52"/>
        <v>8.0000000000000071E-2</v>
      </c>
      <c r="AL87" s="470">
        <f t="shared" si="52"/>
        <v>-0.19745000000000001</v>
      </c>
      <c r="AM87" s="470">
        <f t="shared" si="52"/>
        <v>-8.1290111872379778E-2</v>
      </c>
      <c r="AN87" s="470">
        <f t="shared" si="52"/>
        <v>7.0000000000000062E-2</v>
      </c>
      <c r="AO87" s="470">
        <f t="shared" si="52"/>
        <v>-9.8592150719228555E-2</v>
      </c>
      <c r="AP87" s="470">
        <f t="shared" si="52"/>
        <v>-1.561583039564407E-2</v>
      </c>
      <c r="AQ87" s="470">
        <f t="shared" si="53"/>
        <v>-7.8334761947318365E-2</v>
      </c>
      <c r="AR87" s="470">
        <f t="shared" si="53"/>
        <v>0.33959096285006751</v>
      </c>
      <c r="AS87" s="470">
        <f t="shared" si="53"/>
        <v>0.11600986634543675</v>
      </c>
      <c r="AT87" s="470">
        <f t="shared" si="53"/>
        <v>2.3682630334185273E-3</v>
      </c>
      <c r="AU87" s="470">
        <f t="shared" si="53"/>
        <v>-3.6056966357280285E-2</v>
      </c>
      <c r="AV87" s="470">
        <f t="shared" si="53"/>
        <v>-1.9080096481743247E-2</v>
      </c>
      <c r="AW87" s="470">
        <f t="shared" si="53"/>
        <v>0.18355090804672125</v>
      </c>
      <c r="AX87" s="470">
        <f t="shared" si="53"/>
        <v>6.1955107676451959E-2</v>
      </c>
      <c r="AY87" s="470">
        <f t="shared" si="53"/>
        <v>0.116852723995581</v>
      </c>
      <c r="AZ87" s="470">
        <f t="shared" si="53"/>
        <v>4.0102288286240739E-2</v>
      </c>
      <c r="BA87" s="470">
        <f t="shared" si="54"/>
        <v>-0.17425070352356431</v>
      </c>
      <c r="BB87" s="470">
        <f t="shared" si="54"/>
        <v>-7.1696020514918191E-2</v>
      </c>
      <c r="BC87" s="470">
        <f t="shared" si="54"/>
        <v>-0.23088466065123592</v>
      </c>
      <c r="BD87" s="470">
        <f t="shared" si="54"/>
        <v>4.2243472716540831E-2</v>
      </c>
      <c r="BE87" s="470">
        <f t="shared" si="54"/>
        <v>-0.10416904988878284</v>
      </c>
      <c r="BF87" s="470">
        <f t="shared" si="54"/>
        <v>0</v>
      </c>
      <c r="BG87" s="470">
        <f t="shared" si="54"/>
        <v>0</v>
      </c>
      <c r="BH87" s="470">
        <f t="shared" si="54"/>
        <v>0</v>
      </c>
      <c r="BI87" s="470">
        <f t="shared" si="54"/>
        <v>4.0000000000000036E-2</v>
      </c>
      <c r="BJ87" s="470">
        <f t="shared" si="54"/>
        <v>4.0000000000000036E-2</v>
      </c>
      <c r="BK87" s="470">
        <f t="shared" si="55"/>
        <v>4.0000000000000036E-2</v>
      </c>
      <c r="BL87" s="470">
        <f t="shared" si="55"/>
        <v>4.0000000000000036E-2</v>
      </c>
      <c r="BM87" s="470">
        <f t="shared" si="56"/>
        <v>4.0000000000000036E-2</v>
      </c>
      <c r="BN87" s="470">
        <f t="shared" si="56"/>
        <v>4.0000000000000036E-2</v>
      </c>
      <c r="BO87" s="470">
        <f t="shared" si="56"/>
        <v>3.0000000000000027E-2</v>
      </c>
      <c r="BP87" s="470">
        <f t="shared" si="55"/>
        <v>3.0000000000000027E-2</v>
      </c>
      <c r="BQ87" s="470">
        <f t="shared" si="55"/>
        <v>3.0000000000000027E-2</v>
      </c>
      <c r="BR87" s="470">
        <f t="shared" si="55"/>
        <v>3.0000000000000027E-2</v>
      </c>
      <c r="BS87" s="470">
        <f t="shared" si="55"/>
        <v>3.0000000000000027E-2</v>
      </c>
      <c r="BT87" s="470">
        <f t="shared" si="55"/>
        <v>3.0000000000000027E-2</v>
      </c>
      <c r="BU87" s="470">
        <f t="shared" si="57"/>
        <v>3.0000000000000027E-2</v>
      </c>
      <c r="BV87" s="470">
        <f t="shared" si="57"/>
        <v>3.0000000000000027E-2</v>
      </c>
      <c r="BW87" s="470">
        <f t="shared" si="57"/>
        <v>3.0000000000000027E-2</v>
      </c>
      <c r="BX87" s="470">
        <f t="shared" si="57"/>
        <v>3.0000000000000027E-2</v>
      </c>
      <c r="BY87" s="470">
        <f t="shared" si="57"/>
        <v>3.0000000000000027E-2</v>
      </c>
      <c r="BZ87" s="470">
        <f t="shared" si="57"/>
        <v>3.0000000000000249E-2</v>
      </c>
      <c r="CA87" s="470">
        <f t="shared" si="57"/>
        <v>3.0000000000000027E-2</v>
      </c>
      <c r="CB87" s="470">
        <f t="shared" si="57"/>
        <v>3.0000000000000027E-2</v>
      </c>
      <c r="CC87" s="470">
        <f t="shared" si="57"/>
        <v>3.0000000000000027E-2</v>
      </c>
    </row>
    <row r="88" spans="1:83" hidden="1" outlineLevel="1">
      <c r="B88" s="462" t="s">
        <v>259</v>
      </c>
      <c r="AD88" s="458"/>
      <c r="AE88" s="458"/>
      <c r="AF88" s="458"/>
      <c r="AG88" s="470">
        <f t="shared" si="52"/>
        <v>6.7598280878842454E-2</v>
      </c>
      <c r="AH88" s="458">
        <f t="shared" si="52"/>
        <v>0.21960605910274555</v>
      </c>
      <c r="AI88" s="470">
        <f t="shared" si="52"/>
        <v>0.1589357501061861</v>
      </c>
      <c r="AJ88" s="470">
        <f t="shared" si="52"/>
        <v>0.14253386734393203</v>
      </c>
      <c r="AK88" s="470">
        <f t="shared" si="52"/>
        <v>-5.7000000000000051E-2</v>
      </c>
      <c r="AL88" s="470">
        <f t="shared" si="52"/>
        <v>0.34715908955376995</v>
      </c>
      <c r="AM88" s="470">
        <f t="shared" si="52"/>
        <v>0.15474996508763539</v>
      </c>
      <c r="AN88" s="470">
        <f t="shared" si="52"/>
        <v>0.31182583541032738</v>
      </c>
      <c r="AO88" s="470">
        <f t="shared" si="52"/>
        <v>5.1115339027149709E-2</v>
      </c>
      <c r="AP88" s="470">
        <f t="shared" si="52"/>
        <v>0.15247276300296675</v>
      </c>
      <c r="AQ88" s="470">
        <f t="shared" si="53"/>
        <v>0.11420891209621753</v>
      </c>
      <c r="AR88" s="470">
        <f t="shared" si="53"/>
        <v>-0.11005124913040543</v>
      </c>
      <c r="AS88" s="470">
        <f t="shared" si="53"/>
        <v>-1.0809436648362647E-2</v>
      </c>
      <c r="AT88" s="470">
        <f t="shared" si="53"/>
        <v>8.1382740355949723E-2</v>
      </c>
      <c r="AU88" s="470">
        <f t="shared" si="53"/>
        <v>0.63330951983563866</v>
      </c>
      <c r="AV88" s="470">
        <f t="shared" si="53"/>
        <v>0.35819678948681721</v>
      </c>
      <c r="AW88" s="470">
        <f t="shared" si="53"/>
        <v>0.29702502246785767</v>
      </c>
      <c r="AX88" s="470">
        <f t="shared" si="53"/>
        <v>0.44980536250086645</v>
      </c>
      <c r="AY88" s="470">
        <f t="shared" si="53"/>
        <v>0.38917175237721957</v>
      </c>
      <c r="AZ88" s="470">
        <f t="shared" si="53"/>
        <v>0.34296171912424445</v>
      </c>
      <c r="BA88" s="470">
        <f t="shared" si="54"/>
        <v>2.5869293657929449E-2</v>
      </c>
      <c r="BB88" s="470">
        <f t="shared" si="54"/>
        <v>0.14336560523089248</v>
      </c>
      <c r="BC88" s="470">
        <f t="shared" si="54"/>
        <v>-7.1074045482731996E-2</v>
      </c>
      <c r="BD88" s="470">
        <f t="shared" si="54"/>
        <v>2.7643298627235247E-2</v>
      </c>
      <c r="BE88" s="470">
        <f t="shared" si="54"/>
        <v>-1.5321258341277177E-2</v>
      </c>
      <c r="BF88" s="470">
        <f t="shared" si="54"/>
        <v>0.12900220444190857</v>
      </c>
      <c r="BG88" s="470">
        <f t="shared" si="54"/>
        <v>6.6926008253321845E-2</v>
      </c>
      <c r="BH88" s="470">
        <f t="shared" si="54"/>
        <v>9.2413582724121035E-2</v>
      </c>
      <c r="BI88" s="470">
        <f t="shared" si="54"/>
        <v>5.88175387858898E-2</v>
      </c>
      <c r="BJ88" s="470">
        <f t="shared" si="54"/>
        <v>8.585303142834011E-3</v>
      </c>
      <c r="BK88" s="470">
        <f t="shared" si="55"/>
        <v>2.9900709506893275E-2</v>
      </c>
      <c r="BL88" s="470">
        <f t="shared" si="55"/>
        <v>2.1871211137623803E-2</v>
      </c>
      <c r="BM88" s="470">
        <f t="shared" si="56"/>
        <v>2.174939242762175E-2</v>
      </c>
      <c r="BN88" s="470">
        <f t="shared" si="56"/>
        <v>2.180253601588511E-2</v>
      </c>
      <c r="BO88" s="470">
        <f t="shared" si="56"/>
        <v>3.4084813044333195E-2</v>
      </c>
      <c r="BP88" s="470">
        <f t="shared" si="55"/>
        <v>2.2427393907538562E-2</v>
      </c>
      <c r="BQ88" s="470">
        <f t="shared" si="55"/>
        <v>2.7513301650399447E-2</v>
      </c>
      <c r="BR88" s="470">
        <f t="shared" si="55"/>
        <v>4.1341111147072951E-3</v>
      </c>
      <c r="BS88" s="470">
        <f t="shared" si="55"/>
        <v>3.0284670064825603E-2</v>
      </c>
      <c r="BT88" s="470">
        <f t="shared" si="55"/>
        <v>1.8802717466926966E-2</v>
      </c>
      <c r="BU88" s="470">
        <f t="shared" si="57"/>
        <v>3.9471809113307943E-2</v>
      </c>
      <c r="BV88" s="470">
        <f t="shared" si="57"/>
        <v>3.487300619321454E-2</v>
      </c>
      <c r="BW88" s="470">
        <f t="shared" si="57"/>
        <v>3.6863135054165497E-2</v>
      </c>
      <c r="BX88" s="470">
        <f t="shared" si="57"/>
        <v>3.2461597748006499E-2</v>
      </c>
      <c r="BY88" s="470">
        <f t="shared" si="57"/>
        <v>1.1437458734597783E-2</v>
      </c>
      <c r="BZ88" s="470">
        <f t="shared" si="57"/>
        <v>2.0558531088213261E-2</v>
      </c>
      <c r="CA88" s="470">
        <f t="shared" si="57"/>
        <v>1.1437458734597783E-2</v>
      </c>
      <c r="CB88" s="470">
        <f t="shared" si="57"/>
        <v>1.1437458734597783E-2</v>
      </c>
      <c r="CC88" s="470">
        <f t="shared" si="57"/>
        <v>1.1437458734597783E-2</v>
      </c>
    </row>
    <row r="89" spans="1:83" hidden="1" outlineLevel="1">
      <c r="B89" s="461" t="s">
        <v>262</v>
      </c>
      <c r="AD89" s="458"/>
      <c r="AE89" s="458"/>
      <c r="AF89" s="458"/>
      <c r="AG89" s="470">
        <f t="shared" si="52"/>
        <v>-5.0080165990757375E-2</v>
      </c>
      <c r="AH89" s="458">
        <f t="shared" si="52"/>
        <v>0.11249196485965296</v>
      </c>
      <c r="AI89" s="470">
        <f t="shared" si="52"/>
        <v>0.18867354320179408</v>
      </c>
      <c r="AJ89" s="470">
        <f t="shared" si="52"/>
        <v>0.15337375903551398</v>
      </c>
      <c r="AK89" s="470">
        <f t="shared" si="52"/>
        <v>1.2473773817536893E-2</v>
      </c>
      <c r="AL89" s="470">
        <f t="shared" si="52"/>
        <v>4.4374223390981626E-2</v>
      </c>
      <c r="AM89" s="470">
        <f t="shared" si="52"/>
        <v>3.0116647105453476E-2</v>
      </c>
      <c r="AN89" s="470">
        <f t="shared" si="52"/>
        <v>3.4633259919486736E-2</v>
      </c>
      <c r="AO89" s="470">
        <f t="shared" si="52"/>
        <v>-0.10070200015952036</v>
      </c>
      <c r="AP89" s="470">
        <f t="shared" si="52"/>
        <v>-4.1251263674534133E-2</v>
      </c>
      <c r="AQ89" s="470">
        <f t="shared" si="53"/>
        <v>4.0114802433019348E-2</v>
      </c>
      <c r="AR89" s="470">
        <f t="shared" si="53"/>
        <v>5.4990545595794194E-2</v>
      </c>
      <c r="AS89" s="470">
        <f t="shared" si="53"/>
        <v>4.7938638542665446E-2</v>
      </c>
      <c r="AT89" s="470">
        <f t="shared" si="53"/>
        <v>3.6238288845677813E-2</v>
      </c>
      <c r="AU89" s="470">
        <f t="shared" si="53"/>
        <v>0.29594721960414749</v>
      </c>
      <c r="AV89" s="470">
        <f t="shared" si="53"/>
        <v>0.17375031190218748</v>
      </c>
      <c r="AW89" s="470">
        <f t="shared" si="53"/>
        <v>0.25452064141931063</v>
      </c>
      <c r="AX89" s="470">
        <f t="shared" si="53"/>
        <v>-2.8727272727272601E-2</v>
      </c>
      <c r="AY89" s="470">
        <f t="shared" si="53"/>
        <v>8.8931405895691595E-2</v>
      </c>
      <c r="AZ89" s="470">
        <f t="shared" si="53"/>
        <v>3.9842262714169241E-2</v>
      </c>
      <c r="BA89" s="470">
        <f t="shared" si="54"/>
        <v>9.3597903406961169E-3</v>
      </c>
      <c r="BB89" s="470">
        <f t="shared" si="54"/>
        <v>2.3947419795665947E-2</v>
      </c>
      <c r="BC89" s="470">
        <f t="shared" si="54"/>
        <v>-0.15797044592650722</v>
      </c>
      <c r="BD89" s="470">
        <f t="shared" si="54"/>
        <v>-6.3427299703263995E-2</v>
      </c>
      <c r="BE89" s="470">
        <f t="shared" si="54"/>
        <v>-0.10937400699078481</v>
      </c>
      <c r="BF89" s="470">
        <f t="shared" si="54"/>
        <v>6.2062200311281179E-2</v>
      </c>
      <c r="BG89" s="470">
        <f t="shared" si="54"/>
        <v>5.3370536847677785E-2</v>
      </c>
      <c r="BH89" s="470">
        <f t="shared" si="54"/>
        <v>5.736408765702139E-2</v>
      </c>
      <c r="BI89" s="470">
        <f t="shared" si="54"/>
        <v>6.474735712059454E-2</v>
      </c>
      <c r="BJ89" s="470">
        <f t="shared" si="54"/>
        <v>1.4156249113903341E-2</v>
      </c>
      <c r="BK89" s="470">
        <f t="shared" si="55"/>
        <v>3.7504583221306564E-2</v>
      </c>
      <c r="BL89" s="470">
        <f t="shared" si="55"/>
        <v>2.6217940575089971E-2</v>
      </c>
      <c r="BM89" s="470">
        <f t="shared" si="56"/>
        <v>2.4640900269313981E-2</v>
      </c>
      <c r="BN89" s="470">
        <f t="shared" si="56"/>
        <v>2.5387832238920494E-2</v>
      </c>
      <c r="BO89" s="470">
        <f t="shared" si="56"/>
        <v>3.4562592880874377E-2</v>
      </c>
      <c r="BP89" s="470">
        <f t="shared" si="55"/>
        <v>1.8828038788596846E-2</v>
      </c>
      <c r="BQ89" s="470">
        <f t="shared" si="55"/>
        <v>2.6286412459344488E-2</v>
      </c>
      <c r="BR89" s="470">
        <f t="shared" si="55"/>
        <v>4.5783377461996455E-3</v>
      </c>
      <c r="BS89" s="470">
        <f t="shared" si="55"/>
        <v>2.5863923768381758E-2</v>
      </c>
      <c r="BT89" s="470">
        <f t="shared" si="55"/>
        <v>1.5692927335071438E-2</v>
      </c>
      <c r="BU89" s="470">
        <f t="shared" si="57"/>
        <v>3.4812664465204479E-2</v>
      </c>
      <c r="BV89" s="470">
        <f t="shared" si="57"/>
        <v>3.4808505642051291E-2</v>
      </c>
      <c r="BW89" s="470">
        <f t="shared" si="57"/>
        <v>3.4810471127008968E-2</v>
      </c>
      <c r="BX89" s="470">
        <f t="shared" si="57"/>
        <v>3.3968213871126807E-2</v>
      </c>
      <c r="BY89" s="470">
        <f t="shared" si="57"/>
        <v>1.2527617561098658E-2</v>
      </c>
      <c r="BZ89" s="470">
        <f t="shared" si="57"/>
        <v>2.26605944397682E-2</v>
      </c>
      <c r="CA89" s="470">
        <f t="shared" si="57"/>
        <v>1.2197966372115454E-2</v>
      </c>
      <c r="CB89" s="470">
        <f t="shared" si="57"/>
        <v>1.2570937592896625E-2</v>
      </c>
      <c r="CC89" s="470">
        <f t="shared" si="57"/>
        <v>1.2392719751164849E-2</v>
      </c>
    </row>
    <row r="90" spans="1:83" hidden="1" outlineLevel="1">
      <c r="B90" s="461" t="s">
        <v>413</v>
      </c>
      <c r="AD90" s="458"/>
      <c r="AE90" s="458"/>
      <c r="AF90" s="458"/>
      <c r="AG90" s="470">
        <f t="shared" si="52"/>
        <v>8.6743044189852681E-2</v>
      </c>
      <c r="AH90" s="458">
        <f t="shared" si="52"/>
        <v>0</v>
      </c>
      <c r="AI90" s="470">
        <f t="shared" si="52"/>
        <v>0.16010599977059736</v>
      </c>
      <c r="AJ90" s="470">
        <f t="shared" si="52"/>
        <v>8.4152099277015724E-2</v>
      </c>
      <c r="AK90" s="470">
        <f t="shared" si="52"/>
        <v>-0.22498348760521214</v>
      </c>
      <c r="AL90" s="470">
        <f t="shared" si="52"/>
        <v>-0.11857229737728647</v>
      </c>
      <c r="AM90" s="470">
        <f t="shared" si="52"/>
        <v>-0.16513514798218365</v>
      </c>
      <c r="AN90" s="470">
        <f t="shared" si="52"/>
        <v>0.19820599867914557</v>
      </c>
      <c r="AO90" s="470">
        <f t="shared" si="52"/>
        <v>-8.6552772183700943E-2</v>
      </c>
      <c r="AP90" s="470">
        <f t="shared" si="52"/>
        <v>2.9118136439267861E-2</v>
      </c>
      <c r="AQ90" s="470">
        <f t="shared" si="53"/>
        <v>-2.5701887733929674E-2</v>
      </c>
      <c r="AR90" s="470">
        <f t="shared" si="53"/>
        <v>3.3800274149301313E-2</v>
      </c>
      <c r="AS90" s="470">
        <f t="shared" si="53"/>
        <v>5.6588520614389015E-3</v>
      </c>
      <c r="AT90" s="470">
        <f t="shared" si="53"/>
        <v>9.1228070175438658E-2</v>
      </c>
      <c r="AU90" s="470">
        <f t="shared" si="53"/>
        <v>0.11572700296735894</v>
      </c>
      <c r="AV90" s="470">
        <f t="shared" si="53"/>
        <v>0.10450160771704176</v>
      </c>
      <c r="AW90" s="470">
        <f t="shared" si="53"/>
        <v>8.1993569131832755E-2</v>
      </c>
      <c r="AX90" s="470">
        <f t="shared" si="53"/>
        <v>7.0478723404255428E-2</v>
      </c>
      <c r="AY90" s="470">
        <f t="shared" si="53"/>
        <v>7.5691411935953523E-2</v>
      </c>
      <c r="AZ90" s="470">
        <f t="shared" si="53"/>
        <v>6.6864784546805334E-2</v>
      </c>
      <c r="BA90" s="470">
        <f t="shared" si="54"/>
        <v>-3.8509316770186652E-2</v>
      </c>
      <c r="BB90" s="470">
        <f t="shared" si="54"/>
        <v>9.4722598105545508E-3</v>
      </c>
      <c r="BC90" s="470">
        <f t="shared" si="54"/>
        <v>-3.8997214484679632E-2</v>
      </c>
      <c r="BD90" s="470">
        <f t="shared" si="54"/>
        <v>1.5503875968992276E-2</v>
      </c>
      <c r="BE90" s="470">
        <f t="shared" si="54"/>
        <v>-1.072386058981234E-2</v>
      </c>
      <c r="BF90" s="470">
        <f t="shared" si="54"/>
        <v>-8.2630007000791039E-2</v>
      </c>
      <c r="BG90" s="470">
        <f t="shared" si="54"/>
        <v>-4.4044914033182225E-2</v>
      </c>
      <c r="BH90" s="470">
        <f t="shared" si="54"/>
        <v>-6.2082660745682139E-2</v>
      </c>
      <c r="BI90" s="470">
        <f t="shared" si="54"/>
        <v>-4.0261852968046408E-2</v>
      </c>
      <c r="BJ90" s="470">
        <f t="shared" si="54"/>
        <v>-5.3062066948057485E-3</v>
      </c>
      <c r="BK90" s="470">
        <f t="shared" si="55"/>
        <v>-2.1289270559530449E-2</v>
      </c>
      <c r="BL90" s="470">
        <f t="shared" si="55"/>
        <v>2.1265609294774057E-2</v>
      </c>
      <c r="BM90" s="470">
        <f t="shared" si="56"/>
        <v>4.6528169431339972E-2</v>
      </c>
      <c r="BN90" s="470">
        <f t="shared" si="56"/>
        <v>3.5201076413008847E-2</v>
      </c>
      <c r="BO90" s="470">
        <f t="shared" si="56"/>
        <v>7.1199010664762641E-2</v>
      </c>
      <c r="BP90" s="470">
        <f t="shared" si="55"/>
        <v>6.4379960785375889E-2</v>
      </c>
      <c r="BQ90" s="470">
        <f t="shared" si="55"/>
        <v>6.7396291568866395E-2</v>
      </c>
      <c r="BR90" s="470">
        <f t="shared" si="55"/>
        <v>2.7793395199713355E-2</v>
      </c>
      <c r="BS90" s="470">
        <f t="shared" si="55"/>
        <v>4.2765955468652805E-2</v>
      </c>
      <c r="BT90" s="470">
        <f t="shared" si="55"/>
        <v>3.6119415168264668E-2</v>
      </c>
      <c r="BU90" s="470">
        <f t="shared" si="57"/>
        <v>6.1140233565617041E-2</v>
      </c>
      <c r="BV90" s="470">
        <f t="shared" si="57"/>
        <v>3.7710593407740411E-2</v>
      </c>
      <c r="BW90" s="470">
        <f t="shared" si="57"/>
        <v>4.8027778021332734E-2</v>
      </c>
      <c r="BX90" s="470">
        <f t="shared" si="57"/>
        <v>3.288777651732433E-2</v>
      </c>
      <c r="BY90" s="470">
        <f t="shared" si="57"/>
        <v>1.6633338808911491E-2</v>
      </c>
      <c r="BZ90" s="470">
        <f t="shared" si="57"/>
        <v>2.3880493328899188E-2</v>
      </c>
      <c r="CA90" s="470">
        <f t="shared" si="57"/>
        <v>1.6633338808911491E-2</v>
      </c>
      <c r="CB90" s="470">
        <f t="shared" si="57"/>
        <v>1.6633338808911491E-2</v>
      </c>
      <c r="CC90" s="470">
        <f t="shared" si="57"/>
        <v>1.6633338808911491E-2</v>
      </c>
    </row>
    <row r="91" spans="1:83" hidden="1" outlineLevel="1">
      <c r="B91" s="461" t="s">
        <v>493</v>
      </c>
      <c r="AD91" s="458"/>
      <c r="AE91" s="458"/>
      <c r="AF91" s="458"/>
      <c r="AG91" s="470">
        <f t="shared" si="52"/>
        <v>0.11752577319587632</v>
      </c>
      <c r="AH91" s="458">
        <f t="shared" si="52"/>
        <v>0.22692307692307678</v>
      </c>
      <c r="AI91" s="470">
        <f t="shared" si="52"/>
        <v>5.1418439716311992E-2</v>
      </c>
      <c r="AJ91" s="470">
        <f t="shared" si="52"/>
        <v>0.13560885608856088</v>
      </c>
      <c r="AK91" s="470">
        <f t="shared" si="52"/>
        <v>9.7178683385579889E-2</v>
      </c>
      <c r="AL91" s="470">
        <f t="shared" si="52"/>
        <v>0.42664418212478927</v>
      </c>
      <c r="AM91" s="470">
        <f t="shared" si="52"/>
        <v>0.25588952071486593</v>
      </c>
      <c r="AN91" s="470">
        <f t="shared" si="52"/>
        <v>0.1914285714285715</v>
      </c>
      <c r="AO91" s="470">
        <f t="shared" si="52"/>
        <v>4.9645390070921946E-2</v>
      </c>
      <c r="AP91" s="470">
        <f t="shared" si="52"/>
        <v>0.11384217335058211</v>
      </c>
      <c r="AQ91" s="470">
        <f t="shared" si="53"/>
        <v>6.2350119904076573E-2</v>
      </c>
      <c r="AR91" s="470">
        <f t="shared" si="53"/>
        <v>4.5045045045049026E-3</v>
      </c>
      <c r="AS91" s="470">
        <f t="shared" si="53"/>
        <v>3.2520325203252209E-2</v>
      </c>
      <c r="AT91" s="470">
        <f t="shared" si="53"/>
        <v>0.1489841986455982</v>
      </c>
      <c r="AU91" s="470">
        <f t="shared" si="53"/>
        <v>-1</v>
      </c>
      <c r="AV91" s="470">
        <f t="shared" si="53"/>
        <v>-1</v>
      </c>
      <c r="AW91" s="470">
        <f t="shared" si="53"/>
        <v>-1</v>
      </c>
      <c r="AX91" s="470" t="e">
        <f t="shared" si="53"/>
        <v>#DIV/0!</v>
      </c>
      <c r="AY91" s="470" t="e">
        <f t="shared" si="53"/>
        <v>#DIV/0!</v>
      </c>
      <c r="AZ91" s="470" t="e">
        <f t="shared" si="53"/>
        <v>#DIV/0!</v>
      </c>
      <c r="BA91" s="470" t="e">
        <f t="shared" si="54"/>
        <v>#DIV/0!</v>
      </c>
      <c r="BB91" s="470" t="e">
        <f t="shared" si="54"/>
        <v>#DIV/0!</v>
      </c>
      <c r="BC91" s="470" t="e">
        <f t="shared" si="54"/>
        <v>#DIV/0!</v>
      </c>
      <c r="BD91" s="470" t="e">
        <f t="shared" si="54"/>
        <v>#DIV/0!</v>
      </c>
      <c r="BE91" s="470" t="e">
        <f t="shared" si="54"/>
        <v>#DIV/0!</v>
      </c>
      <c r="BF91" s="470" t="e">
        <f t="shared" si="54"/>
        <v>#DIV/0!</v>
      </c>
      <c r="BG91" s="470" t="e">
        <f t="shared" si="54"/>
        <v>#DIV/0!</v>
      </c>
      <c r="BH91" s="470" t="e">
        <f t="shared" si="54"/>
        <v>#DIV/0!</v>
      </c>
      <c r="BI91" s="470" t="e">
        <f t="shared" si="54"/>
        <v>#DIV/0!</v>
      </c>
      <c r="BJ91" s="470" t="e">
        <f t="shared" si="54"/>
        <v>#DIV/0!</v>
      </c>
      <c r="BK91" s="470" t="e">
        <f t="shared" si="55"/>
        <v>#DIV/0!</v>
      </c>
      <c r="BL91" s="470" t="e">
        <f t="shared" si="55"/>
        <v>#DIV/0!</v>
      </c>
      <c r="BM91" s="470" t="e">
        <f t="shared" si="56"/>
        <v>#DIV/0!</v>
      </c>
      <c r="BN91" s="470" t="e">
        <f t="shared" si="56"/>
        <v>#DIV/0!</v>
      </c>
      <c r="BO91" s="470" t="e">
        <f t="shared" si="56"/>
        <v>#DIV/0!</v>
      </c>
      <c r="BP91" s="470" t="e">
        <f t="shared" si="55"/>
        <v>#DIV/0!</v>
      </c>
      <c r="BQ91" s="470" t="e">
        <f t="shared" si="55"/>
        <v>#DIV/0!</v>
      </c>
      <c r="BR91" s="470" t="e">
        <f t="shared" si="55"/>
        <v>#DIV/0!</v>
      </c>
      <c r="BS91" s="470" t="e">
        <f t="shared" si="55"/>
        <v>#DIV/0!</v>
      </c>
      <c r="BT91" s="470" t="e">
        <f t="shared" si="55"/>
        <v>#DIV/0!</v>
      </c>
      <c r="BU91" s="470" t="e">
        <f t="shared" si="57"/>
        <v>#DIV/0!</v>
      </c>
      <c r="BV91" s="470" t="e">
        <f t="shared" si="57"/>
        <v>#DIV/0!</v>
      </c>
      <c r="BW91" s="470" t="e">
        <f t="shared" si="57"/>
        <v>#DIV/0!</v>
      </c>
      <c r="BX91" s="470" t="e">
        <f t="shared" si="57"/>
        <v>#DIV/0!</v>
      </c>
      <c r="BY91" s="470" t="e">
        <f t="shared" si="57"/>
        <v>#DIV/0!</v>
      </c>
      <c r="BZ91" s="470" t="e">
        <f t="shared" si="57"/>
        <v>#DIV/0!</v>
      </c>
      <c r="CA91" s="470" t="e">
        <f t="shared" si="57"/>
        <v>#DIV/0!</v>
      </c>
      <c r="CB91" s="470" t="e">
        <f t="shared" si="57"/>
        <v>#DIV/0!</v>
      </c>
      <c r="CC91" s="470" t="e">
        <f t="shared" si="57"/>
        <v>#DIV/0!</v>
      </c>
    </row>
    <row r="92" spans="1:83" hidden="1" outlineLevel="1">
      <c r="AD92" s="458"/>
      <c r="AE92" s="458"/>
      <c r="AF92" s="458"/>
      <c r="AG92" s="458"/>
      <c r="AH92" s="458"/>
      <c r="AI92" s="458"/>
      <c r="AJ92" s="458"/>
      <c r="AK92" s="458"/>
      <c r="AL92" s="458"/>
      <c r="AM92" s="458"/>
      <c r="AN92" s="458"/>
      <c r="AO92" s="458"/>
      <c r="AP92" s="458"/>
      <c r="AQ92" s="458"/>
      <c r="AR92" s="458"/>
      <c r="AS92" s="458"/>
      <c r="AT92" s="458"/>
      <c r="AU92" s="458"/>
      <c r="AV92" s="458"/>
      <c r="AW92" s="458"/>
      <c r="AX92" s="458"/>
      <c r="AY92" s="458"/>
      <c r="AZ92" s="458"/>
      <c r="BA92" s="458"/>
      <c r="BB92" s="458"/>
      <c r="BC92" s="458"/>
      <c r="BD92" s="458"/>
      <c r="BE92" s="458"/>
      <c r="BF92" s="458"/>
      <c r="BG92" s="458"/>
      <c r="BH92" s="458"/>
      <c r="BI92" s="458"/>
      <c r="BJ92" s="458"/>
      <c r="BK92" s="458"/>
      <c r="BL92" s="458"/>
      <c r="BM92" s="458"/>
      <c r="BN92" s="458"/>
      <c r="BO92" s="458"/>
      <c r="BP92" s="458"/>
      <c r="BQ92" s="458"/>
      <c r="BR92" s="458"/>
      <c r="BS92" s="458"/>
      <c r="BT92" s="458"/>
      <c r="BU92" s="458"/>
      <c r="BV92" s="458"/>
      <c r="BW92" s="458"/>
      <c r="BX92" s="458"/>
      <c r="BY92" s="458"/>
      <c r="BZ92" s="458"/>
      <c r="CA92" s="458"/>
      <c r="CB92" s="458"/>
      <c r="CC92" s="458"/>
    </row>
    <row r="93" spans="1:83" hidden="1" outlineLevel="1">
      <c r="B93" s="257" t="s">
        <v>292</v>
      </c>
      <c r="C93" s="257" t="s">
        <v>195</v>
      </c>
      <c r="AD93" s="458"/>
      <c r="AE93" s="458"/>
      <c r="AF93" s="458"/>
      <c r="AG93" s="470">
        <f t="shared" ref="AG93:BL93" si="58">AG19/AD19-1</f>
        <v>-2.9894394800974777E-2</v>
      </c>
      <c r="AH93" s="470">
        <f t="shared" si="58"/>
        <v>0.10509267590426474</v>
      </c>
      <c r="AI93" s="470">
        <f t="shared" si="58"/>
        <v>0.1794885652068241</v>
      </c>
      <c r="AJ93" s="470">
        <f t="shared" si="58"/>
        <v>0.14486974450222512</v>
      </c>
      <c r="AK93" s="470">
        <f t="shared" si="58"/>
        <v>-7.4866900391843405E-3</v>
      </c>
      <c r="AL93" s="470">
        <f t="shared" si="58"/>
        <v>4.1903971494018588E-2</v>
      </c>
      <c r="AM93" s="470">
        <f t="shared" si="58"/>
        <v>1.9719412734833464E-2</v>
      </c>
      <c r="AN93" s="470">
        <f t="shared" si="58"/>
        <v>5.6740546964755056E-2</v>
      </c>
      <c r="AO93" s="470">
        <f t="shared" si="58"/>
        <v>-9.1309948586500433E-2</v>
      </c>
      <c r="AP93" s="470">
        <f t="shared" si="58"/>
        <v>-2.6585036407234974E-2</v>
      </c>
      <c r="AQ93" s="470">
        <f t="shared" si="58"/>
        <v>3.5576115834732969E-2</v>
      </c>
      <c r="AR93" s="470">
        <f t="shared" si="58"/>
        <v>4.9909147330787329E-2</v>
      </c>
      <c r="AS93" s="470">
        <f t="shared" si="58"/>
        <v>4.3106624419718687E-2</v>
      </c>
      <c r="AT93" s="470">
        <f t="shared" si="58"/>
        <v>4.8425787106446849E-2</v>
      </c>
      <c r="AU93" s="470">
        <f t="shared" si="58"/>
        <v>0.20251135452845337</v>
      </c>
      <c r="AV93" s="470">
        <f t="shared" si="58"/>
        <v>9.395309409437691E-2</v>
      </c>
      <c r="AW93" s="470">
        <f t="shared" si="58"/>
        <v>0.14786214786214757</v>
      </c>
      <c r="AX93" s="470">
        <f t="shared" si="58"/>
        <v>-2.0439902243945762E-2</v>
      </c>
      <c r="AY93" s="470">
        <f t="shared" si="58"/>
        <v>8.7756683456024609E-2</v>
      </c>
      <c r="AZ93" s="470">
        <f t="shared" si="58"/>
        <v>4.2107885885137808E-2</v>
      </c>
      <c r="BA93" s="470">
        <f t="shared" si="58"/>
        <v>4.9897936039915436E-3</v>
      </c>
      <c r="BB93" s="470">
        <f t="shared" si="58"/>
        <v>2.267735233006829E-2</v>
      </c>
      <c r="BC93" s="470">
        <f t="shared" si="58"/>
        <v>-0.14775851763299463</v>
      </c>
      <c r="BD93" s="470">
        <f t="shared" si="58"/>
        <v>-5.6533513879485353E-2</v>
      </c>
      <c r="BE93" s="470">
        <f>BE19/BB19-1</f>
        <v>-0.1008300922969757</v>
      </c>
      <c r="BF93" s="470">
        <f>BF19/BC19-1</f>
        <v>4.8057764479421339E-2</v>
      </c>
      <c r="BG93" s="470">
        <f>BG19/BD19-1</f>
        <v>4.4212715487510934E-2</v>
      </c>
      <c r="BH93" s="470">
        <f>BH19/BE19-1</f>
        <v>4.5982331643955598E-2</v>
      </c>
      <c r="BI93" s="470">
        <f t="shared" si="58"/>
        <v>5.5851103036964611E-2</v>
      </c>
      <c r="BJ93" s="470">
        <f t="shared" si="58"/>
        <v>1.248126584680298E-2</v>
      </c>
      <c r="BK93" s="470">
        <f t="shared" si="58"/>
        <v>3.2481075388328229E-2</v>
      </c>
      <c r="BL93" s="470">
        <f t="shared" si="58"/>
        <v>2.5836576697756408E-2</v>
      </c>
      <c r="BM93" s="470">
        <f>BM19/BJ19-1</f>
        <v>2.6491475836843081E-2</v>
      </c>
      <c r="BN93" s="470">
        <f>BN19/BK19-1</f>
        <v>2.6182636177000784E-2</v>
      </c>
      <c r="BO93" s="470">
        <f>BO19/BL19-1</f>
        <v>3.7371280217345149E-2</v>
      </c>
      <c r="BP93" s="470">
        <f>BP19/BM19-1</f>
        <v>2.27546466061046E-2</v>
      </c>
      <c r="BQ93" s="470">
        <f>BQ19/BN19-1</f>
        <v>2.964528603626837E-2</v>
      </c>
      <c r="BR93" s="470">
        <f t="shared" ref="BR93:CC93" si="59">BR19/BO19-1</f>
        <v>6.4161286544739404E-3</v>
      </c>
      <c r="BS93" s="470">
        <f t="shared" si="59"/>
        <v>2.738018824673305E-2</v>
      </c>
      <c r="BT93" s="470">
        <f t="shared" si="59"/>
        <v>1.7423059228514948E-2</v>
      </c>
      <c r="BU93" s="470">
        <f t="shared" si="59"/>
        <v>3.6941123674592902E-2</v>
      </c>
      <c r="BV93" s="470">
        <f t="shared" si="59"/>
        <v>3.5072747885796618E-2</v>
      </c>
      <c r="BW93" s="470">
        <f t="shared" si="59"/>
        <v>3.5950554788205746E-2</v>
      </c>
      <c r="BX93" s="470">
        <f t="shared" si="59"/>
        <v>3.3878827183550175E-2</v>
      </c>
      <c r="BY93" s="470">
        <f t="shared" si="59"/>
        <v>1.2902406307592873E-2</v>
      </c>
      <c r="BZ93" s="470">
        <f t="shared" si="59"/>
        <v>2.2767045833035571E-2</v>
      </c>
      <c r="CA93" s="470">
        <f t="shared" si="59"/>
        <v>1.2564561630079352E-2</v>
      </c>
      <c r="CB93" s="470">
        <f t="shared" si="59"/>
        <v>1.2943137825479845E-2</v>
      </c>
      <c r="CC93" s="470">
        <f t="shared" si="59"/>
        <v>1.2763169511039063E-2</v>
      </c>
    </row>
    <row r="94" spans="1:83" hidden="1" outlineLevel="1">
      <c r="B94" s="257" t="s">
        <v>302</v>
      </c>
      <c r="C94" s="257" t="s">
        <v>195</v>
      </c>
      <c r="AD94" s="458"/>
      <c r="AE94" s="458"/>
      <c r="AF94" s="458"/>
      <c r="AG94" s="470">
        <f t="shared" ref="AG94:BL94" si="60">AG26/AD26-1</f>
        <v>-3.4428794992175216E-2</v>
      </c>
      <c r="AH94" s="470">
        <f t="shared" si="60"/>
        <v>0.12132987910189974</v>
      </c>
      <c r="AI94" s="470">
        <f t="shared" si="60"/>
        <v>0.22748749787129263</v>
      </c>
      <c r="AJ94" s="470">
        <f t="shared" si="60"/>
        <v>0.17767772374853852</v>
      </c>
      <c r="AK94" s="470">
        <f t="shared" si="60"/>
        <v>-2.2140931844435885E-2</v>
      </c>
      <c r="AL94" s="470">
        <f t="shared" si="60"/>
        <v>-7.8829566247642369E-2</v>
      </c>
      <c r="AM94" s="470">
        <f t="shared" si="60"/>
        <v>-5.3503581934353783E-2</v>
      </c>
      <c r="AN94" s="470">
        <f t="shared" si="60"/>
        <v>8.3481000196889088E-2</v>
      </c>
      <c r="AO94" s="470">
        <f t="shared" si="60"/>
        <v>6.8016877637130602E-2</v>
      </c>
      <c r="AP94" s="470">
        <f t="shared" si="60"/>
        <v>7.515448927662649E-2</v>
      </c>
      <c r="AQ94" s="470">
        <f t="shared" si="60"/>
        <v>5.2698528075595164E-2</v>
      </c>
      <c r="AR94" s="470">
        <f t="shared" si="60"/>
        <v>2.5126422250316249E-2</v>
      </c>
      <c r="AS94" s="470">
        <f t="shared" si="60"/>
        <v>3.7951145296255762E-2</v>
      </c>
      <c r="AT94" s="470">
        <f t="shared" si="60"/>
        <v>3.9185223545658676E-2</v>
      </c>
      <c r="AU94" s="470">
        <f t="shared" si="60"/>
        <v>0.1342685370741481</v>
      </c>
      <c r="AV94" s="470">
        <f t="shared" si="60"/>
        <v>8.9413680781758931E-2</v>
      </c>
      <c r="AW94" s="470">
        <f t="shared" si="60"/>
        <v>0.12641196013289036</v>
      </c>
      <c r="AX94" s="470">
        <f t="shared" si="60"/>
        <v>-1.0872519706442985E-3</v>
      </c>
      <c r="AY94" s="470">
        <f t="shared" si="60"/>
        <v>5.6286440424577533E-2</v>
      </c>
      <c r="AZ94" s="470">
        <f t="shared" si="60"/>
        <v>1.1650199085680546E-2</v>
      </c>
      <c r="BA94" s="470">
        <f t="shared" si="60"/>
        <v>-3.3741496598639453E-2</v>
      </c>
      <c r="BB94" s="470">
        <f t="shared" si="60"/>
        <v>-1.1959521619135161E-2</v>
      </c>
      <c r="BC94" s="470">
        <f t="shared" si="60"/>
        <v>4.723032069970845E-2</v>
      </c>
      <c r="BD94" s="470">
        <f t="shared" si="60"/>
        <v>0.18501830470290082</v>
      </c>
      <c r="BE94" s="470">
        <f t="shared" si="60"/>
        <v>0.11731843575418988</v>
      </c>
      <c r="BF94" s="470">
        <f t="shared" si="60"/>
        <v>5.9732974692059626E-2</v>
      </c>
      <c r="BG94" s="470">
        <f t="shared" si="60"/>
        <v>5.337335390396114E-2</v>
      </c>
      <c r="BH94" s="470">
        <f t="shared" si="60"/>
        <v>5.6302040810480403E-2</v>
      </c>
      <c r="BI94" s="470">
        <f t="shared" si="60"/>
        <v>5.4508585174819268E-2</v>
      </c>
      <c r="BJ94" s="470">
        <f t="shared" si="60"/>
        <v>1.2223620876731234E-2</v>
      </c>
      <c r="BK94" s="470">
        <f t="shared" si="60"/>
        <v>3.1759637797512896E-2</v>
      </c>
      <c r="BL94" s="470">
        <f t="shared" si="60"/>
        <v>2.5247633828279437E-2</v>
      </c>
      <c r="BM94" s="470">
        <f t="shared" ref="BM94:CC94" si="61">BM26/BJ26-1</f>
        <v>2.5951228393273684E-2</v>
      </c>
      <c r="BN94" s="470">
        <f t="shared" si="61"/>
        <v>2.5618994361886971E-2</v>
      </c>
      <c r="BO94" s="470">
        <f t="shared" si="61"/>
        <v>3.6540382820973383E-2</v>
      </c>
      <c r="BP94" s="470">
        <f t="shared" si="61"/>
        <v>2.2302343108335787E-2</v>
      </c>
      <c r="BQ94" s="470">
        <f t="shared" si="61"/>
        <v>2.9023043890401112E-2</v>
      </c>
      <c r="BR94" s="470">
        <f t="shared" si="61"/>
        <v>6.2785039942800935E-3</v>
      </c>
      <c r="BS94" s="470">
        <f t="shared" si="61"/>
        <v>2.6847814139557613E-2</v>
      </c>
      <c r="BT94" s="470">
        <f t="shared" si="61"/>
        <v>1.7067670957128245E-2</v>
      </c>
      <c r="BU94" s="470">
        <f t="shared" si="61"/>
        <v>3.6153687971584247E-2</v>
      </c>
      <c r="BV94" s="470">
        <f t="shared" si="61"/>
        <v>3.4408631485138619E-2</v>
      </c>
      <c r="BW94" s="470">
        <f t="shared" si="61"/>
        <v>3.5229556182271748E-2</v>
      </c>
      <c r="BX94" s="470">
        <f t="shared" si="61"/>
        <v>3.3181865037622993E-2</v>
      </c>
      <c r="BY94" s="470">
        <f t="shared" si="61"/>
        <v>1.2666220938851946E-2</v>
      </c>
      <c r="BZ94" s="470">
        <f t="shared" si="61"/>
        <v>2.2325984640596763E-2</v>
      </c>
      <c r="CA94" s="470">
        <f t="shared" si="61"/>
        <v>1.2314382320464112E-2</v>
      </c>
      <c r="CB94" s="470">
        <f t="shared" si="61"/>
        <v>1.2709170328775832E-2</v>
      </c>
      <c r="CC94" s="470">
        <f t="shared" si="61"/>
        <v>1.2521311039908944E-2</v>
      </c>
    </row>
    <row r="95" spans="1:83" hidden="1" outlineLevel="1">
      <c r="AD95" s="458"/>
      <c r="AE95" s="458"/>
      <c r="AF95" s="458"/>
      <c r="AG95" s="458"/>
      <c r="AH95" s="458"/>
    </row>
    <row r="96" spans="1:83" hidden="1" outlineLevel="1">
      <c r="B96" s="488" t="s">
        <v>293</v>
      </c>
      <c r="AD96" s="458"/>
      <c r="AE96" s="458"/>
      <c r="AF96" s="458"/>
      <c r="AG96" s="458"/>
      <c r="AH96" s="458"/>
    </row>
    <row r="97" spans="1:89" hidden="1" outlineLevel="1">
      <c r="B97" s="257" t="s">
        <v>348</v>
      </c>
      <c r="C97" s="257" t="s">
        <v>195</v>
      </c>
      <c r="AD97" s="470">
        <f t="shared" ref="AD97:BQ97" si="62">AD48/AD15</f>
        <v>0.18089220032066397</v>
      </c>
      <c r="AE97" s="470">
        <f t="shared" si="62"/>
        <v>0.16263124062566961</v>
      </c>
      <c r="AF97" s="470">
        <f t="shared" si="62"/>
        <v>0.20203515263644778</v>
      </c>
      <c r="AG97" s="470">
        <f t="shared" si="62"/>
        <v>0.18377680698967436</v>
      </c>
      <c r="AH97" s="470">
        <f t="shared" si="62"/>
        <v>0.19645608628659475</v>
      </c>
      <c r="AI97" s="470">
        <f t="shared" si="62"/>
        <v>0.18942281371472505</v>
      </c>
      <c r="AJ97" s="470">
        <f t="shared" si="62"/>
        <v>0.19256626221063025</v>
      </c>
      <c r="AK97" s="470">
        <f t="shared" si="62"/>
        <v>0.18167070658279252</v>
      </c>
      <c r="AL97" s="470">
        <f t="shared" si="62"/>
        <v>0.19329718835907536</v>
      </c>
      <c r="AM97" s="470">
        <f t="shared" si="62"/>
        <v>0.18818985044931136</v>
      </c>
      <c r="AN97" s="470">
        <f t="shared" si="62"/>
        <v>0.17706037736308955</v>
      </c>
      <c r="AO97" s="470">
        <f t="shared" si="62"/>
        <v>0.20649045237391769</v>
      </c>
      <c r="AP97" s="470">
        <f t="shared" si="62"/>
        <v>0.19253900461954154</v>
      </c>
      <c r="AQ97" s="470">
        <f t="shared" si="62"/>
        <v>0.16828707795651404</v>
      </c>
      <c r="AR97" s="470">
        <f t="shared" si="62"/>
        <v>0.20625196355639339</v>
      </c>
      <c r="AS97" s="470">
        <f t="shared" si="62"/>
        <v>0.18838892123430093</v>
      </c>
      <c r="AT97" s="470">
        <f t="shared" si="62"/>
        <v>0.15881951552371204</v>
      </c>
      <c r="AU97" s="470">
        <f t="shared" si="62"/>
        <v>0.21333333333333324</v>
      </c>
      <c r="AV97" s="470">
        <f t="shared" si="62"/>
        <v>0.19068877551020405</v>
      </c>
      <c r="AW97" s="470">
        <f t="shared" si="62"/>
        <v>0.17854228991025295</v>
      </c>
      <c r="AX97" s="470">
        <f t="shared" si="62"/>
        <v>0.23761387744914506</v>
      </c>
      <c r="AY97" s="470">
        <f t="shared" si="62"/>
        <v>0.20934469968113489</v>
      </c>
      <c r="AZ97" s="470">
        <f t="shared" si="62"/>
        <v>0.16280894468418988</v>
      </c>
      <c r="BA97" s="470">
        <f t="shared" si="62"/>
        <v>0.2019040553907023</v>
      </c>
      <c r="BB97" s="470">
        <f t="shared" si="62"/>
        <v>0.18290435335239913</v>
      </c>
      <c r="BC97" s="470">
        <f t="shared" si="62"/>
        <v>0.19009162913495883</v>
      </c>
      <c r="BD97" s="470">
        <f t="shared" si="62"/>
        <v>0.24620462046204628</v>
      </c>
      <c r="BE97" s="470">
        <f t="shared" si="62"/>
        <v>0.22042243470814901</v>
      </c>
      <c r="BF97" s="470">
        <f t="shared" si="62"/>
        <v>0.17726022638016395</v>
      </c>
      <c r="BG97" s="470">
        <f t="shared" si="62"/>
        <v>0.24681916978528248</v>
      </c>
      <c r="BH97" s="470">
        <f t="shared" si="62"/>
        <v>0.21471697802134906</v>
      </c>
      <c r="BI97" s="470">
        <f t="shared" si="62"/>
        <v>0.19369831137843038</v>
      </c>
      <c r="BJ97" s="470">
        <f t="shared" si="62"/>
        <v>0.24575181812591529</v>
      </c>
      <c r="BK97" s="470">
        <f t="shared" si="62"/>
        <v>0.22109776954046284</v>
      </c>
      <c r="BL97" s="470">
        <f t="shared" si="62"/>
        <v>0.19830183396105128</v>
      </c>
      <c r="BM97" s="470">
        <f t="shared" si="62"/>
        <v>0.25080392570156879</v>
      </c>
      <c r="BN97" s="470">
        <f t="shared" si="62"/>
        <v>0.22591728344909801</v>
      </c>
      <c r="BO97" s="470">
        <f t="shared" si="62"/>
        <v>0.20646343880906318</v>
      </c>
      <c r="BP97" s="470">
        <f t="shared" si="62"/>
        <v>0.25365277474125647</v>
      </c>
      <c r="BQ97" s="470">
        <f t="shared" si="62"/>
        <v>0.23110406187253643</v>
      </c>
      <c r="BR97" s="470">
        <f t="shared" ref="BR97:CC97" si="63">BR48/BR15</f>
        <v>0.20213704439498398</v>
      </c>
      <c r="BS97" s="470">
        <f t="shared" si="63"/>
        <v>0.2593599206488667</v>
      </c>
      <c r="BT97" s="470">
        <f t="shared" si="63"/>
        <v>0.23231604348095458</v>
      </c>
      <c r="BU97" s="470">
        <f t="shared" si="63"/>
        <v>0.21048595105788989</v>
      </c>
      <c r="BV97" s="470">
        <f t="shared" si="63"/>
        <v>0.26869349363183898</v>
      </c>
      <c r="BW97" s="470">
        <f t="shared" si="63"/>
        <v>0.2411841989024692</v>
      </c>
      <c r="BX97" s="470">
        <f t="shared" si="63"/>
        <v>0.21867455269562514</v>
      </c>
      <c r="BY97" s="470">
        <f t="shared" si="63"/>
        <v>0.26940313229444224</v>
      </c>
      <c r="BZ97" s="470">
        <f t="shared" si="63"/>
        <v>0.24516335864303396</v>
      </c>
      <c r="CA97" s="470">
        <f t="shared" si="63"/>
        <v>0.21790757550123407</v>
      </c>
      <c r="CB97" s="470">
        <f t="shared" si="63"/>
        <v>0.27014032011537875</v>
      </c>
      <c r="CC97" s="470">
        <f t="shared" si="63"/>
        <v>0.24518660850255852</v>
      </c>
    </row>
    <row r="98" spans="1:89" hidden="1" outlineLevel="1">
      <c r="B98" s="257" t="s">
        <v>413</v>
      </c>
      <c r="C98" s="257" t="s">
        <v>195</v>
      </c>
      <c r="AD98" s="470">
        <f t="shared" ref="AD98:AW98" si="64">AD49/AD16</f>
        <v>6.9558101472995085E-2</v>
      </c>
      <c r="AE98" s="470">
        <f t="shared" si="64"/>
        <v>-4.7619047619047615E-3</v>
      </c>
      <c r="AF98" s="470">
        <f t="shared" si="64"/>
        <v>6.7335243553008586E-2</v>
      </c>
      <c r="AG98" s="470">
        <f t="shared" si="64"/>
        <v>3.313253012048193E-2</v>
      </c>
      <c r="AH98" s="470">
        <f t="shared" si="64"/>
        <v>1.2698412698412698E-2</v>
      </c>
      <c r="AI98" s="470">
        <f t="shared" si="64"/>
        <v>3.7048289295899435E-2</v>
      </c>
      <c r="AJ98" s="470">
        <f t="shared" si="64"/>
        <v>2.6393397983924309E-2</v>
      </c>
      <c r="AK98" s="470">
        <f t="shared" si="64"/>
        <v>-2.4577049318294169E-2</v>
      </c>
      <c r="AL98" s="470">
        <f t="shared" si="64"/>
        <v>4.2032136255374296E-2</v>
      </c>
      <c r="AM98" s="470">
        <f t="shared" si="64"/>
        <v>1.4975041597337771E-2</v>
      </c>
      <c r="AN98" s="470">
        <f t="shared" si="64"/>
        <v>-8.5464746690006171E-3</v>
      </c>
      <c r="AO98" s="470">
        <f t="shared" si="64"/>
        <v>1.3804454699323013E-2</v>
      </c>
      <c r="AP98" s="470">
        <f t="shared" si="64"/>
        <v>3.2336297493936947E-3</v>
      </c>
      <c r="AQ98" s="470">
        <f t="shared" si="64"/>
        <v>-2.6315789473684209E-2</v>
      </c>
      <c r="AR98" s="470">
        <f t="shared" si="64"/>
        <v>5.3412462908011868E-2</v>
      </c>
      <c r="AS98" s="470">
        <f t="shared" si="64"/>
        <v>1.6881028938906754E-2</v>
      </c>
      <c r="AT98" s="470">
        <f t="shared" si="64"/>
        <v>3.215434083601286E-2</v>
      </c>
      <c r="AU98" s="470">
        <f t="shared" si="64"/>
        <v>5.4521276595744676E-2</v>
      </c>
      <c r="AV98" s="470">
        <f t="shared" si="64"/>
        <v>4.4395924308588061E-2</v>
      </c>
      <c r="AW98" s="470">
        <f t="shared" si="64"/>
        <v>4.7548291233283808E-2</v>
      </c>
      <c r="AX98" s="470">
        <f t="shared" ref="AX98:BQ98" si="65">AX49/AX16</f>
        <v>0.10186335403726705</v>
      </c>
      <c r="AY98" s="470">
        <f t="shared" si="65"/>
        <v>7.7131258457374827E-2</v>
      </c>
      <c r="AZ98" s="470">
        <f t="shared" si="65"/>
        <v>5.2924791086350974E-2</v>
      </c>
      <c r="BA98" s="470">
        <f t="shared" si="65"/>
        <v>9.8191214470284255E-2</v>
      </c>
      <c r="BB98" s="470">
        <f t="shared" si="65"/>
        <v>7.6407506702412878E-2</v>
      </c>
      <c r="BC98" s="470">
        <f t="shared" si="65"/>
        <v>4.2028985507246375E-2</v>
      </c>
      <c r="BD98" s="470">
        <f t="shared" si="65"/>
        <v>9.2875318066157758E-2</v>
      </c>
      <c r="BE98" s="470">
        <f t="shared" si="65"/>
        <v>6.910569105691057E-2</v>
      </c>
      <c r="BF98" s="470">
        <f t="shared" si="65"/>
        <v>5.4924791086350976E-2</v>
      </c>
      <c r="BG98" s="470">
        <f t="shared" si="65"/>
        <v>9.2875318066157758E-2</v>
      </c>
      <c r="BH98" s="470">
        <f t="shared" si="65"/>
        <v>7.5522879731108411E-2</v>
      </c>
      <c r="BI98" s="470">
        <f t="shared" si="65"/>
        <v>5.4924791086350976E-2</v>
      </c>
      <c r="BJ98" s="470">
        <f t="shared" si="65"/>
        <v>9.2875318066157758E-2</v>
      </c>
      <c r="BK98" s="470">
        <f t="shared" si="65"/>
        <v>7.5859261622506127E-2</v>
      </c>
      <c r="BL98" s="470">
        <f t="shared" si="65"/>
        <v>5.4924791086350976E-2</v>
      </c>
      <c r="BM98" s="470">
        <f t="shared" si="65"/>
        <v>9.2875318066157758E-2</v>
      </c>
      <c r="BN98" s="470">
        <f t="shared" si="65"/>
        <v>7.6088325038740384E-2</v>
      </c>
      <c r="BO98" s="470">
        <f t="shared" si="65"/>
        <v>5.4924791086350976E-2</v>
      </c>
      <c r="BP98" s="470">
        <f t="shared" si="65"/>
        <v>9.2875318066157758E-2</v>
      </c>
      <c r="BQ98" s="470">
        <f t="shared" si="65"/>
        <v>7.6028519491866856E-2</v>
      </c>
      <c r="BR98" s="470">
        <f t="shared" ref="BR98:CC98" si="66">BR49/BR16</f>
        <v>5.4924791086350976E-2</v>
      </c>
      <c r="BS98" s="470">
        <f t="shared" si="66"/>
        <v>9.2875318066157758E-2</v>
      </c>
      <c r="BT98" s="470">
        <f t="shared" si="66"/>
        <v>7.6163896533626985E-2</v>
      </c>
      <c r="BU98" s="470">
        <f t="shared" si="66"/>
        <v>5.4924791086350976E-2</v>
      </c>
      <c r="BV98" s="470">
        <f t="shared" si="66"/>
        <v>9.2875318066157758E-2</v>
      </c>
      <c r="BW98" s="470">
        <f t="shared" si="66"/>
        <v>7.5954810690176511E-2</v>
      </c>
      <c r="BX98" s="470">
        <f t="shared" si="66"/>
        <v>5.4924791086350969E-2</v>
      </c>
      <c r="BY98" s="470">
        <f t="shared" si="66"/>
        <v>9.2875318066157758E-2</v>
      </c>
      <c r="BZ98" s="470">
        <f t="shared" si="66"/>
        <v>7.5805957574387794E-2</v>
      </c>
      <c r="CA98" s="470">
        <f t="shared" si="66"/>
        <v>5.4924791086350976E-2</v>
      </c>
      <c r="CB98" s="470">
        <f t="shared" si="66"/>
        <v>9.2875318066157758E-2</v>
      </c>
      <c r="CC98" s="470">
        <f t="shared" si="66"/>
        <v>7.5805957574387808E-2</v>
      </c>
    </row>
    <row r="99" spans="1:89" hidden="1" outlineLevel="1">
      <c r="B99" s="257" t="s">
        <v>493</v>
      </c>
      <c r="C99" s="257" t="s">
        <v>195</v>
      </c>
      <c r="AD99" s="470">
        <f t="shared" ref="AD99:BN99" si="67">-AD50/AD17</f>
        <v>0.23092783505154638</v>
      </c>
      <c r="AE99" s="470">
        <f t="shared" si="67"/>
        <v>0.16538461538461538</v>
      </c>
      <c r="AF99" s="470">
        <f t="shared" si="67"/>
        <v>-3.5460992907801287E-3</v>
      </c>
      <c r="AG99" s="470">
        <f t="shared" si="67"/>
        <v>7.7490774907749083E-2</v>
      </c>
      <c r="AH99" s="470">
        <f t="shared" si="67"/>
        <v>0.12852664576802508</v>
      </c>
      <c r="AI99" s="470">
        <f t="shared" si="67"/>
        <v>0.24283305227655991</v>
      </c>
      <c r="AJ99" s="470">
        <f t="shared" si="67"/>
        <v>0.18359057676685622</v>
      </c>
      <c r="AK99" s="470">
        <f t="shared" si="67"/>
        <v>5.4285714285714284E-2</v>
      </c>
      <c r="AL99" s="470">
        <f t="shared" si="67"/>
        <v>4.0189125295508284E-2</v>
      </c>
      <c r="AM99" s="470">
        <f t="shared" si="67"/>
        <v>4.6571798188874518E-2</v>
      </c>
      <c r="AN99" s="470">
        <f t="shared" si="67"/>
        <v>-6.4748201438848921E-2</v>
      </c>
      <c r="AO99" s="470">
        <f t="shared" si="67"/>
        <v>4.2792792792792807E-2</v>
      </c>
      <c r="AP99" s="470">
        <f t="shared" si="67"/>
        <v>-9.2915214866434396E-3</v>
      </c>
      <c r="AQ99" s="470">
        <f t="shared" si="67"/>
        <v>2.4830699774266361E-2</v>
      </c>
      <c r="AR99" s="470">
        <f t="shared" si="67"/>
        <v>0.10762331838565022</v>
      </c>
      <c r="AS99" s="470">
        <f t="shared" si="67"/>
        <v>6.6366704161979748E-2</v>
      </c>
      <c r="AT99" s="470">
        <f t="shared" si="67"/>
        <v>5.1080550098231842E-2</v>
      </c>
      <c r="AU99" s="470" t="e">
        <f t="shared" si="67"/>
        <v>#DIV/0!</v>
      </c>
      <c r="AV99" s="470" t="e">
        <f t="shared" si="67"/>
        <v>#DIV/0!</v>
      </c>
      <c r="AW99" s="470" t="e">
        <f t="shared" si="67"/>
        <v>#DIV/0!</v>
      </c>
      <c r="AX99" s="470" t="e">
        <f t="shared" si="67"/>
        <v>#DIV/0!</v>
      </c>
      <c r="AY99" s="470" t="e">
        <f t="shared" si="67"/>
        <v>#DIV/0!</v>
      </c>
      <c r="AZ99" s="470" t="e">
        <f t="shared" si="67"/>
        <v>#DIV/0!</v>
      </c>
      <c r="BA99" s="470" t="e">
        <f t="shared" si="67"/>
        <v>#DIV/0!</v>
      </c>
      <c r="BB99" s="470" t="e">
        <f t="shared" si="67"/>
        <v>#DIV/0!</v>
      </c>
      <c r="BC99" s="470" t="e">
        <f t="shared" si="67"/>
        <v>#DIV/0!</v>
      </c>
      <c r="BD99" s="470" t="e">
        <f t="shared" si="67"/>
        <v>#DIV/0!</v>
      </c>
      <c r="BE99" s="470" t="e">
        <f t="shared" si="67"/>
        <v>#DIV/0!</v>
      </c>
      <c r="BF99" s="470" t="e">
        <f t="shared" si="67"/>
        <v>#DIV/0!</v>
      </c>
      <c r="BG99" s="470" t="e">
        <f t="shared" si="67"/>
        <v>#DIV/0!</v>
      </c>
      <c r="BH99" s="470" t="e">
        <f t="shared" si="67"/>
        <v>#DIV/0!</v>
      </c>
      <c r="BI99" s="470" t="e">
        <f t="shared" si="67"/>
        <v>#DIV/0!</v>
      </c>
      <c r="BJ99" s="470" t="e">
        <f t="shared" si="67"/>
        <v>#DIV/0!</v>
      </c>
      <c r="BK99" s="470" t="e">
        <f t="shared" si="67"/>
        <v>#DIV/0!</v>
      </c>
      <c r="BL99" s="470" t="e">
        <f t="shared" si="67"/>
        <v>#DIV/0!</v>
      </c>
      <c r="BM99" s="470" t="e">
        <f t="shared" si="67"/>
        <v>#DIV/0!</v>
      </c>
      <c r="BN99" s="470" t="e">
        <f t="shared" si="67"/>
        <v>#DIV/0!</v>
      </c>
      <c r="BO99" s="470" t="e">
        <f>-BO50/BO17</f>
        <v>#DIV/0!</v>
      </c>
      <c r="BP99" s="470" t="e">
        <f>-BP50/BP17</f>
        <v>#DIV/0!</v>
      </c>
      <c r="BQ99" s="470" t="e">
        <f>-BQ50/BQ17</f>
        <v>#DIV/0!</v>
      </c>
      <c r="BR99" s="470" t="e">
        <f t="shared" ref="BR99:CC99" si="68">-BR50/BR17</f>
        <v>#DIV/0!</v>
      </c>
      <c r="BS99" s="470" t="e">
        <f t="shared" si="68"/>
        <v>#DIV/0!</v>
      </c>
      <c r="BT99" s="470" t="e">
        <f t="shared" si="68"/>
        <v>#DIV/0!</v>
      </c>
      <c r="BU99" s="470" t="e">
        <f t="shared" si="68"/>
        <v>#DIV/0!</v>
      </c>
      <c r="BV99" s="470" t="e">
        <f t="shared" si="68"/>
        <v>#DIV/0!</v>
      </c>
      <c r="BW99" s="470" t="e">
        <f t="shared" si="68"/>
        <v>#DIV/0!</v>
      </c>
      <c r="BX99" s="470" t="e">
        <f t="shared" si="68"/>
        <v>#DIV/0!</v>
      </c>
      <c r="BY99" s="470" t="e">
        <f t="shared" si="68"/>
        <v>#DIV/0!</v>
      </c>
      <c r="BZ99" s="470" t="e">
        <f t="shared" si="68"/>
        <v>#DIV/0!</v>
      </c>
      <c r="CA99" s="470" t="e">
        <f t="shared" si="68"/>
        <v>#DIV/0!</v>
      </c>
      <c r="CB99" s="470" t="e">
        <f t="shared" si="68"/>
        <v>#DIV/0!</v>
      </c>
      <c r="CC99" s="470" t="e">
        <f t="shared" si="68"/>
        <v>#DIV/0!</v>
      </c>
    </row>
    <row r="100" spans="1:89" hidden="1" outlineLevel="1">
      <c r="B100" s="257" t="s">
        <v>263</v>
      </c>
      <c r="C100" s="257" t="s">
        <v>195</v>
      </c>
      <c r="AD100" s="470">
        <f t="shared" ref="AD100:AP100" si="69">AD52</f>
        <v>0.1849569640062598</v>
      </c>
      <c r="AE100" s="470">
        <f t="shared" si="69"/>
        <v>0.15392918825561316</v>
      </c>
      <c r="AF100" s="470">
        <f t="shared" si="69"/>
        <v>0.21755725190839695</v>
      </c>
      <c r="AG100" s="470">
        <f t="shared" si="69"/>
        <v>0.18770259319286872</v>
      </c>
      <c r="AH100" s="470">
        <f t="shared" si="69"/>
        <v>0.19002695417789758</v>
      </c>
      <c r="AI100" s="470">
        <f t="shared" si="69"/>
        <v>0.18267936871882193</v>
      </c>
      <c r="AJ100" s="470">
        <f t="shared" si="69"/>
        <v>0.18596194618847023</v>
      </c>
      <c r="AK100" s="470">
        <f t="shared" si="69"/>
        <v>0.18192557590076786</v>
      </c>
      <c r="AL100" s="470">
        <f t="shared" si="69"/>
        <v>0.22109704641350206</v>
      </c>
      <c r="AM100" s="470">
        <f t="shared" si="69"/>
        <v>0.203017084696474</v>
      </c>
      <c r="AN100" s="470">
        <f t="shared" si="69"/>
        <v>0.17899327639469381</v>
      </c>
      <c r="AO100" s="470">
        <f t="shared" si="69"/>
        <v>0.19532237673830596</v>
      </c>
      <c r="AP100" s="470">
        <f t="shared" si="69"/>
        <v>0.18772715746766971</v>
      </c>
      <c r="AQ100" s="470">
        <f t="shared" ref="AQ100:BN100" si="70">AQ52</f>
        <v>0.15984809252546178</v>
      </c>
      <c r="AR100" s="470">
        <f t="shared" si="70"/>
        <v>0.20055495606597809</v>
      </c>
      <c r="AS100" s="470">
        <f t="shared" si="70"/>
        <v>0.18135179153094461</v>
      </c>
      <c r="AT100" s="470">
        <f t="shared" si="70"/>
        <v>0.15365448504983392</v>
      </c>
      <c r="AU100" s="470">
        <f t="shared" si="70"/>
        <v>0.20752921989671097</v>
      </c>
      <c r="AV100" s="470">
        <f t="shared" si="70"/>
        <v>0.18328599192704439</v>
      </c>
      <c r="AW100" s="470">
        <f t="shared" si="70"/>
        <v>0.17298333579118122</v>
      </c>
      <c r="AX100" s="470">
        <f t="shared" si="70"/>
        <v>0.24897959183673468</v>
      </c>
      <c r="AY100" s="470">
        <f t="shared" si="70"/>
        <v>0.21251149954001838</v>
      </c>
      <c r="AZ100" s="470">
        <f t="shared" si="70"/>
        <v>0.16151603498542275</v>
      </c>
      <c r="BA100" s="470">
        <f t="shared" si="70"/>
        <v>0.21867079695860325</v>
      </c>
      <c r="BB100" s="470">
        <f t="shared" si="70"/>
        <v>0.19058874086807046</v>
      </c>
      <c r="BC100" s="470">
        <f t="shared" si="70"/>
        <v>0.15103006681514478</v>
      </c>
      <c r="BD100" s="470">
        <f t="shared" si="70"/>
        <v>0.21423479087452479</v>
      </c>
      <c r="BE100" s="470">
        <f t="shared" si="70"/>
        <v>0.18512820512820513</v>
      </c>
      <c r="BF100" s="470">
        <f t="shared" si="70"/>
        <v>0.14339638775588351</v>
      </c>
      <c r="BG100" s="470">
        <f t="shared" si="70"/>
        <v>0.21250947848986662</v>
      </c>
      <c r="BH100" s="470">
        <f t="shared" si="70"/>
        <v>0.18057863658331016</v>
      </c>
      <c r="BI100" s="470">
        <f t="shared" si="70"/>
        <v>0.16049551481684798</v>
      </c>
      <c r="BJ100" s="470">
        <f t="shared" si="70"/>
        <v>0.21204631666907381</v>
      </c>
      <c r="BK100" s="470">
        <f t="shared" si="70"/>
        <v>0.18770427144487281</v>
      </c>
      <c r="BL100" s="470">
        <f t="shared" si="70"/>
        <v>0.16530127449446549</v>
      </c>
      <c r="BM100" s="470">
        <f t="shared" si="70"/>
        <v>0.21690625296736157</v>
      </c>
      <c r="BN100" s="470">
        <f t="shared" si="70"/>
        <v>0.19254744893386672</v>
      </c>
      <c r="BO100" s="470">
        <f>BO52</f>
        <v>0.17315664764620195</v>
      </c>
      <c r="BP100" s="470">
        <f>BP52</f>
        <v>0.21938839008352834</v>
      </c>
      <c r="BQ100" s="470">
        <f>BQ52</f>
        <v>0.1974064637371041</v>
      </c>
      <c r="BR100" s="470">
        <f t="shared" ref="BR100:CC100" si="71">BR52</f>
        <v>0.16913202076427208</v>
      </c>
      <c r="BS100" s="470">
        <f t="shared" si="71"/>
        <v>0.22484666719363483</v>
      </c>
      <c r="BT100" s="470">
        <f t="shared" si="71"/>
        <v>0.19863689713681593</v>
      </c>
      <c r="BU100" s="470">
        <f t="shared" si="71"/>
        <v>0.17717439758877204</v>
      </c>
      <c r="BV100" s="470">
        <f t="shared" si="71"/>
        <v>0.23387047693574983</v>
      </c>
      <c r="BW100" s="470">
        <f t="shared" si="71"/>
        <v>0.20717520348147958</v>
      </c>
      <c r="BX100" s="470">
        <f t="shared" si="71"/>
        <v>0.18528182221891579</v>
      </c>
      <c r="BY100" s="470">
        <f t="shared" si="71"/>
        <v>0.23470106493594955</v>
      </c>
      <c r="BZ100" s="470">
        <f t="shared" si="71"/>
        <v>0.21118499150486825</v>
      </c>
      <c r="CA100" s="470">
        <f t="shared" si="71"/>
        <v>0.18745145124612353</v>
      </c>
      <c r="CB100" s="470">
        <f t="shared" si="71"/>
        <v>0.23850369507553479</v>
      </c>
      <c r="CC100" s="470">
        <f t="shared" si="71"/>
        <v>0.21140327399644951</v>
      </c>
    </row>
    <row r="101" spans="1:89" hidden="1" outlineLevel="1">
      <c r="B101" s="257" t="s">
        <v>471</v>
      </c>
      <c r="AD101" s="470">
        <f t="shared" ref="AD101:BN101" si="72">AD54/AD19</f>
        <v>0.15361494719740051</v>
      </c>
      <c r="AE101" s="470">
        <f t="shared" si="72"/>
        <v>0.12830664027352889</v>
      </c>
      <c r="AF101" s="470">
        <f t="shared" si="72"/>
        <v>0.17854346123727485</v>
      </c>
      <c r="AG101" s="470">
        <f t="shared" si="72"/>
        <v>0.15516663875397757</v>
      </c>
      <c r="AH101" s="470">
        <f t="shared" si="72"/>
        <v>0.16072300928187591</v>
      </c>
      <c r="AI101" s="470">
        <f t="shared" si="72"/>
        <v>0.15602106214495837</v>
      </c>
      <c r="AJ101" s="470">
        <f t="shared" si="72"/>
        <v>0.15813301244696851</v>
      </c>
      <c r="AK101" s="470">
        <f t="shared" si="72"/>
        <v>0.1515990690358994</v>
      </c>
      <c r="AL101" s="470">
        <f t="shared" si="72"/>
        <v>0.16695097731210887</v>
      </c>
      <c r="AM101" s="470">
        <f t="shared" si="72"/>
        <v>0.16023940967255451</v>
      </c>
      <c r="AN101" s="470">
        <f t="shared" si="72"/>
        <v>0.15292990616150104</v>
      </c>
      <c r="AO101" s="470">
        <f t="shared" si="72"/>
        <v>0.17334861155501649</v>
      </c>
      <c r="AP101" s="470">
        <f t="shared" si="72"/>
        <v>0.1636577997199912</v>
      </c>
      <c r="AQ101" s="470">
        <f t="shared" si="72"/>
        <v>0.1388305847076462</v>
      </c>
      <c r="AR101" s="470">
        <f t="shared" si="72"/>
        <v>0.17379107667646274</v>
      </c>
      <c r="AS101" s="470">
        <f t="shared" si="72"/>
        <v>0.15731845153998303</v>
      </c>
      <c r="AT101" s="470">
        <f t="shared" si="72"/>
        <v>0.1322751322751323</v>
      </c>
      <c r="AU101" s="470">
        <f t="shared" si="72"/>
        <v>0.16962897133970217</v>
      </c>
      <c r="AV101" s="470">
        <f t="shared" si="72"/>
        <v>0.15833656205605059</v>
      </c>
      <c r="AW101" s="470">
        <f t="shared" si="72"/>
        <v>0.14613180515759314</v>
      </c>
      <c r="AX101" s="470">
        <f t="shared" si="72"/>
        <v>0.20753005216602396</v>
      </c>
      <c r="AY101" s="470">
        <f t="shared" si="72"/>
        <v>0.17827248441674085</v>
      </c>
      <c r="AZ101" s="470">
        <f t="shared" si="72"/>
        <v>0.13245666467423792</v>
      </c>
      <c r="BA101" s="470">
        <f t="shared" si="72"/>
        <v>0.17524260889189802</v>
      </c>
      <c r="BB101" s="470">
        <f t="shared" si="72"/>
        <v>0.15446682533232714</v>
      </c>
      <c r="BC101" s="470">
        <f t="shared" si="72"/>
        <v>0.15219525880207604</v>
      </c>
      <c r="BD101" s="470">
        <f t="shared" si="72"/>
        <v>0.21564406171510592</v>
      </c>
      <c r="BE101" s="470">
        <f t="shared" si="72"/>
        <v>0.18644286636539709</v>
      </c>
      <c r="BF101" s="470">
        <f t="shared" si="72"/>
        <v>0.14611242495010004</v>
      </c>
      <c r="BG101" s="470">
        <f t="shared" si="72"/>
        <v>0.21578396045828205</v>
      </c>
      <c r="BH101" s="470">
        <f t="shared" si="72"/>
        <v>0.18365523849606677</v>
      </c>
      <c r="BI101" s="470">
        <f t="shared" si="72"/>
        <v>0.16332748676490255</v>
      </c>
      <c r="BJ101" s="470">
        <f t="shared" si="72"/>
        <v>0.21525887131828683</v>
      </c>
      <c r="BK101" s="470">
        <f t="shared" si="72"/>
        <v>0.19076888471823328</v>
      </c>
      <c r="BL101" s="470">
        <f t="shared" si="72"/>
        <v>0.16812146929378777</v>
      </c>
      <c r="BM101" s="470">
        <f t="shared" si="72"/>
        <v>0.22007654851735917</v>
      </c>
      <c r="BN101" s="470">
        <f t="shared" si="72"/>
        <v>0.19558365042487941</v>
      </c>
      <c r="BO101" s="470">
        <f>BO54/BO19</f>
        <v>0.17596980396037307</v>
      </c>
      <c r="BP101" s="470">
        <f>BP54/BP19</f>
        <v>0.22249652397599032</v>
      </c>
      <c r="BQ101" s="470">
        <f>BQ54/BQ19</f>
        <v>0.20039810587375043</v>
      </c>
      <c r="BR101" s="470">
        <f t="shared" ref="BR101:CC101" si="73">BR54/BR19</f>
        <v>0.17185628765592456</v>
      </c>
      <c r="BS101" s="470">
        <f t="shared" si="73"/>
        <v>0.22791396688074061</v>
      </c>
      <c r="BT101" s="470">
        <f t="shared" si="73"/>
        <v>0.20157675032524244</v>
      </c>
      <c r="BU101" s="470">
        <f t="shared" si="73"/>
        <v>0.17989149537398941</v>
      </c>
      <c r="BV101" s="470">
        <f t="shared" si="73"/>
        <v>0.23690877568339946</v>
      </c>
      <c r="BW101" s="470">
        <f t="shared" si="73"/>
        <v>0.21009510140123797</v>
      </c>
      <c r="BX101" s="470">
        <f t="shared" si="73"/>
        <v>0.18799643490629384</v>
      </c>
      <c r="BY101" s="470">
        <f t="shared" si="73"/>
        <v>0.23769471633617784</v>
      </c>
      <c r="BZ101" s="470">
        <f t="shared" si="73"/>
        <v>0.21406904718895617</v>
      </c>
      <c r="CA101" s="470">
        <f t="shared" si="73"/>
        <v>0.18745145124612353</v>
      </c>
      <c r="CB101" s="470">
        <f t="shared" si="73"/>
        <v>0.23850369507553479</v>
      </c>
      <c r="CC101" s="470">
        <f t="shared" si="73"/>
        <v>0.21423913588890281</v>
      </c>
    </row>
    <row r="102" spans="1:89" hidden="1" outlineLevel="1">
      <c r="AD102" s="458"/>
      <c r="AE102" s="458"/>
      <c r="AF102" s="458"/>
      <c r="AG102" s="458"/>
      <c r="AH102" s="458"/>
    </row>
    <row r="103" spans="1:89" hidden="1" outlineLevel="1">
      <c r="B103" s="488" t="s">
        <v>68</v>
      </c>
      <c r="C103" s="257" t="s">
        <v>195</v>
      </c>
      <c r="AD103" s="470">
        <f t="shared" ref="AD103:BN103" si="74">AD43/AD19</f>
        <v>0.1997562956945573</v>
      </c>
      <c r="AE103" s="470">
        <f t="shared" si="74"/>
        <v>0.18085297822566135</v>
      </c>
      <c r="AF103" s="470">
        <f t="shared" si="74"/>
        <v>0.22176977290524671</v>
      </c>
      <c r="AG103" s="470">
        <f t="shared" si="74"/>
        <v>0.20272986099480825</v>
      </c>
      <c r="AH103" s="470">
        <f t="shared" si="74"/>
        <v>0.20420127015144113</v>
      </c>
      <c r="AI103" s="470">
        <f t="shared" si="74"/>
        <v>0.19067765552354063</v>
      </c>
      <c r="AJ103" s="470">
        <f t="shared" si="74"/>
        <v>0.19675199050987294</v>
      </c>
      <c r="AK103" s="470">
        <f t="shared" si="74"/>
        <v>0.19573343004310387</v>
      </c>
      <c r="AL103" s="470">
        <f t="shared" si="74"/>
        <v>0.20633101699870554</v>
      </c>
      <c r="AM103" s="470">
        <f t="shared" si="74"/>
        <v>0.20169794986536402</v>
      </c>
      <c r="AN103" s="470">
        <f t="shared" si="74"/>
        <v>0.20090487164769782</v>
      </c>
      <c r="AO103" s="470">
        <f t="shared" si="74"/>
        <v>0.22145425375839081</v>
      </c>
      <c r="AP103" s="470">
        <f t="shared" si="74"/>
        <v>0.21170142215017318</v>
      </c>
      <c r="AQ103" s="470">
        <f t="shared" si="74"/>
        <v>0.19025487256371815</v>
      </c>
      <c r="AR103" s="470">
        <f t="shared" si="74"/>
        <v>0.22241517499332089</v>
      </c>
      <c r="AS103" s="470">
        <f t="shared" si="74"/>
        <v>0.20726193840067811</v>
      </c>
      <c r="AT103" s="470">
        <f t="shared" si="74"/>
        <v>0.1818961818961819</v>
      </c>
      <c r="AU103" s="470">
        <f t="shared" si="74"/>
        <v>0.21217507220617632</v>
      </c>
      <c r="AV103" s="470">
        <f t="shared" si="74"/>
        <v>0.20547591372852897</v>
      </c>
      <c r="AW103" s="470">
        <f t="shared" si="74"/>
        <v>0.1933474523483244</v>
      </c>
      <c r="AX103" s="470">
        <f t="shared" si="74"/>
        <v>0.25277840780222266</v>
      </c>
      <c r="AY103" s="470">
        <f t="shared" si="74"/>
        <v>0.22445829623033539</v>
      </c>
      <c r="AZ103" s="470">
        <f t="shared" si="74"/>
        <v>0.18039450089659295</v>
      </c>
      <c r="BA103" s="470">
        <f t="shared" si="74"/>
        <v>0.21812232001805465</v>
      </c>
      <c r="BB103" s="470">
        <f t="shared" si="74"/>
        <v>0.19980263539792181</v>
      </c>
      <c r="BC103" s="470">
        <f t="shared" si="74"/>
        <v>0.210408191892271</v>
      </c>
      <c r="BD103" s="470">
        <f t="shared" si="74"/>
        <v>0.26468125822270072</v>
      </c>
      <c r="BE103" s="470">
        <f t="shared" si="74"/>
        <v>0.23970303421562303</v>
      </c>
      <c r="BF103" s="470">
        <f t="shared" si="74"/>
        <v>0.20438973882837277</v>
      </c>
      <c r="BG103" s="470">
        <f t="shared" si="74"/>
        <v>0.26539932461832194</v>
      </c>
      <c r="BH103" s="470">
        <f t="shared" si="74"/>
        <v>0.23726502264581839</v>
      </c>
      <c r="BI103" s="470">
        <f t="shared" si="74"/>
        <v>0.22075841006976199</v>
      </c>
      <c r="BJ103" s="470">
        <f t="shared" si="74"/>
        <v>0.26526851688897024</v>
      </c>
      <c r="BK103" s="470">
        <f t="shared" si="74"/>
        <v>0.24427828277632468</v>
      </c>
      <c r="BL103" s="470">
        <f t="shared" si="74"/>
        <v>0.22523216353741662</v>
      </c>
      <c r="BM103" s="470">
        <f t="shared" si="74"/>
        <v>0.26980000417647643</v>
      </c>
      <c r="BN103" s="470">
        <f t="shared" si="74"/>
        <v>0.24878963146051822</v>
      </c>
      <c r="BO103" s="470">
        <f>BO43/BO19</f>
        <v>0.23213587386970991</v>
      </c>
      <c r="BP103" s="470">
        <f>BP43/BP19</f>
        <v>0.27212036634076014</v>
      </c>
      <c r="BQ103" s="470">
        <f>BQ43/BQ19</f>
        <v>0.25312925688936233</v>
      </c>
      <c r="BR103" s="470">
        <f t="shared" ref="BR103:CC103" si="75">BR43/BR19</f>
        <v>0.22879762163994621</v>
      </c>
      <c r="BS103" s="470">
        <f t="shared" si="75"/>
        <v>0.27721963087871365</v>
      </c>
      <c r="BT103" s="470">
        <f t="shared" si="75"/>
        <v>0.25446983172525189</v>
      </c>
      <c r="BU103" s="470">
        <f t="shared" si="75"/>
        <v>0.23592457325615787</v>
      </c>
      <c r="BV103" s="470">
        <f t="shared" si="75"/>
        <v>0.28553829821859511</v>
      </c>
      <c r="BW103" s="470">
        <f t="shared" si="75"/>
        <v>0.26220631440862757</v>
      </c>
      <c r="BX103" s="470">
        <f t="shared" si="75"/>
        <v>0.2433040470602314</v>
      </c>
      <c r="BY103" s="470">
        <f t="shared" si="75"/>
        <v>0.2867112197186974</v>
      </c>
      <c r="BZ103" s="470">
        <f t="shared" si="75"/>
        <v>0.26607623053316415</v>
      </c>
      <c r="CA103" s="470">
        <f t="shared" si="75"/>
        <v>0.24319707400535487</v>
      </c>
      <c r="CB103" s="470">
        <f t="shared" si="75"/>
        <v>0.28791228331769564</v>
      </c>
      <c r="CC103" s="470">
        <f t="shared" si="75"/>
        <v>0.26665964559764965</v>
      </c>
    </row>
    <row r="104" spans="1:89" hidden="1" outlineLevel="1">
      <c r="B104" s="488" t="s">
        <v>326</v>
      </c>
      <c r="AD104" s="470">
        <f t="shared" ref="AD104:BN104" si="76">AD44/AD19</f>
        <v>0.1997562956945573</v>
      </c>
      <c r="AE104" s="470">
        <f t="shared" si="76"/>
        <v>0.18085297822566135</v>
      </c>
      <c r="AF104" s="470">
        <f t="shared" si="76"/>
        <v>0.22176977290524666</v>
      </c>
      <c r="AG104" s="470">
        <f t="shared" si="76"/>
        <v>0.20272986099480825</v>
      </c>
      <c r="AH104" s="470">
        <f t="shared" si="76"/>
        <v>0.20420127015144113</v>
      </c>
      <c r="AI104" s="470">
        <f t="shared" si="76"/>
        <v>0.19067765552354063</v>
      </c>
      <c r="AJ104" s="470">
        <f t="shared" si="76"/>
        <v>0.19675199050987294</v>
      </c>
      <c r="AK104" s="470">
        <f t="shared" si="76"/>
        <v>0.19573343004310387</v>
      </c>
      <c r="AL104" s="470">
        <f t="shared" si="76"/>
        <v>0.20633101699870554</v>
      </c>
      <c r="AM104" s="470">
        <f t="shared" si="76"/>
        <v>0.20169794986536402</v>
      </c>
      <c r="AN104" s="470">
        <f t="shared" si="76"/>
        <v>0.20090487164769782</v>
      </c>
      <c r="AO104" s="470">
        <f t="shared" si="76"/>
        <v>0.22145425375839081</v>
      </c>
      <c r="AP104" s="470">
        <f t="shared" si="76"/>
        <v>0.21170142215017318</v>
      </c>
      <c r="AQ104" s="470">
        <f t="shared" si="76"/>
        <v>0.19025487256371815</v>
      </c>
      <c r="AR104" s="470">
        <f t="shared" si="76"/>
        <v>0.22241517499332089</v>
      </c>
      <c r="AS104" s="470">
        <f t="shared" si="76"/>
        <v>0.20726193840067811</v>
      </c>
      <c r="AT104" s="470">
        <f t="shared" si="76"/>
        <v>0.1818961818961819</v>
      </c>
      <c r="AU104" s="470">
        <f t="shared" si="76"/>
        <v>0.21217507220617632</v>
      </c>
      <c r="AV104" s="470">
        <f t="shared" si="76"/>
        <v>0.20547591372852897</v>
      </c>
      <c r="AW104" s="470">
        <f t="shared" si="76"/>
        <v>0.1933474523483244</v>
      </c>
      <c r="AX104" s="470">
        <f t="shared" si="76"/>
        <v>0.25277840780222266</v>
      </c>
      <c r="AY104" s="470">
        <f t="shared" si="76"/>
        <v>0.22445829623033539</v>
      </c>
      <c r="AZ104" s="470">
        <f t="shared" si="76"/>
        <v>0.18039450089659295</v>
      </c>
      <c r="BA104" s="470">
        <f t="shared" si="76"/>
        <v>0.21812232001805465</v>
      </c>
      <c r="BB104" s="470">
        <f t="shared" si="76"/>
        <v>0.19980263539792181</v>
      </c>
      <c r="BC104" s="470">
        <f t="shared" si="76"/>
        <v>0.210408191892271</v>
      </c>
      <c r="BD104" s="470">
        <f t="shared" si="76"/>
        <v>0.26468125822270072</v>
      </c>
      <c r="BE104" s="470">
        <f t="shared" si="76"/>
        <v>0.23970303421562303</v>
      </c>
      <c r="BF104" s="470">
        <f t="shared" si="76"/>
        <v>0.20438973882837277</v>
      </c>
      <c r="BG104" s="470">
        <f t="shared" si="76"/>
        <v>0.26539932461832194</v>
      </c>
      <c r="BH104" s="470">
        <f t="shared" si="76"/>
        <v>0.23726502264581839</v>
      </c>
      <c r="BI104" s="470">
        <f t="shared" si="76"/>
        <v>0.22075841006976199</v>
      </c>
      <c r="BJ104" s="470">
        <f t="shared" si="76"/>
        <v>0.26526851688897024</v>
      </c>
      <c r="BK104" s="470">
        <f t="shared" si="76"/>
        <v>0.24427828277632468</v>
      </c>
      <c r="BL104" s="470">
        <f t="shared" si="76"/>
        <v>0.22523216353741662</v>
      </c>
      <c r="BM104" s="470">
        <f t="shared" si="76"/>
        <v>0.26980000417647643</v>
      </c>
      <c r="BN104" s="470">
        <f t="shared" si="76"/>
        <v>0.24878963146051822</v>
      </c>
      <c r="BO104" s="470">
        <f>BO44/BO19</f>
        <v>0.23213587386970991</v>
      </c>
      <c r="BP104" s="470">
        <f>BP44/BP19</f>
        <v>0.27212036634076014</v>
      </c>
      <c r="BQ104" s="470">
        <f>BQ44/BQ19</f>
        <v>0.25312925688936233</v>
      </c>
      <c r="BR104" s="470">
        <f t="shared" ref="BR104:CC104" si="77">BR44/BR19</f>
        <v>0.22879762163994621</v>
      </c>
      <c r="BS104" s="470">
        <f t="shared" si="77"/>
        <v>0.27721963087871365</v>
      </c>
      <c r="BT104" s="470">
        <f t="shared" si="77"/>
        <v>0.25446983172525189</v>
      </c>
      <c r="BU104" s="470">
        <f t="shared" si="77"/>
        <v>0.23592457325615787</v>
      </c>
      <c r="BV104" s="470">
        <f t="shared" si="77"/>
        <v>0.28553829821859511</v>
      </c>
      <c r="BW104" s="470">
        <f t="shared" si="77"/>
        <v>0.26220631440862757</v>
      </c>
      <c r="BX104" s="470">
        <f t="shared" si="77"/>
        <v>0.2433040470602314</v>
      </c>
      <c r="BY104" s="470">
        <f t="shared" si="77"/>
        <v>0.2867112197186974</v>
      </c>
      <c r="BZ104" s="470">
        <f t="shared" si="77"/>
        <v>0.26607623053316415</v>
      </c>
      <c r="CA104" s="470">
        <f t="shared" si="77"/>
        <v>0.24319707400535487</v>
      </c>
      <c r="CB104" s="470">
        <f t="shared" si="77"/>
        <v>0.28791228331769564</v>
      </c>
      <c r="CC104" s="470">
        <f t="shared" si="77"/>
        <v>0.26665964559764965</v>
      </c>
    </row>
    <row r="105" spans="1:89" collapsed="1">
      <c r="AD105" s="458"/>
      <c r="AE105" s="458"/>
      <c r="AF105" s="458"/>
      <c r="AG105" s="458"/>
      <c r="AH105" s="458"/>
    </row>
    <row r="106" spans="1:89">
      <c r="B106" s="488" t="s">
        <v>294</v>
      </c>
      <c r="AD106" s="458"/>
      <c r="AE106" s="458"/>
      <c r="AF106" s="458"/>
      <c r="AG106" s="458"/>
      <c r="AH106" s="458"/>
      <c r="BD106" s="458"/>
      <c r="BE106" s="458"/>
      <c r="BF106" s="458"/>
      <c r="BG106" s="458"/>
      <c r="BH106" s="458"/>
      <c r="BI106" s="458"/>
      <c r="BJ106" s="458"/>
      <c r="BK106" s="458"/>
      <c r="BL106" s="458"/>
      <c r="BM106" s="458"/>
      <c r="BN106" s="458"/>
      <c r="BO106" s="458"/>
      <c r="BP106" s="458"/>
      <c r="BQ106" s="458"/>
      <c r="BR106" s="458"/>
      <c r="BS106" s="458"/>
      <c r="BT106" s="458"/>
      <c r="BU106" s="458"/>
      <c r="BV106" s="458"/>
      <c r="BW106" s="458"/>
      <c r="BX106" s="458"/>
      <c r="BY106" s="458"/>
      <c r="BZ106" s="458"/>
      <c r="CA106" s="458"/>
      <c r="CB106" s="458"/>
      <c r="CC106" s="458"/>
    </row>
    <row r="107" spans="1:89">
      <c r="B107" s="257" t="s">
        <v>295</v>
      </c>
      <c r="C107" s="257" t="s">
        <v>420</v>
      </c>
      <c r="AD107" s="458">
        <f t="shared" ref="AD107:AK107" si="78">AD68+AD58</f>
        <v>155.30000000000001</v>
      </c>
      <c r="AE107" s="458">
        <f t="shared" si="78"/>
        <v>60.500000000000014</v>
      </c>
      <c r="AF107" s="458">
        <f t="shared" si="78"/>
        <v>108.1</v>
      </c>
      <c r="AG107" s="458">
        <f t="shared" si="78"/>
        <v>168.60000000000002</v>
      </c>
      <c r="AH107" s="458">
        <f t="shared" si="78"/>
        <v>92.100000000000009</v>
      </c>
      <c r="AI107" s="458">
        <f t="shared" si="78"/>
        <v>110.09999999999998</v>
      </c>
      <c r="AJ107" s="458">
        <f t="shared" si="78"/>
        <v>202.19999999999996</v>
      </c>
      <c r="AK107" s="458">
        <f t="shared" si="78"/>
        <v>84.499999999999986</v>
      </c>
      <c r="AL107" s="458">
        <f>AM107-AK107</f>
        <v>121.90000000000002</v>
      </c>
      <c r="AM107" s="458">
        <f>AM68+AM58</f>
        <v>206.4</v>
      </c>
      <c r="AN107" s="458">
        <f>AN68+AN58</f>
        <v>90.2</v>
      </c>
      <c r="AO107" s="458">
        <f>AP107-AN107</f>
        <v>117.28000000000002</v>
      </c>
      <c r="AP107" s="458">
        <f>AP68+AP58</f>
        <v>207.48000000000002</v>
      </c>
      <c r="AQ107" s="458">
        <f>AQ68+AQ58</f>
        <v>87.2</v>
      </c>
      <c r="AR107" s="458">
        <f>AS107-AQ107</f>
        <v>121.39999999999999</v>
      </c>
      <c r="AS107" s="458">
        <f>AS68+AS58</f>
        <v>208.6</v>
      </c>
      <c r="AT107" s="458">
        <f>AT68+AT58</f>
        <v>85.300000000000011</v>
      </c>
      <c r="AU107" s="458">
        <f>AV107-AT107</f>
        <v>144.89999999999998</v>
      </c>
      <c r="AV107" s="458">
        <f>AV68+AV58</f>
        <v>230.2</v>
      </c>
      <c r="AW107" s="458">
        <f>AW68+AW58</f>
        <v>110.8</v>
      </c>
      <c r="AX107" s="458">
        <f>AY107-AW107</f>
        <v>176.49999999999994</v>
      </c>
      <c r="AY107" s="458">
        <f>AY68+AY58</f>
        <v>287.29999999999995</v>
      </c>
      <c r="AZ107" s="458">
        <f>AZ68+AZ58</f>
        <v>104.70000000000002</v>
      </c>
      <c r="BA107" s="458">
        <f>BB107-AZ107</f>
        <v>149.89999999999995</v>
      </c>
      <c r="BB107" s="458">
        <f>BB68+BB58</f>
        <v>254.59999999999997</v>
      </c>
      <c r="BC107" s="458">
        <f>BC68+BC58</f>
        <v>103</v>
      </c>
      <c r="BD107" s="458">
        <f>BE107-BC107</f>
        <v>173.70000000000005</v>
      </c>
      <c r="BE107" s="458">
        <f>BE68+BE58</f>
        <v>276.70000000000005</v>
      </c>
      <c r="BF107" s="458">
        <f>BF68+BF58</f>
        <v>103.23051185780309</v>
      </c>
      <c r="BG107" s="458">
        <f>BG68+BG58</f>
        <v>182.39623833425546</v>
      </c>
      <c r="BH107" s="458">
        <f>SUM(BF107:BG107)</f>
        <v>285.62675019205858</v>
      </c>
      <c r="BI107" s="458">
        <f>BI68+BI58</f>
        <v>123.09841251348519</v>
      </c>
      <c r="BJ107" s="458">
        <f>BJ68+BJ58</f>
        <v>184.27169489993796</v>
      </c>
      <c r="BK107" s="458">
        <f>SUM(BI107:BJ107)</f>
        <v>307.37010741342317</v>
      </c>
      <c r="BL107" s="458">
        <f>BL68+BL58</f>
        <v>130.92325604535023</v>
      </c>
      <c r="BM107" s="458">
        <f>BM68+BM58</f>
        <v>194.11559844602436</v>
      </c>
      <c r="BN107" s="458">
        <f>SUM(BL107:BM107)</f>
        <v>325.03885449137459</v>
      </c>
      <c r="BO107" s="458">
        <f>BO68+BO58</f>
        <v>143.0293514831161</v>
      </c>
      <c r="BP107" s="458">
        <f>BP68+BP58</f>
        <v>201.41754936817836</v>
      </c>
      <c r="BQ107" s="458">
        <f>SUM(BO107:BP107)</f>
        <v>344.44690085129446</v>
      </c>
      <c r="BR107" s="458">
        <f>BR68+BR58</f>
        <v>141.5727527759893</v>
      </c>
      <c r="BS107" s="458">
        <f>BS68+BS58</f>
        <v>213.76987677502981</v>
      </c>
      <c r="BT107" s="458">
        <f>SUM(BR107:BS107)</f>
        <v>355.34262955101912</v>
      </c>
      <c r="BU107" s="458">
        <f>BU68+BU58</f>
        <v>155.5469938240457</v>
      </c>
      <c r="BV107" s="458">
        <f>BV68+BV58</f>
        <v>231.84186585347268</v>
      </c>
      <c r="BW107" s="458">
        <f>SUM(BU107:BV107)</f>
        <v>387.38885967751838</v>
      </c>
      <c r="BX107" s="458">
        <f>BX68+BX58</f>
        <v>169.91057549088742</v>
      </c>
      <c r="BY107" s="458">
        <f>BY68+BY58</f>
        <v>237.38506248105892</v>
      </c>
      <c r="BZ107" s="458">
        <f>SUM(BX107:BY107)</f>
        <v>407.29563797194635</v>
      </c>
      <c r="CA107" s="458">
        <f>CA68+CA58</f>
        <v>173.82597327791871</v>
      </c>
      <c r="CB107" s="458">
        <f>CB68+CB58</f>
        <v>243.49094086724403</v>
      </c>
      <c r="CC107" s="458">
        <f>SUM(CA107:CB107)</f>
        <v>417.31691414516274</v>
      </c>
    </row>
    <row r="108" spans="1:89" s="617" customFormat="1">
      <c r="A108" s="489"/>
      <c r="B108" s="489" t="s">
        <v>296</v>
      </c>
      <c r="C108" s="489" t="s">
        <v>420</v>
      </c>
      <c r="D108" s="489"/>
      <c r="E108" s="489"/>
      <c r="F108" s="489"/>
      <c r="G108" s="489"/>
      <c r="H108" s="489"/>
      <c r="I108" s="489"/>
      <c r="J108" s="489"/>
      <c r="K108" s="489"/>
      <c r="L108" s="489"/>
      <c r="M108" s="489"/>
      <c r="N108" s="489"/>
      <c r="O108" s="489"/>
      <c r="P108" s="489"/>
      <c r="Q108" s="489"/>
      <c r="R108" s="489"/>
      <c r="S108" s="489"/>
      <c r="T108" s="489"/>
      <c r="U108" s="489"/>
      <c r="V108" s="489"/>
      <c r="W108" s="489"/>
      <c r="X108" s="489"/>
      <c r="Y108" s="489"/>
      <c r="Z108" s="489"/>
      <c r="AA108" s="489"/>
      <c r="AB108" s="489"/>
      <c r="AC108" s="489"/>
      <c r="AD108" s="490">
        <f>-Segments!AD145</f>
        <v>-30.599999999999998</v>
      </c>
      <c r="AE108" s="490">
        <f>-Segments!AE145</f>
        <v>-12.2</v>
      </c>
      <c r="AF108" s="490">
        <f>-Segments!AF145</f>
        <v>-15.400000000000002</v>
      </c>
      <c r="AG108" s="490">
        <f>-Segments!AG145</f>
        <v>-27.6</v>
      </c>
      <c r="AH108" s="490">
        <f>-Segments!AH145</f>
        <v>-15.2</v>
      </c>
      <c r="AI108" s="490">
        <f>-Segments!AI145</f>
        <v>-16.899999999999999</v>
      </c>
      <c r="AJ108" s="490">
        <f>-Segments!AJ145</f>
        <v>-32.1</v>
      </c>
      <c r="AK108" s="490">
        <f>-Segments!AK145</f>
        <v>-16.600000000000001</v>
      </c>
      <c r="AL108" s="490">
        <f>-Segments!AL145</f>
        <v>-19.099999999999998</v>
      </c>
      <c r="AM108" s="490">
        <f>-Segments!AM145</f>
        <v>-35.700000000000003</v>
      </c>
      <c r="AN108" s="490">
        <f>-Segments!AN145</f>
        <v>-14.399999999999999</v>
      </c>
      <c r="AO108" s="490">
        <f>-Segments!AO145</f>
        <v>-13.3</v>
      </c>
      <c r="AP108" s="490">
        <f>-Segments!AP145</f>
        <v>-27.7</v>
      </c>
      <c r="AQ108" s="490">
        <f>-Segments!AQ145</f>
        <v>-12.9</v>
      </c>
      <c r="AR108" s="490">
        <f>-Segments!AR145</f>
        <v>-11.3</v>
      </c>
      <c r="AS108" s="490">
        <f>-Segments!AS145</f>
        <v>-24.200000000000003</v>
      </c>
      <c r="AT108" s="490">
        <f>-Segments!AT145</f>
        <v>-11.5</v>
      </c>
      <c r="AU108" s="490">
        <f>-Segments!AU145</f>
        <v>-10.199999999999999</v>
      </c>
      <c r="AV108" s="490">
        <f>-Segments!AV145</f>
        <v>-21.7</v>
      </c>
      <c r="AW108" s="490">
        <f>-Segments!AW145</f>
        <v>-9.8000000000000007</v>
      </c>
      <c r="AX108" s="490">
        <f>-Segments!AX145</f>
        <v>-10.100000000000001</v>
      </c>
      <c r="AY108" s="490">
        <f>-Segments!AY145</f>
        <v>-19.900000000000002</v>
      </c>
      <c r="AZ108" s="490">
        <f>-Segments!AZ145</f>
        <v>-12.7</v>
      </c>
      <c r="BA108" s="490">
        <f>-Segments!BA145</f>
        <v>-15.8</v>
      </c>
      <c r="BB108" s="490">
        <f>-Segments!BB145</f>
        <v>-28.5</v>
      </c>
      <c r="BC108" s="490">
        <f>-Segments!BC145</f>
        <v>-16.299999999999997</v>
      </c>
      <c r="BD108" s="490">
        <f>-Segments!BD145</f>
        <v>-18.799999999999997</v>
      </c>
      <c r="BE108" s="490">
        <f>-Segments!BE145</f>
        <v>-35.1</v>
      </c>
      <c r="BF108" s="490">
        <f>-Segments!BF145</f>
        <v>-16.143060095246661</v>
      </c>
      <c r="BG108" s="490">
        <f>-Segments!BG145</f>
        <v>-19.852797111566332</v>
      </c>
      <c r="BH108" s="458">
        <f>SUM(BF108:BG108)</f>
        <v>-35.995857206812993</v>
      </c>
      <c r="BI108" s="490">
        <f>-Segments!BI145</f>
        <v>-18.782221992674927</v>
      </c>
      <c r="BJ108" s="490">
        <f>-Segments!BJ145</f>
        <v>-20.046770924856627</v>
      </c>
      <c r="BK108" s="458">
        <f>SUM(BI108:BJ108)</f>
        <v>-38.828992917531551</v>
      </c>
      <c r="BL108" s="490">
        <f>-Segments!BL145</f>
        <v>-19.732743387997125</v>
      </c>
      <c r="BM108" s="490">
        <f>-Segments!BM145</f>
        <v>-20.963013096782085</v>
      </c>
      <c r="BN108" s="458">
        <f>SUM(BL108:BM108)</f>
        <v>-40.69575648477921</v>
      </c>
      <c r="BO108" s="490">
        <f>-Segments!BO145</f>
        <v>-21.254978276456271</v>
      </c>
      <c r="BP108" s="490">
        <f>-Segments!BP145</f>
        <v>-21.600304908409605</v>
      </c>
      <c r="BQ108" s="458">
        <f>SUM(BO108:BP108)</f>
        <v>-42.855283184865876</v>
      </c>
      <c r="BR108" s="490">
        <f>-Segments!BR145</f>
        <v>-20.90485834835232</v>
      </c>
      <c r="BS108" s="490">
        <f>-Segments!BS145</f>
        <v>-22.657546825242207</v>
      </c>
      <c r="BT108" s="458">
        <f>SUM(BR108:BS108)</f>
        <v>-43.562405173594527</v>
      </c>
      <c r="BU108" s="490">
        <f>-Segments!BU145</f>
        <v>-22.526108262931089</v>
      </c>
      <c r="BV108" s="490">
        <f>-Segments!BV145</f>
        <v>-24.289980240713888</v>
      </c>
      <c r="BW108" s="458">
        <f>SUM(BU108:BV108)</f>
        <v>-46.816088503644977</v>
      </c>
      <c r="BX108" s="490">
        <f>-Segments!BX145</f>
        <v>-24.197387967929735</v>
      </c>
      <c r="BY108" s="490">
        <f>-Segments!BY145</f>
        <v>-24.659231058667064</v>
      </c>
      <c r="BZ108" s="458">
        <f>SUM(BX108:BY108)</f>
        <v>-48.856619026596803</v>
      </c>
      <c r="CA108" s="490">
        <f>-Segments!CA145</f>
        <v>-24.406641950047234</v>
      </c>
      <c r="CB108" s="490">
        <f>-Segments!CB145</f>
        <v>-25.037545848486257</v>
      </c>
      <c r="CC108" s="458">
        <f>SUM(CA108:CB108)</f>
        <v>-49.444187798533491</v>
      </c>
      <c r="CD108" s="489"/>
      <c r="CE108" s="489"/>
      <c r="CF108"/>
      <c r="CG108"/>
      <c r="CH108"/>
      <c r="CI108"/>
      <c r="CJ108"/>
      <c r="CK108"/>
    </row>
    <row r="109" spans="1:89">
      <c r="B109" s="257" t="s">
        <v>297</v>
      </c>
      <c r="C109" s="257" t="s">
        <v>420</v>
      </c>
      <c r="AD109" s="458">
        <f t="shared" ref="AD109:CB109" si="79">SUM(AD107:AD108)</f>
        <v>124.70000000000002</v>
      </c>
      <c r="AE109" s="458">
        <f t="shared" si="79"/>
        <v>48.300000000000011</v>
      </c>
      <c r="AF109" s="458">
        <f t="shared" si="79"/>
        <v>92.699999999999989</v>
      </c>
      <c r="AG109" s="458">
        <f t="shared" si="79"/>
        <v>141.00000000000003</v>
      </c>
      <c r="AH109" s="458">
        <f t="shared" si="79"/>
        <v>76.900000000000006</v>
      </c>
      <c r="AI109" s="458">
        <f t="shared" si="79"/>
        <v>93.199999999999989</v>
      </c>
      <c r="AJ109" s="458">
        <f>AI109+AH109</f>
        <v>170.1</v>
      </c>
      <c r="AK109" s="458">
        <f>SUM(AK107:AK108)</f>
        <v>67.899999999999977</v>
      </c>
      <c r="AL109" s="458">
        <f t="shared" si="79"/>
        <v>102.80000000000003</v>
      </c>
      <c r="AM109" s="458">
        <f t="shared" si="79"/>
        <v>170.7</v>
      </c>
      <c r="AN109" s="458">
        <f t="shared" si="79"/>
        <v>75.800000000000011</v>
      </c>
      <c r="AO109" s="458">
        <f t="shared" si="79"/>
        <v>103.98000000000002</v>
      </c>
      <c r="AP109" s="458">
        <f t="shared" si="79"/>
        <v>179.78000000000003</v>
      </c>
      <c r="AQ109" s="458">
        <f t="shared" si="79"/>
        <v>74.3</v>
      </c>
      <c r="AR109" s="458">
        <f t="shared" si="79"/>
        <v>110.1</v>
      </c>
      <c r="AS109" s="458">
        <f t="shared" si="79"/>
        <v>184.39999999999998</v>
      </c>
      <c r="AT109" s="458">
        <f t="shared" si="79"/>
        <v>73.800000000000011</v>
      </c>
      <c r="AU109" s="458">
        <f t="shared" si="79"/>
        <v>134.69999999999999</v>
      </c>
      <c r="AV109" s="458">
        <f t="shared" si="79"/>
        <v>208.5</v>
      </c>
      <c r="AW109" s="458">
        <f t="shared" si="79"/>
        <v>101</v>
      </c>
      <c r="AX109" s="458">
        <f t="shared" si="79"/>
        <v>166.39999999999995</v>
      </c>
      <c r="AY109" s="458">
        <f t="shared" si="79"/>
        <v>267.39999999999998</v>
      </c>
      <c r="AZ109" s="458">
        <f t="shared" si="79"/>
        <v>92.000000000000014</v>
      </c>
      <c r="BA109" s="458">
        <f t="shared" si="79"/>
        <v>134.09999999999994</v>
      </c>
      <c r="BB109" s="458">
        <f t="shared" si="79"/>
        <v>226.09999999999997</v>
      </c>
      <c r="BC109" s="458">
        <f>SUM(BC107:BC108)</f>
        <v>86.7</v>
      </c>
      <c r="BD109" s="458">
        <f t="shared" ref="BD109:BE109" si="80">SUM(BD107:BD108)</f>
        <v>154.90000000000003</v>
      </c>
      <c r="BE109" s="458">
        <f t="shared" si="80"/>
        <v>241.60000000000005</v>
      </c>
      <c r="BF109" s="458">
        <f t="shared" si="79"/>
        <v>87.087451762556441</v>
      </c>
      <c r="BG109" s="458">
        <f t="shared" si="79"/>
        <v>162.54344122268913</v>
      </c>
      <c r="BH109" s="458">
        <f>SUM(BF109:BG109)</f>
        <v>249.63089298524557</v>
      </c>
      <c r="BI109" s="458">
        <f t="shared" si="79"/>
        <v>104.31619052081027</v>
      </c>
      <c r="BJ109" s="458">
        <f t="shared" si="79"/>
        <v>164.22492397508134</v>
      </c>
      <c r="BK109" s="458">
        <f>SUM(BI109:BJ109)</f>
        <v>268.54111449589163</v>
      </c>
      <c r="BL109" s="458">
        <f t="shared" si="79"/>
        <v>111.19051265735311</v>
      </c>
      <c r="BM109" s="458">
        <f t="shared" si="79"/>
        <v>173.15258534924229</v>
      </c>
      <c r="BN109" s="458">
        <f>SUM(BL109:BM109)</f>
        <v>284.34309800659537</v>
      </c>
      <c r="BO109" s="458">
        <f t="shared" si="79"/>
        <v>121.77437320665983</v>
      </c>
      <c r="BP109" s="458">
        <f t="shared" si="79"/>
        <v>179.81724445976874</v>
      </c>
      <c r="BQ109" s="458">
        <f>SUM(BO109:BP109)</f>
        <v>301.59161766642859</v>
      </c>
      <c r="BR109" s="458">
        <f t="shared" si="79"/>
        <v>120.66789442763698</v>
      </c>
      <c r="BS109" s="458">
        <f t="shared" si="79"/>
        <v>191.11232994978761</v>
      </c>
      <c r="BT109" s="458">
        <f>SUM(BR109:BS109)</f>
        <v>311.78022437742459</v>
      </c>
      <c r="BU109" s="458">
        <f t="shared" si="79"/>
        <v>133.0208855611146</v>
      </c>
      <c r="BV109" s="458">
        <f t="shared" si="79"/>
        <v>207.55188561275878</v>
      </c>
      <c r="BW109" s="458">
        <f>SUM(BU109:BV109)</f>
        <v>340.57277117387338</v>
      </c>
      <c r="BX109" s="458">
        <f t="shared" si="79"/>
        <v>145.7131875229577</v>
      </c>
      <c r="BY109" s="458">
        <f t="shared" si="79"/>
        <v>212.72583142239185</v>
      </c>
      <c r="BZ109" s="458">
        <f>SUM(BX109:BY109)</f>
        <v>358.43901894534952</v>
      </c>
      <c r="CA109" s="458">
        <f t="shared" si="79"/>
        <v>149.41933132787148</v>
      </c>
      <c r="CB109" s="458">
        <f t="shared" si="79"/>
        <v>218.45339501875779</v>
      </c>
      <c r="CC109" s="458">
        <f>SUM(CA109:CB109)</f>
        <v>367.87272634662929</v>
      </c>
    </row>
    <row r="110" spans="1:89">
      <c r="B110" s="257" t="s">
        <v>298</v>
      </c>
      <c r="C110" s="257" t="s">
        <v>195</v>
      </c>
      <c r="AD110" s="470">
        <f>-AD112/AD109</f>
        <v>0.27666399358460303</v>
      </c>
      <c r="AE110" s="470">
        <f>-AE112/AE109</f>
        <v>0.34575569358178043</v>
      </c>
      <c r="AF110" s="470">
        <f>-AF112/AF109</f>
        <v>0.30960086299892126</v>
      </c>
      <c r="AG110" s="470">
        <f>-AG112/AG109</f>
        <v>0.32198581560283679</v>
      </c>
      <c r="AH110" s="470">
        <f>-AH112/AH109</f>
        <v>0.30299089726918071</v>
      </c>
      <c r="AI110" s="470">
        <f>-AI111/AI109</f>
        <v>0.29506437768240346</v>
      </c>
      <c r="AJ110" s="470">
        <f>-AJ111/AJ109</f>
        <v>0.29864785420340978</v>
      </c>
      <c r="AK110" s="470">
        <f t="shared" ref="AK110:AS110" si="81">-AK112/AK109</f>
        <v>0.34020618556701043</v>
      </c>
      <c r="AL110" s="470">
        <f t="shared" si="81"/>
        <v>0.33949416342412442</v>
      </c>
      <c r="AM110" s="470">
        <f t="shared" si="81"/>
        <v>0.33977738722905687</v>
      </c>
      <c r="AN110" s="470">
        <f t="shared" si="81"/>
        <v>0.29947229551451182</v>
      </c>
      <c r="AO110" s="470">
        <f t="shared" si="81"/>
        <v>0.30678976726293516</v>
      </c>
      <c r="AP110" s="470">
        <f t="shared" si="81"/>
        <v>0.30370452775614637</v>
      </c>
      <c r="AQ110" s="470">
        <f t="shared" si="81"/>
        <v>0.32570659488559894</v>
      </c>
      <c r="AR110" s="470">
        <f t="shared" si="81"/>
        <v>0.30245231607629425</v>
      </c>
      <c r="AS110" s="470">
        <f t="shared" si="81"/>
        <v>0.31182212581344904</v>
      </c>
      <c r="AT110" s="275">
        <v>0.31</v>
      </c>
      <c r="AU110" s="275">
        <v>0.31</v>
      </c>
      <c r="AV110" s="470">
        <f t="shared" ref="AV110:BB110" si="82">-AV112/AV109</f>
        <v>0.30599520383693046</v>
      </c>
      <c r="AW110" s="470">
        <f t="shared" si="82"/>
        <v>0.27524752475247527</v>
      </c>
      <c r="AX110" s="470">
        <f t="shared" si="82"/>
        <v>0.30288461538461553</v>
      </c>
      <c r="AY110" s="470">
        <f t="shared" si="82"/>
        <v>0.29244577412116685</v>
      </c>
      <c r="AZ110" s="470">
        <f t="shared" si="82"/>
        <v>0.3</v>
      </c>
      <c r="BA110" s="470">
        <f t="shared" si="82"/>
        <v>0.30425055928411648</v>
      </c>
      <c r="BB110" s="470">
        <f t="shared" si="82"/>
        <v>0.30252100840336144</v>
      </c>
      <c r="BC110" s="470">
        <f>-BC112/BC109</f>
        <v>0.32871972318339099</v>
      </c>
      <c r="BD110" s="470">
        <f t="shared" ref="BD110:BE110" si="83">-BD112/BD109</f>
        <v>0.32537120723047125</v>
      </c>
      <c r="BE110" s="470">
        <f t="shared" si="83"/>
        <v>0.32657284768211914</v>
      </c>
      <c r="BF110" s="491">
        <v>0.3</v>
      </c>
      <c r="BG110" s="491">
        <v>0.3</v>
      </c>
      <c r="BH110" s="470">
        <f>-BH112/BH109</f>
        <v>0.3</v>
      </c>
      <c r="BI110" s="491">
        <v>0.3</v>
      </c>
      <c r="BJ110" s="491">
        <v>0.3</v>
      </c>
      <c r="BK110" s="470">
        <f>-BK112/BK109</f>
        <v>0.29999999999999993</v>
      </c>
      <c r="BL110" s="491">
        <v>0.3</v>
      </c>
      <c r="BM110" s="491">
        <v>0.3</v>
      </c>
      <c r="BN110" s="470">
        <f>-BN112/BN109</f>
        <v>0.30000000000000004</v>
      </c>
      <c r="BO110" s="491">
        <v>0.3</v>
      </c>
      <c r="BP110" s="491">
        <v>0.3</v>
      </c>
      <c r="BQ110" s="470">
        <f>-BQ112/BQ109</f>
        <v>0.29999999999999993</v>
      </c>
      <c r="BR110" s="491">
        <v>0.3</v>
      </c>
      <c r="BS110" s="491">
        <v>0.3</v>
      </c>
      <c r="BT110" s="470">
        <f>-BT112/BT109</f>
        <v>0.30000000000000004</v>
      </c>
      <c r="BU110" s="491">
        <v>0.3</v>
      </c>
      <c r="BV110" s="491">
        <v>0.3</v>
      </c>
      <c r="BW110" s="470">
        <f>-BW112/BW109</f>
        <v>0.3</v>
      </c>
      <c r="BX110" s="491">
        <v>0.3</v>
      </c>
      <c r="BY110" s="491">
        <v>0.3</v>
      </c>
      <c r="BZ110" s="470">
        <f>-BZ112/BZ109</f>
        <v>0.3</v>
      </c>
      <c r="CA110" s="491">
        <v>0.3</v>
      </c>
      <c r="CB110" s="491">
        <v>0.3</v>
      </c>
      <c r="CC110" s="470">
        <f>-CC112/CC109</f>
        <v>0.3</v>
      </c>
    </row>
    <row r="111" spans="1:89">
      <c r="B111" s="257" t="s">
        <v>299</v>
      </c>
      <c r="C111" s="257" t="s">
        <v>420</v>
      </c>
      <c r="AD111" s="458">
        <f>-(AD110*AD109)</f>
        <v>-34.5</v>
      </c>
      <c r="AE111" s="458">
        <f>-(AE110*AE109)</f>
        <v>-16.7</v>
      </c>
      <c r="AF111" s="458">
        <f>-(AF110*AF109)</f>
        <v>-28.699999999999996</v>
      </c>
      <c r="AG111" s="458">
        <f>-(AG110*AG109)</f>
        <v>-45.4</v>
      </c>
      <c r="AH111" s="458">
        <f>-(AH110*AH109)</f>
        <v>-23.299999999999997</v>
      </c>
      <c r="AI111" s="458">
        <f>AI112</f>
        <v>-27.499999999999996</v>
      </c>
      <c r="AJ111" s="458">
        <f>SUM(AH111:AI111)</f>
        <v>-50.8</v>
      </c>
      <c r="AK111" s="458">
        <f>-(AK110*AK109)</f>
        <v>-23.1</v>
      </c>
      <c r="AL111" s="458">
        <f>-(AL109*AL110)</f>
        <v>-34.9</v>
      </c>
      <c r="AM111" s="458">
        <f>AL111+AK111</f>
        <v>-58</v>
      </c>
      <c r="AN111" s="458">
        <f>-(AN110*AN109)</f>
        <v>-22.7</v>
      </c>
      <c r="AO111" s="458">
        <f>-(AO109*AO110)</f>
        <v>-31.900000000000006</v>
      </c>
      <c r="AP111" s="458">
        <f>AO111+AN111</f>
        <v>-54.600000000000009</v>
      </c>
      <c r="AQ111" s="458">
        <f>+AQ112</f>
        <v>-24.2</v>
      </c>
      <c r="AR111" s="458">
        <f>-(AR109*AR110)</f>
        <v>-33.299999999999997</v>
      </c>
      <c r="AS111" s="458">
        <f>AR111+AQ111</f>
        <v>-57.5</v>
      </c>
      <c r="AT111" s="458">
        <f>-(AT110*AT109)</f>
        <v>-22.878000000000004</v>
      </c>
      <c r="AU111" s="458">
        <f>-(AU109*AU110)</f>
        <v>-41.756999999999998</v>
      </c>
      <c r="AV111" s="458">
        <f>AU111+AT111</f>
        <v>-64.635000000000005</v>
      </c>
      <c r="AW111" s="458">
        <f>-(AW110*AW109)</f>
        <v>-27.8</v>
      </c>
      <c r="AX111" s="458">
        <f>AY111-AW111</f>
        <v>-50.400000000000006</v>
      </c>
      <c r="AY111" s="458">
        <f>-AY109*AY110</f>
        <v>-78.2</v>
      </c>
      <c r="AZ111" s="458">
        <f>-(AZ110*AZ109)</f>
        <v>-27.600000000000005</v>
      </c>
      <c r="BA111" s="458">
        <f>-(BA109*BA110)</f>
        <v>-40.800000000000004</v>
      </c>
      <c r="BB111" s="458">
        <f>BA111+AZ111</f>
        <v>-68.400000000000006</v>
      </c>
      <c r="BC111" s="458">
        <f>-(BC110*BC109)</f>
        <v>-28.5</v>
      </c>
      <c r="BD111" s="458">
        <f>-(BD109*BD110)</f>
        <v>-50.400000000000006</v>
      </c>
      <c r="BE111" s="458">
        <f>BD111+BC111</f>
        <v>-78.900000000000006</v>
      </c>
      <c r="BF111" s="458">
        <f>-(BF110*BF109)</f>
        <v>-26.12623552876693</v>
      </c>
      <c r="BG111" s="458">
        <f>-(BG109*BG110)</f>
        <v>-48.763032366806733</v>
      </c>
      <c r="BH111" s="458">
        <f>BG111+BF111</f>
        <v>-74.889267895573667</v>
      </c>
      <c r="BI111" s="458">
        <f>-(BI110*BI109)</f>
        <v>-31.294857156243079</v>
      </c>
      <c r="BJ111" s="458">
        <f>-(BJ109*BJ110)</f>
        <v>-49.267477192524403</v>
      </c>
      <c r="BK111" s="458">
        <f>BJ111+BI111</f>
        <v>-80.562334348767479</v>
      </c>
      <c r="BL111" s="458">
        <f>-(BL110*BL109)</f>
        <v>-33.357153797205932</v>
      </c>
      <c r="BM111" s="458">
        <f>-(BM109*BM110)</f>
        <v>-51.945775604772685</v>
      </c>
      <c r="BN111" s="458">
        <f>BM111+BL111</f>
        <v>-85.302929401978616</v>
      </c>
      <c r="BO111" s="458">
        <f>-(BO110*BO109)</f>
        <v>-36.532311961997948</v>
      </c>
      <c r="BP111" s="458">
        <f>-(BP109*BP110)</f>
        <v>-53.945173337930619</v>
      </c>
      <c r="BQ111" s="458">
        <f>BP111+BO111</f>
        <v>-90.47748529992856</v>
      </c>
      <c r="BR111" s="458">
        <f>-(BR110*BR109)</f>
        <v>-36.200368328291091</v>
      </c>
      <c r="BS111" s="458">
        <f>-(BS109*BS110)</f>
        <v>-57.333698984936284</v>
      </c>
      <c r="BT111" s="458">
        <f>BS111+BR111</f>
        <v>-93.534067313227382</v>
      </c>
      <c r="BU111" s="458">
        <f>-(BU110*BU109)</f>
        <v>-39.906265668334377</v>
      </c>
      <c r="BV111" s="458">
        <f>-(BV109*BV110)</f>
        <v>-62.265565683827631</v>
      </c>
      <c r="BW111" s="458">
        <f>BV111+BU111</f>
        <v>-102.171831352162</v>
      </c>
      <c r="BX111" s="458">
        <f>-(BX110*BX109)</f>
        <v>-43.713956256887307</v>
      </c>
      <c r="BY111" s="458">
        <f>-(BY109*BY110)</f>
        <v>-63.817749426717555</v>
      </c>
      <c r="BZ111" s="458">
        <f>BY111+BX111</f>
        <v>-107.53170568360486</v>
      </c>
      <c r="CA111" s="458">
        <f>-(CA110*CA109)</f>
        <v>-44.82579939836144</v>
      </c>
      <c r="CB111" s="458">
        <f>-(CB109*CB110)</f>
        <v>-65.536018505627339</v>
      </c>
      <c r="CC111" s="458">
        <f>CB111+CA111</f>
        <v>-110.36181790398878</v>
      </c>
    </row>
    <row r="112" spans="1:89">
      <c r="B112" s="257" t="s">
        <v>300</v>
      </c>
      <c r="C112" s="257" t="s">
        <v>420</v>
      </c>
      <c r="AD112" s="151">
        <v>-34.5</v>
      </c>
      <c r="AE112" s="151">
        <v>-16.7</v>
      </c>
      <c r="AF112" s="458">
        <f>AG112-AE112</f>
        <v>-28.7</v>
      </c>
      <c r="AG112" s="151">
        <v>-45.4</v>
      </c>
      <c r="AH112" s="151">
        <v>-23.3</v>
      </c>
      <c r="AI112" s="458">
        <f>-50.8-AH112</f>
        <v>-27.499999999999996</v>
      </c>
      <c r="AJ112" s="458">
        <f>AI112+AH112</f>
        <v>-50.8</v>
      </c>
      <c r="AK112" s="458">
        <f>AK69</f>
        <v>-23.1</v>
      </c>
      <c r="AL112" s="458">
        <f>+AM112-AK112</f>
        <v>-34.9</v>
      </c>
      <c r="AM112" s="151">
        <v>-58</v>
      </c>
      <c r="AN112" s="458">
        <f>AN69</f>
        <v>-22.7</v>
      </c>
      <c r="AO112" s="458">
        <f>+AP112-AN112</f>
        <v>-31.900000000000002</v>
      </c>
      <c r="AP112" s="458">
        <f>AP69</f>
        <v>-54.6</v>
      </c>
      <c r="AQ112" s="458">
        <f>AQ69</f>
        <v>-24.2</v>
      </c>
      <c r="AR112" s="458">
        <f>+AS112-AQ112</f>
        <v>-33.299999999999997</v>
      </c>
      <c r="AS112" s="458">
        <f>AS69</f>
        <v>-57.5</v>
      </c>
      <c r="AT112" s="458">
        <f>AT111</f>
        <v>-22.878000000000004</v>
      </c>
      <c r="AU112" s="458">
        <f>AU111</f>
        <v>-41.756999999999998</v>
      </c>
      <c r="AV112" s="151">
        <v>-63.8</v>
      </c>
      <c r="AW112" s="458">
        <f>AW69</f>
        <v>-27.8</v>
      </c>
      <c r="AX112" s="458">
        <f>AX111</f>
        <v>-50.400000000000006</v>
      </c>
      <c r="AY112" s="458">
        <f t="shared" ref="AY112:BE112" si="84">AY69</f>
        <v>-78.2</v>
      </c>
      <c r="AZ112" s="458">
        <f t="shared" si="84"/>
        <v>-27.6</v>
      </c>
      <c r="BA112" s="458">
        <f t="shared" si="84"/>
        <v>-40.800000000000004</v>
      </c>
      <c r="BB112" s="458">
        <f t="shared" si="84"/>
        <v>-68.400000000000006</v>
      </c>
      <c r="BC112" s="458">
        <f t="shared" si="84"/>
        <v>-28.5</v>
      </c>
      <c r="BD112" s="458">
        <f t="shared" si="84"/>
        <v>-50.400000000000006</v>
      </c>
      <c r="BE112" s="458">
        <f t="shared" si="84"/>
        <v>-78.900000000000006</v>
      </c>
      <c r="BF112" s="458">
        <f>BF111</f>
        <v>-26.12623552876693</v>
      </c>
      <c r="BG112" s="458">
        <f>BG111</f>
        <v>-48.763032366806733</v>
      </c>
      <c r="BH112" s="458">
        <f>BG112+BF112</f>
        <v>-74.889267895573667</v>
      </c>
      <c r="BI112" s="458">
        <f>BI111</f>
        <v>-31.294857156243079</v>
      </c>
      <c r="BJ112" s="458">
        <f>BJ111</f>
        <v>-49.267477192524403</v>
      </c>
      <c r="BK112" s="458">
        <f>BJ112+BI112</f>
        <v>-80.562334348767479</v>
      </c>
      <c r="BL112" s="458">
        <f>BL111</f>
        <v>-33.357153797205932</v>
      </c>
      <c r="BM112" s="458">
        <f>BM111</f>
        <v>-51.945775604772685</v>
      </c>
      <c r="BN112" s="458">
        <f>BM112+BL112</f>
        <v>-85.302929401978616</v>
      </c>
      <c r="BO112" s="458">
        <f>BO111</f>
        <v>-36.532311961997948</v>
      </c>
      <c r="BP112" s="458">
        <f>BP111</f>
        <v>-53.945173337930619</v>
      </c>
      <c r="BQ112" s="458">
        <f>BP112+BO112</f>
        <v>-90.47748529992856</v>
      </c>
      <c r="BR112" s="458">
        <f>BR111</f>
        <v>-36.200368328291091</v>
      </c>
      <c r="BS112" s="458">
        <f>BS111</f>
        <v>-57.333698984936284</v>
      </c>
      <c r="BT112" s="458">
        <f>BS112+BR112</f>
        <v>-93.534067313227382</v>
      </c>
      <c r="BU112" s="458">
        <f>BU111</f>
        <v>-39.906265668334377</v>
      </c>
      <c r="BV112" s="458">
        <f>BV111</f>
        <v>-62.265565683827631</v>
      </c>
      <c r="BW112" s="458">
        <f>BV112+BU112</f>
        <v>-102.171831352162</v>
      </c>
      <c r="BX112" s="458">
        <f>BX111</f>
        <v>-43.713956256887307</v>
      </c>
      <c r="BY112" s="458">
        <f>BY111</f>
        <v>-63.817749426717555</v>
      </c>
      <c r="BZ112" s="458">
        <f>BY112+BX112</f>
        <v>-107.53170568360486</v>
      </c>
      <c r="CA112" s="458">
        <f>CA111</f>
        <v>-44.82579939836144</v>
      </c>
      <c r="CB112" s="458">
        <f>CB111</f>
        <v>-65.536018505627339</v>
      </c>
      <c r="CC112" s="458">
        <f>CB112+CA112</f>
        <v>-110.36181790398878</v>
      </c>
    </row>
    <row r="113" spans="1:89" s="552" customFormat="1">
      <c r="A113" s="134"/>
      <c r="B113" s="134" t="s">
        <v>524</v>
      </c>
      <c r="C113" s="134"/>
      <c r="D113" s="134"/>
      <c r="E113" s="134"/>
      <c r="F113" s="134"/>
      <c r="G113" s="134"/>
      <c r="H113" s="134"/>
      <c r="I113" s="134"/>
      <c r="J113" s="134"/>
      <c r="K113" s="134"/>
      <c r="L113" s="134"/>
      <c r="M113" s="134"/>
      <c r="N113" s="134"/>
      <c r="O113" s="134"/>
      <c r="P113" s="134"/>
      <c r="Q113" s="134"/>
      <c r="R113" s="134"/>
      <c r="S113" s="134"/>
      <c r="T113" s="134"/>
      <c r="U113" s="134"/>
      <c r="V113" s="134"/>
      <c r="W113" s="134"/>
      <c r="X113" s="134"/>
      <c r="Y113" s="134"/>
      <c r="Z113" s="134"/>
      <c r="AA113" s="134"/>
      <c r="AB113" s="134"/>
      <c r="AC113" s="134"/>
      <c r="AD113" s="134"/>
      <c r="AE113" s="134"/>
      <c r="AF113" s="134"/>
      <c r="AG113" s="134"/>
      <c r="AH113" s="136"/>
      <c r="AI113" s="134"/>
      <c r="AJ113" s="134"/>
      <c r="AK113" s="134"/>
      <c r="AL113" s="134"/>
      <c r="AM113" s="134"/>
      <c r="AN113" s="136">
        <f>-AN112/AN107</f>
        <v>0.25166297117516628</v>
      </c>
      <c r="AO113" s="136">
        <f>-AO112/AO107</f>
        <v>0.27199863574351979</v>
      </c>
      <c r="AP113" s="492">
        <f>-AP112/AP107</f>
        <v>0.26315789473684209</v>
      </c>
      <c r="AQ113" s="138">
        <f t="shared" ref="AQ113:BQ113" si="85">-AQ112/AQ107</f>
        <v>0.27752293577981652</v>
      </c>
      <c r="AR113" s="138">
        <f t="shared" si="85"/>
        <v>0.27429983525535417</v>
      </c>
      <c r="AS113" s="138">
        <f t="shared" si="85"/>
        <v>0.27564717162032598</v>
      </c>
      <c r="AT113" s="136">
        <f t="shared" si="85"/>
        <v>0.26820633059788979</v>
      </c>
      <c r="AU113" s="136">
        <f t="shared" si="85"/>
        <v>0.28817805383022776</v>
      </c>
      <c r="AV113" s="136">
        <f t="shared" si="85"/>
        <v>0.27715030408340574</v>
      </c>
      <c r="AW113" s="138">
        <f t="shared" si="85"/>
        <v>0.25090252707581229</v>
      </c>
      <c r="AX113" s="136">
        <f t="shared" si="85"/>
        <v>0.28555240793201148</v>
      </c>
      <c r="AY113" s="136">
        <f t="shared" si="85"/>
        <v>0.27218934911242609</v>
      </c>
      <c r="AZ113" s="138">
        <f t="shared" si="85"/>
        <v>0.26361031518624639</v>
      </c>
      <c r="BA113" s="136">
        <f t="shared" si="85"/>
        <v>0.27218145430286872</v>
      </c>
      <c r="BB113" s="138">
        <f t="shared" si="85"/>
        <v>0.2686567164179105</v>
      </c>
      <c r="BC113" s="138">
        <f>-BC112/BC107</f>
        <v>0.27669902912621358</v>
      </c>
      <c r="BD113" s="136">
        <f t="shared" ref="BD113:BE113" si="86">-BD112/BD107</f>
        <v>0.29015544041450775</v>
      </c>
      <c r="BE113" s="138">
        <f t="shared" si="86"/>
        <v>0.28514636790748099</v>
      </c>
      <c r="BF113" s="136">
        <f>-BF112/BF107</f>
        <v>0.25308637009138374</v>
      </c>
      <c r="BG113" s="136">
        <f t="shared" si="85"/>
        <v>0.26734669975728687</v>
      </c>
      <c r="BH113" s="136">
        <f t="shared" si="85"/>
        <v>0.26219276676717884</v>
      </c>
      <c r="BI113" s="136">
        <f t="shared" si="85"/>
        <v>0.25422632605286272</v>
      </c>
      <c r="BJ113" s="136">
        <f t="shared" si="85"/>
        <v>0.26736323893518921</v>
      </c>
      <c r="BK113" s="136">
        <f t="shared" si="85"/>
        <v>0.26210204702960405</v>
      </c>
      <c r="BL113" s="136">
        <f t="shared" si="85"/>
        <v>0.25478402237148318</v>
      </c>
      <c r="BM113" s="136">
        <f t="shared" si="85"/>
        <v>0.26760227421505589</v>
      </c>
      <c r="BN113" s="136">
        <f t="shared" si="85"/>
        <v>0.26243917680383733</v>
      </c>
      <c r="BO113" s="136">
        <f t="shared" si="85"/>
        <v>0.25541828710808639</v>
      </c>
      <c r="BP113" s="136">
        <f t="shared" si="85"/>
        <v>0.26782757265764517</v>
      </c>
      <c r="BQ113" s="136">
        <f t="shared" si="85"/>
        <v>0.2626746969600105</v>
      </c>
      <c r="BR113" s="136">
        <f t="shared" ref="BR113:CC113" si="87">-BR112/BR107</f>
        <v>0.25570152178626465</v>
      </c>
      <c r="BS113" s="136">
        <f t="shared" si="87"/>
        <v>0.26820289111769446</v>
      </c>
      <c r="BT113" s="136">
        <f t="shared" si="87"/>
        <v>0.26322219608553332</v>
      </c>
      <c r="BU113" s="136">
        <f t="shared" si="87"/>
        <v>0.25655439997430118</v>
      </c>
      <c r="BV113" s="136">
        <f t="shared" si="87"/>
        <v>0.26856911910457254</v>
      </c>
      <c r="BW113" s="136">
        <f t="shared" si="87"/>
        <v>0.26374488785561589</v>
      </c>
      <c r="BX113" s="136">
        <f t="shared" si="87"/>
        <v>0.25727625329143655</v>
      </c>
      <c r="BY113" s="136">
        <f t="shared" si="87"/>
        <v>0.26883641607318742</v>
      </c>
      <c r="BZ113" s="136">
        <f t="shared" si="87"/>
        <v>0.26401388980996504</v>
      </c>
      <c r="CA113" s="136">
        <f t="shared" si="87"/>
        <v>0.25787745382959815</v>
      </c>
      <c r="CB113" s="136">
        <f t="shared" si="87"/>
        <v>0.26915177325368683</v>
      </c>
      <c r="CC113" s="136">
        <f t="shared" si="87"/>
        <v>0.26445565507464591</v>
      </c>
      <c r="CD113" s="134"/>
      <c r="CE113" s="134"/>
      <c r="CF113"/>
      <c r="CG113"/>
      <c r="CH113"/>
      <c r="CI113"/>
      <c r="CJ113"/>
      <c r="CK113"/>
    </row>
    <row r="115" spans="1:89">
      <c r="A115" s="236" t="s">
        <v>334</v>
      </c>
      <c r="B115" s="236"/>
      <c r="C115" s="493"/>
      <c r="D115" s="493"/>
      <c r="E115" s="493"/>
      <c r="F115" s="493"/>
      <c r="G115" s="493"/>
      <c r="H115" s="493"/>
      <c r="I115" s="493"/>
      <c r="J115" s="493"/>
      <c r="K115" s="493"/>
      <c r="L115" s="493"/>
      <c r="M115" s="493"/>
      <c r="N115" s="493"/>
      <c r="O115" s="493"/>
      <c r="P115" s="493"/>
      <c r="Q115" s="493"/>
      <c r="R115" s="493"/>
      <c r="S115" s="493"/>
      <c r="T115" s="493"/>
      <c r="U115" s="493"/>
      <c r="V115" s="493"/>
      <c r="W115" s="493"/>
      <c r="X115" s="493"/>
      <c r="Y115" s="493"/>
      <c r="Z115" s="493"/>
      <c r="AA115" s="493"/>
      <c r="AB115" s="493"/>
      <c r="AC115" s="493"/>
      <c r="AD115" s="493"/>
      <c r="AE115" s="493"/>
      <c r="AF115" s="493"/>
      <c r="AG115" s="493"/>
      <c r="AH115" s="493"/>
      <c r="AI115" s="493"/>
      <c r="AJ115" s="493"/>
      <c r="AK115" s="493"/>
      <c r="AL115" s="493"/>
      <c r="AM115" s="493"/>
      <c r="AN115" s="493"/>
      <c r="AO115" s="493"/>
      <c r="AP115" s="493"/>
      <c r="AQ115" s="493"/>
      <c r="AR115" s="493"/>
      <c r="AS115" s="493"/>
      <c r="AT115" s="493"/>
      <c r="AU115" s="493"/>
      <c r="AV115" s="493"/>
      <c r="AW115" s="493"/>
      <c r="AX115" s="493"/>
      <c r="AY115" s="493"/>
      <c r="AZ115" s="493"/>
      <c r="BA115" s="493"/>
      <c r="BB115" s="493"/>
      <c r="BC115" s="493"/>
      <c r="BD115" s="493"/>
      <c r="BE115" s="493"/>
      <c r="BF115" s="493"/>
      <c r="BG115" s="493"/>
      <c r="BH115" s="493"/>
      <c r="BI115" s="493"/>
      <c r="BJ115" s="493"/>
      <c r="BK115" s="493"/>
      <c r="BL115" s="493"/>
      <c r="BM115" s="493"/>
      <c r="BN115" s="493"/>
      <c r="BO115" s="493"/>
      <c r="BP115" s="493"/>
      <c r="BQ115" s="493"/>
      <c r="BR115" s="395"/>
      <c r="BS115" s="395"/>
      <c r="BT115" s="395"/>
      <c r="BU115" s="395"/>
      <c r="BV115" s="395"/>
      <c r="BW115" s="395"/>
      <c r="BX115" s="395"/>
      <c r="BY115" s="395"/>
      <c r="BZ115" s="395"/>
      <c r="CA115" s="395"/>
      <c r="CB115" s="395"/>
      <c r="CC115" s="395"/>
      <c r="CD115" s="395"/>
      <c r="CE115" s="395"/>
    </row>
    <row r="116" spans="1:89" collapsed="1"/>
    <row r="117" spans="1:89" hidden="1" outlineLevel="1">
      <c r="B117" s="257" t="s">
        <v>372</v>
      </c>
      <c r="AD117" s="151">
        <v>1108.0999999999999</v>
      </c>
      <c r="AE117" s="151">
        <v>512.70000000000005</v>
      </c>
      <c r="AF117" s="458">
        <f>AG117-AE117</f>
        <v>561.29999999999995</v>
      </c>
      <c r="AG117" s="151">
        <v>1074</v>
      </c>
      <c r="AH117" s="151">
        <v>559.9</v>
      </c>
      <c r="AI117" s="458"/>
      <c r="AJ117" s="458"/>
      <c r="AK117" s="458"/>
      <c r="AL117" s="458"/>
      <c r="AM117" s="458"/>
      <c r="AN117" s="458"/>
      <c r="AO117" s="458"/>
      <c r="AP117" s="458"/>
      <c r="AQ117" s="458"/>
      <c r="AR117" s="458"/>
      <c r="AS117" s="458"/>
      <c r="AT117" s="458"/>
      <c r="AU117" s="458"/>
      <c r="AV117" s="458"/>
      <c r="AW117" s="458"/>
      <c r="AX117" s="458"/>
      <c r="AY117" s="458"/>
      <c r="AZ117" s="458"/>
      <c r="BA117" s="458"/>
      <c r="BB117" s="458"/>
      <c r="BC117" s="458"/>
      <c r="BD117" s="458"/>
      <c r="BE117" s="458"/>
      <c r="BF117" s="458"/>
      <c r="BG117" s="458"/>
      <c r="BH117" s="458"/>
      <c r="BI117" s="458"/>
      <c r="BJ117" s="458"/>
      <c r="BK117" s="458"/>
      <c r="BL117" s="458"/>
      <c r="BM117" s="458"/>
      <c r="BN117" s="458"/>
      <c r="BO117" s="458"/>
      <c r="BP117" s="458"/>
      <c r="BQ117" s="458"/>
      <c r="BR117" s="458"/>
      <c r="BS117" s="458"/>
      <c r="BT117" s="458"/>
      <c r="BU117" s="458"/>
      <c r="BV117" s="458"/>
      <c r="BW117" s="458"/>
      <c r="BX117" s="458"/>
      <c r="BY117" s="458"/>
      <c r="BZ117" s="458"/>
      <c r="CA117" s="458"/>
      <c r="CB117" s="458"/>
      <c r="CC117" s="458"/>
    </row>
    <row r="118" spans="1:89" hidden="1" outlineLevel="1">
      <c r="B118" s="257" t="s">
        <v>373</v>
      </c>
      <c r="AD118" s="151">
        <v>-930.1</v>
      </c>
      <c r="AE118" s="151">
        <v>-440.4</v>
      </c>
      <c r="AF118" s="458">
        <f>AG118-AE118</f>
        <v>-436.9</v>
      </c>
      <c r="AG118" s="151">
        <v>-877.3</v>
      </c>
      <c r="AH118" s="151">
        <v>-464.7</v>
      </c>
      <c r="AJ118" s="458"/>
      <c r="AP118" s="458"/>
    </row>
    <row r="119" spans="1:89" hidden="1" outlineLevel="1">
      <c r="B119" s="257" t="s">
        <v>431</v>
      </c>
      <c r="AD119" s="458">
        <f>SUM(AD117:AD118)</f>
        <v>177.99999999999989</v>
      </c>
      <c r="AE119" s="458">
        <f>SUM(AE117:AE118)</f>
        <v>72.300000000000068</v>
      </c>
      <c r="AF119" s="458">
        <f>SUM(AF117:AF118)</f>
        <v>124.39999999999998</v>
      </c>
      <c r="AG119" s="458">
        <f>SUM(AG117:AG118)</f>
        <v>196.70000000000005</v>
      </c>
      <c r="AH119" s="458">
        <f>SUM(AH117:AH118)</f>
        <v>95.199999999999989</v>
      </c>
      <c r="AI119" s="458"/>
      <c r="AJ119" s="458"/>
      <c r="AK119" s="458"/>
      <c r="AL119" s="458"/>
      <c r="AM119" s="458"/>
      <c r="AN119" s="458"/>
      <c r="AO119" s="458"/>
      <c r="AP119" s="458"/>
      <c r="AQ119" s="458"/>
      <c r="AR119" s="458"/>
      <c r="AS119" s="458"/>
      <c r="AT119" s="458"/>
      <c r="AU119" s="458"/>
      <c r="AV119" s="458"/>
      <c r="AW119" s="458"/>
      <c r="AX119" s="458"/>
      <c r="AY119" s="458"/>
      <c r="AZ119" s="458"/>
      <c r="BA119" s="458"/>
      <c r="BB119" s="458"/>
      <c r="BC119" s="458"/>
      <c r="BD119" s="458"/>
      <c r="BE119" s="458"/>
      <c r="BF119" s="458"/>
      <c r="BG119" s="458"/>
      <c r="BH119" s="458"/>
      <c r="BI119" s="458"/>
      <c r="BJ119" s="458"/>
      <c r="BK119" s="458"/>
      <c r="BL119" s="458"/>
      <c r="BM119" s="458"/>
      <c r="BN119" s="458"/>
      <c r="BO119" s="458"/>
      <c r="BP119" s="458"/>
      <c r="BQ119" s="458"/>
      <c r="BR119" s="458"/>
      <c r="BS119" s="458"/>
      <c r="BT119" s="458"/>
      <c r="BU119" s="458"/>
      <c r="BV119" s="458"/>
      <c r="BW119" s="458"/>
      <c r="BX119" s="458"/>
      <c r="BY119" s="458"/>
      <c r="BZ119" s="458"/>
      <c r="CA119" s="458"/>
      <c r="CB119" s="458"/>
      <c r="CC119" s="458"/>
    </row>
    <row r="120" spans="1:89" hidden="1" outlineLevel="1">
      <c r="B120" s="40" t="s">
        <v>335</v>
      </c>
      <c r="C120" s="40" t="s">
        <v>195</v>
      </c>
      <c r="D120" s="40"/>
      <c r="E120" s="40"/>
      <c r="F120" s="40"/>
      <c r="G120" s="40"/>
      <c r="H120" s="40"/>
      <c r="I120" s="40"/>
      <c r="J120" s="40"/>
      <c r="K120" s="40"/>
      <c r="L120" s="40"/>
      <c r="M120" s="40"/>
      <c r="N120" s="40"/>
      <c r="O120" s="40"/>
      <c r="P120" s="40"/>
      <c r="Q120" s="40"/>
      <c r="R120" s="40"/>
      <c r="S120" s="40"/>
      <c r="T120" s="40"/>
      <c r="U120" s="40"/>
      <c r="V120" s="40"/>
      <c r="W120" s="40"/>
      <c r="X120" s="40"/>
      <c r="Y120" s="40"/>
      <c r="Z120" s="40"/>
      <c r="AA120" s="40"/>
      <c r="AB120" s="40"/>
      <c r="AC120" s="40"/>
      <c r="AD120" s="470">
        <f>AD119/AD123</f>
        <v>0.72387149247661597</v>
      </c>
      <c r="AE120" s="470">
        <f>AE119/AE123</f>
        <v>0.71940298507462741</v>
      </c>
      <c r="AF120" s="470">
        <f>AF119/AF123</f>
        <v>0.87853107344632742</v>
      </c>
      <c r="AG120" s="470">
        <f>AG119/AG123</f>
        <v>0.81247418422139628</v>
      </c>
      <c r="AH120" s="470">
        <f>AH119/AH123</f>
        <v>0.75917065390749594</v>
      </c>
    </row>
    <row r="121" spans="1:89" hidden="1" outlineLevel="1">
      <c r="AD121" s="458"/>
      <c r="AE121" s="458"/>
      <c r="AF121" s="13"/>
      <c r="AG121" s="458"/>
      <c r="AH121" s="458"/>
      <c r="BE121" s="11"/>
    </row>
    <row r="122" spans="1:89" collapsed="1">
      <c r="B122" s="488" t="s">
        <v>444</v>
      </c>
      <c r="AD122" s="458"/>
      <c r="AE122" s="458"/>
      <c r="AF122" s="13"/>
      <c r="AG122" s="458"/>
      <c r="AH122" s="458"/>
      <c r="BE122" s="11"/>
    </row>
    <row r="123" spans="1:89">
      <c r="B123" s="257" t="s">
        <v>336</v>
      </c>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c r="AA123" s="40"/>
      <c r="AB123" s="40"/>
      <c r="AC123" s="40"/>
      <c r="AD123" s="458">
        <f>AD43</f>
        <v>245.90000000000003</v>
      </c>
      <c r="AE123" s="458">
        <f>AE43</f>
        <v>100.50000000000001</v>
      </c>
      <c r="AF123" s="13">
        <f>AF43</f>
        <v>141.60000000000002</v>
      </c>
      <c r="AG123" s="13">
        <f>AG43</f>
        <v>242.10000000000002</v>
      </c>
      <c r="AH123" s="458">
        <f>AH44+AH79+AH80-AH70</f>
        <v>125.4</v>
      </c>
      <c r="AI123" s="458">
        <f>AI44+AI79+AI80-AI70</f>
        <v>143.69999999999999</v>
      </c>
      <c r="AJ123" s="458">
        <f>AJ44+AJ79+AJ80-AJ70</f>
        <v>269.09999999999997</v>
      </c>
      <c r="AK123" s="458">
        <f>AK44+AK79+AK80-AK70</f>
        <v>119.39999999999998</v>
      </c>
      <c r="AL123" s="458">
        <f t="shared" ref="AL123:CB123" si="88">AL44+AL79+AL80-AL70</f>
        <v>161.80000000000001</v>
      </c>
      <c r="AM123" s="458">
        <f>AM44+AM79+AM80-AM70</f>
        <v>281.2</v>
      </c>
      <c r="AN123" s="458">
        <f t="shared" si="88"/>
        <v>129.4</v>
      </c>
      <c r="AO123" s="458">
        <f t="shared" si="88"/>
        <v>158</v>
      </c>
      <c r="AP123" s="458">
        <f t="shared" si="88"/>
        <v>287.40000000000003</v>
      </c>
      <c r="AQ123" s="458">
        <f t="shared" si="88"/>
        <v>124.80000000000001</v>
      </c>
      <c r="AR123" s="458">
        <f t="shared" si="88"/>
        <v>168.6</v>
      </c>
      <c r="AS123" s="458">
        <f t="shared" si="88"/>
        <v>293.39999999999998</v>
      </c>
      <c r="AT123" s="458">
        <f t="shared" si="88"/>
        <v>117.20000000000002</v>
      </c>
      <c r="AU123" s="458">
        <f t="shared" si="88"/>
        <v>207.19999999999993</v>
      </c>
      <c r="AV123" s="458">
        <f t="shared" si="88"/>
        <v>324.39999999999998</v>
      </c>
      <c r="AW123" s="458">
        <f>AW44+AW79+AW80-AW70</f>
        <v>154.79999999999998</v>
      </c>
      <c r="AX123" s="458">
        <f t="shared" si="88"/>
        <v>222</v>
      </c>
      <c r="AY123" s="458">
        <f>AY44+AY79+AY80-AY70</f>
        <v>376.79999999999995</v>
      </c>
      <c r="AZ123" s="458">
        <f t="shared" si="88"/>
        <v>151.4</v>
      </c>
      <c r="BA123" s="458">
        <f>BA44+BA79+BA80-BA70</f>
        <v>192.8</v>
      </c>
      <c r="BB123" s="458">
        <f t="shared" si="88"/>
        <v>344.19999999999993</v>
      </c>
      <c r="BC123" s="458">
        <f>BC44+BC79+BC80-BC70</f>
        <v>144.19999999999999</v>
      </c>
      <c r="BD123" s="458">
        <f>BD44+BD79+BD80-BD70</f>
        <v>221.20000000000007</v>
      </c>
      <c r="BE123" s="458">
        <f t="shared" si="88"/>
        <v>365.40000000000003</v>
      </c>
      <c r="BF123" s="458">
        <f>BF44+BF79+BF80-BF70</f>
        <v>152.71129801954632</v>
      </c>
      <c r="BG123" s="458">
        <f t="shared" si="88"/>
        <v>231.71116577770223</v>
      </c>
      <c r="BH123" s="13">
        <f>SUM(BF123:BG123)</f>
        <v>384.42246379724855</v>
      </c>
      <c r="BI123" s="458">
        <f t="shared" si="88"/>
        <v>174.1541217825266</v>
      </c>
      <c r="BJ123" s="458">
        <f t="shared" si="88"/>
        <v>234.48761320701237</v>
      </c>
      <c r="BK123" s="13">
        <f>SUM(BI123:BJ123)</f>
        <v>408.64173498953897</v>
      </c>
      <c r="BL123" s="458">
        <f t="shared" si="88"/>
        <v>182.27415812522617</v>
      </c>
      <c r="BM123" s="458">
        <f t="shared" si="88"/>
        <v>244.81132036693657</v>
      </c>
      <c r="BN123" s="13">
        <f>SUM(BL123:BM123)</f>
        <v>427.08547849216274</v>
      </c>
      <c r="BO123" s="458">
        <f t="shared" si="88"/>
        <v>194.88175118562975</v>
      </c>
      <c r="BP123" s="458">
        <f t="shared" si="88"/>
        <v>252.53527613745737</v>
      </c>
      <c r="BQ123" s="13">
        <f>SUM(BO123:BP123)</f>
        <v>447.41702732308715</v>
      </c>
      <c r="BR123" s="458">
        <f t="shared" si="88"/>
        <v>193.31164053169243</v>
      </c>
      <c r="BS123" s="458">
        <f t="shared" si="88"/>
        <v>264.31156915307969</v>
      </c>
      <c r="BT123" s="13">
        <f>SUM(BR123:BS123)</f>
        <v>457.62320968477212</v>
      </c>
      <c r="BU123" s="458">
        <f t="shared" si="88"/>
        <v>206.69681153741425</v>
      </c>
      <c r="BV123" s="458">
        <f t="shared" si="88"/>
        <v>281.79120438540679</v>
      </c>
      <c r="BW123" s="13">
        <f>SUM(BU123:BV123)</f>
        <v>488.48801592282103</v>
      </c>
      <c r="BX123" s="458">
        <f t="shared" si="88"/>
        <v>220.38375251952169</v>
      </c>
      <c r="BY123" s="458">
        <f t="shared" si="88"/>
        <v>286.59945326733941</v>
      </c>
      <c r="BZ123" s="13">
        <f>SUM(BX123:BY123)</f>
        <v>506.98320578686111</v>
      </c>
      <c r="CA123" s="458">
        <f t="shared" si="88"/>
        <v>223.05466457794878</v>
      </c>
      <c r="CB123" s="458">
        <f t="shared" si="88"/>
        <v>291.52508436091057</v>
      </c>
      <c r="CC123" s="13">
        <f>SUM(CA123:CB123)</f>
        <v>514.57974893885932</v>
      </c>
    </row>
    <row r="124" spans="1:89">
      <c r="B124" s="257" t="s">
        <v>337</v>
      </c>
      <c r="AD124" s="151">
        <f>2.9-32.4</f>
        <v>-29.5</v>
      </c>
      <c r="AE124" s="151">
        <f>1-9.2</f>
        <v>-8.1999999999999993</v>
      </c>
      <c r="AF124" s="13">
        <f>AG124-AE124</f>
        <v>-6.0000000000000018</v>
      </c>
      <c r="AG124" s="209">
        <f>1.6-15.8</f>
        <v>-14.200000000000001</v>
      </c>
      <c r="AH124" s="151">
        <f>1-6.4</f>
        <v>-5.4</v>
      </c>
      <c r="AI124" s="458">
        <f>AJ124-AH124</f>
        <v>-5.7999999999999989</v>
      </c>
      <c r="AJ124" s="458">
        <f>-13.4+2.2</f>
        <v>-11.2</v>
      </c>
      <c r="AK124" s="151">
        <f>-7.3+1.1</f>
        <v>-6.1999999999999993</v>
      </c>
      <c r="AL124" s="458">
        <f>+AM124-AK124</f>
        <v>-8.4000000000000021</v>
      </c>
      <c r="AM124" s="151">
        <f>2.7-17.3</f>
        <v>-14.600000000000001</v>
      </c>
      <c r="AN124" s="151">
        <f>-9.4+1.5</f>
        <v>-7.9</v>
      </c>
      <c r="AO124" s="458">
        <f>AP124-AN124</f>
        <v>-8.4</v>
      </c>
      <c r="AP124" s="151">
        <f>-18.8+2.5</f>
        <v>-16.3</v>
      </c>
      <c r="AQ124" s="151">
        <f>-8.2+2.4</f>
        <v>-5.7999999999999989</v>
      </c>
      <c r="AR124" s="458">
        <f>AS124-AQ124</f>
        <v>-8.4</v>
      </c>
      <c r="AS124" s="151">
        <f>-16+1.8</f>
        <v>-14.2</v>
      </c>
      <c r="AT124" s="151">
        <f>-6.9+0.8</f>
        <v>-6.1000000000000005</v>
      </c>
      <c r="AU124" s="458">
        <f>AV124-AT124</f>
        <v>-9.8999999999999986</v>
      </c>
      <c r="AV124" s="151">
        <f>-16</f>
        <v>-16</v>
      </c>
      <c r="AW124" s="151">
        <f>-7.1+0.8</f>
        <v>-6.3</v>
      </c>
      <c r="AX124" s="458">
        <f>AY124-AW124</f>
        <v>-6.7</v>
      </c>
      <c r="AY124" s="151">
        <v>-13</v>
      </c>
      <c r="AZ124" s="151">
        <f>-6.3+0.4</f>
        <v>-5.8999999999999995</v>
      </c>
      <c r="BA124" s="458">
        <f>BB124-AZ124</f>
        <v>-6.2</v>
      </c>
      <c r="BB124" s="151">
        <v>-12.1</v>
      </c>
      <c r="BC124" s="209">
        <f>-5.8+0.4</f>
        <v>-5.3999999999999995</v>
      </c>
      <c r="BD124" s="458">
        <f>BE124-BC124</f>
        <v>-7.6000000000000005</v>
      </c>
      <c r="BE124" s="209">
        <v>-13</v>
      </c>
      <c r="BF124" s="458">
        <f t="shared" ref="BF124:CB124" si="89">BF66</f>
        <v>-5.9389031340859786</v>
      </c>
      <c r="BG124" s="458">
        <f t="shared" si="89"/>
        <v>-5.9974551394258624</v>
      </c>
      <c r="BH124" s="13">
        <f>SUM(BF124:BG124)</f>
        <v>-11.936358273511841</v>
      </c>
      <c r="BI124" s="458">
        <f t="shared" si="89"/>
        <v>-5.7490267613018258</v>
      </c>
      <c r="BJ124" s="458">
        <f t="shared" si="89"/>
        <v>-6.0092308570843684</v>
      </c>
      <c r="BK124" s="13">
        <f>SUM(BI124:BJ124)</f>
        <v>-11.758257618386194</v>
      </c>
      <c r="BL124" s="458">
        <f t="shared" si="89"/>
        <v>-5.1327973951738519</v>
      </c>
      <c r="BM124" s="458">
        <f t="shared" si="89"/>
        <v>-5.5776172335505834</v>
      </c>
      <c r="BN124" s="13">
        <f>SUM(BL124:BM124)</f>
        <v>-10.710414628724436</v>
      </c>
      <c r="BO124" s="458">
        <f t="shared" si="89"/>
        <v>-4.700092397838044</v>
      </c>
      <c r="BP124" s="458">
        <f t="shared" si="89"/>
        <v>-5.0654194645919111</v>
      </c>
      <c r="BQ124" s="13">
        <f>SUM(BO124:BP124)</f>
        <v>-9.7655118624299551</v>
      </c>
      <c r="BR124" s="458">
        <f t="shared" si="89"/>
        <v>-3.6290227683984444</v>
      </c>
      <c r="BS124" s="458">
        <f t="shared" si="89"/>
        <v>-3.5318273907452129</v>
      </c>
      <c r="BT124" s="13">
        <f>SUM(BR124:BS124)</f>
        <v>-7.1608501591436573</v>
      </c>
      <c r="BU124" s="458">
        <f t="shared" si="89"/>
        <v>-2.0584561013812808</v>
      </c>
      <c r="BV124" s="458">
        <f t="shared" si="89"/>
        <v>-1.9579769199468238</v>
      </c>
      <c r="BW124" s="13">
        <f>SUM(BU124:BV124)</f>
        <v>-4.0164330213281048</v>
      </c>
      <c r="BX124" s="458">
        <f t="shared" si="89"/>
        <v>-0.37578137634726616</v>
      </c>
      <c r="BY124" s="458">
        <f t="shared" si="89"/>
        <v>-0.21699513399353099</v>
      </c>
      <c r="BZ124" s="13">
        <f>SUM(BX124:BY124)</f>
        <v>-0.59277651034079715</v>
      </c>
      <c r="CA124" s="458">
        <f t="shared" si="89"/>
        <v>1.8998892435640724</v>
      </c>
      <c r="CB124" s="458">
        <f t="shared" si="89"/>
        <v>1.9944370499276254</v>
      </c>
      <c r="CC124" s="13">
        <f>SUM(CA124:CB124)</f>
        <v>3.894326293491698</v>
      </c>
    </row>
    <row r="125" spans="1:89">
      <c r="B125" s="257" t="s">
        <v>338</v>
      </c>
      <c r="AD125" s="151">
        <v>-40.799999999999997</v>
      </c>
      <c r="AE125" s="151">
        <v>-19.3</v>
      </c>
      <c r="AF125" s="13">
        <f>AG125-AE125</f>
        <v>-11.599999999999998</v>
      </c>
      <c r="AG125" s="209">
        <v>-30.9</v>
      </c>
      <c r="AH125" s="151">
        <v>-26.9</v>
      </c>
      <c r="AI125" s="458">
        <f>AJ125-AH125</f>
        <v>-20.6</v>
      </c>
      <c r="AJ125" s="151">
        <v>-47.5</v>
      </c>
      <c r="AK125" s="151">
        <v>-38.6</v>
      </c>
      <c r="AL125" s="458">
        <f>AM125-AK125</f>
        <v>-26.999999999999993</v>
      </c>
      <c r="AM125" s="151">
        <v>-65.599999999999994</v>
      </c>
      <c r="AN125" s="151">
        <v>-23</v>
      </c>
      <c r="AO125" s="458">
        <f>AP125-AN125</f>
        <v>-27.199999999999996</v>
      </c>
      <c r="AP125" s="151">
        <f>-54.9+4.7</f>
        <v>-50.199999999999996</v>
      </c>
      <c r="AQ125" s="151">
        <v>-20.9</v>
      </c>
      <c r="AR125" s="458">
        <f>AS125-AQ125</f>
        <v>-28.400000000000006</v>
      </c>
      <c r="AS125" s="151">
        <f>-49.7+0.4</f>
        <v>-49.300000000000004</v>
      </c>
      <c r="AT125" s="151">
        <v>-40.299999999999997</v>
      </c>
      <c r="AU125" s="458">
        <f>AV125-AT125</f>
        <v>-32.600000000000009</v>
      </c>
      <c r="AV125" s="151">
        <f>-72.9</f>
        <v>-72.900000000000006</v>
      </c>
      <c r="AW125" s="151">
        <f>-29.9</f>
        <v>-29.9</v>
      </c>
      <c r="AX125" s="458">
        <f>AY125-AW125</f>
        <v>-28.6</v>
      </c>
      <c r="AY125" s="151">
        <v>-58.5</v>
      </c>
      <c r="AZ125" s="151">
        <v>-38.200000000000003</v>
      </c>
      <c r="BA125" s="458">
        <f>BB125-AZ125</f>
        <v>-29</v>
      </c>
      <c r="BB125" s="151">
        <v>-67.2</v>
      </c>
      <c r="BC125" s="209">
        <f>-42.3</f>
        <v>-42.3</v>
      </c>
      <c r="BD125" s="458">
        <f>BE125-BC125</f>
        <v>-39</v>
      </c>
      <c r="BE125" s="209">
        <f>-81.3</f>
        <v>-81.3</v>
      </c>
      <c r="BF125" s="13">
        <f t="shared" ref="BF125:CB125" si="90">BF69</f>
        <v>-26.12623552876693</v>
      </c>
      <c r="BG125" s="13">
        <f t="shared" si="90"/>
        <v>-48.763032366806733</v>
      </c>
      <c r="BH125" s="458">
        <f>SUM(BF125:BG125)</f>
        <v>-74.889267895573667</v>
      </c>
      <c r="BI125" s="13">
        <f t="shared" si="90"/>
        <v>-31.294857156243079</v>
      </c>
      <c r="BJ125" s="13">
        <f t="shared" si="90"/>
        <v>-49.267477192524403</v>
      </c>
      <c r="BK125" s="458">
        <f>SUM(BI125:BJ125)</f>
        <v>-80.562334348767479</v>
      </c>
      <c r="BL125" s="13">
        <f t="shared" si="90"/>
        <v>-33.357153797205932</v>
      </c>
      <c r="BM125" s="13">
        <f t="shared" si="90"/>
        <v>-51.945775604772685</v>
      </c>
      <c r="BN125" s="458">
        <f>SUM(BL125:BM125)</f>
        <v>-85.302929401978616</v>
      </c>
      <c r="BO125" s="13">
        <f t="shared" si="90"/>
        <v>-36.532311961997948</v>
      </c>
      <c r="BP125" s="13">
        <f t="shared" si="90"/>
        <v>-53.945173337930619</v>
      </c>
      <c r="BQ125" s="458">
        <f>SUM(BO125:BP125)</f>
        <v>-90.47748529992856</v>
      </c>
      <c r="BR125" s="13">
        <f t="shared" si="90"/>
        <v>-36.200368328291091</v>
      </c>
      <c r="BS125" s="13">
        <f t="shared" si="90"/>
        <v>-57.333698984936284</v>
      </c>
      <c r="BT125" s="458">
        <f>SUM(BR125:BS125)</f>
        <v>-93.534067313227382</v>
      </c>
      <c r="BU125" s="13">
        <f t="shared" si="90"/>
        <v>-39.906265668334377</v>
      </c>
      <c r="BV125" s="13">
        <f t="shared" si="90"/>
        <v>-62.265565683827631</v>
      </c>
      <c r="BW125" s="458">
        <f>SUM(BU125:BV125)</f>
        <v>-102.171831352162</v>
      </c>
      <c r="BX125" s="13">
        <f t="shared" si="90"/>
        <v>-43.713956256887307</v>
      </c>
      <c r="BY125" s="13">
        <f t="shared" si="90"/>
        <v>-63.817749426717555</v>
      </c>
      <c r="BZ125" s="458">
        <f>SUM(BX125:BY125)</f>
        <v>-107.53170568360486</v>
      </c>
      <c r="CA125" s="13">
        <f t="shared" si="90"/>
        <v>-44.82579939836144</v>
      </c>
      <c r="CB125" s="13">
        <f t="shared" si="90"/>
        <v>-65.536018505627339</v>
      </c>
      <c r="CC125" s="458">
        <f>SUM(CA125:CB125)</f>
        <v>-110.36181790398878</v>
      </c>
    </row>
    <row r="126" spans="1:89">
      <c r="B126" s="257" t="s">
        <v>112</v>
      </c>
      <c r="AD126" s="458">
        <f t="shared" ref="AD126:AP126" si="91">-AD263</f>
        <v>0</v>
      </c>
      <c r="AE126" s="458">
        <f t="shared" si="91"/>
        <v>-10.400000000000063</v>
      </c>
      <c r="AF126" s="13">
        <f t="shared" si="91"/>
        <v>15.600000000000023</v>
      </c>
      <c r="AG126" s="13">
        <f t="shared" si="91"/>
        <v>5.1999999999999602</v>
      </c>
      <c r="AH126" s="458">
        <f t="shared" si="91"/>
        <v>-13.599999999999937</v>
      </c>
      <c r="AI126" s="458">
        <f t="shared" si="91"/>
        <v>12.399999999999949</v>
      </c>
      <c r="AJ126" s="458">
        <f t="shared" si="91"/>
        <v>-1.1999999999999886</v>
      </c>
      <c r="AK126" s="458">
        <f t="shared" si="91"/>
        <v>-15.69999999999996</v>
      </c>
      <c r="AL126" s="458">
        <f t="shared" si="91"/>
        <v>-13.300000000000011</v>
      </c>
      <c r="AM126" s="458">
        <f t="shared" si="91"/>
        <v>-28.999999999999972</v>
      </c>
      <c r="AN126" s="458">
        <f t="shared" si="91"/>
        <v>-6.3000000000000114</v>
      </c>
      <c r="AO126" s="458">
        <f t="shared" si="91"/>
        <v>-9</v>
      </c>
      <c r="AP126" s="458">
        <f t="shared" si="91"/>
        <v>-15.300000000000011</v>
      </c>
      <c r="AQ126" s="458">
        <f t="shared" ref="AQ126:CB126" si="92">-AQ263</f>
        <v>2.2999999999999829</v>
      </c>
      <c r="AR126" s="458">
        <f t="shared" si="92"/>
        <v>-5.6000000000000227</v>
      </c>
      <c r="AS126" s="458">
        <f t="shared" si="92"/>
        <v>-3.3000000000000398</v>
      </c>
      <c r="AT126" s="458">
        <f t="shared" si="92"/>
        <v>-16.599999999999937</v>
      </c>
      <c r="AU126" s="458">
        <f t="shared" si="92"/>
        <v>-3.7000000000000171</v>
      </c>
      <c r="AV126" s="458">
        <f t="shared" si="92"/>
        <v>-20.299999999999955</v>
      </c>
      <c r="AW126" s="458">
        <f t="shared" si="92"/>
        <v>-4.0000000000000284</v>
      </c>
      <c r="AX126" s="458">
        <f t="shared" si="92"/>
        <v>-9.2999999999999829</v>
      </c>
      <c r="AY126" s="458">
        <f t="shared" si="92"/>
        <v>-13.300000000000011</v>
      </c>
      <c r="AZ126" s="458">
        <f t="shared" si="92"/>
        <v>1.5999999999999943</v>
      </c>
      <c r="BA126" s="458">
        <f>-BA263</f>
        <v>-2.4999999999999432</v>
      </c>
      <c r="BB126" s="458">
        <f t="shared" si="92"/>
        <v>-0.89999999999994884</v>
      </c>
      <c r="BC126" s="13">
        <f>-BC263</f>
        <v>-11.900000000000091</v>
      </c>
      <c r="BD126" s="458">
        <f>-BD263</f>
        <v>-9.7999999999999545</v>
      </c>
      <c r="BE126" s="458">
        <f t="shared" si="92"/>
        <v>-21.700000000000045</v>
      </c>
      <c r="BF126" s="458">
        <f t="shared" si="92"/>
        <v>-2.6806014353057321</v>
      </c>
      <c r="BG126" s="458">
        <f t="shared" si="92"/>
        <v>-9.2347253885784539</v>
      </c>
      <c r="BH126" s="13">
        <f>SUM(BF126:BG126)</f>
        <v>-11.915326823884186</v>
      </c>
      <c r="BI126" s="458">
        <f t="shared" si="92"/>
        <v>-5.9668614268477995</v>
      </c>
      <c r="BJ126" s="458">
        <f t="shared" si="92"/>
        <v>2.4544419193939575</v>
      </c>
      <c r="BK126" s="13">
        <f>SUM(BI126:BJ126)</f>
        <v>-3.512419507453842</v>
      </c>
      <c r="BL126" s="458">
        <f t="shared" si="92"/>
        <v>-9.8794138677031356</v>
      </c>
      <c r="BM126" s="458">
        <f t="shared" si="92"/>
        <v>2.3312573605202829</v>
      </c>
      <c r="BN126" s="13">
        <f>SUM(BL126:BM126)</f>
        <v>-7.5481565071828527</v>
      </c>
      <c r="BO126" s="458">
        <f t="shared" si="92"/>
        <v>-13.348578354398398</v>
      </c>
      <c r="BP126" s="458">
        <f t="shared" si="92"/>
        <v>6.6933925445064233</v>
      </c>
      <c r="BQ126" s="13">
        <f>SUM(BO126:BP126)</f>
        <v>-6.6551858098919752</v>
      </c>
      <c r="BR126" s="458">
        <f t="shared" si="92"/>
        <v>-8.6556017615279757</v>
      </c>
      <c r="BS126" s="458">
        <f t="shared" si="92"/>
        <v>0.46533624388433736</v>
      </c>
      <c r="BT126" s="13">
        <f>SUM(BR126:BS126)</f>
        <v>-8.1902655176436383</v>
      </c>
      <c r="BU126" s="458">
        <f t="shared" si="92"/>
        <v>-11.835322439711547</v>
      </c>
      <c r="BV126" s="458">
        <f t="shared" si="92"/>
        <v>1.0567180651237891</v>
      </c>
      <c r="BW126" s="13">
        <f>SUM(BU126:BV126)</f>
        <v>-10.778604374587758</v>
      </c>
      <c r="BX126" s="458">
        <f t="shared" si="92"/>
        <v>-11.869371956326745</v>
      </c>
      <c r="BY126" s="458">
        <f t="shared" si="92"/>
        <v>7.7651170448068569</v>
      </c>
      <c r="BZ126" s="13">
        <f>SUM(BX126:BY126)</f>
        <v>-4.1042549115198881</v>
      </c>
      <c r="CA126" s="458">
        <f t="shared" si="92"/>
        <v>-11.911037033872105</v>
      </c>
      <c r="CB126" s="458">
        <f t="shared" si="92"/>
        <v>7.7407034912104677</v>
      </c>
      <c r="CC126" s="13">
        <f>SUM(CA126:CB126)</f>
        <v>-4.1703335426616377</v>
      </c>
    </row>
    <row r="127" spans="1:89">
      <c r="B127" s="257" t="s">
        <v>113</v>
      </c>
      <c r="AD127" s="458"/>
      <c r="AE127" s="458"/>
      <c r="AF127" s="13"/>
      <c r="AG127" s="458"/>
      <c r="AH127" s="458"/>
      <c r="BC127" s="13"/>
      <c r="BE127" s="13"/>
    </row>
    <row r="128" spans="1:89">
      <c r="B128" s="257" t="s">
        <v>347</v>
      </c>
      <c r="AD128" s="458">
        <f t="shared" ref="AD128:BE128" si="93">AD129-SUM(AD123:AD127)</f>
        <v>-25.500000000000028</v>
      </c>
      <c r="AE128" s="458">
        <f t="shared" si="93"/>
        <v>-3.3999999999999488</v>
      </c>
      <c r="AF128" s="13">
        <f t="shared" si="93"/>
        <v>-10.700000000000074</v>
      </c>
      <c r="AG128" s="13">
        <f t="shared" si="93"/>
        <v>-14.099999999999994</v>
      </c>
      <c r="AH128" s="458">
        <f t="shared" si="93"/>
        <v>-9.6000000000000512</v>
      </c>
      <c r="AI128" s="458">
        <f t="shared" si="93"/>
        <v>-11.099999999999937</v>
      </c>
      <c r="AJ128" s="458">
        <f>AI128+AH128</f>
        <v>-20.699999999999989</v>
      </c>
      <c r="AK128" s="458">
        <f t="shared" si="93"/>
        <v>-8.9000000000000057</v>
      </c>
      <c r="AL128" s="458">
        <f>+AM128-AK128</f>
        <v>-8.0999999999999943</v>
      </c>
      <c r="AM128" s="458">
        <f t="shared" si="93"/>
        <v>-17</v>
      </c>
      <c r="AN128" s="458">
        <f t="shared" si="93"/>
        <v>-11.999999999999986</v>
      </c>
      <c r="AO128" s="458">
        <f>+AP128-AN128</f>
        <v>-6.7000000000000313</v>
      </c>
      <c r="AP128" s="458">
        <f t="shared" si="93"/>
        <v>-18.700000000000017</v>
      </c>
      <c r="AQ128" s="458">
        <f t="shared" si="93"/>
        <v>-11.100000000000009</v>
      </c>
      <c r="AR128" s="458">
        <f>+AS128-AQ128</f>
        <v>11.800000000000082</v>
      </c>
      <c r="AS128" s="458">
        <f t="shared" si="93"/>
        <v>0.7000000000000739</v>
      </c>
      <c r="AT128" s="458">
        <f t="shared" si="93"/>
        <v>-28.400000000000087</v>
      </c>
      <c r="AU128" s="458">
        <f>AV128-AT128</f>
        <v>7.2000000000000703</v>
      </c>
      <c r="AV128" s="458">
        <f t="shared" si="93"/>
        <v>-21.200000000000017</v>
      </c>
      <c r="AW128" s="458">
        <f t="shared" si="93"/>
        <v>-30.79999999999994</v>
      </c>
      <c r="AX128" s="458">
        <f>AY128-AW128</f>
        <v>-31.299999999999997</v>
      </c>
      <c r="AY128" s="458">
        <f t="shared" si="93"/>
        <v>-62.099999999999937</v>
      </c>
      <c r="AZ128" s="458">
        <f t="shared" si="93"/>
        <v>-11.299999999999997</v>
      </c>
      <c r="BA128" s="458">
        <f>BB128-AZ128</f>
        <v>-4.2999999999999972</v>
      </c>
      <c r="BB128" s="458">
        <f t="shared" si="93"/>
        <v>-15.599999999999994</v>
      </c>
      <c r="BC128" s="13">
        <f t="shared" si="93"/>
        <v>-7.399999999999892</v>
      </c>
      <c r="BD128" s="458">
        <f>BE128-BC128</f>
        <v>-17.800000000000097</v>
      </c>
      <c r="BE128" s="458">
        <f t="shared" si="93"/>
        <v>-25.199999999999989</v>
      </c>
      <c r="BF128" s="13">
        <f>((BE203-BF203)+(BE207-BF207)+(BE208-BF208)+(BE211-BF211)+(BE212-BF212)+(BE213-BF213))-((BE222-BF222)+(BE223-BF223)+(BE224-BF224)+(BE229-BF229)+(BE230-BF230)+(BE240-BF240)+(BE242-BF242))+(BF194-BF41)</f>
        <v>-1.158121605743645E-2</v>
      </c>
      <c r="BG128" s="13">
        <f t="shared" ref="BG128:CB128" si="94">((BF203-BG203)+(BF207-BG207)+(BF208-BG208)+(BF211-BG211)+(BF212-BG212)+(BF213-BG213))-((BF222-BG222)+(BF223-BG223)+(BF224-BG224)+(BF229-BG229)+(BF230-BG230)+(BF240-BG240)+(BF242-BG242))+(BG194-BG41)</f>
        <v>0.58305863836241656</v>
      </c>
      <c r="BH128" s="458">
        <f>BG128+BF128</f>
        <v>0.57147742230498011</v>
      </c>
      <c r="BI128" s="13">
        <f t="shared" si="94"/>
        <v>-0.45696091241401859</v>
      </c>
      <c r="BJ128" s="13">
        <f t="shared" si="94"/>
        <v>0.27874802341080596</v>
      </c>
      <c r="BK128" s="458">
        <f>BJ128+BI128</f>
        <v>-0.17821288900321264</v>
      </c>
      <c r="BL128" s="13">
        <f t="shared" si="94"/>
        <v>-1.1184466563627922</v>
      </c>
      <c r="BM128" s="13">
        <f>((BL203-BM203)+(BL207-BM207)+(BL208-BM208)+(BL211-BM211)+(BL212-BM212)+(BL213-BM213))-((BL222-BM222)+(BL223-BM223)+(BL224-BM224)+(BL229-BM229)+(BL230-BM230)+(BL240-BM240)+(BL242-BM242))+(BM194-BM41)</f>
        <v>-0.36981766840025898</v>
      </c>
      <c r="BN128" s="458">
        <f>BM128+BL128</f>
        <v>-1.4882643247630511</v>
      </c>
      <c r="BO128" s="13">
        <f t="shared" si="94"/>
        <v>-1.7494111871278903</v>
      </c>
      <c r="BP128" s="13">
        <f t="shared" si="94"/>
        <v>-0.98881904533109122</v>
      </c>
      <c r="BQ128" s="458">
        <f>BP128+BO128</f>
        <v>-2.7382302324589816</v>
      </c>
      <c r="BR128" s="13">
        <f t="shared" si="94"/>
        <v>-2.349914837867459</v>
      </c>
      <c r="BS128" s="13">
        <f t="shared" si="94"/>
        <v>-1.5783828231064021</v>
      </c>
      <c r="BT128" s="458">
        <f>BS128+BR128</f>
        <v>-3.9282976609738611</v>
      </c>
      <c r="BU128" s="13">
        <f t="shared" si="94"/>
        <v>-2.91998730586063</v>
      </c>
      <c r="BV128" s="13">
        <f t="shared" si="94"/>
        <v>-2.1386127261694696</v>
      </c>
      <c r="BW128" s="458">
        <f>BV128+BU128</f>
        <v>-5.0586000320300997</v>
      </c>
      <c r="BX128" s="13">
        <f t="shared" si="94"/>
        <v>-3.4596256877424807</v>
      </c>
      <c r="BY128" s="13">
        <f t="shared" si="94"/>
        <v>-2.6695885137173363</v>
      </c>
      <c r="BZ128" s="458">
        <f>BY128+BX128</f>
        <v>-6.129214201459817</v>
      </c>
      <c r="CA128" s="13">
        <f t="shared" si="94"/>
        <v>-3.9687923535898975</v>
      </c>
      <c r="CB128" s="13">
        <f t="shared" si="94"/>
        <v>-3.1713649944762565</v>
      </c>
      <c r="CC128" s="458">
        <f>CB128+CA128</f>
        <v>-7.140157348066154</v>
      </c>
    </row>
    <row r="129" spans="1:89" s="7" customFormat="1">
      <c r="A129" s="73"/>
      <c r="B129" s="73" t="s">
        <v>444</v>
      </c>
      <c r="C129" s="73"/>
      <c r="D129" s="73"/>
      <c r="E129" s="73"/>
      <c r="F129" s="73"/>
      <c r="G129" s="73"/>
      <c r="H129" s="73"/>
      <c r="I129" s="73"/>
      <c r="J129" s="73"/>
      <c r="K129" s="73"/>
      <c r="L129" s="73"/>
      <c r="M129" s="73"/>
      <c r="N129" s="73"/>
      <c r="O129" s="73"/>
      <c r="P129" s="73"/>
      <c r="Q129" s="73"/>
      <c r="R129" s="73"/>
      <c r="S129" s="73"/>
      <c r="T129" s="73"/>
      <c r="U129" s="73"/>
      <c r="V129" s="73"/>
      <c r="W129" s="73"/>
      <c r="X129" s="73"/>
      <c r="Y129" s="73"/>
      <c r="Z129" s="73"/>
      <c r="AA129" s="73"/>
      <c r="AB129" s="73"/>
      <c r="AC129" s="73"/>
      <c r="AD129" s="181">
        <v>150.1</v>
      </c>
      <c r="AE129" s="181">
        <v>59.2</v>
      </c>
      <c r="AF129" s="211">
        <f>AG129-AE129</f>
        <v>128.89999999999998</v>
      </c>
      <c r="AG129" s="466">
        <v>188.1</v>
      </c>
      <c r="AH129" s="181">
        <v>69.900000000000006</v>
      </c>
      <c r="AI129" s="143">
        <f>188.5-AH129</f>
        <v>118.6</v>
      </c>
      <c r="AJ129" s="143">
        <f>SUM(AJ123:AJ128)</f>
        <v>188.5</v>
      </c>
      <c r="AK129" s="181">
        <v>50</v>
      </c>
      <c r="AL129" s="143">
        <f>+AM129-AK129</f>
        <v>105</v>
      </c>
      <c r="AM129" s="181">
        <v>155</v>
      </c>
      <c r="AN129" s="181">
        <v>80.2</v>
      </c>
      <c r="AO129" s="143">
        <f>SUM(AO123:AO128)</f>
        <v>106.69999999999997</v>
      </c>
      <c r="AP129" s="181">
        <v>186.9</v>
      </c>
      <c r="AQ129" s="181">
        <v>89.3</v>
      </c>
      <c r="AR129" s="143">
        <f>SUM(AR123:AR128)</f>
        <v>138.00000000000006</v>
      </c>
      <c r="AS129" s="181">
        <v>227.3</v>
      </c>
      <c r="AT129" s="181">
        <v>25.8</v>
      </c>
      <c r="AU129" s="143">
        <f>SUM(AU123:AU128)</f>
        <v>168.2</v>
      </c>
      <c r="AV129" s="181">
        <f>194</f>
        <v>194</v>
      </c>
      <c r="AW129" s="181">
        <f>83.8</f>
        <v>83.8</v>
      </c>
      <c r="AX129" s="143">
        <f>SUM(AX123:AX128)</f>
        <v>146.10000000000002</v>
      </c>
      <c r="AY129" s="181">
        <v>229.9</v>
      </c>
      <c r="AZ129" s="181">
        <v>97.6</v>
      </c>
      <c r="BA129" s="143">
        <f t="shared" ref="BA129:BN129" si="95">SUM(BA123:BA128)</f>
        <v>150.80000000000007</v>
      </c>
      <c r="BB129" s="181">
        <v>248.4</v>
      </c>
      <c r="BC129" s="466">
        <v>77.2</v>
      </c>
      <c r="BD129" s="143">
        <f t="shared" ref="BD129" si="96">SUM(BD123:BD128)</f>
        <v>147.00000000000003</v>
      </c>
      <c r="BE129" s="181">
        <v>224.2</v>
      </c>
      <c r="BF129" s="143">
        <f t="shared" si="95"/>
        <v>117.95397670533023</v>
      </c>
      <c r="BG129" s="143">
        <f t="shared" si="95"/>
        <v>168.29901152125362</v>
      </c>
      <c r="BH129" s="143">
        <f t="shared" si="95"/>
        <v>286.25298822658385</v>
      </c>
      <c r="BI129" s="143">
        <f t="shared" si="95"/>
        <v>130.68641552571989</v>
      </c>
      <c r="BJ129" s="143">
        <f t="shared" si="95"/>
        <v>181.94409510020836</v>
      </c>
      <c r="BK129" s="143">
        <f t="shared" si="95"/>
        <v>312.63051062592825</v>
      </c>
      <c r="BL129" s="143">
        <f t="shared" si="95"/>
        <v>132.78634640878045</v>
      </c>
      <c r="BM129" s="143">
        <f t="shared" si="95"/>
        <v>189.24936722073332</v>
      </c>
      <c r="BN129" s="143">
        <f t="shared" si="95"/>
        <v>322.03571362951374</v>
      </c>
      <c r="BO129" s="143">
        <f>SUM(BO123:BO128)</f>
        <v>138.55135728426748</v>
      </c>
      <c r="BP129" s="143">
        <f>SUM(BP123:BP128)</f>
        <v>199.22925683411017</v>
      </c>
      <c r="BQ129" s="143">
        <f>SUM(BQ123:BQ128)</f>
        <v>337.78061411837768</v>
      </c>
      <c r="BR129" s="143">
        <f t="shared" ref="BR129:CC129" si="97">SUM(BR123:BR128)</f>
        <v>142.47673283560746</v>
      </c>
      <c r="BS129" s="143">
        <f t="shared" si="97"/>
        <v>202.33299619817612</v>
      </c>
      <c r="BT129" s="143">
        <f t="shared" si="97"/>
        <v>344.80972903378358</v>
      </c>
      <c r="BU129" s="143">
        <f t="shared" si="97"/>
        <v>149.97678002212643</v>
      </c>
      <c r="BV129" s="143">
        <f t="shared" si="97"/>
        <v>216.48576712058667</v>
      </c>
      <c r="BW129" s="143">
        <f t="shared" si="97"/>
        <v>366.46254714271311</v>
      </c>
      <c r="BX129" s="143">
        <f t="shared" si="97"/>
        <v>160.96501724221787</v>
      </c>
      <c r="BY129" s="143">
        <f t="shared" si="97"/>
        <v>227.66023723771784</v>
      </c>
      <c r="BZ129" s="143">
        <f t="shared" si="97"/>
        <v>388.62525447993573</v>
      </c>
      <c r="CA129" s="143">
        <f t="shared" si="97"/>
        <v>164.24892503568941</v>
      </c>
      <c r="CB129" s="143">
        <f t="shared" si="97"/>
        <v>232.55284140194507</v>
      </c>
      <c r="CC129" s="143">
        <f t="shared" si="97"/>
        <v>396.8017664376344</v>
      </c>
      <c r="CD129" s="40"/>
      <c r="CE129" s="40"/>
      <c r="CF129"/>
      <c r="CG129"/>
      <c r="CH129"/>
      <c r="CI129"/>
      <c r="CJ129"/>
      <c r="CK129"/>
    </row>
    <row r="130" spans="1:89">
      <c r="AD130" s="458"/>
      <c r="AE130" s="405"/>
      <c r="AF130" s="406"/>
      <c r="AG130" s="405" t="str">
        <f>IF(AE129+AF129=AG129,"","ERROR")</f>
        <v/>
      </c>
      <c r="AH130" s="405"/>
      <c r="AI130" s="406"/>
      <c r="AJ130" s="405" t="str">
        <f>IF(AH129+AI129=AJ129,"","ERROR")</f>
        <v/>
      </c>
      <c r="AK130" s="405"/>
      <c r="AL130" s="406"/>
      <c r="AM130" s="405" t="str">
        <f>IF(AK129+AL129=AM129,"","ERROR")</f>
        <v/>
      </c>
      <c r="AN130" s="405"/>
      <c r="AO130" s="406"/>
      <c r="AP130" s="405" t="str">
        <f>IF(AN129+AO129=AP129,"","ERROR")</f>
        <v/>
      </c>
      <c r="AQ130" s="405"/>
      <c r="AR130" s="406"/>
      <c r="AS130" s="405" t="str">
        <f>IF(AQ129+AR129=AS129,"","ERROR")</f>
        <v/>
      </c>
      <c r="AT130" s="405"/>
      <c r="AU130" s="406"/>
      <c r="AV130" s="405" t="str">
        <f>IF(AT129+AU129=AV129,"","ERROR")</f>
        <v/>
      </c>
      <c r="AW130" s="405"/>
      <c r="AX130" s="406"/>
      <c r="AY130" s="405" t="str">
        <f>IF(AW129+AX129=AY129,"","ERROR")</f>
        <v/>
      </c>
      <c r="AZ130" s="405"/>
      <c r="BA130" s="406"/>
      <c r="BB130" s="405" t="str">
        <f>IF(AZ129+BA129=BB129,"","ERROR")</f>
        <v/>
      </c>
      <c r="BC130" s="405"/>
      <c r="BD130" s="406"/>
      <c r="BE130" s="405" t="str">
        <f>IF(BC129+BD129=BE129,"","ERROR")</f>
        <v/>
      </c>
      <c r="BF130" s="405"/>
      <c r="BG130" s="406"/>
      <c r="BH130" s="405" t="str">
        <f>IF(BF129+BG129=BH129,"","ERROR")</f>
        <v/>
      </c>
      <c r="BI130" s="405"/>
      <c r="BJ130" s="406"/>
      <c r="BK130" s="405" t="str">
        <f>IF(BI129+BJ129=BK129,"","ERROR")</f>
        <v/>
      </c>
      <c r="BL130" s="405"/>
      <c r="BM130" s="406"/>
      <c r="BN130" s="405" t="str">
        <f>IF(BL129+BM129=BN129,"","ERROR")</f>
        <v/>
      </c>
      <c r="BO130" s="405"/>
      <c r="BP130" s="406"/>
      <c r="BQ130" s="405" t="str">
        <f>IF(BO129+BP129=BQ129,"","ERROR")</f>
        <v/>
      </c>
      <c r="BR130" s="405"/>
      <c r="BS130" s="406"/>
      <c r="BT130" s="405" t="str">
        <f>IF(BR129+BS129=BT129,"","ERROR")</f>
        <v/>
      </c>
      <c r="BU130" s="405"/>
      <c r="BV130" s="406"/>
      <c r="BW130" s="405" t="str">
        <f>IF(BU129+BV129=BW129,"","ERROR")</f>
        <v/>
      </c>
      <c r="BX130" s="405"/>
      <c r="BY130" s="406"/>
      <c r="BZ130" s="405" t="str">
        <f>IF(BX129+BY129=BZ129,"","ERROR")</f>
        <v/>
      </c>
      <c r="CA130" s="405"/>
      <c r="CB130" s="406"/>
      <c r="CC130" s="405" t="str">
        <f>IF(CA129+CB129=CC129,"","ERROR")</f>
        <v/>
      </c>
    </row>
    <row r="131" spans="1:89">
      <c r="B131" s="488" t="s">
        <v>114</v>
      </c>
      <c r="AD131" s="458"/>
      <c r="AE131" s="458"/>
      <c r="AF131" s="13"/>
      <c r="AG131" s="13"/>
      <c r="AH131" s="458"/>
      <c r="BC131" s="11"/>
      <c r="BE131" s="11"/>
    </row>
    <row r="132" spans="1:89">
      <c r="B132" s="257" t="s">
        <v>115</v>
      </c>
      <c r="AD132" s="458">
        <f>-(IF(AD41&lt;-AD134,AD41,-AD134))</f>
        <v>-56</v>
      </c>
      <c r="AE132" s="458">
        <f>-(IF(AE41&lt;-AE134,AE41,-AE134))</f>
        <v>-18.7</v>
      </c>
      <c r="AF132" s="458">
        <f>AG132-AE132</f>
        <v>-22.400000000000002</v>
      </c>
      <c r="AG132" s="13">
        <f>-(IF(AG41&lt;-AG134,AG41,-AG134))</f>
        <v>-41.1</v>
      </c>
      <c r="AH132" s="458">
        <f>-(IF(AH41&lt;-AH134,AH41,-AH134))</f>
        <v>-26.7</v>
      </c>
      <c r="AI132" s="458">
        <f>AJ132-AH132</f>
        <v>-24.099999999999998</v>
      </c>
      <c r="AJ132" s="13">
        <f>AJ134-AJ133</f>
        <v>-50.8</v>
      </c>
      <c r="AK132" s="458">
        <f>-(IF(AK41&lt;-AK134,AK41,-AK134))</f>
        <v>-26.9</v>
      </c>
      <c r="AL132" s="458">
        <f>AM132-AK132</f>
        <v>-30.9</v>
      </c>
      <c r="AM132" s="458">
        <f>-(IF(AM41&lt;-AM134,AM41,-AM134))</f>
        <v>-57.8</v>
      </c>
      <c r="AN132" s="458">
        <f>+AN134-AN133</f>
        <v>-31</v>
      </c>
      <c r="AO132" s="458">
        <f>AP132-AN132</f>
        <v>-28.4</v>
      </c>
      <c r="AP132" s="151">
        <v>-59.4</v>
      </c>
      <c r="AQ132" s="151">
        <v>-31.7</v>
      </c>
      <c r="AR132" s="458">
        <f>AS132-AQ132</f>
        <v>-20.599999999999998</v>
      </c>
      <c r="AS132" s="151">
        <v>-52.3</v>
      </c>
      <c r="AT132" s="151">
        <v>-21.4</v>
      </c>
      <c r="AU132" s="458">
        <f>AV132-AT132</f>
        <v>-20.200000000000003</v>
      </c>
      <c r="AV132" s="151">
        <f>-41.6</f>
        <v>-41.6</v>
      </c>
      <c r="AW132" s="151">
        <f>-21.5</f>
        <v>-21.5</v>
      </c>
      <c r="AX132" s="458">
        <f>AY132-AW132</f>
        <v>-24.799999999999997</v>
      </c>
      <c r="AY132" s="151">
        <v>-46.3</v>
      </c>
      <c r="AZ132" s="151">
        <v>-29.7</v>
      </c>
      <c r="BA132" s="458">
        <f>BB132-AZ132</f>
        <v>-20.000000000000004</v>
      </c>
      <c r="BB132" s="151">
        <v>-49.7</v>
      </c>
      <c r="BC132" s="209">
        <v>-27</v>
      </c>
      <c r="BD132" s="458">
        <f>BE132-BC132</f>
        <v>-33.1</v>
      </c>
      <c r="BE132" s="209">
        <f>-60.1</f>
        <v>-60.1</v>
      </c>
      <c r="BF132" s="13">
        <f t="shared" ref="BF132:CB132" si="98">-BF184*BF41</f>
        <v>-35.152603658536584</v>
      </c>
      <c r="BG132" s="13">
        <f t="shared" si="98"/>
        <v>-34.970957317073172</v>
      </c>
      <c r="BH132" s="13">
        <f>SUM(BF132:BG132)</f>
        <v>-70.123560975609763</v>
      </c>
      <c r="BI132" s="13">
        <f t="shared" si="98"/>
        <v>-36.576862347560976</v>
      </c>
      <c r="BJ132" s="13">
        <f t="shared" si="98"/>
        <v>-35.688813567073169</v>
      </c>
      <c r="BK132" s="13">
        <f>SUM(BI132:BJ132)</f>
        <v>-72.265675914634144</v>
      </c>
      <c r="BL132" s="13">
        <f t="shared" si="98"/>
        <v>-37.312665003810977</v>
      </c>
      <c r="BM132" s="13">
        <f t="shared" si="98"/>
        <v>-36.42461622332317</v>
      </c>
      <c r="BN132" s="13">
        <f>SUM(BL132:BM132)</f>
        <v>-73.737281227134147</v>
      </c>
      <c r="BO132" s="13">
        <f t="shared" si="98"/>
        <v>-38.066862726467221</v>
      </c>
      <c r="BP132" s="13">
        <f t="shared" si="98"/>
        <v>-37.178813945979414</v>
      </c>
      <c r="BQ132" s="13">
        <f>SUM(BO132:BP132)</f>
        <v>-75.245676672446635</v>
      </c>
      <c r="BR132" s="13">
        <f t="shared" si="98"/>
        <v>-38.839915392189873</v>
      </c>
      <c r="BS132" s="13">
        <f t="shared" si="98"/>
        <v>-37.951866611702066</v>
      </c>
      <c r="BT132" s="13">
        <f>SUM(BR132:BS132)</f>
        <v>-76.791782003891939</v>
      </c>
      <c r="BU132" s="13">
        <f t="shared" si="98"/>
        <v>-39.632294374555592</v>
      </c>
      <c r="BV132" s="13">
        <f t="shared" si="98"/>
        <v>-38.744245594067792</v>
      </c>
      <c r="BW132" s="13">
        <f>SUM(BU132:BV132)</f>
        <v>-78.376539968623376</v>
      </c>
      <c r="BX132" s="13">
        <f t="shared" si="98"/>
        <v>-40.444482831480457</v>
      </c>
      <c r="BY132" s="13">
        <f t="shared" si="98"/>
        <v>-39.55643405099265</v>
      </c>
      <c r="BZ132" s="13">
        <f>SUM(BX132:BY132)</f>
        <v>-80.000916882473106</v>
      </c>
      <c r="CA132" s="13">
        <f t="shared" si="98"/>
        <v>-41.276975999828444</v>
      </c>
      <c r="CB132" s="13">
        <f t="shared" si="98"/>
        <v>-40.388927219340637</v>
      </c>
      <c r="CC132" s="13">
        <f>SUM(CA132:CB132)</f>
        <v>-81.665903219169081</v>
      </c>
    </row>
    <row r="133" spans="1:89">
      <c r="B133" s="257" t="s">
        <v>169</v>
      </c>
      <c r="AD133" s="458">
        <f>AD134-AD132</f>
        <v>0</v>
      </c>
      <c r="AE133" s="458">
        <f>AE134-AE132</f>
        <v>0</v>
      </c>
      <c r="AF133" s="458">
        <f>+AG133-AE133</f>
        <v>0</v>
      </c>
      <c r="AG133" s="13">
        <f>AG134-AG132</f>
        <v>0</v>
      </c>
      <c r="AH133" s="458">
        <f>AH134-AH132</f>
        <v>-0.90000000000000213</v>
      </c>
      <c r="AI133" s="458"/>
      <c r="AJ133" s="458">
        <f>AI133+AH133</f>
        <v>-0.90000000000000213</v>
      </c>
      <c r="AK133" s="458">
        <f>AK134-AK132</f>
        <v>-25</v>
      </c>
      <c r="AL133" s="458">
        <f>+AM133-AK133</f>
        <v>-8.5</v>
      </c>
      <c r="AM133" s="458">
        <f>AM134-AM132</f>
        <v>-33.5</v>
      </c>
      <c r="AN133" s="151">
        <v>-33.5</v>
      </c>
      <c r="AO133" s="458">
        <f>+AP133-AN133</f>
        <v>-28.4</v>
      </c>
      <c r="AP133" s="151">
        <v>-61.9</v>
      </c>
      <c r="AQ133" s="458">
        <f>+AQ134-AQ132</f>
        <v>-8.9000000000000021</v>
      </c>
      <c r="AR133" s="458">
        <f>AS133-AQ133</f>
        <v>-5.6999999999999975</v>
      </c>
      <c r="AS133" s="151">
        <v>-14.6</v>
      </c>
      <c r="AT133" s="139">
        <v>-8.4</v>
      </c>
      <c r="AU133" s="458">
        <f>AV133-AT133</f>
        <v>-166</v>
      </c>
      <c r="AV133" s="139">
        <f>-174.4</f>
        <v>-174.4</v>
      </c>
      <c r="AW133" s="139">
        <f>-7.4</f>
        <v>-7.4</v>
      </c>
      <c r="AX133" s="458">
        <f>AY133-AW133</f>
        <v>-27.1</v>
      </c>
      <c r="AY133" s="139">
        <f>-34.5</f>
        <v>-34.5</v>
      </c>
      <c r="AZ133" s="139">
        <v>-25.1</v>
      </c>
      <c r="BA133" s="458">
        <f>BB133-AZ133</f>
        <v>-11.699999999999996</v>
      </c>
      <c r="BB133" s="151">
        <f>-86.5-BB132</f>
        <v>-36.799999999999997</v>
      </c>
      <c r="BC133" s="215">
        <v>-12.1</v>
      </c>
      <c r="BD133" s="458">
        <f>BE133-BC133</f>
        <v>-16.899999999999999</v>
      </c>
      <c r="BE133" s="215">
        <f>-29</f>
        <v>-29</v>
      </c>
      <c r="BF133" s="484">
        <f>BH133/2</f>
        <v>-17.5</v>
      </c>
      <c r="BG133" s="484">
        <f>BH133-BF133</f>
        <v>-17.5</v>
      </c>
      <c r="BH133" s="11">
        <v>-35</v>
      </c>
      <c r="BI133" s="494">
        <v>0</v>
      </c>
      <c r="BJ133" s="494">
        <v>0</v>
      </c>
      <c r="BK133" s="12">
        <f>SUM(BI133:BJ133)</f>
        <v>0</v>
      </c>
      <c r="BL133" s="494">
        <v>0</v>
      </c>
      <c r="BM133" s="494">
        <v>0</v>
      </c>
      <c r="BN133" s="12">
        <f>SUM(BL133:BM133)</f>
        <v>0</v>
      </c>
      <c r="BO133" s="494">
        <v>0</v>
      </c>
      <c r="BP133" s="494">
        <v>0</v>
      </c>
      <c r="BQ133" s="12">
        <f>SUM(BO133:BP133)</f>
        <v>0</v>
      </c>
      <c r="BR133" s="494">
        <v>0</v>
      </c>
      <c r="BS133" s="494">
        <v>0</v>
      </c>
      <c r="BT133" s="12">
        <f>SUM(BR133:BS133)</f>
        <v>0</v>
      </c>
      <c r="BU133" s="494">
        <v>0</v>
      </c>
      <c r="BV133" s="494">
        <v>0</v>
      </c>
      <c r="BW133" s="12">
        <f>SUM(BU133:BV133)</f>
        <v>0</v>
      </c>
      <c r="BX133" s="494">
        <v>0</v>
      </c>
      <c r="BY133" s="494">
        <v>0</v>
      </c>
      <c r="BZ133" s="12">
        <f>SUM(BX133:BY133)</f>
        <v>0</v>
      </c>
      <c r="CA133" s="494">
        <v>0</v>
      </c>
      <c r="CB133" s="494">
        <v>0</v>
      </c>
      <c r="CC133" s="12">
        <f>SUM(CA133:CB133)</f>
        <v>0</v>
      </c>
    </row>
    <row r="134" spans="1:89">
      <c r="B134" s="257" t="s">
        <v>170</v>
      </c>
      <c r="AD134" s="151">
        <v>-56</v>
      </c>
      <c r="AE134" s="151">
        <v>-18.7</v>
      </c>
      <c r="AF134" s="458">
        <f>+AG134-AE134</f>
        <v>-22.400000000000002</v>
      </c>
      <c r="AG134" s="209">
        <v>-41.1</v>
      </c>
      <c r="AH134" s="151">
        <v>-27.6</v>
      </c>
      <c r="AI134" s="458">
        <f>SUM(AI132:AI133)</f>
        <v>-24.099999999999998</v>
      </c>
      <c r="AJ134" s="151">
        <v>-51.7</v>
      </c>
      <c r="AK134" s="151">
        <v>-51.9</v>
      </c>
      <c r="AL134" s="458">
        <f>+AM134-AK134</f>
        <v>-39.4</v>
      </c>
      <c r="AM134" s="151">
        <v>-91.3</v>
      </c>
      <c r="AN134" s="151">
        <v>-64.5</v>
      </c>
      <c r="AO134" s="458">
        <f t="shared" ref="AO134:BN134" si="99">SUM(AO132:AO133)</f>
        <v>-56.8</v>
      </c>
      <c r="AP134" s="458">
        <f t="shared" si="99"/>
        <v>-121.3</v>
      </c>
      <c r="AQ134" s="151">
        <v>-40.6</v>
      </c>
      <c r="AR134" s="458">
        <f t="shared" si="99"/>
        <v>-26.299999999999997</v>
      </c>
      <c r="AS134" s="458">
        <f t="shared" si="99"/>
        <v>-66.899999999999991</v>
      </c>
      <c r="AT134" s="458">
        <f t="shared" si="99"/>
        <v>-29.799999999999997</v>
      </c>
      <c r="AU134" s="458">
        <f t="shared" si="99"/>
        <v>-186.2</v>
      </c>
      <c r="AV134" s="458">
        <f t="shared" si="99"/>
        <v>-216</v>
      </c>
      <c r="AW134" s="458">
        <f t="shared" si="99"/>
        <v>-28.9</v>
      </c>
      <c r="AX134" s="458">
        <f t="shared" si="99"/>
        <v>-51.9</v>
      </c>
      <c r="AY134" s="458">
        <f t="shared" si="99"/>
        <v>-80.8</v>
      </c>
      <c r="AZ134" s="458">
        <f t="shared" si="99"/>
        <v>-54.8</v>
      </c>
      <c r="BA134" s="458">
        <f>SUM(BA132:BA133)</f>
        <v>-31.7</v>
      </c>
      <c r="BB134" s="458">
        <f t="shared" si="99"/>
        <v>-86.5</v>
      </c>
      <c r="BC134" s="13">
        <f t="shared" si="99"/>
        <v>-39.1</v>
      </c>
      <c r="BD134" s="458">
        <f>SUM(BD132:BD133)</f>
        <v>-50</v>
      </c>
      <c r="BE134" s="13">
        <f t="shared" si="99"/>
        <v>-89.1</v>
      </c>
      <c r="BF134" s="458">
        <f t="shared" si="99"/>
        <v>-52.652603658536584</v>
      </c>
      <c r="BG134" s="458">
        <f t="shared" si="99"/>
        <v>-52.470957317073172</v>
      </c>
      <c r="BH134" s="458">
        <f t="shared" si="99"/>
        <v>-105.12356097560976</v>
      </c>
      <c r="BI134" s="458">
        <f t="shared" si="99"/>
        <v>-36.576862347560976</v>
      </c>
      <c r="BJ134" s="458">
        <f t="shared" si="99"/>
        <v>-35.688813567073169</v>
      </c>
      <c r="BK134" s="458">
        <f t="shared" si="99"/>
        <v>-72.265675914634144</v>
      </c>
      <c r="BL134" s="458">
        <f t="shared" si="99"/>
        <v>-37.312665003810977</v>
      </c>
      <c r="BM134" s="458">
        <f t="shared" si="99"/>
        <v>-36.42461622332317</v>
      </c>
      <c r="BN134" s="458">
        <f t="shared" si="99"/>
        <v>-73.737281227134147</v>
      </c>
      <c r="BO134" s="458">
        <f>SUM(BO132:BO133)</f>
        <v>-38.066862726467221</v>
      </c>
      <c r="BP134" s="458">
        <f>SUM(BP132:BP133)</f>
        <v>-37.178813945979414</v>
      </c>
      <c r="BQ134" s="458">
        <f>SUM(BQ132:BQ133)</f>
        <v>-75.245676672446635</v>
      </c>
      <c r="BR134" s="458">
        <f t="shared" ref="BR134:CC134" si="100">SUM(BR132:BR133)</f>
        <v>-38.839915392189873</v>
      </c>
      <c r="BS134" s="458">
        <f t="shared" si="100"/>
        <v>-37.951866611702066</v>
      </c>
      <c r="BT134" s="458">
        <f t="shared" si="100"/>
        <v>-76.791782003891939</v>
      </c>
      <c r="BU134" s="458">
        <f t="shared" si="100"/>
        <v>-39.632294374555592</v>
      </c>
      <c r="BV134" s="458">
        <f t="shared" si="100"/>
        <v>-38.744245594067792</v>
      </c>
      <c r="BW134" s="458">
        <f t="shared" si="100"/>
        <v>-78.376539968623376</v>
      </c>
      <c r="BX134" s="458">
        <f t="shared" si="100"/>
        <v>-40.444482831480457</v>
      </c>
      <c r="BY134" s="458">
        <f t="shared" si="100"/>
        <v>-39.55643405099265</v>
      </c>
      <c r="BZ134" s="458">
        <f t="shared" si="100"/>
        <v>-80.000916882473106</v>
      </c>
      <c r="CA134" s="458">
        <f t="shared" si="100"/>
        <v>-41.276975999828444</v>
      </c>
      <c r="CB134" s="458">
        <f t="shared" si="100"/>
        <v>-40.388927219340637</v>
      </c>
      <c r="CC134" s="458">
        <f t="shared" si="100"/>
        <v>-81.665903219169081</v>
      </c>
    </row>
    <row r="135" spans="1:89">
      <c r="B135" s="257" t="s">
        <v>116</v>
      </c>
      <c r="AD135" s="151">
        <v>-86.9</v>
      </c>
      <c r="AE135" s="151">
        <v>0</v>
      </c>
      <c r="AF135" s="458">
        <f>+AG135-AE135</f>
        <v>0</v>
      </c>
      <c r="AG135" s="209">
        <v>0</v>
      </c>
      <c r="AH135" s="151">
        <v>0</v>
      </c>
      <c r="AI135" s="151">
        <v>0</v>
      </c>
      <c r="AJ135" s="458">
        <f>AI135+AH135</f>
        <v>0</v>
      </c>
      <c r="AK135" s="151">
        <v>0</v>
      </c>
      <c r="AL135" s="458">
        <f>+AM135-AK135</f>
        <v>-47.6</v>
      </c>
      <c r="AM135" s="151">
        <v>-47.6</v>
      </c>
      <c r="AN135" s="139">
        <v>0</v>
      </c>
      <c r="AO135" s="458">
        <f>+AP135-AN135</f>
        <v>-28.7</v>
      </c>
      <c r="AP135" s="151">
        <v>-28.7</v>
      </c>
      <c r="AQ135" s="139">
        <v>-0.4</v>
      </c>
      <c r="AR135" s="458">
        <f>+AS135-AQ135</f>
        <v>-0.6</v>
      </c>
      <c r="AS135" s="151">
        <f>-0.6-0.4</f>
        <v>-1</v>
      </c>
      <c r="AT135" s="139">
        <v>-21.7</v>
      </c>
      <c r="AU135" s="458">
        <f>+AV135-AT135</f>
        <v>21.7</v>
      </c>
      <c r="AV135" s="151">
        <f>0</f>
        <v>0</v>
      </c>
      <c r="AW135" s="257">
        <f>0</f>
        <v>0</v>
      </c>
      <c r="AX135" s="458">
        <f>AY135-AW135</f>
        <v>0</v>
      </c>
      <c r="AY135" s="151">
        <v>0</v>
      </c>
      <c r="AZ135" s="151">
        <v>0</v>
      </c>
      <c r="BA135" s="458">
        <f>BB135-AZ135</f>
        <v>0</v>
      </c>
      <c r="BB135" s="151">
        <v>0</v>
      </c>
      <c r="BC135" s="209">
        <f>-64.9</f>
        <v>-64.900000000000006</v>
      </c>
      <c r="BD135" s="458">
        <f>BE135-BC135</f>
        <v>-15.299999999999997</v>
      </c>
      <c r="BE135" s="209">
        <f>-80.2</f>
        <v>-80.2</v>
      </c>
      <c r="BF135" s="495">
        <v>0</v>
      </c>
      <c r="BG135" s="485">
        <v>0</v>
      </c>
      <c r="BH135" s="458">
        <f>BG135+BF135</f>
        <v>0</v>
      </c>
      <c r="BI135" s="495">
        <v>0</v>
      </c>
      <c r="BJ135" s="485">
        <v>0</v>
      </c>
      <c r="BK135" s="458">
        <f>BJ135+BI135</f>
        <v>0</v>
      </c>
      <c r="BL135" s="495">
        <v>0</v>
      </c>
      <c r="BM135" s="485">
        <v>0</v>
      </c>
      <c r="BN135" s="458">
        <f>BM135+BL135</f>
        <v>0</v>
      </c>
      <c r="BO135" s="495">
        <v>0</v>
      </c>
      <c r="BP135" s="485">
        <v>0</v>
      </c>
      <c r="BQ135" s="458">
        <f>BP135+BO135</f>
        <v>0</v>
      </c>
      <c r="BR135" s="495">
        <v>0</v>
      </c>
      <c r="BS135" s="485">
        <v>0</v>
      </c>
      <c r="BT135" s="458">
        <f>BS135+BR135</f>
        <v>0</v>
      </c>
      <c r="BU135" s="495">
        <v>0</v>
      </c>
      <c r="BV135" s="485">
        <v>0</v>
      </c>
      <c r="BW135" s="458">
        <f>BV135+BU135</f>
        <v>0</v>
      </c>
      <c r="BX135" s="495">
        <v>0</v>
      </c>
      <c r="BY135" s="485">
        <v>0</v>
      </c>
      <c r="BZ135" s="458">
        <f>BY135+BX135</f>
        <v>0</v>
      </c>
      <c r="CA135" s="495">
        <v>0</v>
      </c>
      <c r="CB135" s="485">
        <v>0</v>
      </c>
      <c r="CC135" s="458">
        <f>CB135+CA135</f>
        <v>0</v>
      </c>
    </row>
    <row r="136" spans="1:89">
      <c r="B136" s="257" t="s">
        <v>117</v>
      </c>
      <c r="AD136" s="151">
        <v>4.0999999999999996</v>
      </c>
      <c r="AE136" s="151">
        <v>2.8</v>
      </c>
      <c r="AF136" s="458">
        <f>+AG136-AE136</f>
        <v>1.2999999999999998</v>
      </c>
      <c r="AG136" s="209">
        <v>4.0999999999999996</v>
      </c>
      <c r="AH136" s="151">
        <v>0.3</v>
      </c>
      <c r="AI136" s="496">
        <f>4.5-AH136</f>
        <v>4.2</v>
      </c>
      <c r="AJ136" s="458">
        <f>AI136+AH136</f>
        <v>4.5</v>
      </c>
      <c r="AK136" s="139">
        <v>0.5</v>
      </c>
      <c r="AL136" s="458">
        <f>+AM136-AK136</f>
        <v>1.1000000000000001</v>
      </c>
      <c r="AM136" s="151">
        <v>1.6</v>
      </c>
      <c r="AN136" s="139">
        <v>2.1</v>
      </c>
      <c r="AO136" s="458">
        <f>+AP136-AN136</f>
        <v>1.1000000000000001</v>
      </c>
      <c r="AP136" s="151">
        <v>3.2</v>
      </c>
      <c r="AQ136" s="151">
        <v>4</v>
      </c>
      <c r="AR136" s="458">
        <f>+AS136-AQ136</f>
        <v>2.5</v>
      </c>
      <c r="AS136" s="151">
        <v>6.5</v>
      </c>
      <c r="AT136" s="139">
        <v>9.1</v>
      </c>
      <c r="AU136" s="458">
        <f>+AV136-AT136</f>
        <v>4.5</v>
      </c>
      <c r="AV136" s="151">
        <f>13.6</f>
        <v>13.6</v>
      </c>
      <c r="AW136" s="139">
        <f>17.6</f>
        <v>17.600000000000001</v>
      </c>
      <c r="AX136" s="458">
        <f>+AY136-AW136</f>
        <v>33.199999999999996</v>
      </c>
      <c r="AY136" s="151">
        <v>50.8</v>
      </c>
      <c r="AZ136" s="151">
        <v>1.9</v>
      </c>
      <c r="BA136" s="458">
        <f>+BB136-AZ136</f>
        <v>21.3</v>
      </c>
      <c r="BB136" s="151">
        <v>23.2</v>
      </c>
      <c r="BC136" s="209">
        <v>5</v>
      </c>
      <c r="BD136" s="458">
        <f>+BE136-BC136</f>
        <v>12.7</v>
      </c>
      <c r="BE136" s="151">
        <v>17.7</v>
      </c>
      <c r="BF136" s="495">
        <v>0</v>
      </c>
      <c r="BG136" s="485">
        <v>0</v>
      </c>
      <c r="BH136" s="458">
        <f>BG136+BF136</f>
        <v>0</v>
      </c>
      <c r="BI136" s="495">
        <v>0</v>
      </c>
      <c r="BJ136" s="485">
        <v>0</v>
      </c>
      <c r="BK136" s="458">
        <f>BJ136+BI136</f>
        <v>0</v>
      </c>
      <c r="BL136" s="495">
        <v>0</v>
      </c>
      <c r="BM136" s="485">
        <v>0</v>
      </c>
      <c r="BN136" s="458">
        <f>BM136+BL136</f>
        <v>0</v>
      </c>
      <c r="BO136" s="495">
        <v>0</v>
      </c>
      <c r="BP136" s="485">
        <v>0</v>
      </c>
      <c r="BQ136" s="458">
        <f>BP136+BO136</f>
        <v>0</v>
      </c>
      <c r="BR136" s="495">
        <v>0</v>
      </c>
      <c r="BS136" s="485">
        <v>0</v>
      </c>
      <c r="BT136" s="458">
        <f>BS136+BR136</f>
        <v>0</v>
      </c>
      <c r="BU136" s="495">
        <v>0</v>
      </c>
      <c r="BV136" s="485">
        <v>0</v>
      </c>
      <c r="BW136" s="458">
        <f>BV136+BU136</f>
        <v>0</v>
      </c>
      <c r="BX136" s="495">
        <v>0</v>
      </c>
      <c r="BY136" s="485">
        <v>0</v>
      </c>
      <c r="BZ136" s="458">
        <f>BY136+BX136</f>
        <v>0</v>
      </c>
      <c r="CA136" s="495">
        <v>0</v>
      </c>
      <c r="CB136" s="485">
        <v>0</v>
      </c>
      <c r="CC136" s="458">
        <f>CB136+CA136</f>
        <v>0</v>
      </c>
    </row>
    <row r="137" spans="1:89">
      <c r="B137" s="257" t="s">
        <v>493</v>
      </c>
      <c r="AD137" s="151">
        <v>1.2</v>
      </c>
      <c r="AE137" s="151">
        <v>1</v>
      </c>
      <c r="AF137" s="458">
        <f>+AG137-AE137</f>
        <v>-3.1</v>
      </c>
      <c r="AG137" s="209">
        <v>-2.1</v>
      </c>
      <c r="AH137" s="151">
        <v>2.6</v>
      </c>
      <c r="AI137" s="496">
        <f>-0.1-AH137</f>
        <v>-2.7</v>
      </c>
      <c r="AJ137" s="458">
        <f>AI137+AH137</f>
        <v>-0.10000000000000009</v>
      </c>
      <c r="AK137" s="139">
        <f>7.8-5.3</f>
        <v>2.5</v>
      </c>
      <c r="AL137" s="458">
        <f>+AM137-AK137</f>
        <v>0.70000000000000018</v>
      </c>
      <c r="AM137" s="151">
        <v>3.2</v>
      </c>
      <c r="AN137" s="139">
        <f>0.3-0.9</f>
        <v>-0.60000000000000009</v>
      </c>
      <c r="AO137" s="458">
        <f>+AP137-AN137</f>
        <v>-1.7999999999999998</v>
      </c>
      <c r="AP137" s="151">
        <v>-2.4</v>
      </c>
      <c r="AQ137" s="139">
        <v>0.3</v>
      </c>
      <c r="AR137" s="458">
        <f>+AS137-AQ137</f>
        <v>-2.0999999999999996</v>
      </c>
      <c r="AS137" s="151">
        <f>-1.9+0.1</f>
        <v>-1.7999999999999998</v>
      </c>
      <c r="AT137" s="139">
        <v>0.3</v>
      </c>
      <c r="AU137" s="458">
        <f>+AV137-AT137</f>
        <v>-1.5999999999999999</v>
      </c>
      <c r="AV137" s="151">
        <f>-1.9+0.6</f>
        <v>-1.2999999999999998</v>
      </c>
      <c r="AW137" s="139">
        <f>0.2</f>
        <v>0.2</v>
      </c>
      <c r="AX137" s="458">
        <f>AY137-AW137</f>
        <v>-0.5</v>
      </c>
      <c r="AY137" s="151">
        <f>-0.9+0.6</f>
        <v>-0.30000000000000004</v>
      </c>
      <c r="AZ137" s="151">
        <f>0.3+0.3</f>
        <v>0.6</v>
      </c>
      <c r="BA137" s="458">
        <f>BB137-AZ137</f>
        <v>-2</v>
      </c>
      <c r="BB137" s="151">
        <f>-2+0.6</f>
        <v>-1.4</v>
      </c>
      <c r="BC137" s="209">
        <f>0.3+0.3</f>
        <v>0.6</v>
      </c>
      <c r="BD137" s="458">
        <f>BE137-BC137</f>
        <v>-3.1</v>
      </c>
      <c r="BE137" s="151">
        <f>-3.1+0.6</f>
        <v>-2.5</v>
      </c>
      <c r="BF137" s="495">
        <v>0</v>
      </c>
      <c r="BG137" s="485">
        <v>0</v>
      </c>
      <c r="BH137" s="458">
        <f>BG137+BF137</f>
        <v>0</v>
      </c>
      <c r="BI137" s="495">
        <v>0</v>
      </c>
      <c r="BJ137" s="485">
        <v>0</v>
      </c>
      <c r="BK137" s="458">
        <f>BJ137+BI137</f>
        <v>0</v>
      </c>
      <c r="BL137" s="495">
        <v>0</v>
      </c>
      <c r="BM137" s="485">
        <v>0</v>
      </c>
      <c r="BN137" s="458">
        <f>BM137+BL137</f>
        <v>0</v>
      </c>
      <c r="BO137" s="495">
        <v>0</v>
      </c>
      <c r="BP137" s="485">
        <v>0</v>
      </c>
      <c r="BQ137" s="458">
        <f>BP137+BO137</f>
        <v>0</v>
      </c>
      <c r="BR137" s="495">
        <v>0</v>
      </c>
      <c r="BS137" s="485">
        <v>0</v>
      </c>
      <c r="BT137" s="458">
        <f>BS137+BR137</f>
        <v>0</v>
      </c>
      <c r="BU137" s="495">
        <v>0</v>
      </c>
      <c r="BV137" s="485">
        <v>0</v>
      </c>
      <c r="BW137" s="458">
        <f>BV137+BU137</f>
        <v>0</v>
      </c>
      <c r="BX137" s="495">
        <v>0</v>
      </c>
      <c r="BY137" s="485">
        <v>0</v>
      </c>
      <c r="BZ137" s="458">
        <f>BY137+BX137</f>
        <v>0</v>
      </c>
      <c r="CA137" s="495">
        <v>0</v>
      </c>
      <c r="CB137" s="485">
        <v>0</v>
      </c>
      <c r="CC137" s="458">
        <f>CB137+CA137</f>
        <v>0</v>
      </c>
    </row>
    <row r="138" spans="1:89" s="7" customFormat="1">
      <c r="A138" s="73"/>
      <c r="B138" s="73" t="s">
        <v>118</v>
      </c>
      <c r="C138" s="73"/>
      <c r="D138" s="73"/>
      <c r="E138" s="73"/>
      <c r="F138" s="73"/>
      <c r="G138" s="73"/>
      <c r="H138" s="73"/>
      <c r="I138" s="73"/>
      <c r="J138" s="73"/>
      <c r="K138" s="73"/>
      <c r="L138" s="73"/>
      <c r="M138" s="73"/>
      <c r="N138" s="73"/>
      <c r="O138" s="73"/>
      <c r="P138" s="73"/>
      <c r="Q138" s="73"/>
      <c r="R138" s="73"/>
      <c r="S138" s="73"/>
      <c r="T138" s="73"/>
      <c r="U138" s="73"/>
      <c r="V138" s="73"/>
      <c r="W138" s="73"/>
      <c r="X138" s="73"/>
      <c r="Y138" s="73"/>
      <c r="Z138" s="73"/>
      <c r="AA138" s="73"/>
      <c r="AB138" s="73"/>
      <c r="AC138" s="73"/>
      <c r="AD138" s="143">
        <f t="shared" ref="AD138:AI138" si="101">SUM(AD134:AD137)</f>
        <v>-137.60000000000002</v>
      </c>
      <c r="AE138" s="143">
        <f t="shared" si="101"/>
        <v>-14.899999999999999</v>
      </c>
      <c r="AF138" s="211">
        <f t="shared" si="101"/>
        <v>-24.200000000000003</v>
      </c>
      <c r="AG138" s="211">
        <f t="shared" si="101"/>
        <v>-39.1</v>
      </c>
      <c r="AH138" s="143">
        <f t="shared" si="101"/>
        <v>-24.7</v>
      </c>
      <c r="AI138" s="143">
        <f t="shared" si="101"/>
        <v>-22.599999999999998</v>
      </c>
      <c r="AJ138" s="143">
        <f t="shared" ref="AJ138:BN138" si="102">SUM(AJ134:AJ137)</f>
        <v>-47.300000000000004</v>
      </c>
      <c r="AK138" s="143">
        <f t="shared" si="102"/>
        <v>-48.9</v>
      </c>
      <c r="AL138" s="143">
        <f>SUM(AL134:AL137)</f>
        <v>-85.2</v>
      </c>
      <c r="AM138" s="143">
        <f t="shared" si="102"/>
        <v>-134.10000000000002</v>
      </c>
      <c r="AN138" s="143">
        <f t="shared" si="102"/>
        <v>-63</v>
      </c>
      <c r="AO138" s="143">
        <f t="shared" si="102"/>
        <v>-86.2</v>
      </c>
      <c r="AP138" s="143">
        <f t="shared" si="102"/>
        <v>-149.20000000000002</v>
      </c>
      <c r="AQ138" s="143">
        <f t="shared" si="102"/>
        <v>-36.700000000000003</v>
      </c>
      <c r="AR138" s="143">
        <f t="shared" si="102"/>
        <v>-26.5</v>
      </c>
      <c r="AS138" s="143">
        <f t="shared" si="102"/>
        <v>-63.199999999999989</v>
      </c>
      <c r="AT138" s="143">
        <f t="shared" si="102"/>
        <v>-42.1</v>
      </c>
      <c r="AU138" s="143">
        <f t="shared" si="102"/>
        <v>-161.6</v>
      </c>
      <c r="AV138" s="143">
        <f t="shared" si="102"/>
        <v>-203.70000000000002</v>
      </c>
      <c r="AW138" s="143">
        <f t="shared" si="102"/>
        <v>-11.099999999999998</v>
      </c>
      <c r="AX138" s="143">
        <f t="shared" si="102"/>
        <v>-19.200000000000003</v>
      </c>
      <c r="AY138" s="143">
        <f t="shared" si="102"/>
        <v>-30.3</v>
      </c>
      <c r="AZ138" s="143">
        <f t="shared" si="102"/>
        <v>-52.3</v>
      </c>
      <c r="BA138" s="143">
        <f t="shared" si="102"/>
        <v>-12.399999999999999</v>
      </c>
      <c r="BB138" s="143">
        <f t="shared" si="102"/>
        <v>-64.7</v>
      </c>
      <c r="BC138" s="211">
        <f t="shared" si="102"/>
        <v>-98.4</v>
      </c>
      <c r="BD138" s="143">
        <f t="shared" ref="BD138" si="103">SUM(BD134:BD137)</f>
        <v>-55.699999999999996</v>
      </c>
      <c r="BE138" s="211">
        <f t="shared" si="102"/>
        <v>-154.10000000000002</v>
      </c>
      <c r="BF138" s="143">
        <f t="shared" si="102"/>
        <v>-52.652603658536584</v>
      </c>
      <c r="BG138" s="143">
        <f t="shared" si="102"/>
        <v>-52.470957317073172</v>
      </c>
      <c r="BH138" s="143">
        <f t="shared" si="102"/>
        <v>-105.12356097560976</v>
      </c>
      <c r="BI138" s="143">
        <f t="shared" si="102"/>
        <v>-36.576862347560976</v>
      </c>
      <c r="BJ138" s="143">
        <f t="shared" si="102"/>
        <v>-35.688813567073169</v>
      </c>
      <c r="BK138" s="143">
        <f t="shared" si="102"/>
        <v>-72.265675914634144</v>
      </c>
      <c r="BL138" s="143">
        <f t="shared" si="102"/>
        <v>-37.312665003810977</v>
      </c>
      <c r="BM138" s="143">
        <f t="shared" si="102"/>
        <v>-36.42461622332317</v>
      </c>
      <c r="BN138" s="143">
        <f t="shared" si="102"/>
        <v>-73.737281227134147</v>
      </c>
      <c r="BO138" s="143">
        <f>SUM(BO134:BO137)</f>
        <v>-38.066862726467221</v>
      </c>
      <c r="BP138" s="143">
        <f>SUM(BP134:BP137)</f>
        <v>-37.178813945979414</v>
      </c>
      <c r="BQ138" s="143">
        <f>SUM(BQ134:BQ137)</f>
        <v>-75.245676672446635</v>
      </c>
      <c r="BR138" s="143">
        <f t="shared" ref="BR138:CC138" si="104">SUM(BR134:BR137)</f>
        <v>-38.839915392189873</v>
      </c>
      <c r="BS138" s="143">
        <f t="shared" si="104"/>
        <v>-37.951866611702066</v>
      </c>
      <c r="BT138" s="143">
        <f t="shared" si="104"/>
        <v>-76.791782003891939</v>
      </c>
      <c r="BU138" s="143">
        <f t="shared" si="104"/>
        <v>-39.632294374555592</v>
      </c>
      <c r="BV138" s="143">
        <f t="shared" si="104"/>
        <v>-38.744245594067792</v>
      </c>
      <c r="BW138" s="143">
        <f t="shared" si="104"/>
        <v>-78.376539968623376</v>
      </c>
      <c r="BX138" s="143">
        <f t="shared" si="104"/>
        <v>-40.444482831480457</v>
      </c>
      <c r="BY138" s="143">
        <f t="shared" si="104"/>
        <v>-39.55643405099265</v>
      </c>
      <c r="BZ138" s="143">
        <f t="shared" si="104"/>
        <v>-80.000916882473106</v>
      </c>
      <c r="CA138" s="143">
        <f t="shared" si="104"/>
        <v>-41.276975999828444</v>
      </c>
      <c r="CB138" s="143">
        <f t="shared" si="104"/>
        <v>-40.388927219340637</v>
      </c>
      <c r="CC138" s="143">
        <f t="shared" si="104"/>
        <v>-81.665903219169081</v>
      </c>
      <c r="CD138" s="40"/>
      <c r="CE138" s="40"/>
      <c r="CF138"/>
      <c r="CG138"/>
      <c r="CH138"/>
      <c r="CI138"/>
      <c r="CJ138"/>
      <c r="CK138"/>
    </row>
    <row r="139" spans="1:89">
      <c r="AD139" s="458"/>
      <c r="AE139" s="405"/>
      <c r="AF139" s="406"/>
      <c r="AG139" s="405" t="str">
        <f>IF(AE138+AF138=AG138,"","ERROR")</f>
        <v/>
      </c>
      <c r="AH139" s="405"/>
      <c r="AI139" s="406"/>
      <c r="AJ139" s="405" t="str">
        <f>IF(AH138+AI138=AJ138,"","ERROR")</f>
        <v/>
      </c>
      <c r="AK139" s="405"/>
      <c r="AL139" s="406"/>
      <c r="AM139" s="405" t="str">
        <f>IF(AK138+AL138=AM138,"","ERROR")</f>
        <v/>
      </c>
      <c r="AN139" s="405"/>
      <c r="AO139" s="406"/>
      <c r="AP139" s="405" t="str">
        <f>IF(AN138+AO138=AP138,"","ERROR")</f>
        <v/>
      </c>
      <c r="AQ139" s="405"/>
      <c r="AR139" s="406"/>
      <c r="AS139" s="405" t="str">
        <f>IF(AQ138+AR138=AS138,"","ERROR")</f>
        <v/>
      </c>
      <c r="AT139" s="405"/>
      <c r="AU139" s="406"/>
      <c r="AV139" s="405" t="str">
        <f>IF(AT138+AU138=AV138,"","ERROR")</f>
        <v/>
      </c>
      <c r="AW139" s="405"/>
      <c r="AX139" s="406"/>
      <c r="AY139" s="405" t="str">
        <f>IF(AW138+AX138=AY138,"","ERROR")</f>
        <v/>
      </c>
      <c r="AZ139" s="405"/>
      <c r="BA139" s="406"/>
      <c r="BB139" s="405" t="str">
        <f>IF(AZ138+BA138=BB138,"","ERROR")</f>
        <v/>
      </c>
      <c r="BC139" s="405"/>
      <c r="BD139" s="406"/>
      <c r="BE139" s="405" t="str">
        <f>IF(BC138+BD138=BE138,"","ERROR")</f>
        <v/>
      </c>
      <c r="BF139" s="405"/>
      <c r="BG139" s="406"/>
      <c r="BH139" s="405" t="str">
        <f>IF(BF138+BG138=BH138,"","ERROR")</f>
        <v/>
      </c>
      <c r="BI139" s="405"/>
      <c r="BJ139" s="406"/>
      <c r="BK139" s="405" t="str">
        <f>IF(BI138+BJ138=BK138,"","ERROR")</f>
        <v/>
      </c>
      <c r="BL139" s="405"/>
      <c r="BM139" s="406"/>
      <c r="BN139" s="405" t="str">
        <f>IF(BL138+BM138=BN138,"","ERROR")</f>
        <v/>
      </c>
      <c r="BO139" s="405"/>
      <c r="BP139" s="406"/>
      <c r="BQ139" s="405" t="str">
        <f>IF(BO138+BP138=BQ138,"","ERROR")</f>
        <v/>
      </c>
      <c r="BR139" s="405"/>
      <c r="BS139" s="406"/>
      <c r="BT139" s="405" t="str">
        <f>IF(BR138+BS138=BT138,"","ERROR")</f>
        <v/>
      </c>
      <c r="BU139" s="405"/>
      <c r="BV139" s="406"/>
      <c r="BW139" s="405" t="str">
        <f>IF(BU138+BV138=BW138,"","ERROR")</f>
        <v/>
      </c>
      <c r="BX139" s="405"/>
      <c r="BY139" s="406"/>
      <c r="BZ139" s="405" t="str">
        <f>IF(BX138+BY138=BZ138,"","ERROR")</f>
        <v/>
      </c>
      <c r="CA139" s="405"/>
      <c r="CB139" s="406"/>
      <c r="CC139" s="405" t="str">
        <f>IF(CA138+CB138=CC138,"","ERROR")</f>
        <v/>
      </c>
    </row>
    <row r="140" spans="1:89">
      <c r="AD140" s="458"/>
      <c r="AE140" s="458"/>
      <c r="AF140" s="13"/>
      <c r="AG140" s="13"/>
      <c r="AH140" s="458"/>
      <c r="BC140" s="11"/>
      <c r="BE140" s="11"/>
    </row>
    <row r="141" spans="1:89">
      <c r="B141" s="488" t="s">
        <v>119</v>
      </c>
      <c r="AD141" s="458"/>
      <c r="AE141" s="458"/>
      <c r="AF141" s="13"/>
      <c r="AG141" s="13"/>
      <c r="AH141" s="458"/>
      <c r="BC141" s="11"/>
      <c r="BE141" s="11"/>
    </row>
    <row r="142" spans="1:89">
      <c r="B142" s="257" t="s">
        <v>120</v>
      </c>
      <c r="AD142" s="151">
        <v>-76.3</v>
      </c>
      <c r="AE142" s="151">
        <v>-29.1</v>
      </c>
      <c r="AF142" s="13">
        <f>AG142-AE142</f>
        <v>-16.5</v>
      </c>
      <c r="AG142" s="209">
        <v>-45.6</v>
      </c>
      <c r="AH142" s="151">
        <v>-50.7</v>
      </c>
      <c r="AI142" s="458">
        <f>-AI329</f>
        <v>-63.5</v>
      </c>
      <c r="AJ142" s="458">
        <f>-AJ329</f>
        <v>-114.19999999999999</v>
      </c>
      <c r="AK142" s="151">
        <f>-73.1-0.2</f>
        <v>-73.3</v>
      </c>
      <c r="AL142" s="458">
        <f>+AM142-AK142</f>
        <v>-47.599999999999994</v>
      </c>
      <c r="AM142" s="151">
        <f>-120.8-0.1</f>
        <v>-120.89999999999999</v>
      </c>
      <c r="AN142" s="458">
        <f>-AN329</f>
        <v>-57.265002899999992</v>
      </c>
      <c r="AO142" s="458">
        <f>+AP142-AN142</f>
        <v>-47.834997100000002</v>
      </c>
      <c r="AP142" s="151">
        <v>-105.1</v>
      </c>
      <c r="AQ142" s="151">
        <v>-57.4</v>
      </c>
      <c r="AR142" s="458">
        <f>+AS142-AQ142</f>
        <v>-47.800000000000004</v>
      </c>
      <c r="AS142" s="151">
        <v>-105.2</v>
      </c>
      <c r="AT142" s="151">
        <v>-76.599999999999994</v>
      </c>
      <c r="AU142" s="458">
        <f>AV142-AT142</f>
        <v>-23.5</v>
      </c>
      <c r="AV142" s="151">
        <f>-100.1</f>
        <v>-100.1</v>
      </c>
      <c r="AW142" s="151">
        <f>-61.6</f>
        <v>-61.6</v>
      </c>
      <c r="AX142" s="458">
        <f>AY142-AW142</f>
        <v>-77.900000000000006</v>
      </c>
      <c r="AY142" s="151">
        <v>-139.5</v>
      </c>
      <c r="AZ142" s="151">
        <v>-97.3</v>
      </c>
      <c r="BA142" s="458">
        <f>BB142-AZ142</f>
        <v>-81.2</v>
      </c>
      <c r="BB142" s="151">
        <v>-178.5</v>
      </c>
      <c r="BC142" s="209">
        <v>-100.7</v>
      </c>
      <c r="BD142" s="458">
        <f>BE142-BC142</f>
        <v>-55.3</v>
      </c>
      <c r="BE142" s="151">
        <f>-156</f>
        <v>-156</v>
      </c>
      <c r="BF142" s="13">
        <f t="shared" ref="BF142:CB142" si="105">-BF329</f>
        <v>-104.00228448</v>
      </c>
      <c r="BG142" s="13">
        <f t="shared" si="105"/>
        <v>-84.508773959999999</v>
      </c>
      <c r="BH142" s="13">
        <f>SUM(BF142:BG142)</f>
        <v>-188.51105844</v>
      </c>
      <c r="BI142" s="13">
        <f t="shared" si="105"/>
        <v>-110.51147363999999</v>
      </c>
      <c r="BJ142" s="13">
        <f t="shared" si="105"/>
        <v>-91.009448880000008</v>
      </c>
      <c r="BK142" s="13">
        <f>SUM(BI142:BJ142)</f>
        <v>-201.52092252</v>
      </c>
      <c r="BL142" s="13">
        <f t="shared" si="105"/>
        <v>-123.51282347999999</v>
      </c>
      <c r="BM142" s="13">
        <f t="shared" si="105"/>
        <v>-97.510123800000002</v>
      </c>
      <c r="BN142" s="13">
        <f>SUM(BL142:BM142)</f>
        <v>-221.02294727999998</v>
      </c>
      <c r="BO142" s="13">
        <f t="shared" si="105"/>
        <v>-123.51282347999999</v>
      </c>
      <c r="BP142" s="13">
        <f t="shared" si="105"/>
        <v>-71.50742412000001</v>
      </c>
      <c r="BQ142" s="13">
        <f>SUM(BO142:BP142)</f>
        <v>-195.0202476</v>
      </c>
      <c r="BR142" s="13">
        <f t="shared" si="105"/>
        <v>-97.510123800000002</v>
      </c>
      <c r="BS142" s="13">
        <f t="shared" si="105"/>
        <v>-71.50742412000001</v>
      </c>
      <c r="BT142" s="13">
        <f>SUM(BR142:BS142)</f>
        <v>-169.01754792000003</v>
      </c>
      <c r="BU142" s="13">
        <f t="shared" si="105"/>
        <v>-104.01079872</v>
      </c>
      <c r="BV142" s="13">
        <f t="shared" si="105"/>
        <v>-78.008099039999991</v>
      </c>
      <c r="BW142" s="13">
        <f>SUM(BU142:BV142)</f>
        <v>-182.01889775999999</v>
      </c>
      <c r="BX142" s="13">
        <f t="shared" si="105"/>
        <v>-110.51147364000001</v>
      </c>
      <c r="BY142" s="13">
        <f t="shared" si="105"/>
        <v>-84.508773959999999</v>
      </c>
      <c r="BZ142" s="13">
        <f>SUM(BX142:BY142)</f>
        <v>-195.0202476</v>
      </c>
      <c r="CA142" s="13">
        <f t="shared" si="105"/>
        <v>-117.01214856</v>
      </c>
      <c r="CB142" s="13">
        <f t="shared" si="105"/>
        <v>-84.508773959999999</v>
      </c>
      <c r="CC142" s="13">
        <f>SUM(CA142:CB142)</f>
        <v>-201.52092252</v>
      </c>
    </row>
    <row r="143" spans="1:89">
      <c r="B143" s="257" t="s">
        <v>121</v>
      </c>
      <c r="AD143" s="140"/>
      <c r="AE143" s="151">
        <v>111.4</v>
      </c>
      <c r="AF143" s="13">
        <f>AG143-AE143</f>
        <v>2.0999999999999943</v>
      </c>
      <c r="AG143" s="209">
        <v>113.5</v>
      </c>
      <c r="AH143" s="151">
        <v>0</v>
      </c>
      <c r="AI143" s="458">
        <f>AI292</f>
        <v>0</v>
      </c>
      <c r="AJ143" s="458">
        <f>AJ292</f>
        <v>0</v>
      </c>
      <c r="AK143" s="458">
        <f>AK292</f>
        <v>0</v>
      </c>
      <c r="AL143" s="458">
        <f>+AM143-AK143</f>
        <v>0</v>
      </c>
      <c r="AM143" s="151">
        <v>0</v>
      </c>
      <c r="AN143" s="151">
        <v>0</v>
      </c>
      <c r="AO143" s="458">
        <f>+AP143-AN143</f>
        <v>3.3</v>
      </c>
      <c r="AP143" s="151">
        <v>3.3</v>
      </c>
      <c r="AQ143" s="151">
        <v>3.6</v>
      </c>
      <c r="AR143" s="458">
        <f>+AS143-AQ143</f>
        <v>0.10000000000000009</v>
      </c>
      <c r="AS143" s="151">
        <v>3.7</v>
      </c>
      <c r="AT143" s="151">
        <v>8.1</v>
      </c>
      <c r="AU143" s="458">
        <f>AV143-AT143</f>
        <v>0</v>
      </c>
      <c r="AV143" s="151">
        <f>8.1</f>
        <v>8.1</v>
      </c>
      <c r="AW143" s="151">
        <f>2.8</f>
        <v>2.8</v>
      </c>
      <c r="AX143" s="458">
        <f>AY143-AW143</f>
        <v>0</v>
      </c>
      <c r="AY143" s="151">
        <v>2.8</v>
      </c>
      <c r="AZ143" s="151">
        <v>4</v>
      </c>
      <c r="BA143" s="458">
        <f>BB143-AZ143</f>
        <v>0</v>
      </c>
      <c r="BB143" s="151">
        <v>4</v>
      </c>
      <c r="BC143" s="209">
        <v>3.5</v>
      </c>
      <c r="BD143" s="458">
        <f>BE143-BC143</f>
        <v>0</v>
      </c>
      <c r="BE143" s="151">
        <v>3.5</v>
      </c>
      <c r="BF143" s="458">
        <f t="shared" ref="BF143:CB143" si="106">BF292</f>
        <v>0</v>
      </c>
      <c r="BG143" s="458">
        <f t="shared" si="106"/>
        <v>0</v>
      </c>
      <c r="BH143" s="13">
        <f>SUM(BF143:BG143)</f>
        <v>0</v>
      </c>
      <c r="BI143" s="458">
        <f t="shared" si="106"/>
        <v>0</v>
      </c>
      <c r="BJ143" s="458">
        <f t="shared" si="106"/>
        <v>0</v>
      </c>
      <c r="BK143" s="13">
        <f>SUM(BI143:BJ143)</f>
        <v>0</v>
      </c>
      <c r="BL143" s="458">
        <f t="shared" si="106"/>
        <v>0</v>
      </c>
      <c r="BM143" s="458">
        <f t="shared" si="106"/>
        <v>0</v>
      </c>
      <c r="BN143" s="13">
        <f>SUM(BL143:BM143)</f>
        <v>0</v>
      </c>
      <c r="BO143" s="458">
        <f t="shared" si="106"/>
        <v>0</v>
      </c>
      <c r="BP143" s="458">
        <f t="shared" si="106"/>
        <v>0</v>
      </c>
      <c r="BQ143" s="13">
        <f>SUM(BO143:BP143)</f>
        <v>0</v>
      </c>
      <c r="BR143" s="458">
        <f t="shared" si="106"/>
        <v>0</v>
      </c>
      <c r="BS143" s="458">
        <f t="shared" si="106"/>
        <v>0</v>
      </c>
      <c r="BT143" s="13">
        <f>SUM(BR143:BS143)</f>
        <v>0</v>
      </c>
      <c r="BU143" s="458">
        <f t="shared" si="106"/>
        <v>0</v>
      </c>
      <c r="BV143" s="458">
        <f t="shared" si="106"/>
        <v>0</v>
      </c>
      <c r="BW143" s="13">
        <f>SUM(BU143:BV143)</f>
        <v>0</v>
      </c>
      <c r="BX143" s="458">
        <f t="shared" si="106"/>
        <v>0</v>
      </c>
      <c r="BY143" s="458">
        <f t="shared" si="106"/>
        <v>0</v>
      </c>
      <c r="BZ143" s="13">
        <f>SUM(BX143:BY143)</f>
        <v>0</v>
      </c>
      <c r="CA143" s="458">
        <f t="shared" si="106"/>
        <v>0</v>
      </c>
      <c r="CB143" s="458">
        <f t="shared" si="106"/>
        <v>0</v>
      </c>
      <c r="CC143" s="13">
        <f>SUM(CA143:CB143)</f>
        <v>0</v>
      </c>
    </row>
    <row r="144" spans="1:89">
      <c r="B144" s="257" t="s">
        <v>122</v>
      </c>
      <c r="AD144" s="151">
        <f>210-142.4</f>
        <v>67.599999999999994</v>
      </c>
      <c r="AE144" s="151">
        <f>0-140.2</f>
        <v>-140.19999999999999</v>
      </c>
      <c r="AF144" s="13">
        <f>AG144-AE144</f>
        <v>-69.800000000000011</v>
      </c>
      <c r="AG144" s="209">
        <f>0-210</f>
        <v>-210</v>
      </c>
      <c r="AH144" s="151">
        <f>29.5+0</f>
        <v>29.5</v>
      </c>
      <c r="AI144" s="458">
        <f>-50.5-AH144</f>
        <v>-80</v>
      </c>
      <c r="AJ144" s="458">
        <f>AI144+AH144</f>
        <v>-50.5</v>
      </c>
      <c r="AK144" s="151">
        <f>109.4-0.1</f>
        <v>109.30000000000001</v>
      </c>
      <c r="AL144" s="458">
        <f>+AM144-AK144</f>
        <v>-0.30000000000001137</v>
      </c>
      <c r="AM144" s="151">
        <v>109</v>
      </c>
      <c r="AN144" s="151">
        <f>50.3-0.1</f>
        <v>50.199999999999996</v>
      </c>
      <c r="AO144" s="458">
        <f>+AP144-AN144</f>
        <v>9.6000000000000014</v>
      </c>
      <c r="AP144" s="151">
        <v>59.8</v>
      </c>
      <c r="AQ144" s="151">
        <v>38.799999999999997</v>
      </c>
      <c r="AR144" s="458">
        <f>+AS144-AQ144</f>
        <v>-99</v>
      </c>
      <c r="AS144" s="151">
        <v>-60.2</v>
      </c>
      <c r="AT144" s="151">
        <v>120</v>
      </c>
      <c r="AU144" s="458">
        <f>AV144-AT144</f>
        <v>2.2000000000000028</v>
      </c>
      <c r="AV144" s="151">
        <f>122.2</f>
        <v>122.2</v>
      </c>
      <c r="AW144" s="151">
        <f>-0.8</f>
        <v>-0.8</v>
      </c>
      <c r="AX144" s="458">
        <f>AY144-AW144</f>
        <v>-60.7</v>
      </c>
      <c r="AY144" s="151">
        <v>-61.5</v>
      </c>
      <c r="AZ144" s="151">
        <v>59.7</v>
      </c>
      <c r="BA144" s="458">
        <f>BB144-AZ144</f>
        <v>-80.7</v>
      </c>
      <c r="BB144" s="151">
        <v>-21</v>
      </c>
      <c r="BC144" s="209">
        <v>158.80000000000001</v>
      </c>
      <c r="BD144" s="458">
        <f>BE144-BC144</f>
        <v>-40.300000000000011</v>
      </c>
      <c r="BE144" s="209">
        <v>118.5</v>
      </c>
      <c r="BF144" s="458">
        <f>IF(BE228-BF129-BF138-BF142-BF143-BF145&lt;0,0,-(BF129+BF138+BF142+BF143+BF145))</f>
        <v>38.700911433206343</v>
      </c>
      <c r="BG144" s="458">
        <f>IF(BF228-BG129-BG138-BG142-BG143-BG145&lt;0,0,-(BG129+BG138+BG142+BG143+BG145))</f>
        <v>-31.319280244180447</v>
      </c>
      <c r="BH144" s="458">
        <f>+BG144+BF144</f>
        <v>7.3816311890258959</v>
      </c>
      <c r="BI144" s="458">
        <f>IF(BH228-BI129-BI138-BI142-BI143-BI145&lt;0,0,-(BI129+BI138+BI142+BI143+BI145))</f>
        <v>16.401920461841073</v>
      </c>
      <c r="BJ144" s="458">
        <f>IF(BI228-BJ129-BJ138-BJ142-BJ143-BJ145&lt;0,0,-(BJ129+BJ138+BJ142+BJ143+BJ145))</f>
        <v>-55.245832653135182</v>
      </c>
      <c r="BK144" s="458">
        <f>+BJ144+BI144</f>
        <v>-38.843912191294109</v>
      </c>
      <c r="BL144" s="458">
        <f>IF(BK228-BL129-BL138-BL142-BL143-BL145&lt;0,0,-(BL129+BL138+BL142+BL143+BL145))</f>
        <v>28.039142075030526</v>
      </c>
      <c r="BM144" s="458">
        <f>IF(BL228-BM129-BM138-BM142-BM143-BM145&lt;0,0,-(BM129+BM138+BM142+BM143+BM145))</f>
        <v>-55.314627197410147</v>
      </c>
      <c r="BN144" s="458">
        <f>+BM144+BL144</f>
        <v>-27.275485122379621</v>
      </c>
      <c r="BO144" s="458">
        <f>IF(BN228-BO129-BO138-BO142-BO143-BO145&lt;0,0,-(BO129+BO138+BO142+BO143+BO145))</f>
        <v>23.028328922199734</v>
      </c>
      <c r="BP144" s="458">
        <f>IF(BO228-BP129-BP138-BP142-BP143-BP145&lt;0,0,-(BP129+BP138+BP142+BP143+BP145))</f>
        <v>-90.54301876813075</v>
      </c>
      <c r="BQ144" s="458">
        <f>+BP144+BO144</f>
        <v>-67.514689845931017</v>
      </c>
      <c r="BR144" s="458">
        <f>IF(BQ228-BR129-BR138-BR142-BR143-BR145&lt;0,0,-(BR129+BR138+BR142+BR143+BR145))</f>
        <v>-6.1266936434175818</v>
      </c>
      <c r="BS144" s="458">
        <f>IF(BR228-BS129-BS138-BS142-BS143-BS145&lt;0,0,-(BS129+BS138+BS142+BS143+BS145))</f>
        <v>-92.87370546647405</v>
      </c>
      <c r="BT144" s="458">
        <f>+BS144+BR144</f>
        <v>-99.000399109891632</v>
      </c>
      <c r="BU144" s="458">
        <f>IF(BT228-BU129-BU138-BU142-BU143-BU145&lt;0,0,-(BU129+BU138+BU142+BU143+BU145))</f>
        <v>-6.3336869275708523</v>
      </c>
      <c r="BV144" s="458">
        <f>IF(BU228-BV129-BV138-BV142-BV143-BV145&lt;0,0,-(BV129+BV138+BV142+BV143+BV145))</f>
        <v>-99.73342248651889</v>
      </c>
      <c r="BW144" s="458">
        <f>+BV144+BU144</f>
        <v>-106.06710941408974</v>
      </c>
      <c r="BX144" s="458">
        <f>IF(BW228-BX129-BX138-BX142-BX143-BX145&lt;0,0,-(BX129+BX138+BX142+BX143+BX145))</f>
        <v>-10.009060770737406</v>
      </c>
      <c r="BY144" s="458">
        <f>IF(BX228-BY129-BY138-BY142-BY143-BY145&lt;0,0,-(BY129+BY138+BY142+BY143+BY145))</f>
        <v>0</v>
      </c>
      <c r="BZ144" s="458">
        <f>+BY144+BX144</f>
        <v>-10.009060770737406</v>
      </c>
      <c r="CA144" s="458">
        <f>IF(BZ228-CA129-CA138-CA142-CA143-CA145&lt;0,0,-(CA129+CA138+CA142+CA143+CA145))</f>
        <v>-5.9598004758609733</v>
      </c>
      <c r="CB144" s="458">
        <f>IF(CA228-CB129-CB138-CB142-CB143-CB145&lt;0,0,-(CB129+CB138+CB142+CB143+CB145))</f>
        <v>0</v>
      </c>
      <c r="CC144" s="458">
        <f>+CB144+CA144</f>
        <v>-5.9598004758609733</v>
      </c>
    </row>
    <row r="145" spans="1:89">
      <c r="B145" s="257" t="s">
        <v>493</v>
      </c>
      <c r="AD145" s="140"/>
      <c r="AE145" s="140"/>
      <c r="AF145" s="13">
        <f>AG145-AE145</f>
        <v>-2.5</v>
      </c>
      <c r="AG145" s="209">
        <v>-2.5</v>
      </c>
      <c r="AH145" s="151">
        <v>0</v>
      </c>
      <c r="AI145" s="151">
        <v>0</v>
      </c>
      <c r="AJ145" s="458">
        <f>AI145+AH145</f>
        <v>0</v>
      </c>
      <c r="AK145" s="151">
        <v>0</v>
      </c>
      <c r="AL145" s="151">
        <v>0</v>
      </c>
      <c r="AM145" s="458">
        <f>AL145+AK145</f>
        <v>0</v>
      </c>
      <c r="AN145" s="151">
        <v>0</v>
      </c>
      <c r="AO145" s="151">
        <v>0</v>
      </c>
      <c r="AP145" s="151">
        <v>0</v>
      </c>
      <c r="AQ145" s="151">
        <v>0</v>
      </c>
      <c r="AR145" s="151">
        <v>0</v>
      </c>
      <c r="AS145" s="151">
        <v>0</v>
      </c>
      <c r="AT145" s="151">
        <v>0</v>
      </c>
      <c r="AU145" s="151">
        <v>0</v>
      </c>
      <c r="AV145" s="151">
        <f>0</f>
        <v>0</v>
      </c>
      <c r="AW145" s="151">
        <v>0</v>
      </c>
      <c r="AX145" s="151">
        <v>0</v>
      </c>
      <c r="AY145" s="151">
        <f>AX145+AW145</f>
        <v>0</v>
      </c>
      <c r="AZ145" s="151">
        <v>0</v>
      </c>
      <c r="BA145" s="151">
        <v>0</v>
      </c>
      <c r="BB145" s="151">
        <v>0</v>
      </c>
      <c r="BC145" s="209">
        <v>0</v>
      </c>
      <c r="BD145" s="151">
        <v>0</v>
      </c>
      <c r="BE145" s="209">
        <v>0</v>
      </c>
      <c r="BF145" s="485">
        <v>0</v>
      </c>
      <c r="BG145" s="485">
        <v>0</v>
      </c>
      <c r="BH145" s="458">
        <f>BG145+BF145</f>
        <v>0</v>
      </c>
      <c r="BI145" s="485">
        <v>0</v>
      </c>
      <c r="BJ145" s="485">
        <v>0</v>
      </c>
      <c r="BK145" s="458">
        <f>BJ145+BI145</f>
        <v>0</v>
      </c>
      <c r="BL145" s="485">
        <v>0</v>
      </c>
      <c r="BM145" s="485">
        <v>0</v>
      </c>
      <c r="BN145" s="458">
        <f>BM145+BL145</f>
        <v>0</v>
      </c>
      <c r="BO145" s="485">
        <v>0</v>
      </c>
      <c r="BP145" s="485">
        <v>0</v>
      </c>
      <c r="BQ145" s="458">
        <f>BP145+BO145</f>
        <v>0</v>
      </c>
      <c r="BR145" s="485">
        <v>0</v>
      </c>
      <c r="BS145" s="485">
        <v>0</v>
      </c>
      <c r="BT145" s="458">
        <f>BS145+BR145</f>
        <v>0</v>
      </c>
      <c r="BU145" s="485">
        <v>0</v>
      </c>
      <c r="BV145" s="485">
        <v>0</v>
      </c>
      <c r="BW145" s="458">
        <f>BV145+BU145</f>
        <v>0</v>
      </c>
      <c r="BX145" s="485">
        <v>0</v>
      </c>
      <c r="BY145" s="485">
        <v>0</v>
      </c>
      <c r="BZ145" s="458">
        <f>BY145+BX145</f>
        <v>0</v>
      </c>
      <c r="CA145" s="485">
        <v>0</v>
      </c>
      <c r="CB145" s="485">
        <v>0</v>
      </c>
      <c r="CC145" s="458">
        <f>CB145+CA145</f>
        <v>0</v>
      </c>
    </row>
    <row r="146" spans="1:89" s="7" customFormat="1">
      <c r="A146" s="73"/>
      <c r="B146" s="73" t="s">
        <v>123</v>
      </c>
      <c r="C146" s="73"/>
      <c r="D146" s="73"/>
      <c r="E146" s="73"/>
      <c r="F146" s="73"/>
      <c r="G146" s="73"/>
      <c r="H146" s="73"/>
      <c r="I146" s="73"/>
      <c r="J146" s="73"/>
      <c r="K146" s="73"/>
      <c r="L146" s="73"/>
      <c r="M146" s="73"/>
      <c r="N146" s="73"/>
      <c r="O146" s="73"/>
      <c r="P146" s="73"/>
      <c r="Q146" s="73"/>
      <c r="R146" s="73"/>
      <c r="S146" s="73"/>
      <c r="T146" s="73"/>
      <c r="U146" s="73"/>
      <c r="V146" s="73"/>
      <c r="W146" s="73"/>
      <c r="X146" s="73"/>
      <c r="Y146" s="73"/>
      <c r="Z146" s="73"/>
      <c r="AA146" s="73"/>
      <c r="AB146" s="73"/>
      <c r="AC146" s="73"/>
      <c r="AD146" s="143">
        <f t="shared" ref="AD146:AM146" si="107">SUM(AD142:AD145)</f>
        <v>-8.7000000000000028</v>
      </c>
      <c r="AE146" s="143">
        <f t="shared" si="107"/>
        <v>-57.899999999999977</v>
      </c>
      <c r="AF146" s="143">
        <f t="shared" si="107"/>
        <v>-86.700000000000017</v>
      </c>
      <c r="AG146" s="143">
        <f t="shared" si="107"/>
        <v>-144.6</v>
      </c>
      <c r="AH146" s="143">
        <f t="shared" si="107"/>
        <v>-21.200000000000003</v>
      </c>
      <c r="AI146" s="143">
        <f t="shared" si="107"/>
        <v>-143.5</v>
      </c>
      <c r="AJ146" s="143">
        <f t="shared" si="107"/>
        <v>-164.7</v>
      </c>
      <c r="AK146" s="143">
        <f t="shared" si="107"/>
        <v>36.000000000000014</v>
      </c>
      <c r="AL146" s="143">
        <f t="shared" si="107"/>
        <v>-47.900000000000006</v>
      </c>
      <c r="AM146" s="181">
        <f t="shared" si="107"/>
        <v>-11.899999999999991</v>
      </c>
      <c r="AN146" s="143">
        <f t="shared" ref="AN146:BN146" si="108">SUM(AN142:AN145)</f>
        <v>-7.0650028999999961</v>
      </c>
      <c r="AO146" s="143">
        <f t="shared" si="108"/>
        <v>-34.934997100000004</v>
      </c>
      <c r="AP146" s="143">
        <f t="shared" si="108"/>
        <v>-42</v>
      </c>
      <c r="AQ146" s="143">
        <f t="shared" si="108"/>
        <v>-15</v>
      </c>
      <c r="AR146" s="143">
        <f t="shared" si="108"/>
        <v>-146.69999999999999</v>
      </c>
      <c r="AS146" s="143">
        <f t="shared" si="108"/>
        <v>-161.69999999999999</v>
      </c>
      <c r="AT146" s="143">
        <f t="shared" si="108"/>
        <v>51.5</v>
      </c>
      <c r="AU146" s="143">
        <f t="shared" si="108"/>
        <v>-21.299999999999997</v>
      </c>
      <c r="AV146" s="143">
        <f t="shared" si="108"/>
        <v>30.200000000000003</v>
      </c>
      <c r="AW146" s="143">
        <f t="shared" si="108"/>
        <v>-59.6</v>
      </c>
      <c r="AX146" s="143">
        <f t="shared" si="108"/>
        <v>-138.60000000000002</v>
      </c>
      <c r="AY146" s="143">
        <f t="shared" si="108"/>
        <v>-198.2</v>
      </c>
      <c r="AZ146" s="143">
        <f t="shared" si="108"/>
        <v>-33.599999999999994</v>
      </c>
      <c r="BA146" s="143">
        <f t="shared" si="108"/>
        <v>-161.9</v>
      </c>
      <c r="BB146" s="143">
        <f t="shared" si="108"/>
        <v>-195.5</v>
      </c>
      <c r="BC146" s="211">
        <f t="shared" si="108"/>
        <v>61.600000000000009</v>
      </c>
      <c r="BD146" s="143">
        <f t="shared" ref="BD146" si="109">SUM(BD142:BD145)</f>
        <v>-95.600000000000009</v>
      </c>
      <c r="BE146" s="211">
        <f t="shared" si="108"/>
        <v>-34</v>
      </c>
      <c r="BF146" s="143">
        <f t="shared" si="108"/>
        <v>-65.301373046793657</v>
      </c>
      <c r="BG146" s="143">
        <f t="shared" si="108"/>
        <v>-115.82805420418045</v>
      </c>
      <c r="BH146" s="143">
        <f t="shared" si="108"/>
        <v>-181.12942725097412</v>
      </c>
      <c r="BI146" s="143">
        <f t="shared" si="108"/>
        <v>-94.109553178158919</v>
      </c>
      <c r="BJ146" s="143">
        <f t="shared" si="108"/>
        <v>-146.25528153313519</v>
      </c>
      <c r="BK146" s="143">
        <f t="shared" si="108"/>
        <v>-240.36483471129412</v>
      </c>
      <c r="BL146" s="143">
        <f t="shared" si="108"/>
        <v>-95.473681404969469</v>
      </c>
      <c r="BM146" s="143">
        <f t="shared" si="108"/>
        <v>-152.82475099741015</v>
      </c>
      <c r="BN146" s="143">
        <f t="shared" si="108"/>
        <v>-248.2984324023796</v>
      </c>
      <c r="BO146" s="143">
        <f>SUM(BO142:BO145)</f>
        <v>-100.48449455780026</v>
      </c>
      <c r="BP146" s="143">
        <f>SUM(BP142:BP145)</f>
        <v>-162.05044288813076</v>
      </c>
      <c r="BQ146" s="143">
        <f>SUM(BQ142:BQ145)</f>
        <v>-262.53493744593101</v>
      </c>
      <c r="BR146" s="143">
        <f t="shared" ref="BR146:CC146" si="110">SUM(BR142:BR145)</f>
        <v>-103.63681744341758</v>
      </c>
      <c r="BS146" s="143">
        <f t="shared" si="110"/>
        <v>-164.38112958647406</v>
      </c>
      <c r="BT146" s="143">
        <f t="shared" si="110"/>
        <v>-268.01794702989167</v>
      </c>
      <c r="BU146" s="143">
        <f t="shared" si="110"/>
        <v>-110.34448564757085</v>
      </c>
      <c r="BV146" s="143">
        <f t="shared" si="110"/>
        <v>-177.74152152651888</v>
      </c>
      <c r="BW146" s="143">
        <f t="shared" si="110"/>
        <v>-288.08600717408973</v>
      </c>
      <c r="BX146" s="143">
        <f t="shared" si="110"/>
        <v>-120.52053441073741</v>
      </c>
      <c r="BY146" s="143">
        <f t="shared" si="110"/>
        <v>-84.508773959999999</v>
      </c>
      <c r="BZ146" s="143">
        <f t="shared" si="110"/>
        <v>-205.0293083707374</v>
      </c>
      <c r="CA146" s="143">
        <f t="shared" si="110"/>
        <v>-122.97194903586097</v>
      </c>
      <c r="CB146" s="143">
        <f t="shared" si="110"/>
        <v>-84.508773959999999</v>
      </c>
      <c r="CC146" s="143">
        <f t="shared" si="110"/>
        <v>-207.48072299586096</v>
      </c>
      <c r="CD146" s="40"/>
      <c r="CE146" s="40"/>
      <c r="CF146"/>
      <c r="CG146"/>
      <c r="CH146"/>
      <c r="CI146"/>
      <c r="CJ146"/>
      <c r="CK146"/>
    </row>
    <row r="147" spans="1:89">
      <c r="AD147" s="458"/>
      <c r="AE147" s="405"/>
      <c r="AF147" s="406"/>
      <c r="AG147" s="405" t="str">
        <f>IF(AE146+AF146=AG146,"","ERROR")</f>
        <v/>
      </c>
      <c r="AH147" s="405"/>
      <c r="AI147" s="406"/>
      <c r="AJ147" s="405" t="str">
        <f>IF(AH146+AI146=AJ146,"","ERROR")</f>
        <v/>
      </c>
      <c r="AK147" s="405"/>
      <c r="AL147" s="406"/>
      <c r="AM147" s="405" t="str">
        <f>IF(AK146+AL146=AM146,"","ERROR")</f>
        <v/>
      </c>
      <c r="AN147" s="405"/>
      <c r="AO147" s="406"/>
      <c r="AP147" s="405" t="str">
        <f>IF(AN146+AO146=AP146,"","ERROR")</f>
        <v/>
      </c>
      <c r="AQ147" s="405"/>
      <c r="AR147" s="406"/>
      <c r="AS147" s="405" t="str">
        <f>IF(AQ146+AR146=AS146,"","ERROR")</f>
        <v/>
      </c>
      <c r="AT147" s="405"/>
      <c r="AU147" s="406"/>
      <c r="AV147" s="405" t="str">
        <f>IF(AT146+AU146=AV146,"","ERROR")</f>
        <v/>
      </c>
      <c r="AW147" s="405"/>
      <c r="AX147" s="406"/>
      <c r="AY147" s="405" t="str">
        <f>IF(AW146+AX146=AY146,"","ERROR")</f>
        <v/>
      </c>
      <c r="AZ147" s="405"/>
      <c r="BA147" s="406"/>
      <c r="BB147" s="405" t="str">
        <f>IF(AZ146+BA146=BB146,"","ERROR")</f>
        <v/>
      </c>
      <c r="BC147" s="405"/>
      <c r="BD147" s="406"/>
      <c r="BE147" s="405" t="str">
        <f>IF(BC146+BD146=BE146,"","ERROR")</f>
        <v/>
      </c>
      <c r="BF147" s="405"/>
      <c r="BG147" s="406"/>
      <c r="BH147" s="405" t="str">
        <f>IF(BF146+BG146=BH146,"","ERROR")</f>
        <v/>
      </c>
      <c r="BI147" s="405"/>
      <c r="BJ147" s="406"/>
      <c r="BK147" s="405" t="str">
        <f>IF(BI146+BJ146=BK146,"","ERROR")</f>
        <v/>
      </c>
      <c r="BL147" s="405"/>
      <c r="BM147" s="406"/>
      <c r="BN147" s="405" t="str">
        <f>IF(BL146+BM146=BN146,"","ERROR")</f>
        <v/>
      </c>
      <c r="BO147" s="405"/>
      <c r="BP147" s="406"/>
      <c r="BQ147" s="405" t="str">
        <f>IF(BO146+BP146=BQ146,"","ERROR")</f>
        <v/>
      </c>
      <c r="BR147" s="405"/>
      <c r="BS147" s="406"/>
      <c r="BT147" s="405" t="str">
        <f>IF(BR146+BS146=BT146,"","ERROR")</f>
        <v/>
      </c>
      <c r="BU147" s="405"/>
      <c r="BV147" s="406"/>
      <c r="BW147" s="405" t="str">
        <f>IF(BU146+BV146=BW146,"","ERROR")</f>
        <v/>
      </c>
      <c r="BX147" s="405"/>
      <c r="BY147" s="406"/>
      <c r="BZ147" s="405" t="str">
        <f>IF(BX146+BY146=BZ146,"","ERROR")</f>
        <v/>
      </c>
      <c r="CA147" s="405"/>
      <c r="CB147" s="406"/>
      <c r="CC147" s="405" t="str">
        <f>IF(CA146+CB146=CC146,"","ERROR")</f>
        <v/>
      </c>
    </row>
    <row r="148" spans="1:89">
      <c r="B148" s="257" t="s">
        <v>124</v>
      </c>
      <c r="AD148" s="458"/>
      <c r="AE148" s="458"/>
      <c r="AF148" s="458"/>
      <c r="AG148" s="458"/>
      <c r="AH148" s="458"/>
      <c r="AI148" s="151">
        <v>0</v>
      </c>
      <c r="AJ148" s="496">
        <f>AI148+AH148</f>
        <v>0</v>
      </c>
      <c r="AK148" s="151">
        <v>0</v>
      </c>
      <c r="AL148" s="151">
        <v>0</v>
      </c>
      <c r="AM148" s="496">
        <f>AL148+AK148</f>
        <v>0</v>
      </c>
      <c r="AN148" s="151">
        <v>0</v>
      </c>
      <c r="AO148" s="151">
        <v>0</v>
      </c>
      <c r="AP148" s="496">
        <f>AO148+AN148</f>
        <v>0</v>
      </c>
      <c r="AQ148" s="151">
        <v>0</v>
      </c>
      <c r="AR148" s="496">
        <f>+AS148-AQ148</f>
        <v>-0.1</v>
      </c>
      <c r="AS148" s="151">
        <v>-0.1</v>
      </c>
      <c r="AT148" s="151">
        <v>0</v>
      </c>
      <c r="AU148" s="151">
        <v>0</v>
      </c>
      <c r="AV148" s="151">
        <v>0</v>
      </c>
      <c r="AW148" s="151">
        <f>0.1</f>
        <v>0.1</v>
      </c>
      <c r="AX148" s="496">
        <f>AY148-AW148</f>
        <v>-0.1</v>
      </c>
      <c r="AY148" s="151">
        <v>0</v>
      </c>
      <c r="AZ148" s="151">
        <v>0</v>
      </c>
      <c r="BA148" s="496">
        <f>BB148-AZ148</f>
        <v>0</v>
      </c>
      <c r="BB148" s="151">
        <v>0</v>
      </c>
      <c r="BC148" s="209">
        <f>-0.1</f>
        <v>-0.1</v>
      </c>
      <c r="BD148" s="496">
        <f>BE148-BC148</f>
        <v>0.1</v>
      </c>
      <c r="BE148" s="151">
        <v>0</v>
      </c>
      <c r="BF148" s="485">
        <v>0</v>
      </c>
      <c r="BG148" s="485">
        <v>0</v>
      </c>
      <c r="BH148" s="496">
        <f>BG148+BF148</f>
        <v>0</v>
      </c>
      <c r="BI148" s="485">
        <v>0</v>
      </c>
      <c r="BJ148" s="485">
        <v>0</v>
      </c>
      <c r="BK148" s="496">
        <f>BJ148+BI148</f>
        <v>0</v>
      </c>
      <c r="BL148" s="485">
        <v>0</v>
      </c>
      <c r="BM148" s="485">
        <v>0</v>
      </c>
      <c r="BN148" s="496">
        <f>BM148+BL148</f>
        <v>0</v>
      </c>
      <c r="BO148" s="485">
        <v>0</v>
      </c>
      <c r="BP148" s="485">
        <v>0</v>
      </c>
      <c r="BQ148" s="496">
        <f>BP148+BO148</f>
        <v>0</v>
      </c>
      <c r="BR148" s="485">
        <v>0</v>
      </c>
      <c r="BS148" s="485">
        <v>0</v>
      </c>
      <c r="BT148" s="496">
        <f>BS148+BR148</f>
        <v>0</v>
      </c>
      <c r="BU148" s="485">
        <v>0</v>
      </c>
      <c r="BV148" s="485">
        <v>0</v>
      </c>
      <c r="BW148" s="496">
        <f>BV148+BU148</f>
        <v>0</v>
      </c>
      <c r="BX148" s="485">
        <v>0</v>
      </c>
      <c r="BY148" s="485">
        <v>0</v>
      </c>
      <c r="BZ148" s="496">
        <f>BY148+BX148</f>
        <v>0</v>
      </c>
      <c r="CA148" s="485">
        <v>0</v>
      </c>
      <c r="CB148" s="485">
        <v>0</v>
      </c>
      <c r="CC148" s="496">
        <f>CB148+CA148</f>
        <v>0</v>
      </c>
    </row>
    <row r="149" spans="1:89">
      <c r="A149" s="479"/>
      <c r="B149" s="73" t="s">
        <v>125</v>
      </c>
      <c r="C149" s="479"/>
      <c r="D149" s="479"/>
      <c r="E149" s="479"/>
      <c r="F149" s="479"/>
      <c r="G149" s="479"/>
      <c r="H149" s="479"/>
      <c r="I149" s="479"/>
      <c r="J149" s="479"/>
      <c r="K149" s="479"/>
      <c r="L149" s="479"/>
      <c r="M149" s="479"/>
      <c r="N149" s="479"/>
      <c r="O149" s="479"/>
      <c r="P149" s="479"/>
      <c r="Q149" s="479"/>
      <c r="R149" s="479"/>
      <c r="S149" s="479"/>
      <c r="T149" s="479"/>
      <c r="U149" s="479"/>
      <c r="V149" s="479"/>
      <c r="W149" s="479"/>
      <c r="X149" s="479"/>
      <c r="Y149" s="479"/>
      <c r="Z149" s="479"/>
      <c r="AA149" s="479"/>
      <c r="AB149" s="479"/>
      <c r="AC149" s="479"/>
      <c r="AD149" s="480">
        <f t="shared" ref="AD149:AL149" si="111">AD129+AD138+AD146+AD148</f>
        <v>3.7999999999999687</v>
      </c>
      <c r="AE149" s="480">
        <f t="shared" si="111"/>
        <v>-13.599999999999973</v>
      </c>
      <c r="AF149" s="480">
        <f t="shared" si="111"/>
        <v>17.999999999999957</v>
      </c>
      <c r="AG149" s="480">
        <f t="shared" si="111"/>
        <v>4.4000000000000057</v>
      </c>
      <c r="AH149" s="480">
        <f t="shared" si="111"/>
        <v>24</v>
      </c>
      <c r="AI149" s="480">
        <f t="shared" si="111"/>
        <v>-47.5</v>
      </c>
      <c r="AJ149" s="480">
        <f t="shared" si="111"/>
        <v>-23.5</v>
      </c>
      <c r="AK149" s="480">
        <f t="shared" si="111"/>
        <v>37.100000000000016</v>
      </c>
      <c r="AL149" s="480">
        <f t="shared" si="111"/>
        <v>-28.100000000000009</v>
      </c>
      <c r="AM149" s="480">
        <f>AL149+AK149</f>
        <v>9.0000000000000071</v>
      </c>
      <c r="AN149" s="480">
        <f>AN129+AN138+AN146+AN148</f>
        <v>10.134997100000007</v>
      </c>
      <c r="AO149" s="480">
        <f>AO129+AO138+AO146+AO148</f>
        <v>-14.434997100000032</v>
      </c>
      <c r="AP149" s="480">
        <f>AP129+AP138+AP146+AP148</f>
        <v>-4.3000000000000114</v>
      </c>
      <c r="AQ149" s="480">
        <f>AQ129+AQ138+AQ146+AQ148</f>
        <v>37.599999999999994</v>
      </c>
      <c r="AR149" s="480">
        <f>AR129+AR138+AR146+AR148</f>
        <v>-35.299999999999933</v>
      </c>
      <c r="AS149" s="480">
        <f>AR149+AQ149</f>
        <v>2.3000000000000611</v>
      </c>
      <c r="AT149" s="480">
        <f>AT129+AT138+AT146+AT148</f>
        <v>35.200000000000003</v>
      </c>
      <c r="AU149" s="480">
        <f>AU129+AU138+AU146+AU148</f>
        <v>-14.700000000000003</v>
      </c>
      <c r="AV149" s="480">
        <f>AU149+AT149</f>
        <v>20.5</v>
      </c>
      <c r="AW149" s="480">
        <f>AW129+AW138+AW146+AW148</f>
        <v>13.200000000000001</v>
      </c>
      <c r="AX149" s="480">
        <f>AX129+AX138+AX146+AX148</f>
        <v>-11.800000000000002</v>
      </c>
      <c r="AY149" s="480">
        <f>AX149+AW149</f>
        <v>1.3999999999999986</v>
      </c>
      <c r="AZ149" s="480">
        <f>AZ129+AZ138+AZ146+AZ148</f>
        <v>11.700000000000003</v>
      </c>
      <c r="BA149" s="480">
        <f>BA129+BA138+BA146+BA148</f>
        <v>-23.499999999999943</v>
      </c>
      <c r="BB149" s="480">
        <f>BA149+AZ149</f>
        <v>-11.79999999999994</v>
      </c>
      <c r="BC149" s="480">
        <f>BC129+BC138+BC146+BC148</f>
        <v>40.300000000000004</v>
      </c>
      <c r="BD149" s="480">
        <f>BD129+BD138+BD146+BD148</f>
        <v>-4.1999999999999691</v>
      </c>
      <c r="BE149" s="480">
        <f>BE129+BE138+BE146+BE148</f>
        <v>36.099999999999966</v>
      </c>
      <c r="BF149" s="480">
        <f>BF129+BF138+BF146+BF148</f>
        <v>0</v>
      </c>
      <c r="BG149" s="480">
        <f t="shared" ref="BG149:CC149" si="112">BG129+BG138+BG146+BG148</f>
        <v>0</v>
      </c>
      <c r="BH149" s="480">
        <f t="shared" si="112"/>
        <v>-2.8421709430404007E-14</v>
      </c>
      <c r="BI149" s="480">
        <f t="shared" si="112"/>
        <v>0</v>
      </c>
      <c r="BJ149" s="480">
        <f t="shared" si="112"/>
        <v>0</v>
      </c>
      <c r="BK149" s="480">
        <f t="shared" si="112"/>
        <v>0</v>
      </c>
      <c r="BL149" s="480">
        <f t="shared" si="112"/>
        <v>0</v>
      </c>
      <c r="BM149" s="480">
        <f t="shared" si="112"/>
        <v>0</v>
      </c>
      <c r="BN149" s="480">
        <f t="shared" si="112"/>
        <v>0</v>
      </c>
      <c r="BO149" s="480">
        <f t="shared" si="112"/>
        <v>0</v>
      </c>
      <c r="BP149" s="480">
        <f t="shared" si="112"/>
        <v>0</v>
      </c>
      <c r="BQ149" s="480">
        <f t="shared" si="112"/>
        <v>5.6843418860808015E-14</v>
      </c>
      <c r="BR149" s="480">
        <f t="shared" si="112"/>
        <v>0</v>
      </c>
      <c r="BS149" s="480">
        <f t="shared" si="112"/>
        <v>0</v>
      </c>
      <c r="BT149" s="480">
        <f t="shared" si="112"/>
        <v>-5.6843418860808015E-14</v>
      </c>
      <c r="BU149" s="480">
        <f t="shared" si="112"/>
        <v>0</v>
      </c>
      <c r="BV149" s="480">
        <f t="shared" si="112"/>
        <v>0</v>
      </c>
      <c r="BW149" s="480">
        <f t="shared" si="112"/>
        <v>0</v>
      </c>
      <c r="BX149" s="480">
        <f t="shared" si="112"/>
        <v>0</v>
      </c>
      <c r="BY149" s="480">
        <f t="shared" si="112"/>
        <v>103.5950292267252</v>
      </c>
      <c r="BZ149" s="480">
        <f t="shared" si="112"/>
        <v>103.59502922672522</v>
      </c>
      <c r="CA149" s="480">
        <f t="shared" si="112"/>
        <v>0</v>
      </c>
      <c r="CB149" s="480">
        <f t="shared" si="112"/>
        <v>107.65514022260443</v>
      </c>
      <c r="CC149" s="480">
        <f t="shared" si="112"/>
        <v>107.65514022260436</v>
      </c>
    </row>
    <row r="150" spans="1:89">
      <c r="B150" s="257" t="s">
        <v>578</v>
      </c>
      <c r="AD150" s="497">
        <v>0</v>
      </c>
      <c r="AE150" s="489"/>
      <c r="AF150" s="489"/>
      <c r="AG150" s="489">
        <f>+AG149-(AG200-AD200)</f>
        <v>2.0000000000000071</v>
      </c>
      <c r="AH150" s="497">
        <v>0</v>
      </c>
      <c r="AI150" s="497">
        <v>-0.8</v>
      </c>
      <c r="AJ150" s="497">
        <v>-0.8</v>
      </c>
      <c r="AK150" s="489">
        <f>+AK149+AI200-AK200</f>
        <v>0.80000000000001137</v>
      </c>
      <c r="AL150" s="489">
        <f>+AL149+AK200-AL200</f>
        <v>-2.1000000000000068</v>
      </c>
      <c r="AM150" s="489">
        <f>+AM149+AJ200-AM200</f>
        <v>-1.2999999999999918</v>
      </c>
      <c r="AN150" s="489">
        <f>+AN149+AM200-AN200</f>
        <v>3.1349971000000068</v>
      </c>
      <c r="AO150" s="489">
        <f>+AO149+AN200-AO200</f>
        <v>-3.1349971000000316</v>
      </c>
      <c r="AP150" s="489">
        <f>+AP149+AM200-AP200</f>
        <v>0</v>
      </c>
      <c r="AQ150" s="497">
        <v>0</v>
      </c>
      <c r="AR150" s="497">
        <v>0</v>
      </c>
      <c r="AS150" s="489">
        <f>+AS149+AP200-AS200</f>
        <v>6.2172489379008766E-14</v>
      </c>
      <c r="AT150" s="497">
        <v>0</v>
      </c>
      <c r="AU150" s="497">
        <v>0</v>
      </c>
      <c r="AV150" s="489">
        <f>+AV149+AS200-AV200</f>
        <v>-9.9999999999997868E-2</v>
      </c>
      <c r="AW150" s="497">
        <v>0</v>
      </c>
      <c r="AX150" s="489">
        <f>+AX149+AW200-AX200</f>
        <v>-0.20000000000000284</v>
      </c>
      <c r="AY150" s="489">
        <f>+AV200+AY149-AY200</f>
        <v>-0.20000000000000284</v>
      </c>
      <c r="AZ150" s="497">
        <v>0</v>
      </c>
      <c r="BA150" s="497">
        <v>0</v>
      </c>
      <c r="BB150" s="497">
        <v>0</v>
      </c>
      <c r="BC150" s="489"/>
      <c r="BD150" s="497">
        <v>0</v>
      </c>
      <c r="BE150" s="498"/>
      <c r="BF150" s="499">
        <v>0</v>
      </c>
      <c r="BG150" s="499">
        <v>0</v>
      </c>
      <c r="BH150" s="499">
        <v>0</v>
      </c>
      <c r="BI150" s="499">
        <v>0</v>
      </c>
      <c r="BJ150" s="499">
        <v>0</v>
      </c>
      <c r="BK150" s="499">
        <v>0</v>
      </c>
      <c r="BL150" s="499">
        <v>0</v>
      </c>
      <c r="BM150" s="499">
        <v>0</v>
      </c>
      <c r="BN150" s="499">
        <v>0</v>
      </c>
      <c r="BO150" s="499">
        <v>0</v>
      </c>
      <c r="BP150" s="499">
        <v>0</v>
      </c>
      <c r="BQ150" s="500">
        <v>0</v>
      </c>
      <c r="BR150" s="499">
        <v>0</v>
      </c>
      <c r="BS150" s="499">
        <v>0</v>
      </c>
      <c r="BT150" s="500">
        <v>0</v>
      </c>
      <c r="BU150" s="499">
        <v>0</v>
      </c>
      <c r="BV150" s="499">
        <v>0</v>
      </c>
      <c r="BW150" s="500">
        <v>0</v>
      </c>
      <c r="BX150" s="499">
        <v>0</v>
      </c>
      <c r="BY150" s="499">
        <v>0</v>
      </c>
      <c r="BZ150" s="500">
        <v>0</v>
      </c>
      <c r="CA150" s="499">
        <v>0</v>
      </c>
      <c r="CB150" s="499">
        <v>0</v>
      </c>
      <c r="CC150" s="500">
        <v>0</v>
      </c>
    </row>
    <row r="151" spans="1:89">
      <c r="A151" s="479"/>
      <c r="B151" s="73" t="s">
        <v>679</v>
      </c>
      <c r="C151" s="479"/>
      <c r="D151" s="479"/>
      <c r="E151" s="479"/>
      <c r="F151" s="479"/>
      <c r="G151" s="479"/>
      <c r="H151" s="479"/>
      <c r="I151" s="479"/>
      <c r="J151" s="479"/>
      <c r="K151" s="479"/>
      <c r="L151" s="479"/>
      <c r="M151" s="479"/>
      <c r="N151" s="479"/>
      <c r="O151" s="479"/>
      <c r="P151" s="479"/>
      <c r="Q151" s="479"/>
      <c r="R151" s="479"/>
      <c r="S151" s="479"/>
      <c r="T151" s="479"/>
      <c r="U151" s="479"/>
      <c r="V151" s="479"/>
      <c r="W151" s="479"/>
      <c r="X151" s="479"/>
      <c r="Y151" s="479"/>
      <c r="Z151" s="479"/>
      <c r="AA151" s="479"/>
      <c r="AB151" s="479"/>
      <c r="AC151" s="479"/>
      <c r="AD151" s="479"/>
      <c r="AE151" s="480">
        <f>AE129+AE134</f>
        <v>40.5</v>
      </c>
      <c r="AF151" s="480">
        <f t="shared" ref="AF151:BQ151" si="113">AF129+AF134</f>
        <v>106.49999999999997</v>
      </c>
      <c r="AG151" s="480">
        <f t="shared" si="113"/>
        <v>147</v>
      </c>
      <c r="AH151" s="480">
        <f t="shared" si="113"/>
        <v>42.300000000000004</v>
      </c>
      <c r="AI151" s="480">
        <f t="shared" si="113"/>
        <v>94.5</v>
      </c>
      <c r="AJ151" s="480">
        <f t="shared" si="113"/>
        <v>136.80000000000001</v>
      </c>
      <c r="AK151" s="480">
        <f t="shared" si="113"/>
        <v>-1.8999999999999986</v>
      </c>
      <c r="AL151" s="480">
        <f t="shared" si="113"/>
        <v>65.599999999999994</v>
      </c>
      <c r="AM151" s="480">
        <f t="shared" si="113"/>
        <v>63.7</v>
      </c>
      <c r="AN151" s="480">
        <f t="shared" si="113"/>
        <v>15.700000000000003</v>
      </c>
      <c r="AO151" s="480">
        <f t="shared" si="113"/>
        <v>49.899999999999977</v>
      </c>
      <c r="AP151" s="480">
        <f t="shared" si="113"/>
        <v>65.600000000000009</v>
      </c>
      <c r="AQ151" s="480">
        <f t="shared" si="113"/>
        <v>48.699999999999996</v>
      </c>
      <c r="AR151" s="480">
        <f t="shared" si="113"/>
        <v>111.70000000000006</v>
      </c>
      <c r="AS151" s="480">
        <f t="shared" si="113"/>
        <v>160.40000000000003</v>
      </c>
      <c r="AT151" s="480">
        <f t="shared" si="113"/>
        <v>-3.9999999999999964</v>
      </c>
      <c r="AU151" s="480">
        <f t="shared" si="113"/>
        <v>-18</v>
      </c>
      <c r="AV151" s="480">
        <f t="shared" si="113"/>
        <v>-22</v>
      </c>
      <c r="AW151" s="480">
        <f t="shared" si="113"/>
        <v>54.9</v>
      </c>
      <c r="AX151" s="480">
        <f t="shared" si="113"/>
        <v>94.200000000000017</v>
      </c>
      <c r="AY151" s="480">
        <f t="shared" si="113"/>
        <v>149.10000000000002</v>
      </c>
      <c r="AZ151" s="480">
        <f t="shared" si="113"/>
        <v>42.8</v>
      </c>
      <c r="BA151" s="480">
        <f t="shared" si="113"/>
        <v>119.10000000000007</v>
      </c>
      <c r="BB151" s="480">
        <f t="shared" si="113"/>
        <v>161.9</v>
      </c>
      <c r="BC151" s="480">
        <f t="shared" si="113"/>
        <v>38.1</v>
      </c>
      <c r="BD151" s="480">
        <f t="shared" ref="BD151" si="114">BD129+BD134</f>
        <v>97.000000000000028</v>
      </c>
      <c r="BE151" s="480">
        <f t="shared" si="113"/>
        <v>135.1</v>
      </c>
      <c r="BF151" s="480">
        <f t="shared" si="113"/>
        <v>65.301373046793657</v>
      </c>
      <c r="BG151" s="480">
        <f t="shared" si="113"/>
        <v>115.82805420418045</v>
      </c>
      <c r="BH151" s="480">
        <f t="shared" si="113"/>
        <v>181.12942725097409</v>
      </c>
      <c r="BI151" s="480">
        <f t="shared" si="113"/>
        <v>94.109553178158919</v>
      </c>
      <c r="BJ151" s="480">
        <f t="shared" si="113"/>
        <v>146.25528153313519</v>
      </c>
      <c r="BK151" s="480">
        <f t="shared" si="113"/>
        <v>240.36483471129412</v>
      </c>
      <c r="BL151" s="480">
        <f t="shared" si="113"/>
        <v>95.473681404969469</v>
      </c>
      <c r="BM151" s="480">
        <f t="shared" si="113"/>
        <v>152.82475099741015</v>
      </c>
      <c r="BN151" s="480">
        <f t="shared" si="113"/>
        <v>248.2984324023796</v>
      </c>
      <c r="BO151" s="480">
        <f t="shared" si="113"/>
        <v>100.48449455780026</v>
      </c>
      <c r="BP151" s="480">
        <f t="shared" si="113"/>
        <v>162.05044288813076</v>
      </c>
      <c r="BQ151" s="480">
        <f t="shared" si="113"/>
        <v>262.53493744593106</v>
      </c>
      <c r="BR151" s="480">
        <f t="shared" ref="BR151:CC151" si="115">BR129+BR134</f>
        <v>103.63681744341758</v>
      </c>
      <c r="BS151" s="480">
        <f t="shared" si="115"/>
        <v>164.38112958647406</v>
      </c>
      <c r="BT151" s="480">
        <f t="shared" si="115"/>
        <v>268.01794702989162</v>
      </c>
      <c r="BU151" s="480">
        <f t="shared" si="115"/>
        <v>110.34448564757085</v>
      </c>
      <c r="BV151" s="480">
        <f>BV129+BV134</f>
        <v>177.74152152651888</v>
      </c>
      <c r="BW151" s="480">
        <f t="shared" si="115"/>
        <v>288.08600717408973</v>
      </c>
      <c r="BX151" s="480">
        <f t="shared" si="115"/>
        <v>120.52053441073741</v>
      </c>
      <c r="BY151" s="480">
        <f t="shared" si="115"/>
        <v>188.1038031867252</v>
      </c>
      <c r="BZ151" s="480">
        <f t="shared" si="115"/>
        <v>308.62433759746261</v>
      </c>
      <c r="CA151" s="480">
        <f t="shared" si="115"/>
        <v>122.97194903586097</v>
      </c>
      <c r="CB151" s="480">
        <f t="shared" si="115"/>
        <v>192.16391418260443</v>
      </c>
      <c r="CC151" s="480">
        <f t="shared" si="115"/>
        <v>315.13586321846532</v>
      </c>
    </row>
    <row r="153" spans="1:89">
      <c r="A153" s="486" t="s">
        <v>476</v>
      </c>
      <c r="B153" s="486"/>
      <c r="C153" s="486"/>
      <c r="D153" s="486"/>
      <c r="E153" s="486"/>
      <c r="F153" s="486"/>
      <c r="G153" s="486"/>
      <c r="H153" s="486"/>
      <c r="I153" s="486"/>
      <c r="J153" s="486"/>
      <c r="K153" s="486"/>
      <c r="L153" s="486"/>
      <c r="M153" s="486"/>
      <c r="N153" s="486"/>
      <c r="O153" s="486"/>
      <c r="P153" s="486"/>
      <c r="Q153" s="486"/>
      <c r="R153" s="486"/>
      <c r="S153" s="486"/>
      <c r="T153" s="486"/>
      <c r="U153" s="486"/>
      <c r="V153" s="486"/>
      <c r="W153" s="486"/>
      <c r="X153" s="486"/>
      <c r="Y153" s="486"/>
      <c r="Z153" s="486"/>
      <c r="AA153" s="486"/>
      <c r="AB153" s="486"/>
      <c r="AC153" s="486"/>
      <c r="AD153" s="486"/>
      <c r="AE153" s="486"/>
      <c r="AF153" s="486"/>
      <c r="AG153" s="486"/>
      <c r="AH153" s="486"/>
      <c r="AI153" s="486"/>
      <c r="AJ153" s="486"/>
      <c r="AK153" s="486"/>
      <c r="AL153" s="486"/>
      <c r="AM153" s="486"/>
      <c r="AN153" s="486"/>
      <c r="AO153" s="486"/>
      <c r="AP153" s="486"/>
      <c r="AQ153" s="486"/>
      <c r="AR153" s="486"/>
      <c r="AS153" s="486"/>
      <c r="AT153" s="486"/>
      <c r="AU153" s="486"/>
      <c r="AV153" s="486"/>
      <c r="AW153" s="486"/>
      <c r="AX153" s="486"/>
      <c r="AY153" s="486"/>
      <c r="AZ153" s="486"/>
      <c r="BA153" s="486"/>
      <c r="BB153" s="486"/>
      <c r="BC153" s="486"/>
      <c r="BD153" s="486"/>
      <c r="BE153" s="486"/>
      <c r="BF153" s="486"/>
      <c r="BG153" s="486"/>
      <c r="BH153" s="486"/>
      <c r="BI153" s="486"/>
      <c r="BJ153" s="486"/>
      <c r="BK153" s="486"/>
      <c r="BL153" s="486"/>
      <c r="BM153" s="486"/>
      <c r="BN153" s="486"/>
      <c r="BO153" s="486"/>
      <c r="BP153" s="486"/>
      <c r="BQ153" s="486"/>
      <c r="BR153" s="487"/>
      <c r="BS153" s="487"/>
      <c r="BT153" s="487"/>
      <c r="BU153" s="487"/>
      <c r="BV153" s="487"/>
      <c r="BW153" s="487"/>
      <c r="BX153" s="487"/>
      <c r="BY153" s="487"/>
      <c r="BZ153" s="487"/>
      <c r="CA153" s="487"/>
      <c r="CB153" s="487"/>
      <c r="CC153" s="487"/>
      <c r="CD153" s="487"/>
      <c r="CE153" s="487"/>
    </row>
    <row r="154" spans="1:89">
      <c r="B154" s="435"/>
      <c r="C154" s="141"/>
      <c r="D154" s="141"/>
      <c r="E154" s="141"/>
      <c r="F154" s="141"/>
      <c r="G154" s="141"/>
      <c r="H154" s="141"/>
      <c r="I154" s="141"/>
      <c r="J154" s="141"/>
      <c r="K154" s="141"/>
      <c r="L154" s="141"/>
      <c r="M154" s="141"/>
      <c r="N154" s="141"/>
      <c r="O154" s="141"/>
      <c r="P154" s="141"/>
      <c r="Q154" s="141"/>
      <c r="R154" s="141"/>
      <c r="S154" s="141"/>
      <c r="T154" s="141"/>
      <c r="U154" s="141"/>
      <c r="V154" s="141"/>
      <c r="W154" s="141"/>
      <c r="X154" s="141"/>
      <c r="Y154" s="141"/>
      <c r="Z154" s="141"/>
      <c r="AA154" s="141"/>
      <c r="AB154" s="141"/>
      <c r="AC154" s="141"/>
      <c r="AD154" s="141"/>
      <c r="AE154" s="141"/>
      <c r="AF154" s="141"/>
      <c r="AG154" s="141"/>
      <c r="AH154" s="141"/>
      <c r="AI154" s="141"/>
      <c r="AJ154" s="141"/>
      <c r="AK154" s="141"/>
      <c r="AL154" s="141"/>
      <c r="AM154" s="141"/>
      <c r="AN154" s="141"/>
      <c r="AO154" s="141"/>
      <c r="AP154" s="141"/>
      <c r="AQ154" s="141"/>
      <c r="AR154" s="141"/>
      <c r="AS154" s="141"/>
      <c r="AT154" s="141"/>
      <c r="AU154" s="141"/>
      <c r="AV154" s="141"/>
      <c r="AW154" s="141"/>
      <c r="AX154" s="141"/>
      <c r="AY154" s="141"/>
      <c r="AZ154" s="141"/>
      <c r="BA154" s="141"/>
      <c r="BB154" s="141"/>
      <c r="BC154" s="141"/>
      <c r="BD154" s="141"/>
      <c r="BE154" s="141"/>
      <c r="BF154" s="141"/>
      <c r="BG154" s="141"/>
      <c r="BH154" s="141"/>
      <c r="BI154" s="141"/>
      <c r="BJ154" s="141"/>
      <c r="BK154" s="141"/>
      <c r="BL154" s="141"/>
      <c r="BM154" s="141"/>
      <c r="BN154" s="141"/>
      <c r="BO154" s="141"/>
      <c r="BP154" s="141"/>
      <c r="BQ154" s="141"/>
    </row>
    <row r="155" spans="1:89" outlineLevel="1">
      <c r="B155" s="488" t="s">
        <v>477</v>
      </c>
      <c r="D155" s="33"/>
      <c r="E155" s="33"/>
      <c r="F155" s="33"/>
      <c r="G155" s="33"/>
      <c r="H155" s="33"/>
      <c r="I155" s="33"/>
      <c r="J155" s="33"/>
      <c r="K155" s="33"/>
      <c r="L155" s="33"/>
      <c r="M155" s="33"/>
      <c r="N155" s="33"/>
      <c r="O155" s="33"/>
      <c r="P155" s="33"/>
      <c r="Q155" s="33"/>
      <c r="R155" s="33"/>
      <c r="S155" s="33"/>
      <c r="T155" s="33"/>
      <c r="U155" s="33"/>
      <c r="V155" s="33"/>
      <c r="W155" s="33"/>
      <c r="X155" s="33"/>
      <c r="Y155" s="33"/>
      <c r="Z155" s="33"/>
      <c r="AA155" s="33"/>
      <c r="AB155" s="33"/>
      <c r="AC155" s="33"/>
      <c r="AF155" s="458"/>
      <c r="BC155" s="458"/>
      <c r="CD155" s="33"/>
      <c r="CE155" s="33"/>
    </row>
    <row r="156" spans="1:89" outlineLevel="1">
      <c r="B156" s="257" t="s">
        <v>478</v>
      </c>
      <c r="C156" s="257" t="s">
        <v>420</v>
      </c>
      <c r="D156" s="33"/>
      <c r="E156" s="33"/>
      <c r="F156" s="33"/>
      <c r="G156" s="33"/>
      <c r="H156" s="33"/>
      <c r="I156" s="33"/>
      <c r="J156" s="33"/>
      <c r="K156" s="33"/>
      <c r="L156" s="33"/>
      <c r="M156" s="33"/>
      <c r="N156" s="33"/>
      <c r="O156" s="33"/>
      <c r="P156" s="33"/>
      <c r="Q156" s="33"/>
      <c r="R156" s="33"/>
      <c r="S156" s="33"/>
      <c r="T156" s="33"/>
      <c r="U156" s="33"/>
      <c r="V156" s="33"/>
      <c r="W156" s="33"/>
      <c r="X156" s="33"/>
      <c r="Y156" s="33"/>
      <c r="Z156" s="33"/>
      <c r="AA156" s="33"/>
      <c r="AB156" s="33"/>
      <c r="AC156" s="33"/>
      <c r="AD156" s="458">
        <f>AD200</f>
        <v>23.1</v>
      </c>
      <c r="AE156" s="458">
        <f>AE200</f>
        <v>9.5</v>
      </c>
      <c r="AF156" s="458">
        <f>AF200</f>
        <v>25.5</v>
      </c>
      <c r="AG156" s="458">
        <f>AG200</f>
        <v>25.5</v>
      </c>
      <c r="AH156" s="458">
        <f>AH200</f>
        <v>49.5</v>
      </c>
      <c r="AI156" s="458">
        <f>AJ156</f>
        <v>2.8</v>
      </c>
      <c r="AJ156" s="458">
        <f>AJ200</f>
        <v>2.8</v>
      </c>
      <c r="AK156" s="458">
        <f>AK200</f>
        <v>39.1</v>
      </c>
      <c r="AL156" s="458">
        <f>AM156</f>
        <v>13.1</v>
      </c>
      <c r="AM156" s="458">
        <f>AM200</f>
        <v>13.1</v>
      </c>
      <c r="AN156" s="458">
        <f>AN200</f>
        <v>20.100000000000001</v>
      </c>
      <c r="AO156" s="458">
        <f>AP156</f>
        <v>8.8000000000000007</v>
      </c>
      <c r="AP156" s="458">
        <f>AP200</f>
        <v>8.8000000000000007</v>
      </c>
      <c r="AQ156" s="458">
        <f>AQ200</f>
        <v>46.4</v>
      </c>
      <c r="AR156" s="458">
        <f>AS156</f>
        <v>11.1</v>
      </c>
      <c r="AS156" s="458">
        <f>AS200</f>
        <v>11.1</v>
      </c>
      <c r="AT156" s="458">
        <f>AT200</f>
        <v>46.3</v>
      </c>
      <c r="AU156" s="458">
        <f>AV156</f>
        <v>31.7</v>
      </c>
      <c r="AV156" s="458">
        <f>AV200</f>
        <v>31.7</v>
      </c>
      <c r="AW156" s="458">
        <f>AW200</f>
        <v>44.9</v>
      </c>
      <c r="AX156" s="458">
        <f>AY156</f>
        <v>33.299999999999997</v>
      </c>
      <c r="AY156" s="458">
        <f>AY200</f>
        <v>33.299999999999997</v>
      </c>
      <c r="AZ156" s="458">
        <f>AZ200</f>
        <v>45</v>
      </c>
      <c r="BA156" s="458">
        <f>BB156</f>
        <v>21.5</v>
      </c>
      <c r="BB156" s="458">
        <f>BB200</f>
        <v>21.5</v>
      </c>
      <c r="BC156" s="458">
        <f>BC200</f>
        <v>61.8</v>
      </c>
      <c r="BD156" s="458">
        <f>BE156</f>
        <v>57.6</v>
      </c>
      <c r="BE156" s="458">
        <f>BE200</f>
        <v>57.6</v>
      </c>
      <c r="BF156" s="458">
        <f>BF200</f>
        <v>57.6</v>
      </c>
      <c r="BG156" s="458">
        <f>BH156</f>
        <v>57.6</v>
      </c>
      <c r="BH156" s="458">
        <f>BH200</f>
        <v>57.6</v>
      </c>
      <c r="BI156" s="458">
        <f>BI200</f>
        <v>57.6</v>
      </c>
      <c r="BJ156" s="458">
        <f>BK156</f>
        <v>57.6</v>
      </c>
      <c r="BK156" s="458">
        <f>BK200</f>
        <v>57.6</v>
      </c>
      <c r="BL156" s="458">
        <f>BL200</f>
        <v>57.6</v>
      </c>
      <c r="BM156" s="458">
        <f>BN156</f>
        <v>57.6</v>
      </c>
      <c r="BN156" s="458">
        <f>BN200</f>
        <v>57.6</v>
      </c>
      <c r="BO156" s="458">
        <f>BO200</f>
        <v>57.6</v>
      </c>
      <c r="BP156" s="458">
        <f>BQ156</f>
        <v>57.6</v>
      </c>
      <c r="BQ156" s="458">
        <f>BQ200</f>
        <v>57.6</v>
      </c>
      <c r="BR156" s="458">
        <f>BR200</f>
        <v>57.6</v>
      </c>
      <c r="BS156" s="458">
        <f>BT156</f>
        <v>57.6</v>
      </c>
      <c r="BT156" s="458">
        <f>BT200</f>
        <v>57.6</v>
      </c>
      <c r="BU156" s="458">
        <f>BU200</f>
        <v>57.6</v>
      </c>
      <c r="BV156" s="458">
        <f>BW156</f>
        <v>57.6</v>
      </c>
      <c r="BW156" s="458">
        <f>BW200</f>
        <v>57.6</v>
      </c>
      <c r="BX156" s="458">
        <f>BX200</f>
        <v>57.6</v>
      </c>
      <c r="BY156" s="458">
        <f>BZ156</f>
        <v>161.19502922672521</v>
      </c>
      <c r="BZ156" s="458">
        <f>BZ200</f>
        <v>161.19502922672521</v>
      </c>
      <c r="CA156" s="458">
        <f>CA200</f>
        <v>161.19502922672521</v>
      </c>
      <c r="CB156" s="458">
        <f>CC156</f>
        <v>268.85016944932966</v>
      </c>
      <c r="CC156" s="458">
        <f>CC200</f>
        <v>268.85016944932966</v>
      </c>
      <c r="CD156" s="33"/>
      <c r="CE156" s="33"/>
    </row>
    <row r="157" spans="1:89" outlineLevel="1">
      <c r="B157" s="257" t="s">
        <v>449</v>
      </c>
      <c r="C157" s="257" t="s">
        <v>420</v>
      </c>
      <c r="D157" s="33"/>
      <c r="E157" s="33"/>
      <c r="F157" s="33"/>
      <c r="G157" s="33"/>
      <c r="H157" s="33"/>
      <c r="I157" s="33"/>
      <c r="J157" s="33"/>
      <c r="K157" s="33"/>
      <c r="L157" s="33"/>
      <c r="M157" s="33"/>
      <c r="N157" s="33"/>
      <c r="O157" s="33"/>
      <c r="P157" s="33"/>
      <c r="Q157" s="33"/>
      <c r="R157" s="33"/>
      <c r="S157" s="33"/>
      <c r="T157" s="33"/>
      <c r="U157" s="33"/>
      <c r="V157" s="33"/>
      <c r="W157" s="33"/>
      <c r="X157" s="33"/>
      <c r="Y157" s="33"/>
      <c r="Z157" s="33"/>
      <c r="AA157" s="33"/>
      <c r="AB157" s="33"/>
      <c r="AC157" s="33"/>
      <c r="AD157" s="458">
        <f t="shared" ref="AD157:AJ157" si="116">AD221+AD228</f>
        <v>410.9</v>
      </c>
      <c r="AE157" s="458">
        <f t="shared" si="116"/>
        <v>270.89999999999998</v>
      </c>
      <c r="AF157" s="458">
        <f t="shared" si="116"/>
        <v>200.9</v>
      </c>
      <c r="AG157" s="458">
        <f t="shared" si="116"/>
        <v>200.9</v>
      </c>
      <c r="AH157" s="458">
        <f t="shared" si="116"/>
        <v>230.39999999999998</v>
      </c>
      <c r="AI157" s="458">
        <f t="shared" si="116"/>
        <v>151.19999999999999</v>
      </c>
      <c r="AJ157" s="458">
        <f t="shared" si="116"/>
        <v>151.20000000000002</v>
      </c>
      <c r="AK157" s="458">
        <f t="shared" ref="AK157:AP157" si="117">AK221+AK228</f>
        <v>259.70000000000005</v>
      </c>
      <c r="AL157" s="458">
        <f t="shared" si="117"/>
        <v>259.39999999999998</v>
      </c>
      <c r="AM157" s="458">
        <f>AM221+AM228</f>
        <v>259.39999999999998</v>
      </c>
      <c r="AN157" s="458">
        <f t="shared" si="117"/>
        <v>309.60000000000002</v>
      </c>
      <c r="AO157" s="458">
        <f t="shared" si="117"/>
        <v>319.3</v>
      </c>
      <c r="AP157" s="458">
        <f t="shared" si="117"/>
        <v>319.3</v>
      </c>
      <c r="AQ157" s="458">
        <f t="shared" ref="AQ157:AY157" si="118">AQ221+AQ228</f>
        <v>358.8</v>
      </c>
      <c r="AR157" s="458">
        <f t="shared" si="118"/>
        <v>259.10000000000002</v>
      </c>
      <c r="AS157" s="458">
        <f t="shared" si="118"/>
        <v>259.10000000000002</v>
      </c>
      <c r="AT157" s="458">
        <f t="shared" si="118"/>
        <v>379.3</v>
      </c>
      <c r="AU157" s="458">
        <f t="shared" si="118"/>
        <v>391.5</v>
      </c>
      <c r="AV157" s="458">
        <f t="shared" si="118"/>
        <v>391.5</v>
      </c>
      <c r="AW157" s="458">
        <f t="shared" si="118"/>
        <v>391</v>
      </c>
      <c r="AX157" s="458">
        <f t="shared" si="118"/>
        <v>330.3</v>
      </c>
      <c r="AY157" s="458">
        <f t="shared" si="118"/>
        <v>330.5</v>
      </c>
      <c r="AZ157" s="458">
        <f t="shared" ref="AZ157:BN157" si="119">AZ221+AZ228</f>
        <v>390.4</v>
      </c>
      <c r="BA157" s="458">
        <f t="shared" si="119"/>
        <v>310</v>
      </c>
      <c r="BB157" s="458">
        <f t="shared" si="119"/>
        <v>310</v>
      </c>
      <c r="BC157" s="458">
        <f t="shared" si="119"/>
        <v>469.2</v>
      </c>
      <c r="BD157" s="458">
        <f t="shared" ref="BD157:BE157" si="120">BD221+BD228</f>
        <v>429.2</v>
      </c>
      <c r="BE157" s="458">
        <f t="shared" si="120"/>
        <v>429.2</v>
      </c>
      <c r="BF157" s="458">
        <f t="shared" si="119"/>
        <v>467.90091143320632</v>
      </c>
      <c r="BG157" s="458">
        <f t="shared" si="119"/>
        <v>436.58163118902587</v>
      </c>
      <c r="BH157" s="458">
        <f t="shared" si="119"/>
        <v>436.58163118902587</v>
      </c>
      <c r="BI157" s="458">
        <f t="shared" si="119"/>
        <v>452.98355165086696</v>
      </c>
      <c r="BJ157" s="458">
        <f t="shared" si="119"/>
        <v>397.73771899773175</v>
      </c>
      <c r="BK157" s="458">
        <f t="shared" si="119"/>
        <v>397.73771899773175</v>
      </c>
      <c r="BL157" s="458">
        <f t="shared" si="119"/>
        <v>425.7768610727623</v>
      </c>
      <c r="BM157" s="458">
        <f t="shared" si="119"/>
        <v>370.46223387535218</v>
      </c>
      <c r="BN157" s="458">
        <f t="shared" si="119"/>
        <v>370.46223387535218</v>
      </c>
      <c r="BO157" s="458">
        <f>BO221+BO228</f>
        <v>393.49056279755195</v>
      </c>
      <c r="BP157" s="458">
        <f>BP221+BP228</f>
        <v>302.94754402942118</v>
      </c>
      <c r="BQ157" s="458">
        <f>BQ221+BQ228</f>
        <v>302.94754402942118</v>
      </c>
      <c r="BR157" s="458">
        <f t="shared" ref="BR157:CC157" si="121">BR221+BR228</f>
        <v>296.8208503860036</v>
      </c>
      <c r="BS157" s="458">
        <f t="shared" si="121"/>
        <v>203.94714491952953</v>
      </c>
      <c r="BT157" s="458">
        <f t="shared" si="121"/>
        <v>203.94714491952953</v>
      </c>
      <c r="BU157" s="458">
        <f t="shared" si="121"/>
        <v>197.61345799195868</v>
      </c>
      <c r="BV157" s="458">
        <f t="shared" si="121"/>
        <v>97.880035505439778</v>
      </c>
      <c r="BW157" s="458">
        <f t="shared" si="121"/>
        <v>97.880035505439778</v>
      </c>
      <c r="BX157" s="458">
        <f t="shared" si="121"/>
        <v>87.870974734702372</v>
      </c>
      <c r="BY157" s="458">
        <f t="shared" si="121"/>
        <v>87.870974734702372</v>
      </c>
      <c r="BZ157" s="458">
        <f t="shared" si="121"/>
        <v>87.870974734702372</v>
      </c>
      <c r="CA157" s="458">
        <f t="shared" si="121"/>
        <v>81.911174258841399</v>
      </c>
      <c r="CB157" s="458">
        <f t="shared" si="121"/>
        <v>81.911174258841399</v>
      </c>
      <c r="CC157" s="458">
        <f t="shared" si="121"/>
        <v>81.911174258841399</v>
      </c>
      <c r="CD157" s="33"/>
      <c r="CE157" s="33"/>
    </row>
    <row r="158" spans="1:89" outlineLevel="1">
      <c r="B158" s="257" t="s">
        <v>479</v>
      </c>
      <c r="C158" s="257" t="s">
        <v>420</v>
      </c>
      <c r="D158" s="33"/>
      <c r="E158" s="33"/>
      <c r="F158" s="33"/>
      <c r="G158" s="33"/>
      <c r="H158" s="33"/>
      <c r="I158" s="33"/>
      <c r="J158" s="33"/>
      <c r="K158" s="33"/>
      <c r="L158" s="33"/>
      <c r="M158" s="33"/>
      <c r="N158" s="33"/>
      <c r="O158" s="33"/>
      <c r="P158" s="33"/>
      <c r="Q158" s="33"/>
      <c r="R158" s="33"/>
      <c r="S158" s="33"/>
      <c r="T158" s="33"/>
      <c r="U158" s="33"/>
      <c r="V158" s="33"/>
      <c r="W158" s="33"/>
      <c r="X158" s="33"/>
      <c r="Y158" s="33"/>
      <c r="Z158" s="33"/>
      <c r="AA158" s="33"/>
      <c r="AB158" s="33"/>
      <c r="AC158" s="33"/>
      <c r="AD158" s="458"/>
      <c r="AE158" s="458"/>
      <c r="AF158" s="458"/>
      <c r="AG158" s="458"/>
      <c r="AH158" s="458"/>
      <c r="AJ158" s="458"/>
      <c r="CD158" s="33"/>
      <c r="CE158" s="33"/>
    </row>
    <row r="159" spans="1:89" outlineLevel="1">
      <c r="B159" s="40" t="s">
        <v>480</v>
      </c>
      <c r="C159" s="40" t="s">
        <v>420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458">
        <f t="shared" ref="AD159:AJ159" si="122">AD158+AD157-AD156</f>
        <v>387.79999999999995</v>
      </c>
      <c r="AE159" s="458">
        <f t="shared" si="122"/>
        <v>261.39999999999998</v>
      </c>
      <c r="AF159" s="458">
        <f t="shared" si="122"/>
        <v>175.4</v>
      </c>
      <c r="AG159" s="458">
        <f t="shared" si="122"/>
        <v>175.4</v>
      </c>
      <c r="AH159" s="458">
        <f t="shared" si="122"/>
        <v>180.89999999999998</v>
      </c>
      <c r="AI159" s="458">
        <f t="shared" si="122"/>
        <v>148.39999999999998</v>
      </c>
      <c r="AJ159" s="458">
        <f t="shared" si="122"/>
        <v>148.4</v>
      </c>
      <c r="AK159" s="458">
        <f>AK158+AK157-AK156</f>
        <v>220.60000000000005</v>
      </c>
      <c r="AL159" s="458">
        <f t="shared" ref="AL159:AY159" si="123">AL158+AL157-AL156</f>
        <v>246.29999999999998</v>
      </c>
      <c r="AM159" s="458">
        <f t="shared" si="123"/>
        <v>246.29999999999998</v>
      </c>
      <c r="AN159" s="458">
        <f t="shared" si="123"/>
        <v>289.5</v>
      </c>
      <c r="AO159" s="458">
        <f t="shared" si="123"/>
        <v>310.5</v>
      </c>
      <c r="AP159" s="458">
        <f t="shared" si="123"/>
        <v>310.5</v>
      </c>
      <c r="AQ159" s="458">
        <f t="shared" si="123"/>
        <v>312.40000000000003</v>
      </c>
      <c r="AR159" s="458">
        <f t="shared" si="123"/>
        <v>248.00000000000003</v>
      </c>
      <c r="AS159" s="458">
        <f t="shared" si="123"/>
        <v>248.00000000000003</v>
      </c>
      <c r="AT159" s="458">
        <f t="shared" si="123"/>
        <v>333</v>
      </c>
      <c r="AU159" s="458">
        <f t="shared" si="123"/>
        <v>359.8</v>
      </c>
      <c r="AV159" s="458">
        <f t="shared" si="123"/>
        <v>359.8</v>
      </c>
      <c r="AW159" s="458">
        <f t="shared" si="123"/>
        <v>346.1</v>
      </c>
      <c r="AX159" s="458">
        <f t="shared" si="123"/>
        <v>297</v>
      </c>
      <c r="AY159" s="458">
        <f t="shared" si="123"/>
        <v>297.2</v>
      </c>
      <c r="AZ159" s="458">
        <f t="shared" ref="AZ159:BN159" si="124">AZ158+AZ157-AZ156</f>
        <v>345.4</v>
      </c>
      <c r="BA159" s="458">
        <f t="shared" si="124"/>
        <v>288.5</v>
      </c>
      <c r="BB159" s="458">
        <f t="shared" si="124"/>
        <v>288.5</v>
      </c>
      <c r="BC159" s="458">
        <f t="shared" si="124"/>
        <v>407.4</v>
      </c>
      <c r="BD159" s="458">
        <f t="shared" ref="BD159:BE159" si="125">BD158+BD157-BD156</f>
        <v>371.59999999999997</v>
      </c>
      <c r="BE159" s="458">
        <f t="shared" si="125"/>
        <v>371.59999999999997</v>
      </c>
      <c r="BF159" s="458">
        <f t="shared" si="124"/>
        <v>410.30091143320629</v>
      </c>
      <c r="BG159" s="458">
        <f t="shared" si="124"/>
        <v>378.98163118902585</v>
      </c>
      <c r="BH159" s="458">
        <f t="shared" si="124"/>
        <v>378.98163118902585</v>
      </c>
      <c r="BI159" s="458">
        <f t="shared" si="124"/>
        <v>395.38355165086693</v>
      </c>
      <c r="BJ159" s="458">
        <f t="shared" si="124"/>
        <v>340.13771899773172</v>
      </c>
      <c r="BK159" s="458">
        <f t="shared" si="124"/>
        <v>340.13771899773172</v>
      </c>
      <c r="BL159" s="458">
        <f t="shared" si="124"/>
        <v>368.17686107276228</v>
      </c>
      <c r="BM159" s="458">
        <f t="shared" si="124"/>
        <v>312.86223387535216</v>
      </c>
      <c r="BN159" s="458">
        <f t="shared" si="124"/>
        <v>312.86223387535216</v>
      </c>
      <c r="BO159" s="458">
        <f>BO158+BO157-BO156</f>
        <v>335.89056279755192</v>
      </c>
      <c r="BP159" s="458">
        <f>BP158+BP157-BP156</f>
        <v>245.34754402942119</v>
      </c>
      <c r="BQ159" s="458">
        <f>BQ158+BQ157-BQ156</f>
        <v>245.34754402942119</v>
      </c>
      <c r="BR159" s="458">
        <f t="shared" ref="BR159:CC159" si="126">BR158+BR157-BR156</f>
        <v>239.2208503860036</v>
      </c>
      <c r="BS159" s="458">
        <f t="shared" si="126"/>
        <v>146.34714491952954</v>
      </c>
      <c r="BT159" s="458">
        <f t="shared" si="126"/>
        <v>146.34714491952954</v>
      </c>
      <c r="BU159" s="458">
        <f t="shared" si="126"/>
        <v>140.01345799195869</v>
      </c>
      <c r="BV159" s="458">
        <f t="shared" si="126"/>
        <v>40.280035505439777</v>
      </c>
      <c r="BW159" s="458">
        <f t="shared" si="126"/>
        <v>40.280035505439777</v>
      </c>
      <c r="BX159" s="458">
        <f t="shared" si="126"/>
        <v>30.270974734702371</v>
      </c>
      <c r="BY159" s="458">
        <f t="shared" si="126"/>
        <v>-73.324054492022839</v>
      </c>
      <c r="BZ159" s="458">
        <f t="shared" si="126"/>
        <v>-73.324054492022839</v>
      </c>
      <c r="CA159" s="458">
        <f t="shared" si="126"/>
        <v>-79.283854967883812</v>
      </c>
      <c r="CB159" s="458">
        <f t="shared" si="126"/>
        <v>-186.93899519048824</v>
      </c>
      <c r="CC159" s="458">
        <f t="shared" si="126"/>
        <v>-186.93899519048824</v>
      </c>
      <c r="CD159" s="33"/>
      <c r="CE159" s="33"/>
    </row>
    <row r="160" spans="1:89" outlineLevel="1">
      <c r="B160" s="257" t="s">
        <v>481</v>
      </c>
      <c r="C160" s="257" t="s">
        <v>420</v>
      </c>
      <c r="D160" s="33"/>
      <c r="E160" s="33"/>
      <c r="F160" s="33"/>
      <c r="G160" s="33"/>
      <c r="H160" s="33"/>
      <c r="I160" s="33"/>
      <c r="J160" s="33"/>
      <c r="K160" s="33"/>
      <c r="L160" s="33"/>
      <c r="M160" s="33"/>
      <c r="N160" s="33"/>
      <c r="O160" s="33"/>
      <c r="P160" s="33"/>
      <c r="Q160" s="33"/>
      <c r="R160" s="33"/>
      <c r="S160" s="33"/>
      <c r="T160" s="33"/>
      <c r="U160" s="33"/>
      <c r="V160" s="33"/>
      <c r="W160" s="33"/>
      <c r="X160" s="33"/>
      <c r="Y160" s="33"/>
      <c r="Z160" s="33"/>
      <c r="AA160" s="33"/>
      <c r="AB160" s="33"/>
      <c r="AC160" s="33"/>
      <c r="AD160" s="458"/>
      <c r="AE160" s="458"/>
      <c r="AF160" s="458"/>
      <c r="AG160" s="458">
        <f>AG159-AD159</f>
        <v>-212.39999999999995</v>
      </c>
      <c r="AH160" s="458">
        <f>AH159-AE159</f>
        <v>-80.5</v>
      </c>
      <c r="AI160" s="458">
        <f>AI159-AH159</f>
        <v>-32.5</v>
      </c>
      <c r="AJ160" s="458">
        <f>AJ159-AG159</f>
        <v>-27</v>
      </c>
      <c r="AK160" s="458">
        <f>AK159-AH159</f>
        <v>39.700000000000074</v>
      </c>
      <c r="AL160" s="458">
        <f>AL159-AK159</f>
        <v>25.699999999999932</v>
      </c>
      <c r="AM160" s="458">
        <f>AM159-AJ159</f>
        <v>97.899999999999977</v>
      </c>
      <c r="AN160" s="458">
        <f>AN159-AK159</f>
        <v>68.899999999999949</v>
      </c>
      <c r="AO160" s="458">
        <f>AO159-AN159</f>
        <v>21</v>
      </c>
      <c r="AP160" s="458">
        <f>AP159-AM159</f>
        <v>64.200000000000017</v>
      </c>
      <c r="AQ160" s="458">
        <f>AQ159-AN159</f>
        <v>22.900000000000034</v>
      </c>
      <c r="AR160" s="458">
        <f>AR159-AQ159</f>
        <v>-64.400000000000006</v>
      </c>
      <c r="AS160" s="458">
        <f>AS159-AP159</f>
        <v>-62.499999999999972</v>
      </c>
      <c r="AT160" s="458">
        <f>AT159-AQ159</f>
        <v>20.599999999999966</v>
      </c>
      <c r="AU160" s="458">
        <f>AU159-AT159</f>
        <v>26.800000000000011</v>
      </c>
      <c r="AV160" s="458">
        <f>AV159-AS159</f>
        <v>111.79999999999998</v>
      </c>
      <c r="AW160" s="458">
        <f>AW159-AT159</f>
        <v>13.100000000000023</v>
      </c>
      <c r="AX160" s="458">
        <f>AX159-AW159</f>
        <v>-49.100000000000023</v>
      </c>
      <c r="AY160" s="458">
        <f>AY159-AV159</f>
        <v>-62.600000000000023</v>
      </c>
      <c r="AZ160" s="458">
        <f>AZ159-AW159</f>
        <v>-0.70000000000004547</v>
      </c>
      <c r="BA160" s="458">
        <f>BA159-AZ159</f>
        <v>-56.899999999999977</v>
      </c>
      <c r="BB160" s="458">
        <f>BB159-AY159</f>
        <v>-8.6999999999999886</v>
      </c>
      <c r="BC160" s="458">
        <f>BC159-AZ159</f>
        <v>62</v>
      </c>
      <c r="BD160" s="458">
        <f>BD159-BC159</f>
        <v>-35.800000000000011</v>
      </c>
      <c r="BE160" s="458">
        <f>BE159-BB159</f>
        <v>83.099999999999966</v>
      </c>
      <c r="BF160" s="458">
        <f>BF159-BC159</f>
        <v>2.9009114332063177</v>
      </c>
      <c r="BG160" s="458">
        <f>BG159-BF159</f>
        <v>-31.319280244180447</v>
      </c>
      <c r="BH160" s="458">
        <f>BH159-BE159</f>
        <v>7.3816311890258817</v>
      </c>
      <c r="BI160" s="458">
        <f>BI159-BF159</f>
        <v>-14.917359782339361</v>
      </c>
      <c r="BJ160" s="458">
        <f>BJ159-BI159</f>
        <v>-55.24583265313521</v>
      </c>
      <c r="BK160" s="458">
        <f>BK159-BH159</f>
        <v>-38.843912191294123</v>
      </c>
      <c r="BL160" s="458">
        <f>BL159-BI159</f>
        <v>-27.206690578104656</v>
      </c>
      <c r="BM160" s="458">
        <f>BM159-BL159</f>
        <v>-55.314627197410118</v>
      </c>
      <c r="BN160" s="458">
        <f>BN159-BK159</f>
        <v>-27.275485122379564</v>
      </c>
      <c r="BO160" s="458">
        <f>BO159-BL159</f>
        <v>-32.286298275210356</v>
      </c>
      <c r="BP160" s="458">
        <f>BP159-BO159</f>
        <v>-90.543018768130736</v>
      </c>
      <c r="BQ160" s="458">
        <f>BQ159-BN159</f>
        <v>-67.514689845930974</v>
      </c>
      <c r="BR160" s="458">
        <f>BR159-BO159</f>
        <v>-96.669712411548318</v>
      </c>
      <c r="BS160" s="458">
        <f>BS159-BR159</f>
        <v>-92.873705466474064</v>
      </c>
      <c r="BT160" s="458">
        <f>BT159-BQ159</f>
        <v>-99.000399109891646</v>
      </c>
      <c r="BU160" s="458">
        <f>BU159-BR159</f>
        <v>-99.207392394044916</v>
      </c>
      <c r="BV160" s="458">
        <f>BV159-BU159</f>
        <v>-99.733422486518919</v>
      </c>
      <c r="BW160" s="458">
        <f>BW159-BT159</f>
        <v>-106.06710941408977</v>
      </c>
      <c r="BX160" s="458">
        <f>BX159-BU159</f>
        <v>-109.74248325725631</v>
      </c>
      <c r="BY160" s="458">
        <f>BY159-BX159</f>
        <v>-103.59502922672522</v>
      </c>
      <c r="BZ160" s="458">
        <f>BZ159-BW159</f>
        <v>-113.60408999746261</v>
      </c>
      <c r="CA160" s="458">
        <f>CA159-BX159</f>
        <v>-109.55482970258618</v>
      </c>
      <c r="CB160" s="458">
        <f>CB159-CA159</f>
        <v>-107.65514022260443</v>
      </c>
      <c r="CC160" s="458">
        <f>CC159-BZ159</f>
        <v>-113.6149406984654</v>
      </c>
      <c r="CD160" s="33"/>
      <c r="CE160" s="33"/>
    </row>
    <row r="161" spans="2:83" outlineLevel="1">
      <c r="D161" s="33"/>
      <c r="E161" s="33"/>
      <c r="F161" s="33"/>
      <c r="G161" s="33"/>
      <c r="H161" s="33"/>
      <c r="I161" s="33"/>
      <c r="J161" s="33"/>
      <c r="K161" s="33"/>
      <c r="L161" s="33"/>
      <c r="M161" s="33"/>
      <c r="N161" s="33"/>
      <c r="O161" s="33"/>
      <c r="P161" s="33"/>
      <c r="Q161" s="33"/>
      <c r="R161" s="33"/>
      <c r="S161" s="33"/>
      <c r="T161" s="33"/>
      <c r="U161" s="33"/>
      <c r="V161" s="33"/>
      <c r="W161" s="33"/>
      <c r="X161" s="33"/>
      <c r="Y161" s="33"/>
      <c r="Z161" s="33"/>
      <c r="AA161" s="33"/>
      <c r="AB161" s="33"/>
      <c r="AC161" s="33"/>
      <c r="AD161" s="458"/>
      <c r="AE161" s="458"/>
      <c r="AF161" s="458"/>
      <c r="AG161" s="458"/>
      <c r="AH161" s="458"/>
      <c r="AI161" s="458"/>
      <c r="AJ161" s="458"/>
      <c r="AK161" s="458"/>
      <c r="AL161" s="458"/>
      <c r="AM161" s="501"/>
      <c r="AN161" s="458"/>
      <c r="AO161" s="458"/>
      <c r="AP161" s="458"/>
      <c r="AQ161" s="458"/>
      <c r="AR161" s="458"/>
      <c r="AS161" s="458"/>
      <c r="AT161" s="458"/>
      <c r="AU161" s="458"/>
      <c r="AV161" s="458"/>
      <c r="AW161" s="458"/>
      <c r="AX161" s="458"/>
      <c r="AY161" s="458"/>
      <c r="AZ161" s="458"/>
      <c r="BA161" s="458"/>
      <c r="BB161" s="458"/>
      <c r="BC161" s="458"/>
      <c r="BD161" s="458"/>
      <c r="BE161" s="458"/>
      <c r="BF161" s="458"/>
      <c r="BG161" s="458"/>
      <c r="BH161" s="458"/>
      <c r="BI161" s="458"/>
      <c r="BJ161" s="458"/>
      <c r="BK161" s="458"/>
      <c r="BL161" s="458"/>
      <c r="BM161" s="458"/>
      <c r="BN161" s="458"/>
      <c r="BO161" s="458"/>
      <c r="BP161" s="458"/>
      <c r="BQ161" s="458"/>
      <c r="BR161" s="458"/>
      <c r="BS161" s="458"/>
      <c r="BT161" s="458"/>
      <c r="BU161" s="458"/>
      <c r="BV161" s="458"/>
      <c r="BW161" s="458"/>
      <c r="BX161" s="458"/>
      <c r="BY161" s="458"/>
      <c r="BZ161" s="458"/>
      <c r="CA161" s="458"/>
      <c r="CB161" s="458"/>
      <c r="CC161" s="458"/>
      <c r="CD161" s="33"/>
      <c r="CE161" s="33"/>
    </row>
    <row r="162" spans="2:83" outlineLevel="1">
      <c r="B162" s="257" t="s">
        <v>3</v>
      </c>
      <c r="D162" s="33"/>
      <c r="E162" s="33"/>
      <c r="F162" s="33"/>
      <c r="G162" s="33"/>
      <c r="H162" s="33"/>
      <c r="I162" s="33"/>
      <c r="J162" s="33"/>
      <c r="K162" s="33"/>
      <c r="L162" s="33"/>
      <c r="M162" s="33"/>
      <c r="N162" s="33"/>
      <c r="O162" s="33"/>
      <c r="P162" s="33"/>
      <c r="Q162" s="33"/>
      <c r="R162" s="33"/>
      <c r="S162" s="33"/>
      <c r="T162" s="33"/>
      <c r="U162" s="33"/>
      <c r="V162" s="33"/>
      <c r="W162" s="33"/>
      <c r="X162" s="33"/>
      <c r="Y162" s="33"/>
      <c r="Z162" s="33"/>
      <c r="AA162" s="33"/>
      <c r="AB162" s="33"/>
      <c r="AC162" s="33"/>
      <c r="AD162" s="458">
        <f>-AD60/AD66</f>
        <v>5.5946745562130191</v>
      </c>
      <c r="AE162" s="458">
        <f t="shared" ref="AE162:BN162" si="127">-AE60/AE66</f>
        <v>6.6018518518518521</v>
      </c>
      <c r="AF162" s="458">
        <f t="shared" si="127"/>
        <v>19.322033898305083</v>
      </c>
      <c r="AG162" s="458">
        <f t="shared" si="127"/>
        <v>11.095808383233534</v>
      </c>
      <c r="AH162" s="458">
        <f t="shared" si="127"/>
        <v>14.954545454545455</v>
      </c>
      <c r="AI162" s="458">
        <f t="shared" si="127"/>
        <v>15.878378378378374</v>
      </c>
      <c r="AJ162" s="458">
        <f t="shared" si="127"/>
        <v>15.44285714285714</v>
      </c>
      <c r="AK162" s="458">
        <f t="shared" si="127"/>
        <v>11.696202531645568</v>
      </c>
      <c r="AL162" s="458">
        <f t="shared" si="127"/>
        <v>14.395604395604396</v>
      </c>
      <c r="AM162" s="458">
        <f t="shared" si="127"/>
        <v>13.141176470588233</v>
      </c>
      <c r="AN162" s="458">
        <f t="shared" si="127"/>
        <v>11.867469879518071</v>
      </c>
      <c r="AO162" s="458">
        <f t="shared" si="127"/>
        <v>19.556962025316462</v>
      </c>
      <c r="AP162" s="458">
        <f t="shared" si="127"/>
        <v>15.19151846785226</v>
      </c>
      <c r="AQ162" s="458">
        <f t="shared" si="127"/>
        <v>17.148148148148149</v>
      </c>
      <c r="AR162" s="458">
        <f t="shared" si="127"/>
        <v>14.954022988505749</v>
      </c>
      <c r="AS162" s="458">
        <f t="shared" si="127"/>
        <v>15.794326241134751</v>
      </c>
      <c r="AT162" s="458">
        <f t="shared" si="127"/>
        <v>12.847222222222223</v>
      </c>
      <c r="AU162" s="458">
        <f t="shared" si="127"/>
        <v>19.576923076923066</v>
      </c>
      <c r="AV162" s="458">
        <f t="shared" si="127"/>
        <v>16.346666666666668</v>
      </c>
      <c r="AW162" s="458">
        <f t="shared" si="127"/>
        <v>18.046153846153846</v>
      </c>
      <c r="AX162" s="458">
        <f t="shared" si="127"/>
        <v>28.15384615384615</v>
      </c>
      <c r="AY162" s="458">
        <f t="shared" si="127"/>
        <v>23.099999999999998</v>
      </c>
      <c r="AZ162" s="458">
        <f t="shared" si="127"/>
        <v>18.16393442622951</v>
      </c>
      <c r="BA162" s="458">
        <f t="shared" si="127"/>
        <v>28.759259259259263</v>
      </c>
      <c r="BB162" s="458">
        <f t="shared" si="127"/>
        <v>23.139130434782604</v>
      </c>
      <c r="BC162" s="458">
        <f t="shared" si="127"/>
        <v>19.727272727272727</v>
      </c>
      <c r="BD162" s="458">
        <f t="shared" ref="BD162:BE162" si="128">-BD60/BD66</f>
        <v>27.318181818181831</v>
      </c>
      <c r="BE162" s="458">
        <f t="shared" si="128"/>
        <v>23.86776859504133</v>
      </c>
      <c r="BF162" s="458">
        <f t="shared" si="127"/>
        <v>18.38208378333665</v>
      </c>
      <c r="BG162" s="458">
        <f t="shared" si="127"/>
        <v>31.412272221133492</v>
      </c>
      <c r="BH162" s="458">
        <f t="shared" si="127"/>
        <v>24.929136814357971</v>
      </c>
      <c r="BI162" s="458">
        <f t="shared" si="127"/>
        <v>22.412043746620242</v>
      </c>
      <c r="BJ162" s="458">
        <f t="shared" si="127"/>
        <v>31.664772128482532</v>
      </c>
      <c r="BK162" s="458">
        <f t="shared" si="127"/>
        <v>27.140786959182929</v>
      </c>
      <c r="BL162" s="458">
        <f t="shared" si="127"/>
        <v>26.507193439673209</v>
      </c>
      <c r="BM162" s="458">
        <f t="shared" si="127"/>
        <v>35.802603032416201</v>
      </c>
      <c r="BN162" s="458">
        <f t="shared" si="127"/>
        <v>31.347924497679816</v>
      </c>
      <c r="BO162" s="458">
        <f>-BO60/BO66</f>
        <v>31.431178661276309</v>
      </c>
      <c r="BP162" s="458">
        <f>-BP60/BP66</f>
        <v>40.763251745708153</v>
      </c>
      <c r="BQ162" s="458">
        <f>-BQ60/BQ66</f>
        <v>36.271771280771922</v>
      </c>
      <c r="BR162" s="458">
        <f t="shared" ref="BR162:CC162" si="129">-BR60/BR66</f>
        <v>40.011260554440668</v>
      </c>
      <c r="BS162" s="458">
        <f t="shared" si="129"/>
        <v>61.526705618511137</v>
      </c>
      <c r="BT162" s="458">
        <f t="shared" si="129"/>
        <v>50.622966778223073</v>
      </c>
      <c r="BU162" s="458">
        <f t="shared" si="129"/>
        <v>76.56488269031793</v>
      </c>
      <c r="BV162" s="458">
        <f t="shared" si="129"/>
        <v>119.40888597388023</v>
      </c>
      <c r="BW162" s="458">
        <f t="shared" si="129"/>
        <v>97.450969708794332</v>
      </c>
      <c r="BX162" s="458">
        <f t="shared" si="129"/>
        <v>453.15273077788214</v>
      </c>
      <c r="BY162" s="458">
        <f t="shared" si="129"/>
        <v>1094.9649111584954</v>
      </c>
      <c r="BZ162" s="458">
        <f t="shared" si="129"/>
        <v>688.09814047419877</v>
      </c>
      <c r="CA162" s="458">
        <f t="shared" si="129"/>
        <v>-90.492687727328857</v>
      </c>
      <c r="CB162" s="458">
        <f t="shared" si="129"/>
        <v>-121.08504694398847</v>
      </c>
      <c r="CC162" s="458">
        <f t="shared" si="129"/>
        <v>-106.16023329698744</v>
      </c>
      <c r="CD162" s="33"/>
      <c r="CE162" s="33"/>
    </row>
    <row r="163" spans="2:83" outlineLevel="1">
      <c r="B163" s="257" t="s">
        <v>128</v>
      </c>
      <c r="D163" s="33"/>
      <c r="E163" s="33"/>
      <c r="F163" s="33"/>
      <c r="G163" s="33"/>
      <c r="H163" s="33"/>
      <c r="I163" s="33"/>
      <c r="J163" s="33"/>
      <c r="K163" s="33"/>
      <c r="L163" s="33"/>
      <c r="M163" s="33"/>
      <c r="N163" s="33"/>
      <c r="O163" s="33"/>
      <c r="P163" s="33"/>
      <c r="Q163" s="33"/>
      <c r="R163" s="33"/>
      <c r="S163" s="33"/>
      <c r="T163" s="33"/>
      <c r="U163" s="33"/>
      <c r="V163" s="33"/>
      <c r="W163" s="33"/>
      <c r="X163" s="33"/>
      <c r="Y163" s="33"/>
      <c r="Z163" s="33"/>
      <c r="AA163" s="33"/>
      <c r="AB163" s="33"/>
      <c r="AC163" s="33"/>
      <c r="AD163" s="458">
        <f>AD159/AD45</f>
        <v>1.8012076172782159</v>
      </c>
      <c r="AE163" s="458">
        <f>AE159/(AE45*2)</f>
        <v>1.4801812004530008</v>
      </c>
      <c r="AF163" s="458">
        <f>AF159/(AF45*2)</f>
        <v>0.6949286846275754</v>
      </c>
      <c r="AG163" s="458">
        <f>AG159/AG45</f>
        <v>0.81771561771561763</v>
      </c>
      <c r="AH163" s="458">
        <f>AH159/(AH45*2)</f>
        <v>0.82078039927404711</v>
      </c>
      <c r="AI163" s="458">
        <f>AI159/(AI45*2)</f>
        <v>0.58563535911602205</v>
      </c>
      <c r="AJ163" s="458">
        <f>AJ159/AJ45</f>
        <v>0.62642465175179418</v>
      </c>
      <c r="AK163" s="458">
        <f>AK159/(AK45*2)</f>
        <v>1.0740019474196694</v>
      </c>
      <c r="AL163" s="458">
        <f>AL159/(AL45*2)</f>
        <v>0.8623949579831931</v>
      </c>
      <c r="AM163" s="458">
        <f>AM159/AM45</f>
        <v>1.0032586558044805</v>
      </c>
      <c r="AN163" s="458">
        <f>AN159/(AN45*2)</f>
        <v>1.258695652173913</v>
      </c>
      <c r="AO163" s="458">
        <f>AO159/(AO45*2)</f>
        <v>1.0736514522821576</v>
      </c>
      <c r="AP163" s="458">
        <f>AP159/AP45</f>
        <v>1.1960708782742679</v>
      </c>
      <c r="AQ163" s="458">
        <f>AQ159/(AQ45*2)</f>
        <v>1.3701754385964913</v>
      </c>
      <c r="AR163" s="458">
        <f>AR159/(AR45*2)</f>
        <v>0.79896907216494861</v>
      </c>
      <c r="AS163" s="458">
        <f>AS159/AS45</f>
        <v>0.92124814264487387</v>
      </c>
      <c r="AT163" s="458">
        <f>AT159/(AT45*2)</f>
        <v>1.4390665514261018</v>
      </c>
      <c r="AU163" s="458">
        <f>AU159/(AU45*2)</f>
        <v>0.99502212389380562</v>
      </c>
      <c r="AV163" s="458">
        <f>AV159/AV45</f>
        <v>1.2134907251264755</v>
      </c>
      <c r="AW163" s="458">
        <f>AW159/(AW45*2)</f>
        <v>1.190165061898212</v>
      </c>
      <c r="AX163" s="458">
        <f>AX159/(AX45*2)</f>
        <v>0.69783834586466176</v>
      </c>
      <c r="AY163" s="458">
        <f>AY159/AY45</f>
        <v>0.82970407593523166</v>
      </c>
      <c r="AZ163" s="458">
        <f>AZ159/(AZ45*2)</f>
        <v>1.2496382054992761</v>
      </c>
      <c r="BA163" s="458">
        <f>BA159/(BA45*2)</f>
        <v>0.8126760563380282</v>
      </c>
      <c r="BB163" s="458">
        <f>BB159/BB45</f>
        <v>0.91384225530567009</v>
      </c>
      <c r="BC163" s="458">
        <f>BC159/(BC45*2)</f>
        <v>1.5235602094240839</v>
      </c>
      <c r="BD163" s="458">
        <f>BD159/(BD45*2)</f>
        <v>0.91753086419753049</v>
      </c>
      <c r="BE163" s="458">
        <f>BE159/BE45</f>
        <v>1.1052944675788219</v>
      </c>
      <c r="BF163" s="458">
        <f>BF159/(BF45*2)</f>
        <v>1.5021759966565176</v>
      </c>
      <c r="BG163" s="458">
        <f>BG159/(BG45*2)</f>
        <v>0.89442202361727174</v>
      </c>
      <c r="BH163" s="458">
        <f>BH159/BH45</f>
        <v>1.0876922795788364</v>
      </c>
      <c r="BI163" s="458">
        <f>BI159/(BI45*2)</f>
        <v>1.2723778864825608</v>
      </c>
      <c r="BJ163" s="458">
        <f>BJ159/(BJ45*2)</f>
        <v>0.79308054216384638</v>
      </c>
      <c r="BK163" s="458">
        <f>BK159/BK45</f>
        <v>0.91975661101974937</v>
      </c>
      <c r="BL163" s="458">
        <f>BL159/(BL45*2)</f>
        <v>1.1325632352272623</v>
      </c>
      <c r="BM163" s="458">
        <f>BM159/(BM45*2)</f>
        <v>0.69882644566433227</v>
      </c>
      <c r="BN163" s="458">
        <f>BN159/BN45</f>
        <v>0.80970640794372928</v>
      </c>
      <c r="BO163" s="458">
        <f>BO159/(BO45*2)</f>
        <v>0.9672775608553118</v>
      </c>
      <c r="BP163" s="458">
        <f>BP159/(BP45*2)</f>
        <v>0.53120482948872694</v>
      </c>
      <c r="BQ163" s="458">
        <f>BQ159/BQ45</f>
        <v>0.60645265545817184</v>
      </c>
      <c r="BR163" s="458">
        <f>BR159/(BR45*2)</f>
        <v>0.69376867706866763</v>
      </c>
      <c r="BS163" s="458">
        <f>BS159/(BS45*2)</f>
        <v>0.30280303946480386</v>
      </c>
      <c r="BT163" s="458">
        <f>BT159/BT45</f>
        <v>0.35344360858376994</v>
      </c>
      <c r="BU163" s="458">
        <f>BU159/(BU45*2)</f>
        <v>0.38011870374216444</v>
      </c>
      <c r="BV163" s="458">
        <f>BV159/(BV45*2)</f>
        <v>7.8213289352764323E-2</v>
      </c>
      <c r="BW163" s="458">
        <f>BW159/BW45</f>
        <v>9.1198994105892855E-2</v>
      </c>
      <c r="BX163" s="458">
        <f>BX159/(BX45*2)</f>
        <v>7.714851846072586E-2</v>
      </c>
      <c r="BY163" s="458">
        <f>BY159/(BY45*2)</f>
        <v>-0.13996333566826152</v>
      </c>
      <c r="BZ163" s="458">
        <f>BZ159/BZ45</f>
        <v>-0.16005195203917078</v>
      </c>
      <c r="CA163" s="458">
        <f>CA159/(CA45*2)</f>
        <v>-0.19955863118857903</v>
      </c>
      <c r="CB163" s="458">
        <f>CB159/(CB45*2)</f>
        <v>-0.35074622294537927</v>
      </c>
      <c r="CC163" s="458">
        <f>CC159/CC45</f>
        <v>-0.40190217822130991</v>
      </c>
      <c r="CD163" s="33"/>
      <c r="CE163" s="33"/>
    </row>
    <row r="164" spans="2:83" outlineLevel="1">
      <c r="B164" s="257" t="s">
        <v>225</v>
      </c>
      <c r="D164" s="33"/>
      <c r="E164" s="33"/>
      <c r="F164" s="33"/>
      <c r="G164" s="33"/>
      <c r="H164" s="33"/>
      <c r="I164" s="33"/>
      <c r="J164" s="33"/>
      <c r="K164" s="33"/>
      <c r="L164" s="33"/>
      <c r="M164" s="33"/>
      <c r="N164" s="33"/>
      <c r="O164" s="33"/>
      <c r="P164" s="33"/>
      <c r="Q164" s="33"/>
      <c r="R164" s="33"/>
      <c r="S164" s="33"/>
      <c r="T164" s="33"/>
      <c r="U164" s="33"/>
      <c r="V164" s="33"/>
      <c r="W164" s="33"/>
      <c r="X164" s="33"/>
      <c r="Y164" s="33"/>
      <c r="Z164" s="33"/>
      <c r="AA164" s="33"/>
      <c r="AB164" s="33"/>
      <c r="AC164" s="33"/>
      <c r="AD164" s="458"/>
      <c r="AE164" s="458"/>
      <c r="AF164" s="458"/>
      <c r="AG164" s="458"/>
      <c r="AH164" s="458"/>
      <c r="AJ164" s="458"/>
      <c r="CD164" s="33"/>
      <c r="CE164" s="33"/>
    </row>
    <row r="165" spans="2:83" outlineLevel="1">
      <c r="B165" s="488" t="s">
        <v>482</v>
      </c>
      <c r="D165" s="33"/>
      <c r="E165" s="33"/>
      <c r="F165" s="33"/>
      <c r="G165" s="33"/>
      <c r="H165" s="33"/>
      <c r="I165" s="33"/>
      <c r="J165" s="33"/>
      <c r="K165" s="33"/>
      <c r="L165" s="33"/>
      <c r="M165" s="33"/>
      <c r="N165" s="33"/>
      <c r="O165" s="33"/>
      <c r="P165" s="33"/>
      <c r="Q165" s="33"/>
      <c r="R165" s="33"/>
      <c r="S165" s="33"/>
      <c r="T165" s="33"/>
      <c r="U165" s="33"/>
      <c r="V165" s="33"/>
      <c r="W165" s="33"/>
      <c r="X165" s="33"/>
      <c r="Y165" s="33"/>
      <c r="Z165" s="33"/>
      <c r="AA165" s="33"/>
      <c r="AB165" s="33"/>
      <c r="AC165" s="33"/>
      <c r="AD165" s="458"/>
      <c r="AE165" s="458"/>
      <c r="AF165" s="458"/>
      <c r="AG165" s="458"/>
      <c r="AH165" s="458"/>
      <c r="AJ165" s="458"/>
      <c r="AT165" s="502"/>
      <c r="AU165" s="502"/>
      <c r="AV165" s="502"/>
      <c r="AW165" s="502"/>
      <c r="AX165" s="502"/>
      <c r="AY165" s="502"/>
      <c r="AZ165" s="502"/>
      <c r="BA165" s="502"/>
      <c r="BB165" s="502"/>
      <c r="BC165" s="502"/>
      <c r="BD165" s="502"/>
      <c r="BE165" s="502"/>
      <c r="BF165" s="502"/>
      <c r="BG165" s="502"/>
      <c r="BH165" s="502"/>
      <c r="BI165" s="502"/>
      <c r="BJ165" s="502"/>
      <c r="BK165" s="502"/>
      <c r="BL165" s="502"/>
      <c r="BM165" s="502"/>
      <c r="BN165" s="502"/>
      <c r="BO165" s="502"/>
      <c r="BP165" s="502"/>
      <c r="BQ165" s="502"/>
      <c r="BR165" s="502"/>
      <c r="BS165" s="502"/>
      <c r="BT165" s="502"/>
      <c r="BU165" s="502"/>
      <c r="BV165" s="502"/>
      <c r="BW165" s="502"/>
      <c r="BX165" s="502"/>
      <c r="BY165" s="502"/>
      <c r="BZ165" s="502"/>
      <c r="CA165" s="502"/>
      <c r="CB165" s="502"/>
      <c r="CC165" s="502"/>
      <c r="CD165" s="33"/>
      <c r="CE165" s="33"/>
    </row>
    <row r="166" spans="2:83" outlineLevel="1">
      <c r="B166" s="257" t="s">
        <v>483</v>
      </c>
      <c r="C166" s="257" t="s">
        <v>420</v>
      </c>
      <c r="D166" s="33"/>
      <c r="E166" s="33"/>
      <c r="F166" s="33"/>
      <c r="G166" s="33"/>
      <c r="H166" s="33"/>
      <c r="I166" s="33"/>
      <c r="J166" s="33"/>
      <c r="K166" s="33"/>
      <c r="L166" s="33"/>
      <c r="M166" s="33"/>
      <c r="N166" s="33"/>
      <c r="O166" s="33"/>
      <c r="P166" s="33"/>
      <c r="Q166" s="33"/>
      <c r="R166" s="33"/>
      <c r="S166" s="33"/>
      <c r="T166" s="33"/>
      <c r="U166" s="33"/>
      <c r="V166" s="33"/>
      <c r="W166" s="33"/>
      <c r="X166" s="33"/>
      <c r="Y166" s="33"/>
      <c r="Z166" s="33"/>
      <c r="AA166" s="33"/>
      <c r="AB166" s="33"/>
      <c r="AC166" s="33"/>
      <c r="AD166" s="458"/>
      <c r="AE166" s="458">
        <f>AD167</f>
        <v>410.9</v>
      </c>
      <c r="AF166" s="458">
        <f>AE167</f>
        <v>270.89999999999998</v>
      </c>
      <c r="AG166" s="458">
        <f>AD167</f>
        <v>410.9</v>
      </c>
      <c r="AH166" s="458">
        <f>AG167</f>
        <v>200.9</v>
      </c>
      <c r="AI166" s="458">
        <f>AH167</f>
        <v>230.39999999999998</v>
      </c>
      <c r="AJ166" s="458">
        <f>AG167</f>
        <v>200.9</v>
      </c>
      <c r="AK166" s="458">
        <f>AJ167</f>
        <v>151.20000000000002</v>
      </c>
      <c r="AL166" s="458">
        <f>AK167</f>
        <v>259.70000000000005</v>
      </c>
      <c r="AM166" s="458">
        <f>AJ167</f>
        <v>151.20000000000002</v>
      </c>
      <c r="AN166" s="458">
        <f>AM167</f>
        <v>259.39999999999998</v>
      </c>
      <c r="AO166" s="458">
        <f>AN167</f>
        <v>309.60000000000002</v>
      </c>
      <c r="AP166" s="458">
        <f>AM167</f>
        <v>259.39999999999998</v>
      </c>
      <c r="AQ166" s="458">
        <f>AP167</f>
        <v>319.3</v>
      </c>
      <c r="AR166" s="458">
        <f>AQ167</f>
        <v>358.8</v>
      </c>
      <c r="AS166" s="458">
        <f>AP167</f>
        <v>319.3</v>
      </c>
      <c r="AT166" s="503">
        <f>AS167</f>
        <v>259.10000000000002</v>
      </c>
      <c r="AU166" s="503">
        <f>AT167</f>
        <v>379.3</v>
      </c>
      <c r="AV166" s="503">
        <f>AS167</f>
        <v>259.10000000000002</v>
      </c>
      <c r="AW166" s="503">
        <f>AV167</f>
        <v>391.5</v>
      </c>
      <c r="AX166" s="503">
        <f>AW167</f>
        <v>391</v>
      </c>
      <c r="AY166" s="503">
        <f>AV167</f>
        <v>391.5</v>
      </c>
      <c r="AZ166" s="503">
        <f>AY167</f>
        <v>330.5</v>
      </c>
      <c r="BA166" s="503">
        <f>AZ167</f>
        <v>390.4</v>
      </c>
      <c r="BB166" s="503">
        <f>AY167</f>
        <v>330.5</v>
      </c>
      <c r="BC166" s="503">
        <f>BB167</f>
        <v>310</v>
      </c>
      <c r="BD166" s="503">
        <f>BC167</f>
        <v>469.2</v>
      </c>
      <c r="BE166" s="503">
        <f>BB167</f>
        <v>310</v>
      </c>
      <c r="BF166" s="503">
        <f>BE167</f>
        <v>429.2</v>
      </c>
      <c r="BG166" s="503">
        <f>BF167</f>
        <v>467.90091143320632</v>
      </c>
      <c r="BH166" s="503">
        <f>BE167</f>
        <v>429.2</v>
      </c>
      <c r="BI166" s="503">
        <f>BH167</f>
        <v>436.58163118902587</v>
      </c>
      <c r="BJ166" s="503">
        <f>BI167</f>
        <v>452.98355165086696</v>
      </c>
      <c r="BK166" s="503">
        <f>BH167</f>
        <v>436.58163118902587</v>
      </c>
      <c r="BL166" s="503">
        <f>BK167</f>
        <v>397.73771899773175</v>
      </c>
      <c r="BM166" s="503">
        <f>BL167</f>
        <v>425.7768610727623</v>
      </c>
      <c r="BN166" s="503">
        <f>BK167</f>
        <v>397.73771899773175</v>
      </c>
      <c r="BO166" s="503">
        <f>BN167</f>
        <v>370.46223387535218</v>
      </c>
      <c r="BP166" s="503">
        <f>BO167</f>
        <v>393.49056279755195</v>
      </c>
      <c r="BQ166" s="503">
        <f>BN167</f>
        <v>370.46223387535218</v>
      </c>
      <c r="BR166" s="503">
        <f>BQ167</f>
        <v>302.94754402942118</v>
      </c>
      <c r="BS166" s="503">
        <f>BR167</f>
        <v>296.8208503860036</v>
      </c>
      <c r="BT166" s="503">
        <f>BQ167</f>
        <v>302.94754402942118</v>
      </c>
      <c r="BU166" s="503">
        <f>BT167</f>
        <v>203.94714491952953</v>
      </c>
      <c r="BV166" s="503">
        <f>BU167</f>
        <v>197.61345799195868</v>
      </c>
      <c r="BW166" s="503">
        <f>BT167</f>
        <v>203.94714491952953</v>
      </c>
      <c r="BX166" s="503">
        <f>BW167</f>
        <v>97.880035505439778</v>
      </c>
      <c r="BY166" s="503">
        <f>BX167</f>
        <v>87.870974734702372</v>
      </c>
      <c r="BZ166" s="503">
        <f>BW167</f>
        <v>97.880035505439778</v>
      </c>
      <c r="CA166" s="503">
        <f>BZ167</f>
        <v>87.870974734702372</v>
      </c>
      <c r="CB166" s="503">
        <f>CA167</f>
        <v>81.911174258841399</v>
      </c>
      <c r="CC166" s="503">
        <f>BZ167</f>
        <v>87.870974734702372</v>
      </c>
      <c r="CD166" s="33"/>
      <c r="CE166" s="33"/>
    </row>
    <row r="167" spans="2:83" outlineLevel="1">
      <c r="B167" s="257" t="s">
        <v>484</v>
      </c>
      <c r="C167" s="257" t="s">
        <v>420</v>
      </c>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458">
        <f t="shared" ref="AD167:AJ167" si="130">AD157</f>
        <v>410.9</v>
      </c>
      <c r="AE167" s="458">
        <f t="shared" si="130"/>
        <v>270.89999999999998</v>
      </c>
      <c r="AF167" s="458">
        <f t="shared" si="130"/>
        <v>200.9</v>
      </c>
      <c r="AG167" s="458">
        <f t="shared" si="130"/>
        <v>200.9</v>
      </c>
      <c r="AH167" s="458">
        <f t="shared" si="130"/>
        <v>230.39999999999998</v>
      </c>
      <c r="AI167" s="458">
        <f>AJ167</f>
        <v>151.20000000000002</v>
      </c>
      <c r="AJ167" s="458">
        <f t="shared" si="130"/>
        <v>151.20000000000002</v>
      </c>
      <c r="AK167" s="458">
        <f>AK157</f>
        <v>259.70000000000005</v>
      </c>
      <c r="AL167" s="458">
        <f>AM167</f>
        <v>259.39999999999998</v>
      </c>
      <c r="AM167" s="458">
        <f>AM157</f>
        <v>259.39999999999998</v>
      </c>
      <c r="AN167" s="458">
        <f>AN157</f>
        <v>309.60000000000002</v>
      </c>
      <c r="AO167" s="458">
        <f>AP167</f>
        <v>319.3</v>
      </c>
      <c r="AP167" s="458">
        <f>AP157</f>
        <v>319.3</v>
      </c>
      <c r="AQ167" s="458">
        <f>AQ157</f>
        <v>358.8</v>
      </c>
      <c r="AR167" s="458">
        <f>AS167</f>
        <v>259.10000000000002</v>
      </c>
      <c r="AS167" s="458">
        <f>AS157</f>
        <v>259.10000000000002</v>
      </c>
      <c r="AT167" s="503">
        <f>AT157</f>
        <v>379.3</v>
      </c>
      <c r="AU167" s="503">
        <f>AV167</f>
        <v>391.5</v>
      </c>
      <c r="AV167" s="503">
        <f>AV157</f>
        <v>391.5</v>
      </c>
      <c r="AW167" s="503">
        <f>AW157</f>
        <v>391</v>
      </c>
      <c r="AX167" s="503">
        <f>AY167</f>
        <v>330.5</v>
      </c>
      <c r="AY167" s="503">
        <f>AY157</f>
        <v>330.5</v>
      </c>
      <c r="AZ167" s="503">
        <f>AZ157</f>
        <v>390.4</v>
      </c>
      <c r="BA167" s="503">
        <f>BB167</f>
        <v>310</v>
      </c>
      <c r="BB167" s="503">
        <f>BB157</f>
        <v>310</v>
      </c>
      <c r="BC167" s="503">
        <f>BC157</f>
        <v>469.2</v>
      </c>
      <c r="BD167" s="503">
        <f>BE167</f>
        <v>429.2</v>
      </c>
      <c r="BE167" s="503">
        <f>BE157</f>
        <v>429.2</v>
      </c>
      <c r="BF167" s="503">
        <f>BF157</f>
        <v>467.90091143320632</v>
      </c>
      <c r="BG167" s="503">
        <f>BH167</f>
        <v>436.58163118902587</v>
      </c>
      <c r="BH167" s="503">
        <f>BH157</f>
        <v>436.58163118902587</v>
      </c>
      <c r="BI167" s="503">
        <f>BI157</f>
        <v>452.98355165086696</v>
      </c>
      <c r="BJ167" s="503">
        <f>BK167</f>
        <v>397.73771899773175</v>
      </c>
      <c r="BK167" s="503">
        <f>BK157</f>
        <v>397.73771899773175</v>
      </c>
      <c r="BL167" s="503">
        <f>BL157</f>
        <v>425.7768610727623</v>
      </c>
      <c r="BM167" s="503">
        <f>BN167</f>
        <v>370.46223387535218</v>
      </c>
      <c r="BN167" s="503">
        <f>BN157</f>
        <v>370.46223387535218</v>
      </c>
      <c r="BO167" s="503">
        <f>BO157</f>
        <v>393.49056279755195</v>
      </c>
      <c r="BP167" s="503">
        <f>BQ167</f>
        <v>302.94754402942118</v>
      </c>
      <c r="BQ167" s="503">
        <f>BQ157</f>
        <v>302.94754402942118</v>
      </c>
      <c r="BR167" s="503">
        <f>BR157</f>
        <v>296.8208503860036</v>
      </c>
      <c r="BS167" s="503">
        <f>BT167</f>
        <v>203.94714491952953</v>
      </c>
      <c r="BT167" s="503">
        <f>BT157</f>
        <v>203.94714491952953</v>
      </c>
      <c r="BU167" s="503">
        <f>BU157</f>
        <v>197.61345799195868</v>
      </c>
      <c r="BV167" s="503">
        <f>BW167</f>
        <v>97.880035505439778</v>
      </c>
      <c r="BW167" s="503">
        <f>BW157</f>
        <v>97.880035505439778</v>
      </c>
      <c r="BX167" s="503">
        <f>BX157</f>
        <v>87.870974734702372</v>
      </c>
      <c r="BY167" s="503">
        <f>BZ167</f>
        <v>87.870974734702372</v>
      </c>
      <c r="BZ167" s="503">
        <f>BZ157</f>
        <v>87.870974734702372</v>
      </c>
      <c r="CA167" s="503">
        <f>CA157</f>
        <v>81.911174258841399</v>
      </c>
      <c r="CB167" s="503">
        <f>CC167</f>
        <v>81.911174258841399</v>
      </c>
      <c r="CC167" s="503">
        <f>CC157</f>
        <v>81.911174258841399</v>
      </c>
      <c r="CD167" s="11"/>
      <c r="CE167" s="11"/>
    </row>
    <row r="168" spans="2:83" outlineLevel="1">
      <c r="B168" s="257" t="s">
        <v>485</v>
      </c>
      <c r="C168" s="257" t="s">
        <v>195</v>
      </c>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275">
        <v>0.5</v>
      </c>
      <c r="AE168" s="275">
        <v>0.5</v>
      </c>
      <c r="AF168" s="275">
        <v>0.5</v>
      </c>
      <c r="AG168" s="275">
        <v>0.5</v>
      </c>
      <c r="AH168" s="275">
        <v>0.5</v>
      </c>
      <c r="AI168" s="275">
        <v>0.5</v>
      </c>
      <c r="AJ168" s="275">
        <v>0.5</v>
      </c>
      <c r="AK168" s="275">
        <v>0.5</v>
      </c>
      <c r="AL168" s="275">
        <v>0.5</v>
      </c>
      <c r="AM168" s="275">
        <v>0.5</v>
      </c>
      <c r="AN168" s="275">
        <v>0.5</v>
      </c>
      <c r="AO168" s="275">
        <v>0.5</v>
      </c>
      <c r="AP168" s="275">
        <v>0.5</v>
      </c>
      <c r="AQ168" s="275">
        <v>0.5</v>
      </c>
      <c r="AR168" s="275">
        <v>0.5</v>
      </c>
      <c r="AS168" s="275">
        <v>0.5</v>
      </c>
      <c r="AT168" s="275">
        <v>0.5</v>
      </c>
      <c r="AU168" s="275">
        <v>0.5</v>
      </c>
      <c r="AV168" s="275">
        <v>0.5</v>
      </c>
      <c r="AW168" s="275">
        <v>0.5</v>
      </c>
      <c r="AX168" s="275">
        <v>0.5</v>
      </c>
      <c r="AY168" s="275">
        <v>0.5</v>
      </c>
      <c r="AZ168" s="275">
        <v>0.5</v>
      </c>
      <c r="BA168" s="275">
        <v>0.5</v>
      </c>
      <c r="BB168" s="275">
        <v>0.5</v>
      </c>
      <c r="BC168" s="275">
        <v>0.5</v>
      </c>
      <c r="BD168" s="275">
        <v>0.5</v>
      </c>
      <c r="BE168" s="275">
        <v>0.5</v>
      </c>
      <c r="BF168" s="491">
        <v>0.5</v>
      </c>
      <c r="BG168" s="491">
        <v>0.5</v>
      </c>
      <c r="BH168" s="491">
        <v>0.5</v>
      </c>
      <c r="BI168" s="491">
        <v>0.5</v>
      </c>
      <c r="BJ168" s="491">
        <v>0.5</v>
      </c>
      <c r="BK168" s="491">
        <v>0.5</v>
      </c>
      <c r="BL168" s="491">
        <v>0.5</v>
      </c>
      <c r="BM168" s="491">
        <v>0.5</v>
      </c>
      <c r="BN168" s="491">
        <v>0.5</v>
      </c>
      <c r="BO168" s="491">
        <v>0.5</v>
      </c>
      <c r="BP168" s="491">
        <v>0.5</v>
      </c>
      <c r="BQ168" s="491">
        <v>0.5</v>
      </c>
      <c r="BR168" s="491">
        <v>0.5</v>
      </c>
      <c r="BS168" s="491">
        <v>0.5</v>
      </c>
      <c r="BT168" s="491">
        <v>0.5</v>
      </c>
      <c r="BU168" s="491">
        <v>0.5</v>
      </c>
      <c r="BV168" s="491">
        <v>0.5</v>
      </c>
      <c r="BW168" s="491">
        <v>0.5</v>
      </c>
      <c r="BX168" s="491">
        <v>0.5</v>
      </c>
      <c r="BY168" s="491">
        <v>0.5</v>
      </c>
      <c r="BZ168" s="491">
        <v>0.5</v>
      </c>
      <c r="CA168" s="491">
        <v>0.5</v>
      </c>
      <c r="CB168" s="491">
        <v>0.5</v>
      </c>
      <c r="CC168" s="491">
        <v>0.5</v>
      </c>
      <c r="CD168" s="33"/>
      <c r="CE168" s="33"/>
    </row>
    <row r="169" spans="2:83" outlineLevel="1">
      <c r="B169" s="257" t="s">
        <v>486</v>
      </c>
      <c r="C169" s="257" t="s">
        <v>420</v>
      </c>
      <c r="D169" s="33"/>
      <c r="E169" s="33"/>
      <c r="F169" s="33"/>
      <c r="G169" s="33"/>
      <c r="H169" s="33"/>
      <c r="I169" s="33"/>
      <c r="J169" s="33"/>
      <c r="K169" s="33"/>
      <c r="L169" s="33"/>
      <c r="M169" s="33"/>
      <c r="N169" s="33"/>
      <c r="O169" s="33"/>
      <c r="P169" s="33"/>
      <c r="Q169" s="33"/>
      <c r="R169" s="33"/>
      <c r="S169" s="33"/>
      <c r="T169" s="33"/>
      <c r="U169" s="33"/>
      <c r="V169" s="33"/>
      <c r="W169" s="33"/>
      <c r="X169" s="33"/>
      <c r="Y169" s="33"/>
      <c r="Z169" s="33"/>
      <c r="AA169" s="33"/>
      <c r="AB169" s="33"/>
      <c r="AC169" s="33"/>
      <c r="AD169" s="458">
        <f t="shared" ref="AD169:AJ169" si="131">AD168*AD167+AD166*(1-AD168)</f>
        <v>205.45</v>
      </c>
      <c r="AE169" s="458">
        <f t="shared" si="131"/>
        <v>340.9</v>
      </c>
      <c r="AF169" s="458">
        <f t="shared" si="131"/>
        <v>235.89999999999998</v>
      </c>
      <c r="AG169" s="458">
        <f t="shared" si="131"/>
        <v>305.89999999999998</v>
      </c>
      <c r="AH169" s="458">
        <f t="shared" si="131"/>
        <v>215.64999999999998</v>
      </c>
      <c r="AI169" s="458">
        <f>AI168*AI167+AI166*(1-AI168)</f>
        <v>190.8</v>
      </c>
      <c r="AJ169" s="458">
        <f t="shared" si="131"/>
        <v>176.05</v>
      </c>
      <c r="AK169" s="458">
        <f t="shared" ref="AK169:AY169" si="132">AK168*AK167+AK166*(1-AK168)</f>
        <v>205.45000000000005</v>
      </c>
      <c r="AL169" s="458">
        <f t="shared" si="132"/>
        <v>259.55</v>
      </c>
      <c r="AM169" s="458">
        <f t="shared" si="132"/>
        <v>205.3</v>
      </c>
      <c r="AN169" s="458">
        <f t="shared" si="132"/>
        <v>284.5</v>
      </c>
      <c r="AO169" s="458">
        <f t="shared" si="132"/>
        <v>314.45000000000005</v>
      </c>
      <c r="AP169" s="458">
        <f t="shared" si="132"/>
        <v>289.35000000000002</v>
      </c>
      <c r="AQ169" s="458">
        <f t="shared" si="132"/>
        <v>339.05</v>
      </c>
      <c r="AR169" s="458">
        <f t="shared" si="132"/>
        <v>308.95000000000005</v>
      </c>
      <c r="AS169" s="458">
        <f t="shared" si="132"/>
        <v>289.20000000000005</v>
      </c>
      <c r="AT169" s="503">
        <f t="shared" si="132"/>
        <v>319.20000000000005</v>
      </c>
      <c r="AU169" s="503">
        <f t="shared" si="132"/>
        <v>385.4</v>
      </c>
      <c r="AV169" s="503">
        <f t="shared" si="132"/>
        <v>325.3</v>
      </c>
      <c r="AW169" s="503">
        <f t="shared" si="132"/>
        <v>391.25</v>
      </c>
      <c r="AX169" s="503">
        <f t="shared" si="132"/>
        <v>360.75</v>
      </c>
      <c r="AY169" s="503">
        <f t="shared" si="132"/>
        <v>361</v>
      </c>
      <c r="AZ169" s="503">
        <f t="shared" ref="AZ169:BN169" si="133">AZ168*AZ167+AZ166*(1-AZ168)</f>
        <v>360.45</v>
      </c>
      <c r="BA169" s="503">
        <f t="shared" si="133"/>
        <v>350.2</v>
      </c>
      <c r="BB169" s="503">
        <f t="shared" si="133"/>
        <v>320.25</v>
      </c>
      <c r="BC169" s="503">
        <f t="shared" si="133"/>
        <v>389.6</v>
      </c>
      <c r="BD169" s="503">
        <f t="shared" ref="BD169:BE169" si="134">BD168*BD167+BD166*(1-BD168)</f>
        <v>449.2</v>
      </c>
      <c r="BE169" s="503">
        <f t="shared" si="134"/>
        <v>369.6</v>
      </c>
      <c r="BF169" s="503">
        <f t="shared" si="133"/>
        <v>448.55045571660315</v>
      </c>
      <c r="BG169" s="503">
        <f t="shared" si="133"/>
        <v>452.24127131111607</v>
      </c>
      <c r="BH169" s="503">
        <f t="shared" si="133"/>
        <v>432.8908155945129</v>
      </c>
      <c r="BI169" s="503">
        <f t="shared" si="133"/>
        <v>444.78259141994641</v>
      </c>
      <c r="BJ169" s="503">
        <f t="shared" si="133"/>
        <v>425.36063532429932</v>
      </c>
      <c r="BK169" s="503">
        <f t="shared" si="133"/>
        <v>417.15967509337884</v>
      </c>
      <c r="BL169" s="503">
        <f t="shared" si="133"/>
        <v>411.75729003524702</v>
      </c>
      <c r="BM169" s="503">
        <f t="shared" si="133"/>
        <v>398.11954747405724</v>
      </c>
      <c r="BN169" s="503">
        <f t="shared" si="133"/>
        <v>384.09997643654197</v>
      </c>
      <c r="BO169" s="503">
        <f>BO168*BO167+BO166*(1-BO168)</f>
        <v>381.97639833645206</v>
      </c>
      <c r="BP169" s="503">
        <f>BP168*BP167+BP166*(1-BP168)</f>
        <v>348.21905341348656</v>
      </c>
      <c r="BQ169" s="503">
        <f>BQ168*BQ167+BQ166*(1-BQ168)</f>
        <v>336.70488895238668</v>
      </c>
      <c r="BR169" s="503">
        <f t="shared" ref="BR169:CC169" si="135">BR168*BR167+BR166*(1-BR168)</f>
        <v>299.88419720771242</v>
      </c>
      <c r="BS169" s="503">
        <f t="shared" si="135"/>
        <v>250.38399765276657</v>
      </c>
      <c r="BT169" s="503">
        <f t="shared" si="135"/>
        <v>253.44734447447536</v>
      </c>
      <c r="BU169" s="503">
        <f t="shared" si="135"/>
        <v>200.78030145574411</v>
      </c>
      <c r="BV169" s="503">
        <f t="shared" si="135"/>
        <v>147.74674674869922</v>
      </c>
      <c r="BW169" s="503">
        <f t="shared" si="135"/>
        <v>150.91359021248465</v>
      </c>
      <c r="BX169" s="503">
        <f t="shared" si="135"/>
        <v>92.875505120071068</v>
      </c>
      <c r="BY169" s="503">
        <f t="shared" si="135"/>
        <v>87.870974734702372</v>
      </c>
      <c r="BZ169" s="503">
        <f t="shared" si="135"/>
        <v>92.875505120071068</v>
      </c>
      <c r="CA169" s="503">
        <f t="shared" si="135"/>
        <v>84.891074496771893</v>
      </c>
      <c r="CB169" s="503">
        <f t="shared" si="135"/>
        <v>81.911174258841399</v>
      </c>
      <c r="CC169" s="503">
        <f t="shared" si="135"/>
        <v>84.891074496771893</v>
      </c>
      <c r="CD169" s="33"/>
      <c r="CE169" s="33"/>
    </row>
    <row r="170" spans="2:83" outlineLevel="1">
      <c r="B170" s="257" t="s">
        <v>487</v>
      </c>
      <c r="C170" s="257" t="s">
        <v>195</v>
      </c>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470">
        <f>-(AD171/AD169)</f>
        <v>0.17960574348990022</v>
      </c>
      <c r="AE170" s="470">
        <f>-(AE171/AE169*2)</f>
        <v>6.9228512760340283E-2</v>
      </c>
      <c r="AF170" s="470">
        <f>-(AF171/AF169*2)</f>
        <v>5.5108096651123366E-2</v>
      </c>
      <c r="AG170" s="470">
        <f>-(AG171/AG169)</f>
        <v>5.9823471722785231E-2</v>
      </c>
      <c r="AH170" s="470">
        <f>-(AH171/AH169*2)</f>
        <v>7.0484581497797363E-2</v>
      </c>
      <c r="AI170" s="104">
        <f>(-AI171-2.9)/AI169*2</f>
        <v>6.0796645702306085E-2</v>
      </c>
      <c r="AJ170" s="104">
        <f>-AJ171/AJ169</f>
        <v>9.2587333143993186E-2</v>
      </c>
      <c r="AK170" s="470">
        <f>-(AK171/AK169*2)</f>
        <v>8.7612557799951307E-2</v>
      </c>
      <c r="AL170" s="470">
        <f>-(AL171/AL169*2)</f>
        <v>8.7073781544981702E-2</v>
      </c>
      <c r="AM170" s="470">
        <f>-(AM171/AM169)</f>
        <v>9.8879688261081344E-2</v>
      </c>
      <c r="AN170" s="470">
        <f>-(AN171/AN169*2)</f>
        <v>6.8892794376098423E-2</v>
      </c>
      <c r="AO170" s="470">
        <f>-(AO171/AO169*2)</f>
        <v>4.7066306249006186E-2</v>
      </c>
      <c r="AP170" s="470">
        <f>-(AP171/AP169)</f>
        <v>5.9443580438914803E-2</v>
      </c>
      <c r="AQ170" s="470">
        <f>-(AQ171/AQ169*2)</f>
        <v>3.6572776876566876E-2</v>
      </c>
      <c r="AR170" s="470">
        <f>-(AR171/AR169*2)</f>
        <v>6.2793332254410084E-2</v>
      </c>
      <c r="AS170" s="470">
        <f>-(AS171/AS169)</f>
        <v>5.4979253112033187E-2</v>
      </c>
      <c r="AT170" s="504">
        <f>-(AT171/AT169*2)</f>
        <v>5.012531328320801E-2</v>
      </c>
      <c r="AU170" s="504">
        <f>-(AU171/AU169*2)</f>
        <v>5.3450960041515318E-2</v>
      </c>
      <c r="AV170" s="470">
        <f>-(AV171/AV169)</f>
        <v>5.6255763910236706E-2</v>
      </c>
      <c r="AW170" s="504">
        <f>-(AW171/AW169*2)</f>
        <v>3.731629392971246E-2</v>
      </c>
      <c r="AX170" s="504">
        <f>-(AX171/AX169*2)</f>
        <v>4.1025641025641026E-2</v>
      </c>
      <c r="AY170" s="504">
        <f>-(AY171/AY169)</f>
        <v>4.0720221606648198E-2</v>
      </c>
      <c r="AZ170" s="504">
        <f>-(AZ171/AZ169*2)</f>
        <v>3.828547648772368E-2</v>
      </c>
      <c r="BA170" s="504">
        <f>-(BA171/BA169*2)</f>
        <v>3.4837235865219876E-2</v>
      </c>
      <c r="BB170" s="504">
        <f>-(BB171/BB169)</f>
        <v>4.0593286494925843E-2</v>
      </c>
      <c r="BC170" s="504">
        <f>-(BC171/BC169*2)</f>
        <v>3.1827515400410678E-2</v>
      </c>
      <c r="BD170" s="504">
        <f>-(BD171/BD169*2)</f>
        <v>3.2947462154942118E-2</v>
      </c>
      <c r="BE170" s="504">
        <f>-(BE171/BE169)</f>
        <v>3.6796536796536793E-2</v>
      </c>
      <c r="BF170" s="504">
        <f>-(BF171/BF169*2)</f>
        <v>3.1728491355428379E-2</v>
      </c>
      <c r="BG170" s="505">
        <f>+BF170</f>
        <v>3.1728491355428379E-2</v>
      </c>
      <c r="BH170" s="505">
        <f>-(BH172/BH169)</f>
        <v>3.3011514098287849E-2</v>
      </c>
      <c r="BI170" s="505">
        <f>+BG170</f>
        <v>3.1728491355428379E-2</v>
      </c>
      <c r="BJ170" s="505">
        <f>+BI170</f>
        <v>3.1728491355428379E-2</v>
      </c>
      <c r="BK170" s="505">
        <f>-(BK172/BK169)</f>
        <v>3.3829445772132663E-2</v>
      </c>
      <c r="BL170" s="505">
        <f>+BJ170</f>
        <v>3.1728491355428379E-2</v>
      </c>
      <c r="BM170" s="505">
        <f>+BL170</f>
        <v>3.1728491355428379E-2</v>
      </c>
      <c r="BN170" s="505">
        <f>-(BN172/BN169)</f>
        <v>3.401311746601627E-2</v>
      </c>
      <c r="BO170" s="505">
        <f>+BM170</f>
        <v>3.1728491355428379E-2</v>
      </c>
      <c r="BP170" s="505">
        <f>+BO170</f>
        <v>3.1728491355428379E-2</v>
      </c>
      <c r="BQ170" s="505">
        <f>-(BQ172/BQ169)</f>
        <v>3.5994531854420211E-2</v>
      </c>
      <c r="BR170" s="505">
        <f>+BP170</f>
        <v>3.1728491355428379E-2</v>
      </c>
      <c r="BS170" s="505">
        <f>+BR170</f>
        <v>3.1728491355428379E-2</v>
      </c>
      <c r="BT170" s="505">
        <f>-(BT172/BT169)</f>
        <v>3.7541814325885131E-2</v>
      </c>
      <c r="BU170" s="505">
        <f>+BS170</f>
        <v>3.1728491355428379E-2</v>
      </c>
      <c r="BV170" s="505">
        <f>+BU170</f>
        <v>3.1728491355428379E-2</v>
      </c>
      <c r="BW170" s="505">
        <f>-(BW172/BW169)</f>
        <v>4.2212606570848396E-2</v>
      </c>
      <c r="BX170" s="505">
        <f>+BV170</f>
        <v>3.1728491355428379E-2</v>
      </c>
      <c r="BY170" s="505">
        <f>+BX170</f>
        <v>3.1728491355428379E-2</v>
      </c>
      <c r="BZ170" s="505">
        <f>-(BZ172/BZ169)</f>
        <v>3.1728489605917849E-2</v>
      </c>
      <c r="CA170" s="505">
        <f>+BY170</f>
        <v>3.1728491355428379E-2</v>
      </c>
      <c r="CB170" s="505">
        <f>+CA170</f>
        <v>3.1728491355428379E-2</v>
      </c>
      <c r="CC170" s="505">
        <f>-(CC172/CC169)</f>
        <v>3.1728488137250273E-2</v>
      </c>
      <c r="CD170" s="33"/>
      <c r="CE170" s="33"/>
    </row>
    <row r="171" spans="2:83" outlineLevel="1">
      <c r="B171" s="40" t="s">
        <v>623</v>
      </c>
      <c r="C171" s="257" t="s">
        <v>420</v>
      </c>
      <c r="D171" s="33"/>
      <c r="E171" s="33"/>
      <c r="F171" s="33"/>
      <c r="G171" s="33"/>
      <c r="H171" s="33"/>
      <c r="I171" s="33"/>
      <c r="J171" s="33"/>
      <c r="K171" s="33"/>
      <c r="L171" s="33"/>
      <c r="M171" s="33"/>
      <c r="N171" s="33"/>
      <c r="O171" s="33"/>
      <c r="P171" s="33"/>
      <c r="Q171" s="33"/>
      <c r="R171" s="33"/>
      <c r="S171" s="33"/>
      <c r="T171" s="33"/>
      <c r="U171" s="33"/>
      <c r="V171" s="33"/>
      <c r="W171" s="33"/>
      <c r="X171" s="33"/>
      <c r="Y171" s="33"/>
      <c r="Z171" s="33"/>
      <c r="AA171" s="33"/>
      <c r="AB171" s="33"/>
      <c r="AC171" s="33"/>
      <c r="AD171" s="458">
        <f>AD63</f>
        <v>-36.9</v>
      </c>
      <c r="AE171" s="458">
        <f>AE63</f>
        <v>-11.8</v>
      </c>
      <c r="AF171" s="458">
        <f>AF63</f>
        <v>-6.5</v>
      </c>
      <c r="AG171" s="458">
        <f>AG63</f>
        <v>-18.3</v>
      </c>
      <c r="AH171" s="458">
        <f>AH63</f>
        <v>-7.6</v>
      </c>
      <c r="AI171" s="458">
        <f>-16.3-AH171</f>
        <v>-8.7000000000000011</v>
      </c>
      <c r="AJ171" s="458">
        <f>AI171+AH171</f>
        <v>-16.3</v>
      </c>
      <c r="AK171" s="458">
        <f t="shared" ref="AK171:AS171" si="136">AK63</f>
        <v>-9</v>
      </c>
      <c r="AL171" s="458">
        <f t="shared" si="136"/>
        <v>-11.3</v>
      </c>
      <c r="AM171" s="458">
        <f t="shared" si="136"/>
        <v>-20.3</v>
      </c>
      <c r="AN171" s="458">
        <f t="shared" si="136"/>
        <v>-9.8000000000000007</v>
      </c>
      <c r="AO171" s="458">
        <f t="shared" si="136"/>
        <v>-7.3999999999999986</v>
      </c>
      <c r="AP171" s="458">
        <f t="shared" si="136"/>
        <v>-17.2</v>
      </c>
      <c r="AQ171" s="458">
        <f t="shared" si="136"/>
        <v>-6.2</v>
      </c>
      <c r="AR171" s="458">
        <f t="shared" si="136"/>
        <v>-9.6999999999999993</v>
      </c>
      <c r="AS171" s="458">
        <f t="shared" si="136"/>
        <v>-15.9</v>
      </c>
      <c r="AT171" s="503">
        <f>+AT63</f>
        <v>-8</v>
      </c>
      <c r="AU171" s="503">
        <f>+AU63-1.5</f>
        <v>-10.3</v>
      </c>
      <c r="AV171" s="503">
        <f>SUM(AT171:AU171)</f>
        <v>-18.3</v>
      </c>
      <c r="AW171" s="503">
        <f t="shared" ref="AW171:BC171" si="137">+AW63</f>
        <v>-7.3</v>
      </c>
      <c r="AX171" s="503">
        <f t="shared" si="137"/>
        <v>-7.3999999999999995</v>
      </c>
      <c r="AY171" s="503">
        <f t="shared" si="137"/>
        <v>-14.7</v>
      </c>
      <c r="AZ171" s="503">
        <f t="shared" si="137"/>
        <v>-6.9</v>
      </c>
      <c r="BA171" s="503">
        <f t="shared" si="137"/>
        <v>-6.1</v>
      </c>
      <c r="BB171" s="503">
        <f t="shared" si="137"/>
        <v>-13</v>
      </c>
      <c r="BC171" s="503">
        <f t="shared" si="137"/>
        <v>-6.2</v>
      </c>
      <c r="BD171" s="503">
        <f t="shared" ref="BD171:BF171" si="138">+BD63</f>
        <v>-7.3999999999999995</v>
      </c>
      <c r="BE171" s="503">
        <f t="shared" si="138"/>
        <v>-13.6</v>
      </c>
      <c r="BF171" s="503">
        <f t="shared" si="138"/>
        <v>-7.1159146283388521</v>
      </c>
      <c r="BG171" s="503">
        <f>-(BG170*BG169/2)</f>
        <v>-7.1744666336813427</v>
      </c>
      <c r="BH171" s="503">
        <f>BG171+BF171</f>
        <v>-14.290381262020194</v>
      </c>
      <c r="BI171" s="503">
        <f>-(BI170*BI166/2)</f>
        <v>-6.9260382555599138</v>
      </c>
      <c r="BJ171" s="503">
        <f>-(BJ170*BJ166/2)</f>
        <v>-7.1862423513528881</v>
      </c>
      <c r="BK171" s="503">
        <f>BJ171+BI171</f>
        <v>-14.112280606912801</v>
      </c>
      <c r="BL171" s="503">
        <f>-(BL170*BL166/2)</f>
        <v>-6.3098088894736666</v>
      </c>
      <c r="BM171" s="503">
        <f>-(BM170*BM166/2)</f>
        <v>-6.7546287279442838</v>
      </c>
      <c r="BN171" s="503">
        <f>BM171+BL171</f>
        <v>-13.064437617417951</v>
      </c>
      <c r="BO171" s="503">
        <f>-(BO170*BO166/2)</f>
        <v>-5.8771038925133992</v>
      </c>
      <c r="BP171" s="503">
        <f>-(BP170*BP166/2)</f>
        <v>-6.2424309600823875</v>
      </c>
      <c r="BQ171" s="503">
        <f>BP171+BO171</f>
        <v>-12.119534852595788</v>
      </c>
      <c r="BR171" s="503">
        <f>-(BR170*BR166/2)</f>
        <v>-4.8060342659428743</v>
      </c>
      <c r="BS171" s="503">
        <f>-(BS170*BS166/2)</f>
        <v>-4.7088388927916078</v>
      </c>
      <c r="BT171" s="503">
        <f>BS171+BR171</f>
        <v>-9.5148731587344813</v>
      </c>
      <c r="BU171" s="503">
        <f>-(BU170*BU166/2)</f>
        <v>-3.2354676122717958</v>
      </c>
      <c r="BV171" s="503">
        <f>-(BV170*BV166/2)</f>
        <v>-3.134988446807085</v>
      </c>
      <c r="BW171" s="503">
        <f>BV171+BU171</f>
        <v>-6.3704560590788812</v>
      </c>
      <c r="BX171" s="503">
        <f>-(BX170*BX166/2)</f>
        <v>-1.5527929302016843</v>
      </c>
      <c r="BY171" s="503">
        <f>-(BY170*BY166/2)</f>
        <v>-1.3940067311315349</v>
      </c>
      <c r="BZ171" s="503">
        <f>BY171+BX171</f>
        <v>-2.9467996613332192</v>
      </c>
      <c r="CA171" s="503">
        <f>-(CA170*CA166/2)</f>
        <v>-1.3940067311315349</v>
      </c>
      <c r="CB171" s="503">
        <f>-(CB170*CB166/2)</f>
        <v>-1.2994589921923185</v>
      </c>
      <c r="CC171" s="503">
        <f>CB171+CA171</f>
        <v>-2.6934657233238535</v>
      </c>
      <c r="CD171" s="33"/>
      <c r="CE171" s="33"/>
    </row>
    <row r="172" spans="2:83" outlineLevel="1">
      <c r="B172" s="257" t="s">
        <v>624</v>
      </c>
      <c r="D172" s="33"/>
      <c r="E172" s="33"/>
      <c r="F172" s="33"/>
      <c r="G172" s="33"/>
      <c r="H172" s="33"/>
      <c r="I172" s="33"/>
      <c r="J172" s="33"/>
      <c r="K172" s="33"/>
      <c r="L172" s="33"/>
      <c r="M172" s="33"/>
      <c r="N172" s="33"/>
      <c r="O172" s="33"/>
      <c r="P172" s="33"/>
      <c r="Q172" s="33"/>
      <c r="R172" s="33"/>
      <c r="S172" s="33"/>
      <c r="T172" s="33"/>
      <c r="U172" s="33"/>
      <c r="V172" s="33"/>
      <c r="W172" s="33"/>
      <c r="X172" s="33"/>
      <c r="Y172" s="33"/>
      <c r="Z172" s="33"/>
      <c r="AA172" s="33"/>
      <c r="AB172" s="33"/>
      <c r="AC172" s="33"/>
      <c r="AD172" s="458">
        <v>-36.9</v>
      </c>
      <c r="AE172" s="458">
        <v>-11.8</v>
      </c>
      <c r="AF172" s="458">
        <v>-6.5</v>
      </c>
      <c r="AG172" s="458">
        <v>-18.3</v>
      </c>
      <c r="AH172" s="458">
        <v>-7.6</v>
      </c>
      <c r="AI172" s="458">
        <v>-8.7000000000000011</v>
      </c>
      <c r="AJ172" s="458">
        <v>-16.3</v>
      </c>
      <c r="AK172" s="458">
        <v>-9</v>
      </c>
      <c r="AL172" s="458">
        <v>-11.3</v>
      </c>
      <c r="AM172" s="458">
        <v>-20.3</v>
      </c>
      <c r="AN172" s="458">
        <v>-9.8000000000000007</v>
      </c>
      <c r="AO172" s="458">
        <v>-7.3999999999999986</v>
      </c>
      <c r="AP172" s="458">
        <v>-17.2</v>
      </c>
      <c r="AQ172" s="458">
        <v>-6.2</v>
      </c>
      <c r="AR172" s="458">
        <v>-9.6999999999999993</v>
      </c>
      <c r="AS172" s="458">
        <v>-15.9</v>
      </c>
      <c r="AT172" s="503">
        <v>-8</v>
      </c>
      <c r="AU172" s="503">
        <v>-10.3</v>
      </c>
      <c r="AV172" s="503">
        <v>-18.3</v>
      </c>
      <c r="AW172" s="503">
        <v>-7.3</v>
      </c>
      <c r="AX172" s="503">
        <v>-7.3999999999999995</v>
      </c>
      <c r="AY172" s="503">
        <v>-14.7</v>
      </c>
      <c r="AZ172" s="503">
        <v>-6.9</v>
      </c>
      <c r="BA172" s="503">
        <v>-6.1</v>
      </c>
      <c r="BB172" s="503">
        <v>-13</v>
      </c>
      <c r="BC172" s="503">
        <v>-6.2</v>
      </c>
      <c r="BD172" s="503">
        <v>-7.3999999999999995</v>
      </c>
      <c r="BE172" s="503">
        <v>-13.6</v>
      </c>
      <c r="BF172" s="503">
        <v>-7.1159146283388521</v>
      </c>
      <c r="BG172" s="503">
        <v>-7.1744666336787359</v>
      </c>
      <c r="BH172" s="503">
        <v>-14.290381262017588</v>
      </c>
      <c r="BI172" s="503">
        <v>-6.9260382555546993</v>
      </c>
      <c r="BJ172" s="503">
        <v>-7.186242351337242</v>
      </c>
      <c r="BK172" s="503">
        <v>-14.112280606891941</v>
      </c>
      <c r="BL172" s="503">
        <v>-6.3098088894267255</v>
      </c>
      <c r="BM172" s="503">
        <v>-6.7546287278034569</v>
      </c>
      <c r="BN172" s="503">
        <v>-13.064437617230183</v>
      </c>
      <c r="BO172" s="503">
        <v>-5.8771038920909175</v>
      </c>
      <c r="BP172" s="503">
        <v>-6.2424309588447846</v>
      </c>
      <c r="BQ172" s="503">
        <v>-12.119534850935702</v>
      </c>
      <c r="BR172" s="503">
        <v>-4.8060342626513179</v>
      </c>
      <c r="BS172" s="503">
        <v>-4.7088388849980864</v>
      </c>
      <c r="BT172" s="503">
        <v>-9.5148731476494035</v>
      </c>
      <c r="BU172" s="503">
        <v>-3.2354675956341548</v>
      </c>
      <c r="BV172" s="503">
        <v>-3.1349884141996975</v>
      </c>
      <c r="BW172" s="503">
        <v>-6.3704560098338519</v>
      </c>
      <c r="BX172" s="503">
        <v>-1.5527928706001399</v>
      </c>
      <c r="BY172" s="503">
        <v>-1.3940066282464048</v>
      </c>
      <c r="BZ172" s="503">
        <v>-2.9467994988465449</v>
      </c>
      <c r="CA172" s="503">
        <v>-1.3940066282464048</v>
      </c>
      <c r="CB172" s="503">
        <v>-1.2994588218828518</v>
      </c>
      <c r="CC172" s="503">
        <v>-2.6934654501292563</v>
      </c>
      <c r="CD172" s="33"/>
      <c r="CE172" s="33"/>
    </row>
    <row r="173" spans="2:83" outlineLevel="1">
      <c r="B173" s="506" t="s">
        <v>629</v>
      </c>
      <c r="D173" s="33"/>
      <c r="E173" s="33"/>
      <c r="F173" s="33"/>
      <c r="G173" s="33"/>
      <c r="H173" s="33"/>
      <c r="I173" s="33"/>
      <c r="J173" s="33"/>
      <c r="K173" s="33"/>
      <c r="L173" s="33"/>
      <c r="M173" s="33"/>
      <c r="N173" s="33"/>
      <c r="O173" s="33"/>
      <c r="P173" s="33"/>
      <c r="Q173" s="33"/>
      <c r="R173" s="33"/>
      <c r="S173" s="33"/>
      <c r="T173" s="33"/>
      <c r="U173" s="33"/>
      <c r="V173" s="33"/>
      <c r="W173" s="33"/>
      <c r="X173" s="33"/>
      <c r="Y173" s="33"/>
      <c r="Z173" s="33"/>
      <c r="AA173" s="33"/>
      <c r="AB173" s="33"/>
      <c r="AC173" s="33"/>
      <c r="AD173" s="507">
        <f>ROUND(AD171-AD172,2)</f>
        <v>0</v>
      </c>
      <c r="AE173" s="507">
        <f t="shared" ref="AE173:CC173" si="139">ROUND(AE171-AE172,2)</f>
        <v>0</v>
      </c>
      <c r="AF173" s="507">
        <f t="shared" si="139"/>
        <v>0</v>
      </c>
      <c r="AG173" s="507">
        <f t="shared" si="139"/>
        <v>0</v>
      </c>
      <c r="AH173" s="507">
        <f t="shared" si="139"/>
        <v>0</v>
      </c>
      <c r="AI173" s="507">
        <f t="shared" si="139"/>
        <v>0</v>
      </c>
      <c r="AJ173" s="507">
        <f t="shared" si="139"/>
        <v>0</v>
      </c>
      <c r="AK173" s="507">
        <f t="shared" si="139"/>
        <v>0</v>
      </c>
      <c r="AL173" s="507">
        <f t="shared" si="139"/>
        <v>0</v>
      </c>
      <c r="AM173" s="507">
        <f t="shared" si="139"/>
        <v>0</v>
      </c>
      <c r="AN173" s="507">
        <f t="shared" si="139"/>
        <v>0</v>
      </c>
      <c r="AO173" s="507">
        <f t="shared" si="139"/>
        <v>0</v>
      </c>
      <c r="AP173" s="507">
        <f t="shared" si="139"/>
        <v>0</v>
      </c>
      <c r="AQ173" s="507">
        <f t="shared" si="139"/>
        <v>0</v>
      </c>
      <c r="AR173" s="507">
        <f t="shared" si="139"/>
        <v>0</v>
      </c>
      <c r="AS173" s="507">
        <f t="shared" si="139"/>
        <v>0</v>
      </c>
      <c r="AT173" s="507">
        <f t="shared" si="139"/>
        <v>0</v>
      </c>
      <c r="AU173" s="507">
        <f t="shared" si="139"/>
        <v>0</v>
      </c>
      <c r="AV173" s="507">
        <f t="shared" si="139"/>
        <v>0</v>
      </c>
      <c r="AW173" s="507">
        <f t="shared" si="139"/>
        <v>0</v>
      </c>
      <c r="AX173" s="507">
        <f t="shared" si="139"/>
        <v>0</v>
      </c>
      <c r="AY173" s="507">
        <f t="shared" si="139"/>
        <v>0</v>
      </c>
      <c r="AZ173" s="507">
        <f t="shared" si="139"/>
        <v>0</v>
      </c>
      <c r="BA173" s="507">
        <f t="shared" si="139"/>
        <v>0</v>
      </c>
      <c r="BB173" s="507">
        <f t="shared" si="139"/>
        <v>0</v>
      </c>
      <c r="BC173" s="507">
        <f t="shared" si="139"/>
        <v>0</v>
      </c>
      <c r="BD173" s="507">
        <f t="shared" si="139"/>
        <v>0</v>
      </c>
      <c r="BE173" s="507">
        <f t="shared" si="139"/>
        <v>0</v>
      </c>
      <c r="BF173" s="507">
        <f t="shared" si="139"/>
        <v>0</v>
      </c>
      <c r="BG173" s="507">
        <f t="shared" si="139"/>
        <v>0</v>
      </c>
      <c r="BH173" s="507">
        <f t="shared" si="139"/>
        <v>0</v>
      </c>
      <c r="BI173" s="507">
        <f t="shared" si="139"/>
        <v>0</v>
      </c>
      <c r="BJ173" s="507">
        <f t="shared" si="139"/>
        <v>0</v>
      </c>
      <c r="BK173" s="507">
        <f t="shared" si="139"/>
        <v>0</v>
      </c>
      <c r="BL173" s="507">
        <f t="shared" si="139"/>
        <v>0</v>
      </c>
      <c r="BM173" s="507">
        <f t="shared" si="139"/>
        <v>0</v>
      </c>
      <c r="BN173" s="507">
        <f t="shared" si="139"/>
        <v>0</v>
      </c>
      <c r="BO173" s="507">
        <f t="shared" si="139"/>
        <v>0</v>
      </c>
      <c r="BP173" s="507">
        <f t="shared" si="139"/>
        <v>0</v>
      </c>
      <c r="BQ173" s="507">
        <f t="shared" si="139"/>
        <v>0</v>
      </c>
      <c r="BR173" s="507">
        <f t="shared" si="139"/>
        <v>0</v>
      </c>
      <c r="BS173" s="507">
        <f t="shared" si="139"/>
        <v>0</v>
      </c>
      <c r="BT173" s="507">
        <f t="shared" si="139"/>
        <v>0</v>
      </c>
      <c r="BU173" s="507">
        <f t="shared" si="139"/>
        <v>0</v>
      </c>
      <c r="BV173" s="507">
        <f t="shared" si="139"/>
        <v>0</v>
      </c>
      <c r="BW173" s="507">
        <f t="shared" si="139"/>
        <v>0</v>
      </c>
      <c r="BX173" s="507">
        <f t="shared" si="139"/>
        <v>0</v>
      </c>
      <c r="BY173" s="507">
        <f t="shared" si="139"/>
        <v>0</v>
      </c>
      <c r="BZ173" s="507">
        <f t="shared" si="139"/>
        <v>0</v>
      </c>
      <c r="CA173" s="507">
        <f t="shared" si="139"/>
        <v>0</v>
      </c>
      <c r="CB173" s="507">
        <f t="shared" si="139"/>
        <v>0</v>
      </c>
      <c r="CC173" s="507">
        <f t="shared" si="139"/>
        <v>0</v>
      </c>
      <c r="CD173" s="33"/>
      <c r="CE173" s="33"/>
    </row>
    <row r="174" spans="2:83" outlineLevel="1">
      <c r="B174" s="40"/>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503"/>
      <c r="AE174" s="503"/>
      <c r="AF174" s="503"/>
      <c r="AG174" s="503"/>
      <c r="AH174" s="503"/>
      <c r="AI174" s="503"/>
      <c r="AJ174" s="503"/>
      <c r="AK174" s="503"/>
      <c r="AL174" s="503"/>
      <c r="AM174" s="503"/>
      <c r="AN174" s="503"/>
      <c r="AO174" s="503"/>
      <c r="AP174" s="508"/>
      <c r="AQ174" s="503"/>
      <c r="AR174" s="503"/>
      <c r="AS174" s="503"/>
      <c r="AT174" s="503"/>
      <c r="AU174" s="503"/>
      <c r="AV174" s="503"/>
      <c r="AW174" s="503"/>
      <c r="AX174" s="503"/>
      <c r="AY174" s="503"/>
      <c r="AZ174" s="503"/>
      <c r="BA174" s="503"/>
      <c r="BB174" s="503"/>
      <c r="BC174" s="503"/>
      <c r="BD174" s="503"/>
      <c r="BE174" s="503"/>
      <c r="BF174" s="503"/>
      <c r="BG174" s="503"/>
      <c r="BH174" s="503"/>
      <c r="BI174" s="503"/>
      <c r="BJ174" s="503"/>
      <c r="BK174" s="503"/>
      <c r="BL174" s="503"/>
      <c r="BM174" s="503"/>
      <c r="BN174" s="503"/>
      <c r="BO174" s="503"/>
      <c r="BP174" s="503"/>
      <c r="BQ174" s="503"/>
      <c r="BR174" s="503"/>
      <c r="BS174" s="503"/>
      <c r="BT174" s="503"/>
      <c r="BU174" s="503"/>
      <c r="BV174" s="503"/>
      <c r="BW174" s="503"/>
      <c r="BX174" s="503"/>
      <c r="BY174" s="503"/>
      <c r="BZ174" s="503"/>
      <c r="CA174" s="503"/>
      <c r="CB174" s="503"/>
      <c r="CC174" s="503"/>
      <c r="CD174" s="33"/>
      <c r="CE174" s="33"/>
    </row>
    <row r="175" spans="2:83" outlineLevel="1">
      <c r="B175" s="488" t="s">
        <v>674</v>
      </c>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503"/>
      <c r="AE175" s="503"/>
      <c r="AF175" s="503"/>
      <c r="AG175" s="503"/>
      <c r="AH175" s="503"/>
      <c r="AI175" s="503"/>
      <c r="AJ175" s="503"/>
      <c r="AK175" s="503"/>
      <c r="AL175" s="503"/>
      <c r="AM175" s="503"/>
      <c r="AN175" s="503"/>
      <c r="AO175" s="503"/>
      <c r="AP175" s="503"/>
      <c r="AQ175" s="503"/>
      <c r="AR175" s="503"/>
      <c r="AS175" s="503"/>
      <c r="AT175" s="503"/>
      <c r="AU175" s="503"/>
      <c r="AV175" s="503"/>
      <c r="AW175" s="503"/>
      <c r="AX175" s="503"/>
      <c r="AY175" s="503"/>
      <c r="AZ175" s="503"/>
      <c r="BA175" s="503"/>
      <c r="BB175" s="503"/>
      <c r="BC175" s="503"/>
      <c r="BD175" s="503"/>
      <c r="BE175" s="503"/>
      <c r="BF175" s="503"/>
      <c r="BG175" s="503"/>
      <c r="BH175" s="503"/>
      <c r="BI175" s="503"/>
      <c r="BJ175" s="503"/>
      <c r="BK175" s="503"/>
      <c r="BL175" s="503"/>
      <c r="BM175" s="503"/>
      <c r="BN175" s="503"/>
      <c r="BO175" s="503"/>
      <c r="BP175" s="503"/>
      <c r="BQ175" s="503"/>
      <c r="BR175" s="503"/>
      <c r="BS175" s="503"/>
      <c r="BT175" s="503"/>
      <c r="BU175" s="503"/>
      <c r="BV175" s="503"/>
      <c r="BW175" s="503"/>
      <c r="BX175" s="503"/>
      <c r="BY175" s="503"/>
      <c r="BZ175" s="503"/>
      <c r="CA175" s="503"/>
      <c r="CB175" s="503"/>
      <c r="CC175" s="503"/>
      <c r="CD175" s="33"/>
      <c r="CE175" s="33"/>
    </row>
    <row r="176" spans="2:83" outlineLevel="1">
      <c r="B176" s="509" t="s">
        <v>265</v>
      </c>
      <c r="C176" s="461"/>
      <c r="D176" s="510"/>
      <c r="E176" s="510"/>
      <c r="F176" s="510"/>
      <c r="G176" s="510"/>
      <c r="H176" s="510"/>
      <c r="I176" s="510"/>
      <c r="J176" s="510"/>
      <c r="K176" s="510"/>
      <c r="L176" s="510"/>
      <c r="M176" s="510"/>
      <c r="N176" s="510"/>
      <c r="O176" s="510"/>
      <c r="P176" s="510"/>
      <c r="Q176" s="510"/>
      <c r="R176" s="510"/>
      <c r="S176" s="510"/>
      <c r="T176" s="510"/>
      <c r="U176" s="510"/>
      <c r="V176" s="510"/>
      <c r="W176" s="510"/>
      <c r="X176" s="510"/>
      <c r="Y176" s="510"/>
      <c r="Z176" s="510"/>
      <c r="AA176" s="510"/>
      <c r="AB176" s="510"/>
      <c r="AC176" s="510"/>
      <c r="AD176" s="502"/>
      <c r="AE176" s="503">
        <f>AD200</f>
        <v>23.1</v>
      </c>
      <c r="AF176" s="503">
        <f>AE200</f>
        <v>9.5</v>
      </c>
      <c r="AG176" s="503">
        <f>AD200</f>
        <v>23.1</v>
      </c>
      <c r="AH176" s="503">
        <f>AG200</f>
        <v>25.5</v>
      </c>
      <c r="AI176" s="503">
        <f>AH200</f>
        <v>49.5</v>
      </c>
      <c r="AJ176" s="503">
        <f>AG200</f>
        <v>25.5</v>
      </c>
      <c r="AK176" s="503">
        <f>AJ200</f>
        <v>2.8</v>
      </c>
      <c r="AL176" s="503">
        <f>AK200</f>
        <v>39.1</v>
      </c>
      <c r="AM176" s="503">
        <f>AJ200</f>
        <v>2.8</v>
      </c>
      <c r="AN176" s="503">
        <f>AM200</f>
        <v>13.1</v>
      </c>
      <c r="AO176" s="503">
        <f>AN200</f>
        <v>20.100000000000001</v>
      </c>
      <c r="AP176" s="503">
        <f>AM200</f>
        <v>13.1</v>
      </c>
      <c r="AQ176" s="503">
        <f>AP200</f>
        <v>8.8000000000000007</v>
      </c>
      <c r="AR176" s="503">
        <f>AQ200</f>
        <v>46.4</v>
      </c>
      <c r="AS176" s="503">
        <f>AP200</f>
        <v>8.8000000000000007</v>
      </c>
      <c r="AT176" s="503">
        <f>AS200</f>
        <v>11.1</v>
      </c>
      <c r="AU176" s="503">
        <f>AT200</f>
        <v>46.3</v>
      </c>
      <c r="AV176" s="503">
        <f>AS200</f>
        <v>11.1</v>
      </c>
      <c r="AW176" s="503">
        <f>AV200</f>
        <v>31.7</v>
      </c>
      <c r="AX176" s="503">
        <f>AW200</f>
        <v>44.9</v>
      </c>
      <c r="AY176" s="503">
        <f>AV200</f>
        <v>31.7</v>
      </c>
      <c r="AZ176" s="503">
        <f>AY200</f>
        <v>33.299999999999997</v>
      </c>
      <c r="BA176" s="503">
        <f>AZ200</f>
        <v>45</v>
      </c>
      <c r="BB176" s="503">
        <f>AY200</f>
        <v>33.299999999999997</v>
      </c>
      <c r="BC176" s="503">
        <f>BB200</f>
        <v>21.5</v>
      </c>
      <c r="BD176" s="503">
        <f>BC200</f>
        <v>61.8</v>
      </c>
      <c r="BE176" s="503">
        <f>BB200</f>
        <v>21.5</v>
      </c>
      <c r="BF176" s="503">
        <f>BE200</f>
        <v>57.6</v>
      </c>
      <c r="BG176" s="503">
        <f>BF200</f>
        <v>57.6</v>
      </c>
      <c r="BH176" s="503">
        <f>BE200</f>
        <v>57.6</v>
      </c>
      <c r="BI176" s="503">
        <f>BH200</f>
        <v>57.6</v>
      </c>
      <c r="BJ176" s="503">
        <f>BI200</f>
        <v>57.6</v>
      </c>
      <c r="BK176" s="503">
        <f>BH200</f>
        <v>57.6</v>
      </c>
      <c r="BL176" s="503">
        <f>BK200</f>
        <v>57.6</v>
      </c>
      <c r="BM176" s="503">
        <f>BL200</f>
        <v>57.6</v>
      </c>
      <c r="BN176" s="503">
        <f>BK200</f>
        <v>57.6</v>
      </c>
      <c r="BO176" s="503">
        <f>BN200</f>
        <v>57.6</v>
      </c>
      <c r="BP176" s="503">
        <f>BO200</f>
        <v>57.6</v>
      </c>
      <c r="BQ176" s="503">
        <f>BN200</f>
        <v>57.6</v>
      </c>
      <c r="BR176" s="503">
        <f>BQ200</f>
        <v>57.6</v>
      </c>
      <c r="BS176" s="503">
        <f>BR200</f>
        <v>57.6</v>
      </c>
      <c r="BT176" s="503">
        <f>BQ200</f>
        <v>57.6</v>
      </c>
      <c r="BU176" s="503">
        <f>BT200</f>
        <v>57.6</v>
      </c>
      <c r="BV176" s="503">
        <f>BU200</f>
        <v>57.6</v>
      </c>
      <c r="BW176" s="503">
        <f>BT200</f>
        <v>57.6</v>
      </c>
      <c r="BX176" s="503">
        <f>BW200</f>
        <v>57.6</v>
      </c>
      <c r="BY176" s="503">
        <f>BX200</f>
        <v>57.6</v>
      </c>
      <c r="BZ176" s="503">
        <f>BW200</f>
        <v>57.6</v>
      </c>
      <c r="CA176" s="503">
        <f>BZ200</f>
        <v>161.19502922672521</v>
      </c>
      <c r="CB176" s="503">
        <f>CA200</f>
        <v>161.19502922672521</v>
      </c>
      <c r="CC176" s="503">
        <f>BZ200</f>
        <v>161.19502922672521</v>
      </c>
      <c r="CD176" s="33"/>
      <c r="CE176" s="33"/>
    </row>
    <row r="177" spans="2:83" outlineLevel="1">
      <c r="B177" s="509" t="s">
        <v>266</v>
      </c>
      <c r="C177" s="461"/>
      <c r="D177" s="510"/>
      <c r="E177" s="510"/>
      <c r="F177" s="510"/>
      <c r="G177" s="510"/>
      <c r="H177" s="510"/>
      <c r="I177" s="510"/>
      <c r="J177" s="510"/>
      <c r="K177" s="510"/>
      <c r="L177" s="510"/>
      <c r="M177" s="510"/>
      <c r="N177" s="510"/>
      <c r="O177" s="510"/>
      <c r="P177" s="510"/>
      <c r="Q177" s="510"/>
      <c r="R177" s="510"/>
      <c r="S177" s="510"/>
      <c r="T177" s="510"/>
      <c r="U177" s="510"/>
      <c r="V177" s="510"/>
      <c r="W177" s="510"/>
      <c r="X177" s="510"/>
      <c r="Y177" s="510"/>
      <c r="Z177" s="510"/>
      <c r="AA177" s="510"/>
      <c r="AB177" s="510"/>
      <c r="AC177" s="510"/>
      <c r="AD177" s="502"/>
      <c r="AE177" s="503">
        <f>AE200</f>
        <v>9.5</v>
      </c>
      <c r="AF177" s="503">
        <f>AF156</f>
        <v>25.5</v>
      </c>
      <c r="AG177" s="503">
        <f>AG200</f>
        <v>25.5</v>
      </c>
      <c r="AH177" s="503">
        <f>AH200</f>
        <v>49.5</v>
      </c>
      <c r="AI177" s="503">
        <f>AI156</f>
        <v>2.8</v>
      </c>
      <c r="AJ177" s="503">
        <f>AJ200</f>
        <v>2.8</v>
      </c>
      <c r="AK177" s="503">
        <f>AK200</f>
        <v>39.1</v>
      </c>
      <c r="AL177" s="503">
        <f>AL156</f>
        <v>13.1</v>
      </c>
      <c r="AM177" s="503">
        <f>AM200</f>
        <v>13.1</v>
      </c>
      <c r="AN177" s="503">
        <f>AN200</f>
        <v>20.100000000000001</v>
      </c>
      <c r="AO177" s="503">
        <f>AO156</f>
        <v>8.8000000000000007</v>
      </c>
      <c r="AP177" s="503">
        <f>AP200</f>
        <v>8.8000000000000007</v>
      </c>
      <c r="AQ177" s="503">
        <f>AQ200</f>
        <v>46.4</v>
      </c>
      <c r="AR177" s="503">
        <f>AR156</f>
        <v>11.1</v>
      </c>
      <c r="AS177" s="503">
        <f>AS200</f>
        <v>11.1</v>
      </c>
      <c r="AT177" s="503">
        <f>AT200</f>
        <v>46.3</v>
      </c>
      <c r="AU177" s="503">
        <f>AU156</f>
        <v>31.7</v>
      </c>
      <c r="AV177" s="503">
        <f>AV200</f>
        <v>31.7</v>
      </c>
      <c r="AW177" s="503">
        <f>AW200</f>
        <v>44.9</v>
      </c>
      <c r="AX177" s="503">
        <f>AX156</f>
        <v>33.299999999999997</v>
      </c>
      <c r="AY177" s="503">
        <f>AY200</f>
        <v>33.299999999999997</v>
      </c>
      <c r="AZ177" s="503">
        <f>AZ200</f>
        <v>45</v>
      </c>
      <c r="BA177" s="503">
        <f>BA156</f>
        <v>21.5</v>
      </c>
      <c r="BB177" s="503">
        <f>BB200</f>
        <v>21.5</v>
      </c>
      <c r="BC177" s="503">
        <f>BC200</f>
        <v>61.8</v>
      </c>
      <c r="BD177" s="503">
        <f>BD156</f>
        <v>57.6</v>
      </c>
      <c r="BE177" s="503">
        <f>BE200</f>
        <v>57.6</v>
      </c>
      <c r="BF177" s="503">
        <f>BF200</f>
        <v>57.6</v>
      </c>
      <c r="BG177" s="503">
        <f>BG156</f>
        <v>57.6</v>
      </c>
      <c r="BH177" s="503">
        <f>BH200</f>
        <v>57.6</v>
      </c>
      <c r="BI177" s="503">
        <f>BI200</f>
        <v>57.6</v>
      </c>
      <c r="BJ177" s="503">
        <f>BJ156</f>
        <v>57.6</v>
      </c>
      <c r="BK177" s="503">
        <f>BK200</f>
        <v>57.6</v>
      </c>
      <c r="BL177" s="503">
        <f>BL200</f>
        <v>57.6</v>
      </c>
      <c r="BM177" s="503">
        <f>BM156</f>
        <v>57.6</v>
      </c>
      <c r="BN177" s="503">
        <f>BN200</f>
        <v>57.6</v>
      </c>
      <c r="BO177" s="503">
        <f>BO200</f>
        <v>57.6</v>
      </c>
      <c r="BP177" s="503">
        <f>BP156</f>
        <v>57.6</v>
      </c>
      <c r="BQ177" s="503">
        <f>BQ200</f>
        <v>57.6</v>
      </c>
      <c r="BR177" s="503">
        <f>BR200</f>
        <v>57.6</v>
      </c>
      <c r="BS177" s="503">
        <f>BS156</f>
        <v>57.6</v>
      </c>
      <c r="BT177" s="503">
        <f>BT200</f>
        <v>57.6</v>
      </c>
      <c r="BU177" s="503">
        <f>BU200</f>
        <v>57.6</v>
      </c>
      <c r="BV177" s="503">
        <f>BV156</f>
        <v>57.6</v>
      </c>
      <c r="BW177" s="503">
        <f>BW200</f>
        <v>57.6</v>
      </c>
      <c r="BX177" s="503">
        <f>BX200</f>
        <v>57.6</v>
      </c>
      <c r="BY177" s="503">
        <f>BY156</f>
        <v>161.19502922672521</v>
      </c>
      <c r="BZ177" s="503">
        <f>BZ200</f>
        <v>161.19502922672521</v>
      </c>
      <c r="CA177" s="503">
        <f>CA200</f>
        <v>161.19502922672521</v>
      </c>
      <c r="CB177" s="503">
        <f>CB156</f>
        <v>268.85016944932966</v>
      </c>
      <c r="CC177" s="503">
        <f>CC200</f>
        <v>268.85016944932966</v>
      </c>
      <c r="CD177" s="33"/>
      <c r="CE177" s="33"/>
    </row>
    <row r="178" spans="2:83" outlineLevel="1">
      <c r="B178" s="509" t="s">
        <v>267</v>
      </c>
      <c r="C178" s="461"/>
      <c r="D178" s="510"/>
      <c r="E178" s="510"/>
      <c r="F178" s="510"/>
      <c r="G178" s="510"/>
      <c r="H178" s="510"/>
      <c r="I178" s="510"/>
      <c r="J178" s="510"/>
      <c r="K178" s="510"/>
      <c r="L178" s="510"/>
      <c r="M178" s="510"/>
      <c r="N178" s="510"/>
      <c r="O178" s="510"/>
      <c r="P178" s="510"/>
      <c r="Q178" s="510"/>
      <c r="R178" s="510"/>
      <c r="S178" s="510"/>
      <c r="T178" s="510"/>
      <c r="U178" s="510"/>
      <c r="V178" s="510"/>
      <c r="W178" s="510"/>
      <c r="X178" s="510"/>
      <c r="Y178" s="510"/>
      <c r="Z178" s="510"/>
      <c r="AA178" s="510"/>
      <c r="AB178" s="510"/>
      <c r="AC178" s="510"/>
      <c r="AD178" s="502"/>
      <c r="AE178" s="503">
        <f t="shared" ref="AE178:AY178" si="140">AVERAGE(AE176:AE177)</f>
        <v>16.3</v>
      </c>
      <c r="AF178" s="503">
        <f t="shared" si="140"/>
        <v>17.5</v>
      </c>
      <c r="AG178" s="503">
        <f t="shared" si="140"/>
        <v>24.3</v>
      </c>
      <c r="AH178" s="503">
        <f t="shared" si="140"/>
        <v>37.5</v>
      </c>
      <c r="AI178" s="503">
        <f t="shared" si="140"/>
        <v>26.15</v>
      </c>
      <c r="AJ178" s="503">
        <f t="shared" si="140"/>
        <v>14.15</v>
      </c>
      <c r="AK178" s="503">
        <f t="shared" si="140"/>
        <v>20.95</v>
      </c>
      <c r="AL178" s="503">
        <f t="shared" si="140"/>
        <v>26.1</v>
      </c>
      <c r="AM178" s="503">
        <f t="shared" si="140"/>
        <v>7.9499999999999993</v>
      </c>
      <c r="AN178" s="503">
        <f t="shared" si="140"/>
        <v>16.600000000000001</v>
      </c>
      <c r="AO178" s="503">
        <f t="shared" si="140"/>
        <v>14.450000000000001</v>
      </c>
      <c r="AP178" s="503">
        <f t="shared" si="140"/>
        <v>10.95</v>
      </c>
      <c r="AQ178" s="503">
        <f>AVERAGE(AQ176:AQ177)</f>
        <v>27.6</v>
      </c>
      <c r="AR178" s="503">
        <f>AVERAGE(AR176:AR177)</f>
        <v>28.75</v>
      </c>
      <c r="AS178" s="503">
        <f>AVERAGE(AS176:AS177)</f>
        <v>9.9499999999999993</v>
      </c>
      <c r="AT178" s="503">
        <f t="shared" si="140"/>
        <v>28.7</v>
      </c>
      <c r="AU178" s="503">
        <f t="shared" si="140"/>
        <v>39</v>
      </c>
      <c r="AV178" s="503">
        <f t="shared" si="140"/>
        <v>21.4</v>
      </c>
      <c r="AW178" s="503">
        <f t="shared" si="140"/>
        <v>38.299999999999997</v>
      </c>
      <c r="AX178" s="503">
        <f t="shared" si="140"/>
        <v>39.099999999999994</v>
      </c>
      <c r="AY178" s="503">
        <f t="shared" si="140"/>
        <v>32.5</v>
      </c>
      <c r="AZ178" s="503">
        <f t="shared" ref="AZ178:BN178" si="141">AVERAGE(AZ176:AZ177)</f>
        <v>39.15</v>
      </c>
      <c r="BA178" s="503">
        <f t="shared" si="141"/>
        <v>33.25</v>
      </c>
      <c r="BB178" s="503">
        <f t="shared" si="141"/>
        <v>27.4</v>
      </c>
      <c r="BC178" s="503">
        <f t="shared" si="141"/>
        <v>41.65</v>
      </c>
      <c r="BD178" s="503">
        <f t="shared" ref="BD178:BE178" si="142">AVERAGE(BD176:BD177)</f>
        <v>59.7</v>
      </c>
      <c r="BE178" s="503">
        <f t="shared" si="142"/>
        <v>39.549999999999997</v>
      </c>
      <c r="BF178" s="503">
        <f t="shared" si="141"/>
        <v>57.6</v>
      </c>
      <c r="BG178" s="503">
        <f t="shared" si="141"/>
        <v>57.6</v>
      </c>
      <c r="BH178" s="503">
        <f t="shared" si="141"/>
        <v>57.6</v>
      </c>
      <c r="BI178" s="503">
        <f t="shared" si="141"/>
        <v>57.6</v>
      </c>
      <c r="BJ178" s="503">
        <f t="shared" si="141"/>
        <v>57.6</v>
      </c>
      <c r="BK178" s="503">
        <f t="shared" si="141"/>
        <v>57.6</v>
      </c>
      <c r="BL178" s="503">
        <f t="shared" si="141"/>
        <v>57.6</v>
      </c>
      <c r="BM178" s="503">
        <f t="shared" si="141"/>
        <v>57.6</v>
      </c>
      <c r="BN178" s="503">
        <f t="shared" si="141"/>
        <v>57.6</v>
      </c>
      <c r="BO178" s="503">
        <f>AVERAGE(BO176:BO177)</f>
        <v>57.6</v>
      </c>
      <c r="BP178" s="503">
        <f>AVERAGE(BP176:BP177)</f>
        <v>57.6</v>
      </c>
      <c r="BQ178" s="503">
        <f>AVERAGE(BQ176:BQ177)</f>
        <v>57.6</v>
      </c>
      <c r="BR178" s="503">
        <f t="shared" ref="BR178:CC178" si="143">AVERAGE(BR176:BR177)</f>
        <v>57.6</v>
      </c>
      <c r="BS178" s="503">
        <f t="shared" si="143"/>
        <v>57.6</v>
      </c>
      <c r="BT178" s="503">
        <f t="shared" si="143"/>
        <v>57.6</v>
      </c>
      <c r="BU178" s="503">
        <f t="shared" si="143"/>
        <v>57.6</v>
      </c>
      <c r="BV178" s="503">
        <f t="shared" si="143"/>
        <v>57.6</v>
      </c>
      <c r="BW178" s="503">
        <f t="shared" si="143"/>
        <v>57.6</v>
      </c>
      <c r="BX178" s="503">
        <f t="shared" si="143"/>
        <v>57.6</v>
      </c>
      <c r="BY178" s="503">
        <f t="shared" si="143"/>
        <v>109.3975146133626</v>
      </c>
      <c r="BZ178" s="503">
        <f t="shared" si="143"/>
        <v>109.3975146133626</v>
      </c>
      <c r="CA178" s="503">
        <f t="shared" si="143"/>
        <v>161.19502922672521</v>
      </c>
      <c r="CB178" s="503">
        <f t="shared" si="143"/>
        <v>215.02259933802742</v>
      </c>
      <c r="CC178" s="503">
        <f t="shared" si="143"/>
        <v>215.02259933802742</v>
      </c>
      <c r="CD178" s="33"/>
      <c r="CE178" s="33"/>
    </row>
    <row r="179" spans="2:83" outlineLevel="1">
      <c r="B179" s="509" t="s">
        <v>268</v>
      </c>
      <c r="C179" s="461"/>
      <c r="D179" s="511"/>
      <c r="E179" s="511"/>
      <c r="F179" s="511"/>
      <c r="G179" s="511"/>
      <c r="H179" s="511"/>
      <c r="I179" s="511"/>
      <c r="J179" s="511"/>
      <c r="K179" s="511"/>
      <c r="L179" s="511"/>
      <c r="M179" s="511"/>
      <c r="N179" s="511"/>
      <c r="O179" s="511"/>
      <c r="P179" s="511"/>
      <c r="Q179" s="511"/>
      <c r="R179" s="511"/>
      <c r="S179" s="511"/>
      <c r="T179" s="511"/>
      <c r="U179" s="511"/>
      <c r="V179" s="511"/>
      <c r="W179" s="511"/>
      <c r="X179" s="511"/>
      <c r="Y179" s="511"/>
      <c r="Z179" s="511"/>
      <c r="AA179" s="511"/>
      <c r="AB179" s="511"/>
      <c r="AC179" s="511"/>
      <c r="AD179" s="502"/>
      <c r="AE179" s="504">
        <f>AE180/AE178*2</f>
        <v>0</v>
      </c>
      <c r="AF179" s="504">
        <f>AF180/AF178*2</f>
        <v>0</v>
      </c>
      <c r="AG179" s="504">
        <f>AG180/AG178</f>
        <v>0</v>
      </c>
      <c r="AH179" s="504">
        <f>AH180/AH178*2</f>
        <v>5.3333333333333337E-2</v>
      </c>
      <c r="AI179" s="504">
        <f>AI180/AI178*2</f>
        <v>9.942638623326959E-2</v>
      </c>
      <c r="AJ179" s="504">
        <f>AJ180/AJ178</f>
        <v>0.16254416961130741</v>
      </c>
      <c r="AK179" s="504">
        <f>AK180/AK178*2</f>
        <v>0.10501193317422436</v>
      </c>
      <c r="AL179" s="504">
        <f>AL180/AL178*2</f>
        <v>9.9616858237547873E-2</v>
      </c>
      <c r="AM179" s="504">
        <f>AM180/AM178</f>
        <v>0.30188679245283018</v>
      </c>
      <c r="AN179" s="504">
        <f>AN180/AN178*2</f>
        <v>9.9616858237547873E-2</v>
      </c>
      <c r="AO179" s="504">
        <f>AO180/AO178*2</f>
        <v>9.9616858237547873E-2</v>
      </c>
      <c r="AP179" s="504">
        <f>AP180/AP178</f>
        <v>0.14123760037789324</v>
      </c>
      <c r="AQ179" s="504">
        <f>AQ180/AQ178*2</f>
        <v>9.9616858092620289E-2</v>
      </c>
      <c r="AR179" s="504">
        <f>AR180/AR178*2</f>
        <v>9.8225553889721748E-2</v>
      </c>
      <c r="AS179" s="504">
        <f>AS180/AS178</f>
        <v>0.11474538360464998</v>
      </c>
      <c r="AT179" s="504">
        <f>AT180/AT178*2</f>
        <v>5.5749128919860634E-2</v>
      </c>
      <c r="AU179" s="504">
        <f>AU180/AU178*2</f>
        <v>5.128205128205128E-2</v>
      </c>
      <c r="AV179" s="504">
        <f>AV180/AV178</f>
        <v>8.411214953271029E-2</v>
      </c>
      <c r="AW179" s="504">
        <f>AW180/AW178*2</f>
        <v>4.177545691906006E-2</v>
      </c>
      <c r="AX179" s="504">
        <f>AX180/AX178*2</f>
        <v>4.6035805626598467E-2</v>
      </c>
      <c r="AY179" s="504">
        <f>AY180/AY178</f>
        <v>5.2307692307692305E-2</v>
      </c>
      <c r="AZ179" s="504">
        <f>AZ180/AZ178*2</f>
        <v>4.0868454661558112E-2</v>
      </c>
      <c r="BA179" s="504">
        <f>AZ179</f>
        <v>4.0868454661558112E-2</v>
      </c>
      <c r="BB179" s="504">
        <f>BB180/BB178</f>
        <v>4.5231236774151452E-2</v>
      </c>
      <c r="BC179" s="504">
        <f>+BA179</f>
        <v>4.0868454661558112E-2</v>
      </c>
      <c r="BD179" s="504">
        <f>BC179</f>
        <v>4.0868454661558112E-2</v>
      </c>
      <c r="BE179" s="504">
        <f>BE180/BE178</f>
        <v>4.0868454661558119E-2</v>
      </c>
      <c r="BF179" s="505">
        <f>+BD179</f>
        <v>4.0868454661558112E-2</v>
      </c>
      <c r="BG179" s="505">
        <f>BF179</f>
        <v>4.0868454661558112E-2</v>
      </c>
      <c r="BH179" s="505">
        <f>BH181/BH178</f>
        <v>4.0868454661558119E-2</v>
      </c>
      <c r="BI179" s="505">
        <f>+BG179</f>
        <v>4.0868454661558112E-2</v>
      </c>
      <c r="BJ179" s="505">
        <f>BI179</f>
        <v>4.0868454661558112E-2</v>
      </c>
      <c r="BK179" s="505">
        <f>BK181/BK178</f>
        <v>4.0868454661558119E-2</v>
      </c>
      <c r="BL179" s="505">
        <f>+BJ179</f>
        <v>4.0868454661558112E-2</v>
      </c>
      <c r="BM179" s="505">
        <f>BL179</f>
        <v>4.0868454661558112E-2</v>
      </c>
      <c r="BN179" s="505">
        <f>BN181/BN178</f>
        <v>4.0868454661558119E-2</v>
      </c>
      <c r="BO179" s="505">
        <f>+BM179</f>
        <v>4.0868454661558112E-2</v>
      </c>
      <c r="BP179" s="505">
        <f>BO179</f>
        <v>4.0868454661558112E-2</v>
      </c>
      <c r="BQ179" s="505">
        <f>BQ181/BQ178</f>
        <v>4.0868454661558119E-2</v>
      </c>
      <c r="BR179" s="505">
        <f>+BP179</f>
        <v>4.0868454661558112E-2</v>
      </c>
      <c r="BS179" s="505">
        <f>BR179</f>
        <v>4.0868454661558112E-2</v>
      </c>
      <c r="BT179" s="505">
        <f>BT181/BT178</f>
        <v>4.0868454661558119E-2</v>
      </c>
      <c r="BU179" s="505">
        <f>+BS179</f>
        <v>4.0868454661558112E-2</v>
      </c>
      <c r="BV179" s="505">
        <f>BU179</f>
        <v>4.0868454661558112E-2</v>
      </c>
      <c r="BW179" s="505">
        <f>BW181/BW178</f>
        <v>4.0868454661558119E-2</v>
      </c>
      <c r="BX179" s="505">
        <f>+BV179</f>
        <v>4.0868454661558112E-2</v>
      </c>
      <c r="BY179" s="505">
        <f>BX179</f>
        <v>4.0868454661558112E-2</v>
      </c>
      <c r="BZ179" s="505">
        <f>BZ181/BZ178</f>
        <v>2.1518066446257363E-2</v>
      </c>
      <c r="CA179" s="505">
        <f>+BY179</f>
        <v>4.0868454661558112E-2</v>
      </c>
      <c r="CB179" s="505">
        <f>CA179</f>
        <v>4.0868454661558112E-2</v>
      </c>
      <c r="CC179" s="505">
        <f>CC181/CC178</f>
        <v>3.0637671407109081E-2</v>
      </c>
      <c r="CD179" s="11"/>
      <c r="CE179" s="11"/>
    </row>
    <row r="180" spans="2:83" outlineLevel="1">
      <c r="B180" s="40" t="s">
        <v>625</v>
      </c>
      <c r="C180" s="461"/>
      <c r="D180" s="511"/>
      <c r="E180" s="511"/>
      <c r="F180" s="511"/>
      <c r="G180" s="511"/>
      <c r="H180" s="511"/>
      <c r="I180" s="511"/>
      <c r="J180" s="511"/>
      <c r="K180" s="511"/>
      <c r="L180" s="511"/>
      <c r="M180" s="511"/>
      <c r="N180" s="511"/>
      <c r="O180" s="511"/>
      <c r="P180" s="511"/>
      <c r="Q180" s="511"/>
      <c r="R180" s="511"/>
      <c r="S180" s="511"/>
      <c r="T180" s="511"/>
      <c r="U180" s="511"/>
      <c r="V180" s="511"/>
      <c r="W180" s="511"/>
      <c r="X180" s="511"/>
      <c r="Y180" s="511"/>
      <c r="Z180" s="511"/>
      <c r="AA180" s="511"/>
      <c r="AB180" s="511"/>
      <c r="AC180" s="511"/>
      <c r="AD180" s="502"/>
      <c r="AE180" s="139">
        <v>0</v>
      </c>
      <c r="AF180" s="139">
        <v>0</v>
      </c>
      <c r="AG180" s="151">
        <v>0</v>
      </c>
      <c r="AH180" s="151">
        <v>1</v>
      </c>
      <c r="AI180" s="503">
        <f>2.3-AH180</f>
        <v>1.2999999999999998</v>
      </c>
      <c r="AJ180" s="503">
        <f>AI180+AH180</f>
        <v>2.2999999999999998</v>
      </c>
      <c r="AK180" s="503">
        <f>AK23</f>
        <v>1.1000000000000001</v>
      </c>
      <c r="AL180" s="503">
        <f>AL23</f>
        <v>1.2999999999999998</v>
      </c>
      <c r="AM180" s="503">
        <f>AM23</f>
        <v>2.4</v>
      </c>
      <c r="AN180" s="151">
        <v>0.82681992337164745</v>
      </c>
      <c r="AO180" s="151">
        <v>0.7197318007662834</v>
      </c>
      <c r="AP180" s="503">
        <f>+AO180+AN180</f>
        <v>1.546551724137931</v>
      </c>
      <c r="AQ180" s="151">
        <v>1.3747126416781601</v>
      </c>
      <c r="AR180" s="151">
        <v>1.41199233716475</v>
      </c>
      <c r="AS180" s="151">
        <v>1.1417165668662672</v>
      </c>
      <c r="AT180" s="503">
        <f t="shared" ref="AT180:AZ180" si="144">AT23</f>
        <v>0.8</v>
      </c>
      <c r="AU180" s="503">
        <f t="shared" si="144"/>
        <v>1</v>
      </c>
      <c r="AV180" s="503">
        <f t="shared" si="144"/>
        <v>1.8</v>
      </c>
      <c r="AW180" s="503">
        <f t="shared" si="144"/>
        <v>0.8</v>
      </c>
      <c r="AX180" s="503">
        <f t="shared" si="144"/>
        <v>0.89999999999999991</v>
      </c>
      <c r="AY180" s="503">
        <f t="shared" si="144"/>
        <v>1.7</v>
      </c>
      <c r="AZ180" s="503">
        <f t="shared" si="144"/>
        <v>0.8</v>
      </c>
      <c r="BA180" s="503">
        <f>BA179*BA177/2</f>
        <v>0.43933588761174969</v>
      </c>
      <c r="BB180" s="503">
        <f>SUM(AZ180:BA180)</f>
        <v>1.2393358876117497</v>
      </c>
      <c r="BC180" s="503">
        <f>BC179*BC176/2</f>
        <v>0.43933588761174969</v>
      </c>
      <c r="BD180" s="503">
        <f>BD179*BD177/2</f>
        <v>1.1770114942528738</v>
      </c>
      <c r="BE180" s="503">
        <f>SUM(BC180:BD180)</f>
        <v>1.6163473818646235</v>
      </c>
      <c r="BF180" s="503">
        <f>BF179*BF176/2</f>
        <v>1.1770114942528738</v>
      </c>
      <c r="BG180" s="503">
        <f>BG179*BG176/2</f>
        <v>1.1770114942528738</v>
      </c>
      <c r="BH180" s="503">
        <f>SUM(BF180:BG180)</f>
        <v>2.3540229885057475</v>
      </c>
      <c r="BI180" s="503">
        <f>BI179*BI176/2</f>
        <v>1.1770114942528738</v>
      </c>
      <c r="BJ180" s="503">
        <f>BJ179*BJ176/2</f>
        <v>1.1770114942528738</v>
      </c>
      <c r="BK180" s="503">
        <f>SUM(BI180:BJ180)</f>
        <v>2.3540229885057475</v>
      </c>
      <c r="BL180" s="503">
        <f>BL179*BL176/2</f>
        <v>1.1770114942528738</v>
      </c>
      <c r="BM180" s="503">
        <f>BM179*BM176/2</f>
        <v>1.1770114942528738</v>
      </c>
      <c r="BN180" s="503">
        <f>SUM(BL180:BM180)</f>
        <v>2.3540229885057475</v>
      </c>
      <c r="BO180" s="503">
        <f>BO179*BO176/2</f>
        <v>1.1770114942528738</v>
      </c>
      <c r="BP180" s="503">
        <f>BP179*BP176/2</f>
        <v>1.1770114942528738</v>
      </c>
      <c r="BQ180" s="503">
        <f>SUM(BO180:BP180)</f>
        <v>2.3540229885057475</v>
      </c>
      <c r="BR180" s="503">
        <f>BR179*BR176/2</f>
        <v>1.1770114942528738</v>
      </c>
      <c r="BS180" s="503">
        <f>BS179*BS176/2</f>
        <v>1.1770114942528738</v>
      </c>
      <c r="BT180" s="503">
        <f>SUM(BR180:BS180)</f>
        <v>2.3540229885057475</v>
      </c>
      <c r="BU180" s="503">
        <f>BU179*BU176/2</f>
        <v>1.1770114942528738</v>
      </c>
      <c r="BV180" s="503">
        <f>BV179*BV176/2</f>
        <v>1.1770114942528738</v>
      </c>
      <c r="BW180" s="503">
        <f>SUM(BU180:BV180)</f>
        <v>2.3540229885057475</v>
      </c>
      <c r="BX180" s="503">
        <f>BX179*BX176/2</f>
        <v>1.1770114942528738</v>
      </c>
      <c r="BY180" s="503">
        <f>BY179*BY176/2</f>
        <v>1.1770114942528738</v>
      </c>
      <c r="BZ180" s="503">
        <f>SUM(BX180:BY180)</f>
        <v>2.3540229885057475</v>
      </c>
      <c r="CA180" s="503">
        <f>CA179*CA176/2</f>
        <v>3.2938958718104772</v>
      </c>
      <c r="CB180" s="503">
        <f>CB179*CB176/2</f>
        <v>3.2938958718104772</v>
      </c>
      <c r="CC180" s="503">
        <f>SUM(CA180:CB180)</f>
        <v>6.5877917436209543</v>
      </c>
      <c r="CD180" s="11"/>
      <c r="CE180" s="11"/>
    </row>
    <row r="181" spans="2:83" outlineLevel="1">
      <c r="B181" s="257" t="s">
        <v>626</v>
      </c>
      <c r="C181" s="461"/>
      <c r="D181" s="511"/>
      <c r="E181" s="511"/>
      <c r="F181" s="511"/>
      <c r="G181" s="511"/>
      <c r="H181" s="511"/>
      <c r="I181" s="511"/>
      <c r="J181" s="511"/>
      <c r="K181" s="511"/>
      <c r="L181" s="511"/>
      <c r="M181" s="511"/>
      <c r="N181" s="511"/>
      <c r="O181" s="511"/>
      <c r="P181" s="511"/>
      <c r="Q181" s="511"/>
      <c r="R181" s="511"/>
      <c r="S181" s="511"/>
      <c r="T181" s="511"/>
      <c r="U181" s="511"/>
      <c r="V181" s="511"/>
      <c r="W181" s="511"/>
      <c r="X181" s="511"/>
      <c r="Y181" s="511"/>
      <c r="Z181" s="511"/>
      <c r="AA181" s="511"/>
      <c r="AB181" s="511"/>
      <c r="AC181" s="511"/>
      <c r="AD181" s="502"/>
      <c r="AE181" s="139">
        <v>0</v>
      </c>
      <c r="AF181" s="139">
        <v>0</v>
      </c>
      <c r="AG181" s="151">
        <v>0</v>
      </c>
      <c r="AH181" s="151">
        <v>1</v>
      </c>
      <c r="AI181" s="503">
        <v>1.2999999999999998</v>
      </c>
      <c r="AJ181" s="503">
        <v>2.2999999999999998</v>
      </c>
      <c r="AK181" s="503">
        <v>1.1000000000000001</v>
      </c>
      <c r="AL181" s="503">
        <v>1.2999999999999998</v>
      </c>
      <c r="AM181" s="503">
        <v>2.4</v>
      </c>
      <c r="AN181" s="151">
        <v>0.82681992337164745</v>
      </c>
      <c r="AO181" s="151">
        <v>0.7197318007662834</v>
      </c>
      <c r="AP181" s="503">
        <v>1.546551724137931</v>
      </c>
      <c r="AQ181" s="151">
        <v>1.3747126416781601</v>
      </c>
      <c r="AR181" s="151">
        <v>1.41199233716475</v>
      </c>
      <c r="AS181" s="151">
        <v>1.1417165668662672</v>
      </c>
      <c r="AT181" s="503">
        <v>0.8</v>
      </c>
      <c r="AU181" s="503">
        <v>1</v>
      </c>
      <c r="AV181" s="503">
        <v>1.8</v>
      </c>
      <c r="AW181" s="503">
        <v>0.8</v>
      </c>
      <c r="AX181" s="503">
        <v>0.89999999999999991</v>
      </c>
      <c r="AY181" s="503">
        <v>1.7</v>
      </c>
      <c r="AZ181" s="503">
        <v>0.8</v>
      </c>
      <c r="BA181" s="503">
        <v>0.43933588761174969</v>
      </c>
      <c r="BB181" s="503">
        <v>1.2393358876117497</v>
      </c>
      <c r="BC181" s="503">
        <v>0.43933588761174969</v>
      </c>
      <c r="BD181" s="503">
        <v>1.1770114942528738</v>
      </c>
      <c r="BE181" s="503">
        <v>1.6163473818646235</v>
      </c>
      <c r="BF181" s="503">
        <v>1.1770114942528738</v>
      </c>
      <c r="BG181" s="503">
        <v>1.1770114942528738</v>
      </c>
      <c r="BH181" s="503">
        <v>2.3540229885057475</v>
      </c>
      <c r="BI181" s="503">
        <v>1.1770114942528738</v>
      </c>
      <c r="BJ181" s="503">
        <v>1.1770114942528738</v>
      </c>
      <c r="BK181" s="503">
        <v>2.3540229885057475</v>
      </c>
      <c r="BL181" s="503">
        <v>1.1770114942528738</v>
      </c>
      <c r="BM181" s="503">
        <v>1.1770114942528738</v>
      </c>
      <c r="BN181" s="503">
        <v>2.3540229885057475</v>
      </c>
      <c r="BO181" s="503">
        <v>1.1770114942528738</v>
      </c>
      <c r="BP181" s="503">
        <v>1.1770114942528738</v>
      </c>
      <c r="BQ181" s="503">
        <v>2.3540229885057475</v>
      </c>
      <c r="BR181" s="503">
        <v>1.1770114942528738</v>
      </c>
      <c r="BS181" s="503">
        <v>1.1770114942528738</v>
      </c>
      <c r="BT181" s="503">
        <v>2.3540229885057475</v>
      </c>
      <c r="BU181" s="503">
        <v>1.1770114942528738</v>
      </c>
      <c r="BV181" s="503">
        <v>1.1770114942528738</v>
      </c>
      <c r="BW181" s="503">
        <v>2.3540229885057475</v>
      </c>
      <c r="BX181" s="503">
        <v>1.1770114942528738</v>
      </c>
      <c r="BY181" s="503">
        <v>1.1770114942528738</v>
      </c>
      <c r="BZ181" s="503">
        <v>2.3540229885057475</v>
      </c>
      <c r="CA181" s="503">
        <v>3.2938958718104772</v>
      </c>
      <c r="CB181" s="503">
        <v>3.2938958718104772</v>
      </c>
      <c r="CC181" s="503">
        <v>6.5877917436209543</v>
      </c>
      <c r="CD181" s="11"/>
      <c r="CE181" s="11"/>
    </row>
    <row r="182" spans="2:83" outlineLevel="1">
      <c r="B182" s="506" t="s">
        <v>629</v>
      </c>
      <c r="C182" s="461"/>
      <c r="D182" s="511"/>
      <c r="E182" s="511"/>
      <c r="F182" s="511"/>
      <c r="G182" s="511"/>
      <c r="H182" s="511"/>
      <c r="I182" s="511"/>
      <c r="J182" s="511"/>
      <c r="K182" s="511"/>
      <c r="L182" s="511"/>
      <c r="M182" s="511"/>
      <c r="N182" s="511"/>
      <c r="O182" s="511"/>
      <c r="P182" s="511"/>
      <c r="Q182" s="511"/>
      <c r="R182" s="511"/>
      <c r="S182" s="511"/>
      <c r="T182" s="511"/>
      <c r="U182" s="511"/>
      <c r="V182" s="511"/>
      <c r="W182" s="511"/>
      <c r="X182" s="511"/>
      <c r="Y182" s="511"/>
      <c r="Z182" s="511"/>
      <c r="AA182" s="511"/>
      <c r="AB182" s="511"/>
      <c r="AC182" s="511"/>
      <c r="AD182" s="507">
        <f t="shared" ref="AD182:BI182" si="145">ROUND(AD180-AD181,2)</f>
        <v>0</v>
      </c>
      <c r="AE182" s="507">
        <f t="shared" si="145"/>
        <v>0</v>
      </c>
      <c r="AF182" s="507">
        <f t="shared" si="145"/>
        <v>0</v>
      </c>
      <c r="AG182" s="507">
        <f t="shared" si="145"/>
        <v>0</v>
      </c>
      <c r="AH182" s="507">
        <f t="shared" si="145"/>
        <v>0</v>
      </c>
      <c r="AI182" s="507">
        <f t="shared" si="145"/>
        <v>0</v>
      </c>
      <c r="AJ182" s="507">
        <f t="shared" si="145"/>
        <v>0</v>
      </c>
      <c r="AK182" s="507">
        <f t="shared" si="145"/>
        <v>0</v>
      </c>
      <c r="AL182" s="507">
        <f t="shared" si="145"/>
        <v>0</v>
      </c>
      <c r="AM182" s="507">
        <f t="shared" si="145"/>
        <v>0</v>
      </c>
      <c r="AN182" s="507">
        <f t="shared" si="145"/>
        <v>0</v>
      </c>
      <c r="AO182" s="507">
        <f t="shared" si="145"/>
        <v>0</v>
      </c>
      <c r="AP182" s="507">
        <f t="shared" si="145"/>
        <v>0</v>
      </c>
      <c r="AQ182" s="507">
        <f t="shared" si="145"/>
        <v>0</v>
      </c>
      <c r="AR182" s="507">
        <f t="shared" si="145"/>
        <v>0</v>
      </c>
      <c r="AS182" s="507">
        <f t="shared" si="145"/>
        <v>0</v>
      </c>
      <c r="AT182" s="507">
        <f t="shared" si="145"/>
        <v>0</v>
      </c>
      <c r="AU182" s="507">
        <f t="shared" si="145"/>
        <v>0</v>
      </c>
      <c r="AV182" s="507">
        <f t="shared" si="145"/>
        <v>0</v>
      </c>
      <c r="AW182" s="507">
        <f t="shared" si="145"/>
        <v>0</v>
      </c>
      <c r="AX182" s="507">
        <f t="shared" si="145"/>
        <v>0</v>
      </c>
      <c r="AY182" s="507">
        <f t="shared" si="145"/>
        <v>0</v>
      </c>
      <c r="AZ182" s="507">
        <f t="shared" si="145"/>
        <v>0</v>
      </c>
      <c r="BA182" s="507">
        <f t="shared" si="145"/>
        <v>0</v>
      </c>
      <c r="BB182" s="507">
        <f t="shared" si="145"/>
        <v>0</v>
      </c>
      <c r="BC182" s="507">
        <f t="shared" si="145"/>
        <v>0</v>
      </c>
      <c r="BD182" s="507">
        <f t="shared" si="145"/>
        <v>0</v>
      </c>
      <c r="BE182" s="507">
        <f t="shared" si="145"/>
        <v>0</v>
      </c>
      <c r="BF182" s="507">
        <f t="shared" si="145"/>
        <v>0</v>
      </c>
      <c r="BG182" s="507">
        <f t="shared" si="145"/>
        <v>0</v>
      </c>
      <c r="BH182" s="507">
        <f t="shared" si="145"/>
        <v>0</v>
      </c>
      <c r="BI182" s="507">
        <f t="shared" si="145"/>
        <v>0</v>
      </c>
      <c r="BJ182" s="507">
        <f t="shared" ref="BJ182:CC182" si="146">ROUND(BJ180-BJ181,2)</f>
        <v>0</v>
      </c>
      <c r="BK182" s="507">
        <f t="shared" si="146"/>
        <v>0</v>
      </c>
      <c r="BL182" s="507">
        <f t="shared" si="146"/>
        <v>0</v>
      </c>
      <c r="BM182" s="507">
        <f t="shared" si="146"/>
        <v>0</v>
      </c>
      <c r="BN182" s="507">
        <f t="shared" si="146"/>
        <v>0</v>
      </c>
      <c r="BO182" s="507">
        <f t="shared" si="146"/>
        <v>0</v>
      </c>
      <c r="BP182" s="507">
        <f t="shared" si="146"/>
        <v>0</v>
      </c>
      <c r="BQ182" s="507">
        <f t="shared" si="146"/>
        <v>0</v>
      </c>
      <c r="BR182" s="507">
        <f t="shared" si="146"/>
        <v>0</v>
      </c>
      <c r="BS182" s="507">
        <f t="shared" si="146"/>
        <v>0</v>
      </c>
      <c r="BT182" s="507">
        <f t="shared" si="146"/>
        <v>0</v>
      </c>
      <c r="BU182" s="507">
        <f t="shared" si="146"/>
        <v>0</v>
      </c>
      <c r="BV182" s="507">
        <f t="shared" si="146"/>
        <v>0</v>
      </c>
      <c r="BW182" s="507">
        <f t="shared" si="146"/>
        <v>0</v>
      </c>
      <c r="BX182" s="507">
        <f t="shared" si="146"/>
        <v>0</v>
      </c>
      <c r="BY182" s="507">
        <f t="shared" si="146"/>
        <v>0</v>
      </c>
      <c r="BZ182" s="507">
        <f t="shared" si="146"/>
        <v>0</v>
      </c>
      <c r="CA182" s="507">
        <f t="shared" si="146"/>
        <v>0</v>
      </c>
      <c r="CB182" s="507">
        <f t="shared" si="146"/>
        <v>0</v>
      </c>
      <c r="CC182" s="507">
        <f t="shared" si="146"/>
        <v>0</v>
      </c>
      <c r="CD182" s="11"/>
      <c r="CE182" s="11"/>
    </row>
    <row r="183" spans="2:83" outlineLevel="1">
      <c r="B183" s="40"/>
      <c r="D183" s="33"/>
      <c r="E183" s="33"/>
      <c r="F183" s="33"/>
      <c r="G183" s="33"/>
      <c r="H183" s="33"/>
      <c r="I183" s="33"/>
      <c r="J183" s="33"/>
      <c r="K183" s="33"/>
      <c r="L183" s="33"/>
      <c r="M183" s="33"/>
      <c r="N183" s="33"/>
      <c r="O183" s="33"/>
      <c r="P183" s="33"/>
      <c r="Q183" s="33"/>
      <c r="R183" s="33"/>
      <c r="S183" s="33"/>
      <c r="T183" s="33"/>
      <c r="U183" s="33"/>
      <c r="V183" s="33"/>
      <c r="W183" s="33"/>
      <c r="X183" s="33"/>
      <c r="Y183" s="33"/>
      <c r="Z183" s="33"/>
      <c r="AA183" s="33"/>
      <c r="AB183" s="33"/>
      <c r="AC183" s="33"/>
      <c r="AD183" s="503"/>
      <c r="AE183" s="503"/>
      <c r="AF183" s="503"/>
      <c r="AG183" s="503"/>
      <c r="AH183" s="503"/>
      <c r="AI183" s="502"/>
      <c r="AJ183" s="503"/>
      <c r="AK183" s="502"/>
      <c r="AL183" s="502"/>
      <c r="AM183" s="502"/>
      <c r="AN183" s="502"/>
      <c r="AO183" s="502"/>
      <c r="AP183" s="502"/>
      <c r="AQ183" s="502"/>
      <c r="AR183" s="502"/>
      <c r="AS183" s="502"/>
      <c r="AT183" s="502"/>
      <c r="AU183" s="502"/>
      <c r="AV183" s="502"/>
      <c r="AW183" s="502"/>
      <c r="AX183" s="502"/>
      <c r="AY183" s="502"/>
      <c r="AZ183" s="502"/>
      <c r="BA183" s="502"/>
      <c r="BB183" s="502"/>
      <c r="BC183" s="502"/>
      <c r="BD183" s="502"/>
      <c r="BE183" s="502"/>
      <c r="BF183" s="502"/>
      <c r="BG183" s="502"/>
      <c r="BH183" s="502"/>
      <c r="BI183" s="502"/>
      <c r="BJ183" s="502"/>
      <c r="BK183" s="502"/>
      <c r="BL183" s="502"/>
      <c r="BM183" s="502"/>
      <c r="BN183" s="502"/>
      <c r="BO183" s="502"/>
      <c r="BP183" s="502"/>
      <c r="BQ183" s="502"/>
      <c r="BR183" s="502"/>
      <c r="BS183" s="502"/>
      <c r="BT183" s="502"/>
      <c r="BU183" s="502"/>
      <c r="BV183" s="502"/>
      <c r="BW183" s="502"/>
      <c r="BX183" s="502"/>
      <c r="BY183" s="502"/>
      <c r="BZ183" s="502"/>
      <c r="CA183" s="502"/>
      <c r="CB183" s="502"/>
      <c r="CC183" s="502"/>
      <c r="CD183" s="33"/>
      <c r="CE183" s="33"/>
    </row>
    <row r="184" spans="2:83" outlineLevel="1">
      <c r="B184" s="257" t="s">
        <v>417</v>
      </c>
      <c r="C184" s="257" t="s">
        <v>223</v>
      </c>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503">
        <f t="shared" ref="AD184:BE184" si="147">-AD132/AD41</f>
        <v>0.9859154929577465</v>
      </c>
      <c r="AE184" s="503">
        <f t="shared" si="147"/>
        <v>0.6404109589041096</v>
      </c>
      <c r="AF184" s="503">
        <f t="shared" si="147"/>
        <v>0.81159420289855078</v>
      </c>
      <c r="AG184" s="503">
        <f t="shared" si="147"/>
        <v>0.72359154929577463</v>
      </c>
      <c r="AH184" s="503">
        <f t="shared" si="147"/>
        <v>1</v>
      </c>
      <c r="AI184" s="503">
        <f t="shared" si="147"/>
        <v>0.92337164750957845</v>
      </c>
      <c r="AJ184" s="503">
        <f t="shared" si="147"/>
        <v>0.96212121212121215</v>
      </c>
      <c r="AK184" s="503">
        <f t="shared" si="147"/>
        <v>1</v>
      </c>
      <c r="AL184" s="503">
        <f t="shared" si="147"/>
        <v>1</v>
      </c>
      <c r="AM184" s="503">
        <f t="shared" si="147"/>
        <v>1</v>
      </c>
      <c r="AN184" s="503">
        <f t="shared" si="147"/>
        <v>1.0032362459546924</v>
      </c>
      <c r="AO184" s="503">
        <f t="shared" si="147"/>
        <v>0.8279883381924199</v>
      </c>
      <c r="AP184" s="503">
        <f t="shared" si="147"/>
        <v>0.91104294478527603</v>
      </c>
      <c r="AQ184" s="503">
        <f t="shared" si="147"/>
        <v>0.92419825072886308</v>
      </c>
      <c r="AR184" s="503">
        <f t="shared" si="147"/>
        <v>0.56593406593406592</v>
      </c>
      <c r="AS184" s="503">
        <f t="shared" si="147"/>
        <v>0.73974540311173964</v>
      </c>
      <c r="AT184" s="503">
        <f t="shared" si="147"/>
        <v>0.61671469740634011</v>
      </c>
      <c r="AU184" s="503">
        <f t="shared" si="147"/>
        <v>0.52741514360313313</v>
      </c>
      <c r="AV184" s="503">
        <f t="shared" si="147"/>
        <v>0.56986301369863013</v>
      </c>
      <c r="AW184" s="503">
        <f t="shared" si="147"/>
        <v>0.56728232189973615</v>
      </c>
      <c r="AX184" s="503">
        <f t="shared" si="147"/>
        <v>0.62155388471177941</v>
      </c>
      <c r="AY184" s="512">
        <f t="shared" si="147"/>
        <v>0.5951156812339331</v>
      </c>
      <c r="AZ184" s="512">
        <f t="shared" si="147"/>
        <v>0.74064837905236902</v>
      </c>
      <c r="BA184" s="512">
        <f t="shared" si="147"/>
        <v>0.52631578947368429</v>
      </c>
      <c r="BB184" s="512">
        <f t="shared" si="147"/>
        <v>0.63636363636363646</v>
      </c>
      <c r="BC184" s="512">
        <f t="shared" si="147"/>
        <v>0.6506024096385542</v>
      </c>
      <c r="BD184" s="512">
        <f t="shared" si="147"/>
        <v>0.80731707317073165</v>
      </c>
      <c r="BE184" s="512">
        <f t="shared" si="147"/>
        <v>0.72848484848484851</v>
      </c>
      <c r="BF184" s="513">
        <f>BD184</f>
        <v>0.80731707317073165</v>
      </c>
      <c r="BG184" s="513">
        <f>BF184</f>
        <v>0.80731707317073165</v>
      </c>
      <c r="BH184" s="513">
        <f>-BH132/BH41</f>
        <v>0.80731707317073176</v>
      </c>
      <c r="BI184" s="513">
        <f>BG184</f>
        <v>0.80731707317073165</v>
      </c>
      <c r="BJ184" s="513">
        <f>BI184</f>
        <v>0.80731707317073165</v>
      </c>
      <c r="BK184" s="513">
        <f>-BK132/BK41</f>
        <v>0.80731707317073176</v>
      </c>
      <c r="BL184" s="513">
        <f>BJ184</f>
        <v>0.80731707317073165</v>
      </c>
      <c r="BM184" s="513">
        <f>BL184</f>
        <v>0.80731707317073165</v>
      </c>
      <c r="BN184" s="513">
        <f>-BN132/BN41</f>
        <v>0.80731707317073176</v>
      </c>
      <c r="BO184" s="513">
        <f>BM184</f>
        <v>0.80731707317073165</v>
      </c>
      <c r="BP184" s="513">
        <f>BO184</f>
        <v>0.80731707317073165</v>
      </c>
      <c r="BQ184" s="513">
        <f>-BQ132/BQ41</f>
        <v>0.80731707317073176</v>
      </c>
      <c r="BR184" s="513">
        <f>BP184</f>
        <v>0.80731707317073165</v>
      </c>
      <c r="BS184" s="513">
        <f>BR184</f>
        <v>0.80731707317073165</v>
      </c>
      <c r="BT184" s="513">
        <f>-BT132/BT41</f>
        <v>0.80731707317073165</v>
      </c>
      <c r="BU184" s="513">
        <f>BS184</f>
        <v>0.80731707317073165</v>
      </c>
      <c r="BV184" s="513">
        <f>BU184</f>
        <v>0.80731707317073165</v>
      </c>
      <c r="BW184" s="513">
        <f>-BW132/BW41</f>
        <v>0.80731707317073165</v>
      </c>
      <c r="BX184" s="513">
        <f>BV184</f>
        <v>0.80731707317073165</v>
      </c>
      <c r="BY184" s="513">
        <f>BX184</f>
        <v>0.80731707317073165</v>
      </c>
      <c r="BZ184" s="513">
        <f>-BZ132/BZ41</f>
        <v>0.80731707317073165</v>
      </c>
      <c r="CA184" s="513">
        <f>BY184</f>
        <v>0.80731707317073165</v>
      </c>
      <c r="CB184" s="513">
        <f>CA184</f>
        <v>0.80731707317073165</v>
      </c>
      <c r="CC184" s="513">
        <f>-CC132/CC41</f>
        <v>0.80731707317073176</v>
      </c>
      <c r="CD184" s="11"/>
      <c r="CE184" s="11"/>
    </row>
    <row r="185" spans="2:83" outlineLevel="1">
      <c r="D185" s="33"/>
      <c r="E185" s="33"/>
      <c r="F185" s="33"/>
      <c r="G185" s="33"/>
      <c r="H185" s="33"/>
      <c r="I185" s="33"/>
      <c r="J185" s="33"/>
      <c r="K185" s="33"/>
      <c r="L185" s="33"/>
      <c r="M185" s="33"/>
      <c r="N185" s="33"/>
      <c r="O185" s="33"/>
      <c r="P185" s="33"/>
      <c r="Q185" s="33"/>
      <c r="R185" s="33"/>
      <c r="S185" s="33"/>
      <c r="T185" s="33"/>
      <c r="U185" s="33"/>
      <c r="V185" s="33"/>
      <c r="W185" s="33"/>
      <c r="X185" s="33"/>
      <c r="Y185" s="33"/>
      <c r="Z185" s="33"/>
      <c r="AA185" s="33"/>
      <c r="AB185" s="33"/>
      <c r="AC185" s="33"/>
      <c r="AX185" s="502"/>
      <c r="AY185" s="502"/>
      <c r="AZ185" s="502"/>
      <c r="BA185" s="502"/>
      <c r="BB185" s="502"/>
      <c r="BC185" s="502"/>
      <c r="BD185" s="502"/>
      <c r="BE185" s="502"/>
      <c r="BF185" s="502"/>
      <c r="BG185" s="502"/>
      <c r="BH185" s="502"/>
      <c r="BI185" s="502"/>
      <c r="BJ185" s="502"/>
      <c r="BK185" s="502"/>
      <c r="BL185" s="502"/>
      <c r="BM185" s="502"/>
      <c r="BN185" s="502"/>
      <c r="BO185" s="502"/>
      <c r="BP185" s="502"/>
      <c r="BQ185" s="502"/>
      <c r="BR185" s="502"/>
      <c r="BS185" s="502"/>
      <c r="BT185" s="502"/>
      <c r="BU185" s="502"/>
      <c r="BV185" s="502"/>
      <c r="BW185" s="502"/>
      <c r="BX185" s="502"/>
      <c r="BY185" s="502"/>
      <c r="BZ185" s="502"/>
      <c r="CA185" s="502"/>
      <c r="CB185" s="502"/>
      <c r="CC185" s="502"/>
      <c r="CD185" s="33"/>
      <c r="CE185" s="33"/>
    </row>
    <row r="186" spans="2:83" outlineLevel="1">
      <c r="B186" s="488" t="s">
        <v>418</v>
      </c>
      <c r="D186" s="33"/>
      <c r="E186" s="33"/>
      <c r="F186" s="33"/>
      <c r="G186" s="33"/>
      <c r="H186" s="33"/>
      <c r="I186" s="33"/>
      <c r="J186" s="33"/>
      <c r="K186" s="33"/>
      <c r="L186" s="33"/>
      <c r="M186" s="33"/>
      <c r="N186" s="33"/>
      <c r="O186" s="33"/>
      <c r="P186" s="33"/>
      <c r="Q186" s="33"/>
      <c r="R186" s="33"/>
      <c r="S186" s="33"/>
      <c r="T186" s="33"/>
      <c r="U186" s="33"/>
      <c r="V186" s="33"/>
      <c r="W186" s="33"/>
      <c r="X186" s="33"/>
      <c r="Y186" s="33"/>
      <c r="Z186" s="33"/>
      <c r="AA186" s="33"/>
      <c r="AB186" s="33"/>
      <c r="AC186" s="33"/>
      <c r="AX186" s="502"/>
      <c r="AY186" s="502"/>
      <c r="AZ186" s="502"/>
      <c r="BA186" s="502"/>
      <c r="BB186" s="502"/>
      <c r="BC186" s="502"/>
      <c r="BD186" s="502"/>
      <c r="BE186" s="502"/>
      <c r="BF186" s="502"/>
      <c r="BG186" s="502"/>
      <c r="BH186" s="502"/>
      <c r="BI186" s="502"/>
      <c r="BJ186" s="502"/>
      <c r="BK186" s="502"/>
      <c r="BL186" s="502"/>
      <c r="BM186" s="502"/>
      <c r="BN186" s="502"/>
      <c r="BO186" s="502"/>
      <c r="BP186" s="502"/>
      <c r="BQ186" s="502"/>
      <c r="BR186" s="502"/>
      <c r="BS186" s="502"/>
      <c r="BT186" s="502"/>
      <c r="BU186" s="502"/>
      <c r="BV186" s="502"/>
      <c r="BW186" s="502"/>
      <c r="BX186" s="502"/>
      <c r="BY186" s="502"/>
      <c r="BZ186" s="502"/>
      <c r="CA186" s="502"/>
      <c r="CB186" s="502"/>
      <c r="CC186" s="502"/>
      <c r="CD186" s="33"/>
      <c r="CE186" s="33"/>
    </row>
    <row r="187" spans="2:83" outlineLevel="1">
      <c r="B187" s="257" t="s">
        <v>339</v>
      </c>
      <c r="C187" s="257" t="s">
        <v>420</v>
      </c>
      <c r="D187" s="33"/>
      <c r="E187" s="33"/>
      <c r="F187" s="33"/>
      <c r="G187" s="33"/>
      <c r="H187" s="33"/>
      <c r="I187" s="33"/>
      <c r="J187" s="33"/>
      <c r="K187" s="33"/>
      <c r="L187" s="33"/>
      <c r="M187" s="33"/>
      <c r="N187" s="33"/>
      <c r="O187" s="33"/>
      <c r="P187" s="33"/>
      <c r="Q187" s="33"/>
      <c r="R187" s="33"/>
      <c r="S187" s="33"/>
      <c r="T187" s="33"/>
      <c r="U187" s="33"/>
      <c r="V187" s="33"/>
      <c r="W187" s="33"/>
      <c r="X187" s="33"/>
      <c r="Y187" s="33"/>
      <c r="Z187" s="33"/>
      <c r="AA187" s="33"/>
      <c r="AB187" s="33"/>
      <c r="AC187" s="33"/>
      <c r="AD187" s="458">
        <f t="shared" ref="AD187:AI187" si="148">-(AD132+AD135)</f>
        <v>142.9</v>
      </c>
      <c r="AE187" s="458">
        <f t="shared" si="148"/>
        <v>18.7</v>
      </c>
      <c r="AF187" s="458">
        <f t="shared" si="148"/>
        <v>22.400000000000002</v>
      </c>
      <c r="AG187" s="458">
        <f t="shared" si="148"/>
        <v>41.1</v>
      </c>
      <c r="AH187" s="458">
        <f t="shared" si="148"/>
        <v>26.7</v>
      </c>
      <c r="AI187" s="458">
        <f t="shared" si="148"/>
        <v>24.099999999999998</v>
      </c>
      <c r="AJ187" s="458">
        <f>AI187+AH187</f>
        <v>50.8</v>
      </c>
      <c r="AK187" s="458">
        <f>-(AK132+AK135)</f>
        <v>26.9</v>
      </c>
      <c r="AL187" s="458">
        <f>-(AL132+AL135)</f>
        <v>78.5</v>
      </c>
      <c r="AM187" s="458">
        <f>AL187+AK187</f>
        <v>105.4</v>
      </c>
      <c r="AN187" s="458">
        <f>-(AN134+AN135)</f>
        <v>64.5</v>
      </c>
      <c r="AO187" s="458">
        <f>-(AO134+AO135)</f>
        <v>85.5</v>
      </c>
      <c r="AP187" s="458">
        <f>AO187+AN187</f>
        <v>150</v>
      </c>
      <c r="AQ187" s="458">
        <f>-(AQ134+AQ135)</f>
        <v>41</v>
      </c>
      <c r="AR187" s="458">
        <f>-(AR134+AR135)</f>
        <v>26.9</v>
      </c>
      <c r="AS187" s="458">
        <f>AR187+AQ187</f>
        <v>67.900000000000006</v>
      </c>
      <c r="AT187" s="458">
        <f>-(AT134+AT135)</f>
        <v>51.5</v>
      </c>
      <c r="AU187" s="458">
        <f>-(AU134+AU135)</f>
        <v>164.5</v>
      </c>
      <c r="AV187" s="458">
        <f>AU187+AT187</f>
        <v>216</v>
      </c>
      <c r="AW187" s="458">
        <f>-(AW134+AW135)</f>
        <v>28.9</v>
      </c>
      <c r="AX187" s="503">
        <f>-(AX134+AX135)</f>
        <v>51.9</v>
      </c>
      <c r="AY187" s="503">
        <f>AX187+AW187</f>
        <v>80.8</v>
      </c>
      <c r="AZ187" s="503">
        <f>-(AZ134+AZ135)</f>
        <v>54.8</v>
      </c>
      <c r="BA187" s="503">
        <f>-(BA134+BA135)</f>
        <v>31.7</v>
      </c>
      <c r="BB187" s="503">
        <f>BA187+AZ187</f>
        <v>86.5</v>
      </c>
      <c r="BC187" s="503">
        <f>-(BC134+BC135)</f>
        <v>104</v>
      </c>
      <c r="BD187" s="503">
        <f>-(BD134+BD135)</f>
        <v>65.3</v>
      </c>
      <c r="BE187" s="503">
        <f>BD187+BC187</f>
        <v>169.3</v>
      </c>
      <c r="BF187" s="503">
        <f>-(BF134+BF135)</f>
        <v>52.652603658536584</v>
      </c>
      <c r="BG187" s="503">
        <f>-(BG134+BG135)</f>
        <v>52.470957317073172</v>
      </c>
      <c r="BH187" s="503">
        <f>BG187+BF187</f>
        <v>105.12356097560976</v>
      </c>
      <c r="BI187" s="503">
        <f>-(BI132+BI135)</f>
        <v>36.576862347560976</v>
      </c>
      <c r="BJ187" s="503">
        <f>-(BJ132+BJ135)</f>
        <v>35.688813567073169</v>
      </c>
      <c r="BK187" s="503">
        <f>BJ187+BI187</f>
        <v>72.265675914634144</v>
      </c>
      <c r="BL187" s="503">
        <f>-(BL132+BL135)</f>
        <v>37.312665003810977</v>
      </c>
      <c r="BM187" s="503">
        <f>-(BM132+BM135)</f>
        <v>36.42461622332317</v>
      </c>
      <c r="BN187" s="503">
        <f>BM187+BL187</f>
        <v>73.737281227134147</v>
      </c>
      <c r="BO187" s="503">
        <f>-(BO132+BO135)</f>
        <v>38.066862726467221</v>
      </c>
      <c r="BP187" s="503">
        <f>-(BP132+BP135)</f>
        <v>37.178813945979414</v>
      </c>
      <c r="BQ187" s="503">
        <f>BP187+BO187</f>
        <v>75.245676672446635</v>
      </c>
      <c r="BR187" s="503">
        <f>-(BR132+BR135)</f>
        <v>38.839915392189873</v>
      </c>
      <c r="BS187" s="503">
        <f>-(BS132+BS135)</f>
        <v>37.951866611702066</v>
      </c>
      <c r="BT187" s="503">
        <f>BS187+BR187</f>
        <v>76.791782003891939</v>
      </c>
      <c r="BU187" s="503">
        <f>-(BU132+BU135)</f>
        <v>39.632294374555592</v>
      </c>
      <c r="BV187" s="503">
        <f>-(BV132+BV135)</f>
        <v>38.744245594067792</v>
      </c>
      <c r="BW187" s="503">
        <f>BV187+BU187</f>
        <v>78.376539968623376</v>
      </c>
      <c r="BX187" s="503">
        <f>-(BX132+BX135)</f>
        <v>40.444482831480457</v>
      </c>
      <c r="BY187" s="503">
        <f>-(BY132+BY135)</f>
        <v>39.55643405099265</v>
      </c>
      <c r="BZ187" s="503">
        <f>BY187+BX187</f>
        <v>80.000916882473106</v>
      </c>
      <c r="CA187" s="503">
        <f>-(CA132+CA135)</f>
        <v>41.276975999828444</v>
      </c>
      <c r="CB187" s="503">
        <f>-(CB132+CB135)</f>
        <v>40.388927219340637</v>
      </c>
      <c r="CC187" s="503">
        <f>CB187+CA187</f>
        <v>81.665903219169081</v>
      </c>
      <c r="CD187" s="33"/>
      <c r="CE187" s="33"/>
    </row>
    <row r="188" spans="2:83" outlineLevel="1">
      <c r="B188" s="257" t="s">
        <v>340</v>
      </c>
      <c r="C188" s="257" t="s">
        <v>420</v>
      </c>
      <c r="D188" s="33"/>
      <c r="E188" s="33"/>
      <c r="F188" s="33"/>
      <c r="G188" s="33"/>
      <c r="H188" s="33"/>
      <c r="I188" s="33"/>
      <c r="J188" s="33"/>
      <c r="K188" s="33"/>
      <c r="L188" s="33"/>
      <c r="M188" s="33"/>
      <c r="N188" s="33"/>
      <c r="O188" s="33"/>
      <c r="P188" s="33"/>
      <c r="Q188" s="33"/>
      <c r="R188" s="33"/>
      <c r="S188" s="33"/>
      <c r="T188" s="33"/>
      <c r="U188" s="33"/>
      <c r="V188" s="33"/>
      <c r="W188" s="33"/>
      <c r="X188" s="33"/>
      <c r="Y188" s="33"/>
      <c r="Z188" s="33"/>
      <c r="AA188" s="33"/>
      <c r="AB188" s="33"/>
      <c r="AC188" s="33"/>
      <c r="AD188" s="458">
        <f>-AD136</f>
        <v>-4.0999999999999996</v>
      </c>
      <c r="AE188" s="458">
        <f>-AE136</f>
        <v>-2.8</v>
      </c>
      <c r="AF188" s="458">
        <f>-AF136</f>
        <v>-1.2999999999999998</v>
      </c>
      <c r="AG188" s="458">
        <f>-AG136</f>
        <v>-4.0999999999999996</v>
      </c>
      <c r="AH188" s="458">
        <f>-AH136</f>
        <v>-0.3</v>
      </c>
      <c r="AI188" s="151">
        <v>0</v>
      </c>
      <c r="AJ188" s="458">
        <f>AI188+AH188</f>
        <v>-0.3</v>
      </c>
      <c r="AK188" s="458">
        <f>-AK136</f>
        <v>-0.5</v>
      </c>
      <c r="AL188" s="151">
        <v>0</v>
      </c>
      <c r="AM188" s="458">
        <f>AL188+AK188</f>
        <v>-0.5</v>
      </c>
      <c r="AN188" s="151">
        <v>0</v>
      </c>
      <c r="AO188" s="151">
        <v>0</v>
      </c>
      <c r="AP188" s="458">
        <f>AO188+AN188</f>
        <v>0</v>
      </c>
      <c r="AQ188" s="151">
        <v>0</v>
      </c>
      <c r="AR188" s="151">
        <v>0</v>
      </c>
      <c r="AS188" s="458">
        <f>AR188+AQ188</f>
        <v>0</v>
      </c>
      <c r="AT188" s="151">
        <v>0</v>
      </c>
      <c r="AU188" s="151">
        <v>0</v>
      </c>
      <c r="AV188" s="458">
        <f>AU188+AT188</f>
        <v>0</v>
      </c>
      <c r="AW188" s="458">
        <f>-AW136</f>
        <v>-17.600000000000001</v>
      </c>
      <c r="AX188" s="503">
        <f>-AX136</f>
        <v>-33.199999999999996</v>
      </c>
      <c r="AY188" s="503">
        <f>AX188+AW188</f>
        <v>-50.8</v>
      </c>
      <c r="AZ188" s="503">
        <f>-AZ136</f>
        <v>-1.9</v>
      </c>
      <c r="BA188" s="503">
        <f>-BA136</f>
        <v>-21.3</v>
      </c>
      <c r="BB188" s="503">
        <f>BA188+AZ188</f>
        <v>-23.2</v>
      </c>
      <c r="BC188" s="503">
        <f>-BC136</f>
        <v>-5</v>
      </c>
      <c r="BD188" s="503">
        <f>-BD136</f>
        <v>-12.7</v>
      </c>
      <c r="BE188" s="503">
        <f>BD188+BC188</f>
        <v>-17.7</v>
      </c>
      <c r="BF188" s="485">
        <v>0</v>
      </c>
      <c r="BG188" s="485">
        <v>0</v>
      </c>
      <c r="BH188" s="503">
        <f>BG188+BF188</f>
        <v>0</v>
      </c>
      <c r="BI188" s="485">
        <v>0</v>
      </c>
      <c r="BJ188" s="485">
        <v>0</v>
      </c>
      <c r="BK188" s="503">
        <f>BJ188+BI188</f>
        <v>0</v>
      </c>
      <c r="BL188" s="485">
        <v>0</v>
      </c>
      <c r="BM188" s="485">
        <v>0</v>
      </c>
      <c r="BN188" s="503">
        <f>BM188+BL188</f>
        <v>0</v>
      </c>
      <c r="BO188" s="485">
        <v>0</v>
      </c>
      <c r="BP188" s="485">
        <v>0</v>
      </c>
      <c r="BQ188" s="503">
        <f>BP188+BO188</f>
        <v>0</v>
      </c>
      <c r="BR188" s="485">
        <v>0</v>
      </c>
      <c r="BS188" s="485">
        <v>0</v>
      </c>
      <c r="BT188" s="503">
        <f>BS188+BR188</f>
        <v>0</v>
      </c>
      <c r="BU188" s="485">
        <v>0</v>
      </c>
      <c r="BV188" s="485">
        <v>0</v>
      </c>
      <c r="BW188" s="503">
        <f>BV188+BU188</f>
        <v>0</v>
      </c>
      <c r="BX188" s="485">
        <v>0</v>
      </c>
      <c r="BY188" s="485">
        <v>0</v>
      </c>
      <c r="BZ188" s="503">
        <f>BY188+BX188</f>
        <v>0</v>
      </c>
      <c r="CA188" s="485">
        <v>0</v>
      </c>
      <c r="CB188" s="485">
        <v>0</v>
      </c>
      <c r="CC188" s="503">
        <f>CB188+CA188</f>
        <v>0</v>
      </c>
      <c r="CD188" s="33"/>
      <c r="CE188" s="33"/>
    </row>
    <row r="189" spans="2:83" outlineLevel="1">
      <c r="B189" s="257" t="s">
        <v>341</v>
      </c>
      <c r="C189" s="257" t="s">
        <v>420</v>
      </c>
      <c r="D189" s="33"/>
      <c r="E189" s="33"/>
      <c r="F189" s="33"/>
      <c r="G189" s="33"/>
      <c r="H189" s="33"/>
      <c r="I189" s="33"/>
      <c r="J189" s="33"/>
      <c r="K189" s="33"/>
      <c r="L189" s="33"/>
      <c r="M189" s="33"/>
      <c r="N189" s="33"/>
      <c r="O189" s="33"/>
      <c r="P189" s="33"/>
      <c r="Q189" s="33"/>
      <c r="R189" s="33"/>
      <c r="S189" s="33"/>
      <c r="T189" s="33"/>
      <c r="U189" s="33"/>
      <c r="V189" s="33"/>
      <c r="W189" s="33"/>
      <c r="X189" s="33"/>
      <c r="Y189" s="33"/>
      <c r="Z189" s="33"/>
      <c r="AA189" s="33"/>
      <c r="AB189" s="33"/>
      <c r="AC189" s="33"/>
      <c r="AD189" s="151">
        <v>0</v>
      </c>
      <c r="AE189" s="151">
        <v>0</v>
      </c>
      <c r="AF189" s="151">
        <v>0</v>
      </c>
      <c r="AG189" s="151">
        <v>0</v>
      </c>
      <c r="AH189" s="458">
        <f>AH191+AH190-AH187-AH188-AG191</f>
        <v>-10</v>
      </c>
      <c r="AI189" s="151">
        <v>-0.1</v>
      </c>
      <c r="AJ189" s="458">
        <f>AI189+AH189-1.3</f>
        <v>-11.4</v>
      </c>
      <c r="AK189" s="458">
        <f>AK191+AK190-AK187-AK188-AJ191</f>
        <v>24.299999999999955</v>
      </c>
      <c r="AL189" s="151">
        <v>0</v>
      </c>
      <c r="AM189" s="458">
        <f>AL189+AK189</f>
        <v>24.299999999999955</v>
      </c>
      <c r="AN189" s="151">
        <v>0</v>
      </c>
      <c r="AO189" s="151">
        <v>0</v>
      </c>
      <c r="AP189" s="458">
        <f>AO189+AN189</f>
        <v>0</v>
      </c>
      <c r="AQ189" s="151">
        <v>0</v>
      </c>
      <c r="AR189" s="151">
        <v>0</v>
      </c>
      <c r="AS189" s="458">
        <f>AR189+AQ189</f>
        <v>0</v>
      </c>
      <c r="AT189" s="151">
        <v>0</v>
      </c>
      <c r="AU189" s="151">
        <v>0</v>
      </c>
      <c r="AV189" s="458">
        <f>AU189+AT189</f>
        <v>0</v>
      </c>
      <c r="AW189" s="151">
        <v>0</v>
      </c>
      <c r="AX189" s="151">
        <v>0</v>
      </c>
      <c r="AY189" s="503">
        <f>AX189+AW189</f>
        <v>0</v>
      </c>
      <c r="AZ189" s="151">
        <v>0</v>
      </c>
      <c r="BA189" s="151">
        <v>0</v>
      </c>
      <c r="BB189" s="503">
        <f>BA189+AZ189</f>
        <v>0</v>
      </c>
      <c r="BC189" s="151">
        <v>0</v>
      </c>
      <c r="BD189" s="151">
        <v>0</v>
      </c>
      <c r="BE189" s="503">
        <f>BD189+BC189</f>
        <v>0</v>
      </c>
      <c r="BF189" s="485">
        <v>0</v>
      </c>
      <c r="BG189" s="485">
        <v>0</v>
      </c>
      <c r="BH189" s="503">
        <f>BG189+BF189</f>
        <v>0</v>
      </c>
      <c r="BI189" s="485">
        <v>0</v>
      </c>
      <c r="BJ189" s="485">
        <v>0</v>
      </c>
      <c r="BK189" s="503">
        <f>BJ189+BI189</f>
        <v>0</v>
      </c>
      <c r="BL189" s="485">
        <v>0</v>
      </c>
      <c r="BM189" s="485">
        <v>0</v>
      </c>
      <c r="BN189" s="503">
        <f>BM189+BL189</f>
        <v>0</v>
      </c>
      <c r="BO189" s="485">
        <v>0</v>
      </c>
      <c r="BP189" s="485">
        <v>0</v>
      </c>
      <c r="BQ189" s="503">
        <f>BP189+BO189</f>
        <v>0</v>
      </c>
      <c r="BR189" s="485">
        <v>0</v>
      </c>
      <c r="BS189" s="485">
        <v>0</v>
      </c>
      <c r="BT189" s="503">
        <f>BS189+BR189</f>
        <v>0</v>
      </c>
      <c r="BU189" s="485">
        <v>0</v>
      </c>
      <c r="BV189" s="485">
        <v>0</v>
      </c>
      <c r="BW189" s="503">
        <f>BV189+BU189</f>
        <v>0</v>
      </c>
      <c r="BX189" s="485">
        <v>0</v>
      </c>
      <c r="BY189" s="485">
        <v>0</v>
      </c>
      <c r="BZ189" s="503">
        <f>BY189+BX189</f>
        <v>0</v>
      </c>
      <c r="CA189" s="485">
        <v>0</v>
      </c>
      <c r="CB189" s="485">
        <v>0</v>
      </c>
      <c r="CC189" s="503">
        <f>CB189+CA189</f>
        <v>0</v>
      </c>
      <c r="CD189" s="33"/>
      <c r="CE189" s="33"/>
    </row>
    <row r="190" spans="2:83" outlineLevel="1">
      <c r="B190" s="257" t="s">
        <v>342</v>
      </c>
      <c r="C190" s="257" t="s">
        <v>420</v>
      </c>
      <c r="D190" s="33"/>
      <c r="E190" s="33"/>
      <c r="F190" s="33"/>
      <c r="G190" s="33"/>
      <c r="H190" s="33"/>
      <c r="I190" s="33"/>
      <c r="J190" s="33"/>
      <c r="K190" s="33"/>
      <c r="L190" s="33"/>
      <c r="M190" s="33"/>
      <c r="N190" s="33"/>
      <c r="O190" s="33"/>
      <c r="P190" s="33"/>
      <c r="Q190" s="33"/>
      <c r="R190" s="33"/>
      <c r="S190" s="33"/>
      <c r="T190" s="33"/>
      <c r="U190" s="33"/>
      <c r="V190" s="33"/>
      <c r="W190" s="33"/>
      <c r="X190" s="33"/>
      <c r="Y190" s="33"/>
      <c r="Z190" s="33"/>
      <c r="AA190" s="33"/>
      <c r="AB190" s="33"/>
      <c r="AC190" s="33"/>
      <c r="AD190" s="458">
        <f t="shared" ref="AD190:AI190" si="149">AD194</f>
        <v>56.8</v>
      </c>
      <c r="AE190" s="458">
        <f t="shared" si="149"/>
        <v>29.2</v>
      </c>
      <c r="AF190" s="458">
        <f t="shared" si="149"/>
        <v>27.600000000000005</v>
      </c>
      <c r="AG190" s="458">
        <f t="shared" si="149"/>
        <v>56.800000000000004</v>
      </c>
      <c r="AH190" s="458">
        <f t="shared" si="149"/>
        <v>26.7</v>
      </c>
      <c r="AI190" s="458">
        <f t="shared" si="149"/>
        <v>26.099999999999998</v>
      </c>
      <c r="AJ190" s="458">
        <f>AI190+AH190</f>
        <v>52.8</v>
      </c>
      <c r="AK190" s="458">
        <f>AK194</f>
        <v>26.9</v>
      </c>
      <c r="AL190" s="458">
        <f>AL194</f>
        <v>27.309484777517564</v>
      </c>
      <c r="AM190" s="458">
        <f>AL190+AK190</f>
        <v>54.209484777517559</v>
      </c>
      <c r="AN190" s="458">
        <f>AN194</f>
        <v>29.473416080729464</v>
      </c>
      <c r="AO190" s="458">
        <f>AO194</f>
        <v>31.019580297599326</v>
      </c>
      <c r="AP190" s="458">
        <f>AO190+AN190</f>
        <v>60.49299637832879</v>
      </c>
      <c r="AQ190" s="458">
        <f>AQ194</f>
        <v>32.488451205451412</v>
      </c>
      <c r="AR190" s="458">
        <f>AR194</f>
        <v>32.538666498691732</v>
      </c>
      <c r="AS190" s="458">
        <f>AR190+AQ190</f>
        <v>65.027117704143137</v>
      </c>
      <c r="AT190" s="458">
        <f>AT194</f>
        <v>33.467574562676617</v>
      </c>
      <c r="AU190" s="458">
        <f>AU194</f>
        <v>36.083036602367805</v>
      </c>
      <c r="AV190" s="458">
        <f>AU190+AT190</f>
        <v>69.550611165044415</v>
      </c>
      <c r="AW190" s="458">
        <f>AW194</f>
        <v>37.514923078918905</v>
      </c>
      <c r="AX190" s="503">
        <f>AX194</f>
        <v>34.106850371398913</v>
      </c>
      <c r="AY190" s="503">
        <f>AX190+AW190</f>
        <v>71.621773450317818</v>
      </c>
      <c r="AZ190" s="503">
        <f>AZ194</f>
        <v>40.1</v>
      </c>
      <c r="BA190" s="503">
        <f>BA194</f>
        <v>34.682610619136724</v>
      </c>
      <c r="BB190" s="503">
        <f>BA190+AZ190</f>
        <v>74.782610619136733</v>
      </c>
      <c r="BC190" s="503">
        <f>BC194</f>
        <v>41.5</v>
      </c>
      <c r="BD190" s="503">
        <f>BD194</f>
        <v>41.854762025960795</v>
      </c>
      <c r="BE190" s="503">
        <f>BD190+BC190</f>
        <v>83.354762025960795</v>
      </c>
      <c r="BF190" s="503">
        <f>BF194</f>
        <v>43.530918783942568</v>
      </c>
      <c r="BG190" s="503">
        <f>BG194</f>
        <v>43.900558638362419</v>
      </c>
      <c r="BH190" s="503">
        <f>BG190+BF190</f>
        <v>87.431477422304994</v>
      </c>
      <c r="BI190" s="503">
        <f>BI194</f>
        <v>44.849726587585984</v>
      </c>
      <c r="BJ190" s="503">
        <f>BJ194</f>
        <v>44.485435523410807</v>
      </c>
      <c r="BK190" s="503">
        <f>BJ190+BI190</f>
        <v>89.335162110996791</v>
      </c>
      <c r="BL190" s="503">
        <f>BL194</f>
        <v>45.09965803113721</v>
      </c>
      <c r="BM190" s="503">
        <f>BM194</f>
        <v>44.748287019099742</v>
      </c>
      <c r="BN190" s="503">
        <f>BM190+BL190</f>
        <v>89.847945050236945</v>
      </c>
      <c r="BO190" s="503">
        <f>BO194</f>
        <v>45.402896117559607</v>
      </c>
      <c r="BP190" s="503">
        <f>BP194</f>
        <v>45.063488259356404</v>
      </c>
      <c r="BQ190" s="503">
        <f>BP190+BO190</f>
        <v>90.466384376916011</v>
      </c>
      <c r="BR190" s="503">
        <f>BR194</f>
        <v>45.759950149437223</v>
      </c>
      <c r="BS190" s="503">
        <f>BS194</f>
        <v>45.431482164198279</v>
      </c>
      <c r="BT190" s="503">
        <f>BS190+BR190</f>
        <v>91.191432313635502</v>
      </c>
      <c r="BU190" s="503">
        <f>BU194</f>
        <v>46.171374306126665</v>
      </c>
      <c r="BV190" s="503">
        <f>BV194</f>
        <v>45.852748885817824</v>
      </c>
      <c r="BW190" s="503">
        <f>BV190+BU190</f>
        <v>92.024123191944483</v>
      </c>
      <c r="BX190" s="503">
        <f>BX194</f>
        <v>46.637769964544496</v>
      </c>
      <c r="BY190" s="503">
        <f>BY194</f>
        <v>46.327807138569639</v>
      </c>
      <c r="BZ190" s="503">
        <f>BY190+BX190</f>
        <v>92.965577103114128</v>
      </c>
      <c r="CA190" s="503">
        <f>CA194</f>
        <v>47.159788190004249</v>
      </c>
      <c r="CB190" s="503">
        <f>CB194</f>
        <v>46.857215549117889</v>
      </c>
      <c r="CC190" s="503">
        <f>CB190+CA190</f>
        <v>94.017003739122146</v>
      </c>
      <c r="CD190" s="33"/>
      <c r="CE190" s="33"/>
    </row>
    <row r="191" spans="2:83" outlineLevel="1">
      <c r="B191" s="257" t="s">
        <v>343</v>
      </c>
      <c r="C191" s="257" t="s">
        <v>420</v>
      </c>
      <c r="D191" s="33"/>
      <c r="E191" s="33"/>
      <c r="F191" s="33"/>
      <c r="G191" s="33"/>
      <c r="H191" s="33"/>
      <c r="I191" s="33"/>
      <c r="J191" s="33"/>
      <c r="K191" s="33"/>
      <c r="L191" s="33"/>
      <c r="M191" s="33"/>
      <c r="N191" s="33"/>
      <c r="O191" s="33"/>
      <c r="P191" s="33"/>
      <c r="Q191" s="33"/>
      <c r="R191" s="33"/>
      <c r="S191" s="33"/>
      <c r="T191" s="33"/>
      <c r="U191" s="33"/>
      <c r="V191" s="33"/>
      <c r="W191" s="33"/>
      <c r="X191" s="33"/>
      <c r="Y191" s="33"/>
      <c r="Z191" s="33"/>
      <c r="AA191" s="33"/>
      <c r="AB191" s="33"/>
      <c r="AC191" s="33"/>
      <c r="AD191" s="458">
        <f>AD210</f>
        <v>801.9</v>
      </c>
      <c r="AE191" s="458">
        <f>AD191+SUM(AE187:AE190)</f>
        <v>847</v>
      </c>
      <c r="AF191" s="458">
        <f>AE191+SUM(AF187:AF190)</f>
        <v>895.7</v>
      </c>
      <c r="AG191" s="458">
        <f>AG210</f>
        <v>774.3</v>
      </c>
      <c r="AH191" s="458">
        <f>AH210</f>
        <v>764</v>
      </c>
      <c r="AI191" s="458">
        <f>AH191+SUM(AI187:AI189)-AI190</f>
        <v>761.9</v>
      </c>
      <c r="AJ191" s="458">
        <f>AG191+SUM(AJ187:AJ189)-AJ190</f>
        <v>760.6</v>
      </c>
      <c r="AK191" s="458">
        <f>AK210</f>
        <v>784.4</v>
      </c>
      <c r="AL191" s="458">
        <f>AK191+SUM(AL187:AL189)-AL190</f>
        <v>835.5905152224824</v>
      </c>
      <c r="AM191" s="458">
        <f>AJ191+SUM(AM187:AM189)-AM190</f>
        <v>835.5905152224824</v>
      </c>
      <c r="AN191" s="458">
        <f>AM191+SUM(AN187:AN189)-AN190</f>
        <v>870.61709914175299</v>
      </c>
      <c r="AO191" s="458">
        <f>AN191+SUM(AO187:AO189)-AO190</f>
        <v>925.09751884415368</v>
      </c>
      <c r="AP191" s="458">
        <f>AM191+SUM(AP187:AP189)-AP190</f>
        <v>925.09751884415357</v>
      </c>
      <c r="AQ191" s="458">
        <f>AP191+SUM(AQ187:AQ189)-AQ190</f>
        <v>933.60906763870219</v>
      </c>
      <c r="AR191" s="458">
        <f>AQ191+SUM(AR187:AR189)-AR190</f>
        <v>927.97040114001038</v>
      </c>
      <c r="AS191" s="458">
        <f>AP191+SUM(AS187:AS189)-AS190</f>
        <v>927.97040114001038</v>
      </c>
      <c r="AT191" s="458">
        <f>AS191+SUM(AT187:AT189)-AT190</f>
        <v>946.00282657733374</v>
      </c>
      <c r="AU191" s="458">
        <f>AT191+SUM(AU187:AU189)-AU190</f>
        <v>1074.4197899749659</v>
      </c>
      <c r="AV191" s="458">
        <f>AS191+SUM(AV187:AV189)-AV190</f>
        <v>1074.4197899749661</v>
      </c>
      <c r="AW191" s="458">
        <f>AW210</f>
        <v>972.6</v>
      </c>
      <c r="AX191" s="503">
        <f>AW191+SUM(AX187:AX189)-AX190</f>
        <v>957.19314962860119</v>
      </c>
      <c r="AY191" s="503">
        <f t="shared" ref="AY191:BE191" si="150">AY210</f>
        <v>986.1</v>
      </c>
      <c r="AZ191" s="503">
        <f t="shared" si="150"/>
        <v>992.6</v>
      </c>
      <c r="BA191" s="503">
        <f t="shared" si="150"/>
        <v>978.4</v>
      </c>
      <c r="BB191" s="503">
        <f t="shared" si="150"/>
        <v>978.4</v>
      </c>
      <c r="BC191" s="503">
        <f t="shared" si="150"/>
        <v>1026.5</v>
      </c>
      <c r="BD191" s="503">
        <f t="shared" si="150"/>
        <v>1037.2</v>
      </c>
      <c r="BE191" s="503">
        <f t="shared" si="150"/>
        <v>1037.2</v>
      </c>
      <c r="BF191" s="503">
        <f>BE191+SUM(BF187:BF189)-BF190</f>
        <v>1046.3216848745942</v>
      </c>
      <c r="BG191" s="503">
        <f>BF191+SUM(BG187:BG189)-BG190</f>
        <v>1054.8920835533052</v>
      </c>
      <c r="BH191" s="503">
        <f>BE191+SUM(BH187:BH189)-BH190</f>
        <v>1054.8920835533047</v>
      </c>
      <c r="BI191" s="503">
        <f>BH191+SUM(BI187:BI189)-BI190</f>
        <v>1046.6192193132797</v>
      </c>
      <c r="BJ191" s="503">
        <f>BI191+SUM(BJ187:BJ189)-BJ190</f>
        <v>1037.822597356942</v>
      </c>
      <c r="BK191" s="503">
        <f>BH191+SUM(BK187:BK189)-BK190</f>
        <v>1037.822597356942</v>
      </c>
      <c r="BL191" s="503">
        <f>BK191+SUM(BL187:BL189)-BL190</f>
        <v>1030.0356043296156</v>
      </c>
      <c r="BM191" s="503">
        <f>BL191+SUM(BM187:BM189)-BM190</f>
        <v>1021.7119335338391</v>
      </c>
      <c r="BN191" s="503">
        <f>BK191+SUM(BN187:BN189)-BN190</f>
        <v>1021.7119335338392</v>
      </c>
      <c r="BO191" s="503">
        <f>BN191+SUM(BO187:BO189)-BO190</f>
        <v>1014.3759001427469</v>
      </c>
      <c r="BP191" s="503">
        <f>BO191+SUM(BP187:BP189)-BP190</f>
        <v>1006.4912258293699</v>
      </c>
      <c r="BQ191" s="503">
        <f>BN191+SUM(BQ187:BQ189)-BQ190</f>
        <v>1006.4912258293698</v>
      </c>
      <c r="BR191" s="503">
        <f>BQ191+SUM(BR187:BR189)-BR190</f>
        <v>999.57119107212236</v>
      </c>
      <c r="BS191" s="503">
        <f>BR191+SUM(BS187:BS189)-BS190</f>
        <v>992.09157551962608</v>
      </c>
      <c r="BT191" s="503">
        <f>BQ191+SUM(BT187:BT189)-BT190</f>
        <v>992.0915755196263</v>
      </c>
      <c r="BU191" s="503">
        <f>BT191+SUM(BU187:BU189)-BU190</f>
        <v>985.55249558805531</v>
      </c>
      <c r="BV191" s="503">
        <f>BU191+SUM(BV187:BV189)-BV190</f>
        <v>978.44399229630517</v>
      </c>
      <c r="BW191" s="503">
        <f>BT191+SUM(BW187:BW189)-BW190</f>
        <v>978.44399229630517</v>
      </c>
      <c r="BX191" s="503">
        <f>BW191+SUM(BX187:BX189)-BX190</f>
        <v>972.25070516324104</v>
      </c>
      <c r="BY191" s="503">
        <f>BX191+SUM(BY187:BY189)-BY190</f>
        <v>965.47933207566405</v>
      </c>
      <c r="BZ191" s="503">
        <f>BW191+SUM(BZ187:BZ189)-BZ190</f>
        <v>965.47933207566416</v>
      </c>
      <c r="CA191" s="503">
        <f>BZ191+SUM(CA187:CA189)-CA190</f>
        <v>959.59651988548831</v>
      </c>
      <c r="CB191" s="503">
        <f>CA191+SUM(CB187:CB189)-CB190</f>
        <v>953.12823155571107</v>
      </c>
      <c r="CC191" s="503">
        <f>BZ191+SUM(CC187:CC189)-CC190</f>
        <v>953.12823155571095</v>
      </c>
      <c r="CD191" s="33"/>
      <c r="CE191" s="33"/>
    </row>
    <row r="192" spans="2:83" outlineLevel="1">
      <c r="D192" s="33"/>
      <c r="E192" s="33"/>
      <c r="F192" s="33"/>
      <c r="G192" s="33"/>
      <c r="H192" s="33"/>
      <c r="I192" s="33"/>
      <c r="J192" s="33"/>
      <c r="K192" s="33"/>
      <c r="L192" s="33"/>
      <c r="M192" s="33"/>
      <c r="N192" s="33"/>
      <c r="O192" s="33"/>
      <c r="P192" s="33"/>
      <c r="Q192" s="33"/>
      <c r="R192" s="33"/>
      <c r="S192" s="33"/>
      <c r="T192" s="33"/>
      <c r="U192" s="33"/>
      <c r="V192" s="33"/>
      <c r="W192" s="33"/>
      <c r="X192" s="33"/>
      <c r="Y192" s="33"/>
      <c r="Z192" s="33"/>
      <c r="AA192" s="33"/>
      <c r="AB192" s="33"/>
      <c r="AC192" s="33"/>
      <c r="AD192" s="458"/>
      <c r="AE192" s="458"/>
      <c r="AF192" s="458"/>
      <c r="AG192" s="458"/>
      <c r="AH192" s="458"/>
      <c r="AJ192" s="458"/>
      <c r="AM192" s="470"/>
      <c r="AP192" s="470"/>
      <c r="AS192" s="470"/>
      <c r="AV192" s="470"/>
      <c r="AX192" s="502"/>
      <c r="AY192" s="504"/>
      <c r="AZ192" s="502"/>
      <c r="BA192" s="502"/>
      <c r="BB192" s="504"/>
      <c r="BC192" s="503"/>
      <c r="BD192" s="502"/>
      <c r="BE192" s="504"/>
      <c r="BF192" s="502"/>
      <c r="BG192" s="502"/>
      <c r="BH192" s="504"/>
      <c r="BI192" s="502"/>
      <c r="BJ192" s="502"/>
      <c r="BK192" s="504"/>
      <c r="BL192" s="502"/>
      <c r="BM192" s="502"/>
      <c r="BN192" s="504"/>
      <c r="BO192" s="502"/>
      <c r="BP192" s="502"/>
      <c r="BQ192" s="504"/>
      <c r="BR192" s="502"/>
      <c r="BS192" s="502"/>
      <c r="BT192" s="504"/>
      <c r="BU192" s="502"/>
      <c r="BV192" s="502"/>
      <c r="BW192" s="504"/>
      <c r="BX192" s="502"/>
      <c r="BY192" s="502"/>
      <c r="BZ192" s="504"/>
      <c r="CA192" s="502"/>
      <c r="CB192" s="502"/>
      <c r="CC192" s="504"/>
      <c r="CD192" s="33"/>
      <c r="CE192" s="33"/>
    </row>
    <row r="193" spans="1:83" outlineLevel="1">
      <c r="B193" s="257" t="s">
        <v>344</v>
      </c>
      <c r="C193" s="257" t="s">
        <v>195</v>
      </c>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470">
        <f>AD195/SUM(AD187:AD189)</f>
        <v>0.40922190201729103</v>
      </c>
      <c r="AE193" s="470">
        <f>AE195/(AD191+SUM(AE187:AE189))*2</f>
        <v>7.1411102959158715E-2</v>
      </c>
      <c r="AF193" s="470">
        <f>AF195/(AE191+SUM(AF187:AF189))*2</f>
        <v>6.3587144338209889E-2</v>
      </c>
      <c r="AG193" s="470">
        <f>AG195/(AD191+SUM(AG187:AG189))</f>
        <v>6.7707712480629401E-2</v>
      </c>
      <c r="AH193" s="470">
        <f>AH195/(AG191+SUM(AH187:AH189))*2</f>
        <v>6.7535095485013283E-2</v>
      </c>
      <c r="AI193" s="470">
        <f>AI195/(AH191+SUM(AI187:AI189))*2</f>
        <v>6.6243654822335019E-2</v>
      </c>
      <c r="AJ193" s="470">
        <f>AJ195/(AG191+SUM(AJ187:AJ189))</f>
        <v>6.4912712072780918E-2</v>
      </c>
      <c r="AK193" s="470">
        <f>AK195/(AJ191+SUM(AK187:AK189))*2</f>
        <v>6.6313324294342418E-2</v>
      </c>
      <c r="AL193" s="470">
        <f>AK193</f>
        <v>6.6313324294342418E-2</v>
      </c>
      <c r="AM193" s="470">
        <f>AM194/((AM191+AJ191)/2)</f>
        <v>6.792357711756189E-2</v>
      </c>
      <c r="AN193" s="470">
        <f>AM193</f>
        <v>6.792357711756189E-2</v>
      </c>
      <c r="AO193" s="470">
        <f>AN193</f>
        <v>6.792357711756189E-2</v>
      </c>
      <c r="AP193" s="470">
        <f>AP194/((AP191+AM191)/2)</f>
        <v>6.8715178620949655E-2</v>
      </c>
      <c r="AQ193" s="470">
        <f>AP193</f>
        <v>6.8715178620949655E-2</v>
      </c>
      <c r="AR193" s="470">
        <f>AQ193</f>
        <v>6.8715178620949655E-2</v>
      </c>
      <c r="AS193" s="470">
        <f>AS194/((AS191+AP191)/2)</f>
        <v>7.0183199442251265E-2</v>
      </c>
      <c r="AT193" s="470">
        <f>AS193</f>
        <v>7.0183199442251265E-2</v>
      </c>
      <c r="AU193" s="470">
        <f>AT193</f>
        <v>7.0183199442251265E-2</v>
      </c>
      <c r="AV193" s="470">
        <f>AV194/((AV191+AS191)/2)</f>
        <v>6.9467590755942582E-2</v>
      </c>
      <c r="AW193" s="470">
        <f>AV193</f>
        <v>6.9467590755942582E-2</v>
      </c>
      <c r="AX193" s="504">
        <f>AW193</f>
        <v>6.9467590755942582E-2</v>
      </c>
      <c r="AY193" s="504">
        <f>AY194/((AY191+AV191)/2)</f>
        <v>6.9518161192897818E-2</v>
      </c>
      <c r="AZ193" s="504">
        <f>AY193</f>
        <v>6.9518161192897818E-2</v>
      </c>
      <c r="BA193" s="504">
        <f>AZ193</f>
        <v>6.9518161192897818E-2</v>
      </c>
      <c r="BB193" s="504">
        <f>BB194/((BB191+AY191)/2)</f>
        <v>7.9511326037159574E-2</v>
      </c>
      <c r="BC193" s="504">
        <f>BB193</f>
        <v>7.9511326037159574E-2</v>
      </c>
      <c r="BD193" s="504">
        <f>BC193</f>
        <v>7.9511326037159574E-2</v>
      </c>
      <c r="BE193" s="504">
        <f>BE194/((BE191+BB191)/2)</f>
        <v>8.1861480452470728E-2</v>
      </c>
      <c r="BF193" s="504">
        <f>BE193</f>
        <v>8.1861480452470728E-2</v>
      </c>
      <c r="BG193" s="504">
        <f>BF193</f>
        <v>8.1861480452470728E-2</v>
      </c>
      <c r="BH193" s="504">
        <f>BH194/((BH191+BE191)/2)</f>
        <v>8.3582819427151969E-2</v>
      </c>
      <c r="BI193" s="504">
        <f>BH193</f>
        <v>8.3582819427151969E-2</v>
      </c>
      <c r="BJ193" s="504">
        <f>BI193</f>
        <v>8.3582819427151969E-2</v>
      </c>
      <c r="BK193" s="504">
        <f>BK194/((BK191+BH191)/2)</f>
        <v>8.5377297656400619E-2</v>
      </c>
      <c r="BL193" s="504">
        <f>BK193</f>
        <v>8.5377297656400619E-2</v>
      </c>
      <c r="BM193" s="504">
        <f>BL193</f>
        <v>8.5377297656400619E-2</v>
      </c>
      <c r="BN193" s="504">
        <f>BN194/((BN191+BK191)/2)</f>
        <v>8.7250729427077178E-2</v>
      </c>
      <c r="BO193" s="504">
        <f>BN193</f>
        <v>8.7250729427077178E-2</v>
      </c>
      <c r="BP193" s="504">
        <f>BO193</f>
        <v>8.7250729427077178E-2</v>
      </c>
      <c r="BQ193" s="504">
        <f>BQ194/((BQ191+BN191)/2)</f>
        <v>8.9208404946296962E-2</v>
      </c>
      <c r="BR193" s="504">
        <f>BQ193</f>
        <v>8.9208404946296962E-2</v>
      </c>
      <c r="BS193" s="504">
        <f>BR193</f>
        <v>8.9208404946296962E-2</v>
      </c>
      <c r="BT193" s="504">
        <f>BT194/((BT191+BQ191)/2)</f>
        <v>9.1256096321937166E-2</v>
      </c>
      <c r="BU193" s="504">
        <f>BT193</f>
        <v>9.1256096321937166E-2</v>
      </c>
      <c r="BV193" s="504">
        <f>BU193</f>
        <v>9.1256096321937166E-2</v>
      </c>
      <c r="BW193" s="504">
        <f>BW194/((BW191+BT191)/2)</f>
        <v>9.3400113852236233E-2</v>
      </c>
      <c r="BX193" s="504">
        <f>BW193</f>
        <v>9.3400113852236233E-2</v>
      </c>
      <c r="BY193" s="504">
        <f>BX193</f>
        <v>9.3400113852236233E-2</v>
      </c>
      <c r="BZ193" s="504">
        <f>BZ194/((BZ191+BW191)/2)</f>
        <v>9.5647370384990743E-2</v>
      </c>
      <c r="CA193" s="504">
        <f>BZ193</f>
        <v>9.5647370384990743E-2</v>
      </c>
      <c r="CB193" s="504">
        <f>CA193</f>
        <v>9.5647370384990743E-2</v>
      </c>
      <c r="CC193" s="504">
        <f>CC194/((CC191+BZ191)/2)</f>
        <v>9.8005455124105592E-2</v>
      </c>
      <c r="CD193" s="33"/>
      <c r="CE193" s="33"/>
    </row>
    <row r="194" spans="1:83" outlineLevel="1">
      <c r="B194" s="257" t="s">
        <v>345</v>
      </c>
      <c r="C194" s="257" t="s">
        <v>420</v>
      </c>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458">
        <f t="shared" ref="AD194:AK194" si="151">AD195</f>
        <v>56.8</v>
      </c>
      <c r="AE194" s="458">
        <f t="shared" si="151"/>
        <v>29.2</v>
      </c>
      <c r="AF194" s="458">
        <f t="shared" si="151"/>
        <v>27.600000000000005</v>
      </c>
      <c r="AG194" s="458">
        <f t="shared" si="151"/>
        <v>56.800000000000004</v>
      </c>
      <c r="AH194" s="458">
        <f t="shared" si="151"/>
        <v>26.7</v>
      </c>
      <c r="AI194" s="458">
        <f t="shared" si="151"/>
        <v>26.099999999999998</v>
      </c>
      <c r="AJ194" s="458">
        <f t="shared" si="151"/>
        <v>52.8</v>
      </c>
      <c r="AK194" s="458">
        <f t="shared" si="151"/>
        <v>26.9</v>
      </c>
      <c r="AL194" s="458">
        <f>(AK191+(AL187+AL188+AL189)/2)*AL193/2</f>
        <v>27.309484777517564</v>
      </c>
      <c r="AM194" s="458">
        <f>AL194+AK194</f>
        <v>54.209484777517559</v>
      </c>
      <c r="AN194" s="458">
        <f>(AM191+(AN187+AN188+AN189)/2)*AN193/2</f>
        <v>29.473416080729464</v>
      </c>
      <c r="AO194" s="458">
        <f>(AN191+(AO187+AO188+AO189)/2)*AO193/2</f>
        <v>31.019580297599326</v>
      </c>
      <c r="AP194" s="458">
        <f>AO194+AN194</f>
        <v>60.49299637832879</v>
      </c>
      <c r="AQ194" s="458">
        <f>(AP191+(AQ187+AQ188+AQ189)/2)*AQ193/2</f>
        <v>32.488451205451412</v>
      </c>
      <c r="AR194" s="458">
        <f>(AQ191+(AR187+AR188+AR189)/2)*AR193/2</f>
        <v>32.538666498691732</v>
      </c>
      <c r="AS194" s="458">
        <f>AR194+AQ194</f>
        <v>65.027117704143137</v>
      </c>
      <c r="AT194" s="458">
        <f>(AS191+(AT187+AT188+AT189)/2)*AT193/2</f>
        <v>33.467574562676617</v>
      </c>
      <c r="AU194" s="458">
        <f>(AT191+(AU187+AU188+AU189)/2)*AU193/2</f>
        <v>36.083036602367805</v>
      </c>
      <c r="AV194" s="458">
        <f>AU194+AT194</f>
        <v>69.550611165044415</v>
      </c>
      <c r="AW194" s="458">
        <f>(AV191+(AW187+AW188+AW189)/2)*AW193/2</f>
        <v>37.514923078918905</v>
      </c>
      <c r="AX194" s="503">
        <f>(AW191+(AX187+AX188+AX189)/2)*AX193/2</f>
        <v>34.106850371398913</v>
      </c>
      <c r="AY194" s="503">
        <f>AX194+AW194</f>
        <v>71.621773450317818</v>
      </c>
      <c r="AZ194" s="503">
        <f>AZ195</f>
        <v>40.1</v>
      </c>
      <c r="BA194" s="503">
        <f>(AZ191+(BA187+BA188+BA189)/2)*BA193/2</f>
        <v>34.682610619136724</v>
      </c>
      <c r="BB194" s="503">
        <f>BB195</f>
        <v>78.099999999999994</v>
      </c>
      <c r="BC194" s="503">
        <f>BC195</f>
        <v>41.5</v>
      </c>
      <c r="BD194" s="503">
        <f>(BC191+(BD187+BD188+BD189)/2)*BD193/2</f>
        <v>41.854762025960795</v>
      </c>
      <c r="BE194" s="503">
        <f>BE195</f>
        <v>82.5</v>
      </c>
      <c r="BF194" s="503">
        <f>(BE191+(BF187+BF188+BF189)/2)*BF193/2</f>
        <v>43.530918783942568</v>
      </c>
      <c r="BG194" s="503">
        <f>(BF191+(BG187+BG188+BG189)/2)*BG193/2</f>
        <v>43.900558638362419</v>
      </c>
      <c r="BH194" s="503">
        <f>BG194+BF194</f>
        <v>87.431477422304994</v>
      </c>
      <c r="BI194" s="503">
        <f>(BH191+(BI187+BI188+BI189)/2)*BI193/2</f>
        <v>44.849726587585984</v>
      </c>
      <c r="BJ194" s="503">
        <f>(BI191+(BJ187+BJ188+BJ189)/2)*BJ193/2</f>
        <v>44.485435523410807</v>
      </c>
      <c r="BK194" s="503">
        <f>BJ194+BI194</f>
        <v>89.335162110996791</v>
      </c>
      <c r="BL194" s="503">
        <f>(BK191+(BL187+BL188+BL189)/2)*BL193/2</f>
        <v>45.09965803113721</v>
      </c>
      <c r="BM194" s="503">
        <f>(BL191+(BM187+BM188+BM189)/2)*BM193/2</f>
        <v>44.748287019099742</v>
      </c>
      <c r="BN194" s="503">
        <f>BM194+BL194</f>
        <v>89.847945050236945</v>
      </c>
      <c r="BO194" s="503">
        <f>(BN191+(BO187+BO188+BO189)/2)*BO193/2</f>
        <v>45.402896117559607</v>
      </c>
      <c r="BP194" s="503">
        <f>(BO191+(BP187+BP188+BP189)/2)*BP193/2</f>
        <v>45.063488259356404</v>
      </c>
      <c r="BQ194" s="503">
        <f>BP194+BO194</f>
        <v>90.466384376916011</v>
      </c>
      <c r="BR194" s="503">
        <f>(BQ191+(BR187+BR188+BR189)/2)*BR193/2</f>
        <v>45.759950149437223</v>
      </c>
      <c r="BS194" s="503">
        <f>(BR191+(BS187+BS188+BS189)/2)*BS193/2</f>
        <v>45.431482164198279</v>
      </c>
      <c r="BT194" s="503">
        <f>BS194+BR194</f>
        <v>91.191432313635502</v>
      </c>
      <c r="BU194" s="503">
        <f>(BT191+(BU187+BU188+BU189)/2)*BU193/2</f>
        <v>46.171374306126665</v>
      </c>
      <c r="BV194" s="503">
        <f>(BU191+(BV187+BV188+BV189)/2)*BV193/2</f>
        <v>45.852748885817824</v>
      </c>
      <c r="BW194" s="503">
        <f>BV194+BU194</f>
        <v>92.024123191944483</v>
      </c>
      <c r="BX194" s="503">
        <f>(BW191+(BX187+BX188+BX189)/2)*BX193/2</f>
        <v>46.637769964544496</v>
      </c>
      <c r="BY194" s="503">
        <f>(BX191+(BY187+BY188+BY189)/2)*BY193/2</f>
        <v>46.327807138569639</v>
      </c>
      <c r="BZ194" s="503">
        <f>BY194+BX194</f>
        <v>92.965577103114128</v>
      </c>
      <c r="CA194" s="503">
        <f>(BZ191+(CA187+CA188+CA189)/2)*CA193/2</f>
        <v>47.159788190004249</v>
      </c>
      <c r="CB194" s="503">
        <f>(CA191+(CB187+CB188+CB189)/2)*CB193/2</f>
        <v>46.857215549117889</v>
      </c>
      <c r="CC194" s="503">
        <f>CB194+CA194</f>
        <v>94.017003739122146</v>
      </c>
      <c r="CD194" s="11"/>
      <c r="CE194" s="11"/>
    </row>
    <row r="195" spans="1:83" outlineLevel="1">
      <c r="B195" s="40" t="s">
        <v>346</v>
      </c>
      <c r="C195" s="257" t="s">
        <v>420</v>
      </c>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458">
        <f>AD41</f>
        <v>56.8</v>
      </c>
      <c r="AE195" s="458">
        <f>AE41</f>
        <v>29.2</v>
      </c>
      <c r="AF195" s="458">
        <f>AG195-AE195</f>
        <v>27.600000000000005</v>
      </c>
      <c r="AG195" s="458">
        <f>AG41</f>
        <v>56.800000000000004</v>
      </c>
      <c r="AH195" s="458">
        <f>AH41</f>
        <v>26.7</v>
      </c>
      <c r="AI195" s="458">
        <f>AJ195-AH195</f>
        <v>26.099999999999998</v>
      </c>
      <c r="AJ195" s="458">
        <f>AJ41</f>
        <v>52.8</v>
      </c>
      <c r="AK195" s="458">
        <f>AK41</f>
        <v>26.9</v>
      </c>
      <c r="AL195" s="458">
        <f t="shared" ref="AL195:BN195" si="152">AL194</f>
        <v>27.309484777517564</v>
      </c>
      <c r="AM195" s="458">
        <f t="shared" si="152"/>
        <v>54.209484777517559</v>
      </c>
      <c r="AN195" s="458">
        <f t="shared" si="152"/>
        <v>29.473416080729464</v>
      </c>
      <c r="AO195" s="458">
        <f t="shared" si="152"/>
        <v>31.019580297599326</v>
      </c>
      <c r="AP195" s="458">
        <f t="shared" si="152"/>
        <v>60.49299637832879</v>
      </c>
      <c r="AQ195" s="458">
        <f t="shared" si="152"/>
        <v>32.488451205451412</v>
      </c>
      <c r="AR195" s="458">
        <f t="shared" si="152"/>
        <v>32.538666498691732</v>
      </c>
      <c r="AS195" s="458">
        <f t="shared" si="152"/>
        <v>65.027117704143137</v>
      </c>
      <c r="AT195" s="458">
        <f t="shared" si="152"/>
        <v>33.467574562676617</v>
      </c>
      <c r="AU195" s="458">
        <f t="shared" si="152"/>
        <v>36.083036602367805</v>
      </c>
      <c r="AV195" s="458">
        <f t="shared" si="152"/>
        <v>69.550611165044415</v>
      </c>
      <c r="AW195" s="458">
        <f t="shared" si="152"/>
        <v>37.514923078918905</v>
      </c>
      <c r="AX195" s="503">
        <f t="shared" si="152"/>
        <v>34.106850371398913</v>
      </c>
      <c r="AY195" s="503">
        <f t="shared" si="152"/>
        <v>71.621773450317818</v>
      </c>
      <c r="AZ195" s="503">
        <f t="shared" ref="AZ195:BE195" si="153">AZ41</f>
        <v>40.1</v>
      </c>
      <c r="BA195" s="503">
        <f t="shared" si="153"/>
        <v>38</v>
      </c>
      <c r="BB195" s="503">
        <f t="shared" si="153"/>
        <v>78.099999999999994</v>
      </c>
      <c r="BC195" s="503">
        <f t="shared" si="153"/>
        <v>41.5</v>
      </c>
      <c r="BD195" s="503">
        <f t="shared" si="153"/>
        <v>41.000000000000007</v>
      </c>
      <c r="BE195" s="503">
        <f t="shared" si="153"/>
        <v>82.5</v>
      </c>
      <c r="BF195" s="503">
        <f t="shared" si="152"/>
        <v>43.530918783942568</v>
      </c>
      <c r="BG195" s="503">
        <f t="shared" si="152"/>
        <v>43.900558638362419</v>
      </c>
      <c r="BH195" s="503">
        <f t="shared" si="152"/>
        <v>87.431477422304994</v>
      </c>
      <c r="BI195" s="503">
        <f t="shared" si="152"/>
        <v>44.849726587585984</v>
      </c>
      <c r="BJ195" s="503">
        <f t="shared" si="152"/>
        <v>44.485435523410807</v>
      </c>
      <c r="BK195" s="503">
        <f t="shared" si="152"/>
        <v>89.335162110996791</v>
      </c>
      <c r="BL195" s="503">
        <f t="shared" si="152"/>
        <v>45.09965803113721</v>
      </c>
      <c r="BM195" s="503">
        <f t="shared" si="152"/>
        <v>44.748287019099742</v>
      </c>
      <c r="BN195" s="503">
        <f t="shared" si="152"/>
        <v>89.847945050236945</v>
      </c>
      <c r="BO195" s="503">
        <f>BO194</f>
        <v>45.402896117559607</v>
      </c>
      <c r="BP195" s="503">
        <f>BP194</f>
        <v>45.063488259356404</v>
      </c>
      <c r="BQ195" s="503">
        <f>BQ194</f>
        <v>90.466384376916011</v>
      </c>
      <c r="BR195" s="503">
        <f t="shared" ref="BR195:CC195" si="154">BR194</f>
        <v>45.759950149437223</v>
      </c>
      <c r="BS195" s="503">
        <f t="shared" si="154"/>
        <v>45.431482164198279</v>
      </c>
      <c r="BT195" s="503">
        <f t="shared" si="154"/>
        <v>91.191432313635502</v>
      </c>
      <c r="BU195" s="503">
        <f t="shared" si="154"/>
        <v>46.171374306126665</v>
      </c>
      <c r="BV195" s="503">
        <f t="shared" si="154"/>
        <v>45.852748885817824</v>
      </c>
      <c r="BW195" s="503">
        <f t="shared" si="154"/>
        <v>92.024123191944483</v>
      </c>
      <c r="BX195" s="503">
        <f t="shared" si="154"/>
        <v>46.637769964544496</v>
      </c>
      <c r="BY195" s="503">
        <f t="shared" si="154"/>
        <v>46.327807138569639</v>
      </c>
      <c r="BZ195" s="503">
        <f t="shared" si="154"/>
        <v>92.965577103114128</v>
      </c>
      <c r="CA195" s="503">
        <f t="shared" si="154"/>
        <v>47.159788190004249</v>
      </c>
      <c r="CB195" s="503">
        <f t="shared" si="154"/>
        <v>46.857215549117889</v>
      </c>
      <c r="CC195" s="503">
        <f t="shared" si="154"/>
        <v>94.017003739122146</v>
      </c>
      <c r="CD195" s="11"/>
      <c r="CE195" s="11"/>
    </row>
    <row r="197" spans="1:83">
      <c r="A197" s="236" t="s">
        <v>177</v>
      </c>
      <c r="B197" s="236"/>
      <c r="C197" s="493"/>
      <c r="D197" s="493"/>
      <c r="E197" s="493"/>
      <c r="F197" s="493"/>
      <c r="G197" s="493"/>
      <c r="H197" s="493"/>
      <c r="I197" s="493"/>
      <c r="J197" s="493"/>
      <c r="K197" s="493"/>
      <c r="L197" s="493"/>
      <c r="M197" s="493"/>
      <c r="N197" s="493"/>
      <c r="O197" s="493"/>
      <c r="P197" s="493"/>
      <c r="Q197" s="493"/>
      <c r="R197" s="493"/>
      <c r="S197" s="493"/>
      <c r="T197" s="493"/>
      <c r="U197" s="493"/>
      <c r="V197" s="493"/>
      <c r="W197" s="493"/>
      <c r="X197" s="493"/>
      <c r="Y197" s="493"/>
      <c r="Z197" s="493"/>
      <c r="AA197" s="493"/>
      <c r="AB197" s="493"/>
      <c r="AC197" s="493"/>
      <c r="AD197" s="493"/>
      <c r="AE197" s="493"/>
      <c r="AF197" s="493"/>
      <c r="AG197" s="493"/>
      <c r="AH197" s="493"/>
      <c r="AI197" s="493"/>
      <c r="AJ197" s="493"/>
      <c r="AK197" s="493"/>
      <c r="AL197" s="493"/>
      <c r="AM197" s="493"/>
      <c r="AN197" s="493"/>
      <c r="AO197" s="493"/>
      <c r="AP197" s="493"/>
      <c r="AQ197" s="493"/>
      <c r="AR197" s="493"/>
      <c r="AS197" s="493"/>
      <c r="AT197" s="493"/>
      <c r="AU197" s="493"/>
      <c r="AV197" s="493"/>
      <c r="AW197" s="493"/>
      <c r="AX197" s="493"/>
      <c r="AY197" s="493"/>
      <c r="AZ197" s="493"/>
      <c r="BA197" s="493"/>
      <c r="BB197" s="493"/>
      <c r="BC197" s="493"/>
      <c r="BD197" s="493"/>
      <c r="BE197" s="493"/>
      <c r="BF197" s="493"/>
      <c r="BG197" s="493"/>
      <c r="BH197" s="493"/>
      <c r="BI197" s="493"/>
      <c r="BJ197" s="493"/>
      <c r="BK197" s="493"/>
      <c r="BL197" s="493"/>
      <c r="BM197" s="493"/>
      <c r="BN197" s="493"/>
      <c r="BO197" s="493"/>
      <c r="BP197" s="493"/>
      <c r="BQ197" s="493"/>
      <c r="BR197" s="395"/>
      <c r="BS197" s="395"/>
      <c r="BT197" s="395"/>
      <c r="BU197" s="395"/>
      <c r="BV197" s="395"/>
      <c r="BW197" s="395"/>
      <c r="BX197" s="395"/>
      <c r="BY197" s="395"/>
      <c r="BZ197" s="395"/>
      <c r="CA197" s="395"/>
      <c r="CB197" s="395"/>
      <c r="CC197" s="395"/>
      <c r="CD197" s="395"/>
      <c r="CE197" s="395"/>
    </row>
    <row r="199" spans="1:83">
      <c r="B199" s="40" t="s">
        <v>363</v>
      </c>
      <c r="AK199" s="458"/>
      <c r="BC199" s="458"/>
      <c r="BE199" s="458"/>
      <c r="BF199" s="458"/>
    </row>
    <row r="200" spans="1:83">
      <c r="B200" s="257" t="s">
        <v>178</v>
      </c>
      <c r="AD200" s="151">
        <v>23.1</v>
      </c>
      <c r="AE200" s="151">
        <v>9.5</v>
      </c>
      <c r="AF200" s="458">
        <f>AG200</f>
        <v>25.5</v>
      </c>
      <c r="AG200" s="151">
        <v>25.5</v>
      </c>
      <c r="AH200" s="151">
        <v>49.5</v>
      </c>
      <c r="AI200" s="458">
        <f>AJ200</f>
        <v>2.8</v>
      </c>
      <c r="AJ200" s="458">
        <f>AG200+AJ149+0.8</f>
        <v>2.8</v>
      </c>
      <c r="AK200" s="151">
        <v>39.1</v>
      </c>
      <c r="AL200" s="458">
        <f>+AM200</f>
        <v>13.1</v>
      </c>
      <c r="AM200" s="151">
        <v>13.1</v>
      </c>
      <c r="AN200" s="151">
        <v>20.100000000000001</v>
      </c>
      <c r="AO200" s="458">
        <f>+AP200</f>
        <v>8.8000000000000007</v>
      </c>
      <c r="AP200" s="151">
        <v>8.8000000000000007</v>
      </c>
      <c r="AQ200" s="151">
        <v>46.4</v>
      </c>
      <c r="AR200" s="458">
        <f>AQ200+AR149</f>
        <v>11.100000000000065</v>
      </c>
      <c r="AS200" s="151">
        <v>11.1</v>
      </c>
      <c r="AT200" s="151">
        <v>46.3</v>
      </c>
      <c r="AU200" s="458">
        <f>AV200</f>
        <v>31.7</v>
      </c>
      <c r="AV200" s="151">
        <f>31.7</f>
        <v>31.7</v>
      </c>
      <c r="AW200" s="151">
        <f>44.9</f>
        <v>44.9</v>
      </c>
      <c r="AX200" s="458">
        <f>AY200</f>
        <v>33.299999999999997</v>
      </c>
      <c r="AY200" s="151">
        <v>33.299999999999997</v>
      </c>
      <c r="AZ200" s="151">
        <v>45</v>
      </c>
      <c r="BA200" s="458">
        <f>BB200</f>
        <v>21.5</v>
      </c>
      <c r="BB200" s="151">
        <v>21.5</v>
      </c>
      <c r="BC200" s="151">
        <v>61.8</v>
      </c>
      <c r="BD200" s="458">
        <f>BE200</f>
        <v>57.6</v>
      </c>
      <c r="BE200" s="151">
        <v>57.6</v>
      </c>
      <c r="BF200" s="458">
        <f>BE200+BF149</f>
        <v>57.6</v>
      </c>
      <c r="BG200" s="458">
        <f>BF200+BG149</f>
        <v>57.6</v>
      </c>
      <c r="BH200" s="458">
        <f>BG200</f>
        <v>57.6</v>
      </c>
      <c r="BI200" s="458">
        <f>BH200+BI149</f>
        <v>57.6</v>
      </c>
      <c r="BJ200" s="458">
        <f>BI200+BJ149</f>
        <v>57.6</v>
      </c>
      <c r="BK200" s="458">
        <f>BJ200</f>
        <v>57.6</v>
      </c>
      <c r="BL200" s="458">
        <f>BK200+BL149</f>
        <v>57.6</v>
      </c>
      <c r="BM200" s="458">
        <f>BL200+BM149</f>
        <v>57.6</v>
      </c>
      <c r="BN200" s="458">
        <f>BM200</f>
        <v>57.6</v>
      </c>
      <c r="BO200" s="458">
        <f>BN200+BO149</f>
        <v>57.6</v>
      </c>
      <c r="BP200" s="458">
        <f>BO200+BP149</f>
        <v>57.6</v>
      </c>
      <c r="BQ200" s="458">
        <f>BP200</f>
        <v>57.6</v>
      </c>
      <c r="BR200" s="458">
        <f>BQ200+BR149</f>
        <v>57.6</v>
      </c>
      <c r="BS200" s="458">
        <f>BR200+BS149</f>
        <v>57.6</v>
      </c>
      <c r="BT200" s="458">
        <f>BS200</f>
        <v>57.6</v>
      </c>
      <c r="BU200" s="458">
        <f>BT200+BU149</f>
        <v>57.6</v>
      </c>
      <c r="BV200" s="458">
        <f>BU200+BV149</f>
        <v>57.6</v>
      </c>
      <c r="BW200" s="458">
        <f>BV200</f>
        <v>57.6</v>
      </c>
      <c r="BX200" s="458">
        <f>BW200+BX149</f>
        <v>57.6</v>
      </c>
      <c r="BY200" s="458">
        <f>BX200+BY149</f>
        <v>161.19502922672521</v>
      </c>
      <c r="BZ200" s="458">
        <f>BY200</f>
        <v>161.19502922672521</v>
      </c>
      <c r="CA200" s="458">
        <f>BZ200+CA149</f>
        <v>161.19502922672521</v>
      </c>
      <c r="CB200" s="458">
        <f>CA200+CB149</f>
        <v>268.85016944932966</v>
      </c>
      <c r="CC200" s="458">
        <f>CB200</f>
        <v>268.85016944932966</v>
      </c>
    </row>
    <row r="201" spans="1:83">
      <c r="B201" s="257" t="s">
        <v>456</v>
      </c>
      <c r="AD201" s="151">
        <v>151.6</v>
      </c>
      <c r="AE201" s="151">
        <v>149.80000000000001</v>
      </c>
      <c r="AF201" s="458">
        <f>AG201</f>
        <v>162.80000000000001</v>
      </c>
      <c r="AG201" s="151">
        <v>162.80000000000001</v>
      </c>
      <c r="AH201" s="151">
        <v>171.7</v>
      </c>
      <c r="AI201" s="458">
        <f>AJ201</f>
        <v>153.30000000000001</v>
      </c>
      <c r="AJ201" s="151">
        <v>153.30000000000001</v>
      </c>
      <c r="AK201" s="151">
        <v>157.6</v>
      </c>
      <c r="AL201" s="458">
        <f>+AM201</f>
        <v>170</v>
      </c>
      <c r="AM201" s="151">
        <v>170</v>
      </c>
      <c r="AN201" s="151">
        <v>177.5</v>
      </c>
      <c r="AO201" s="458">
        <f>AP201</f>
        <v>170.2</v>
      </c>
      <c r="AP201" s="151">
        <v>170.2</v>
      </c>
      <c r="AQ201" s="151">
        <v>179.3</v>
      </c>
      <c r="AR201" s="458">
        <f>AS201</f>
        <v>182.4</v>
      </c>
      <c r="AS201" s="151">
        <v>182.4</v>
      </c>
      <c r="AT201" s="151">
        <v>193.6</v>
      </c>
      <c r="AU201" s="458">
        <f>AV201</f>
        <v>199.3</v>
      </c>
      <c r="AV201" s="151">
        <f>199.3</f>
        <v>199.3</v>
      </c>
      <c r="AW201" s="151">
        <f>202.9</f>
        <v>202.9</v>
      </c>
      <c r="AX201" s="458">
        <f>AY201</f>
        <v>208.3</v>
      </c>
      <c r="AY201" s="151">
        <v>208.3</v>
      </c>
      <c r="AZ201" s="151">
        <v>202.4</v>
      </c>
      <c r="BA201" s="458">
        <f>BB201</f>
        <v>204.6</v>
      </c>
      <c r="BB201" s="151">
        <v>204.6</v>
      </c>
      <c r="BC201" s="151">
        <v>241.8</v>
      </c>
      <c r="BD201" s="458">
        <f>BE201</f>
        <v>241</v>
      </c>
      <c r="BE201" s="151">
        <v>241</v>
      </c>
      <c r="BF201" s="458">
        <f>BF259</f>
        <v>253.42036745112406</v>
      </c>
      <c r="BG201" s="458">
        <f>BG259</f>
        <v>251.65526443249013</v>
      </c>
      <c r="BH201" s="458">
        <f>BG201</f>
        <v>251.65526443249013</v>
      </c>
      <c r="BI201" s="458">
        <f>BI259</f>
        <v>267.57417450530227</v>
      </c>
      <c r="BJ201" s="458">
        <f>BJ259</f>
        <v>254.79624068961954</v>
      </c>
      <c r="BK201" s="458">
        <f>BJ201</f>
        <v>254.79624068961954</v>
      </c>
      <c r="BL201" s="458">
        <f>BL259</f>
        <v>274.48737518724738</v>
      </c>
      <c r="BM201" s="458">
        <f>BM259</f>
        <v>261.54616914316705</v>
      </c>
      <c r="BN201" s="458">
        <f>BM201</f>
        <v>261.54616914316705</v>
      </c>
      <c r="BO201" s="458">
        <f>BO259</f>
        <v>284.74531980149357</v>
      </c>
      <c r="BP201" s="458">
        <f>BP259</f>
        <v>267.49755979320031</v>
      </c>
      <c r="BQ201" s="458">
        <f>BP201</f>
        <v>267.49755979320031</v>
      </c>
      <c r="BR201" s="458">
        <f>BR259</f>
        <v>286.57228240709929</v>
      </c>
      <c r="BS201" s="458">
        <f>BS259</f>
        <v>274.82169333587984</v>
      </c>
      <c r="BT201" s="458">
        <f>BS201</f>
        <v>274.82169333587984</v>
      </c>
      <c r="BU201" s="458">
        <f>BU259</f>
        <v>297.15858453321027</v>
      </c>
      <c r="BV201" s="458">
        <f>BV259</f>
        <v>284.4604452997969</v>
      </c>
      <c r="BW201" s="458">
        <f>BV201</f>
        <v>284.4604452997969</v>
      </c>
      <c r="BX201" s="458">
        <f>BX259</f>
        <v>307.22596886471928</v>
      </c>
      <c r="BY201" s="458">
        <f>BY259</f>
        <v>288.1306695434937</v>
      </c>
      <c r="BZ201" s="458">
        <f>BY201</f>
        <v>288.1306695434937</v>
      </c>
      <c r="CA201" s="458">
        <f>CA259</f>
        <v>311.08612848488087</v>
      </c>
      <c r="CB201" s="458">
        <f>CB259</f>
        <v>291.8599845111429</v>
      </c>
      <c r="CC201" s="458">
        <f>CB201</f>
        <v>291.8599845111429</v>
      </c>
    </row>
    <row r="202" spans="1:83">
      <c r="B202" s="257" t="s">
        <v>492</v>
      </c>
      <c r="AD202" s="151">
        <v>116.1</v>
      </c>
      <c r="AE202" s="151">
        <v>119.9</v>
      </c>
      <c r="AF202" s="458">
        <f>AG202</f>
        <v>107.8</v>
      </c>
      <c r="AG202" s="151">
        <v>107.8</v>
      </c>
      <c r="AH202" s="151">
        <v>115.7</v>
      </c>
      <c r="AI202" s="458">
        <f>AJ202</f>
        <v>117.8</v>
      </c>
      <c r="AJ202" s="151">
        <v>117.8</v>
      </c>
      <c r="AK202" s="151">
        <v>122.6</v>
      </c>
      <c r="AL202" s="458">
        <f>AM202</f>
        <v>123.9</v>
      </c>
      <c r="AM202" s="151">
        <v>123.9</v>
      </c>
      <c r="AN202" s="151">
        <v>136.80000000000001</v>
      </c>
      <c r="AO202" s="458">
        <f>AP202</f>
        <v>134.80000000000001</v>
      </c>
      <c r="AP202" s="151">
        <v>134.80000000000001</v>
      </c>
      <c r="AQ202" s="151">
        <v>132</v>
      </c>
      <c r="AR202" s="458">
        <f>AS202</f>
        <v>136.30000000000001</v>
      </c>
      <c r="AS202" s="151">
        <v>136.30000000000001</v>
      </c>
      <c r="AT202" s="151">
        <v>149.6</v>
      </c>
      <c r="AU202" s="458">
        <f>AV202</f>
        <v>154.69999999999999</v>
      </c>
      <c r="AV202" s="151">
        <f>154.7</f>
        <v>154.69999999999999</v>
      </c>
      <c r="AW202" s="151">
        <f>164.9</f>
        <v>164.9</v>
      </c>
      <c r="AX202" s="458">
        <f>AY202</f>
        <v>161.5</v>
      </c>
      <c r="AY202" s="151">
        <v>161.5</v>
      </c>
      <c r="AZ202" s="151">
        <v>159.19999999999999</v>
      </c>
      <c r="BA202" s="458">
        <f>BB202</f>
        <v>160.19999999999999</v>
      </c>
      <c r="BB202" s="151">
        <v>160.19999999999999</v>
      </c>
      <c r="BC202" s="151">
        <v>156</v>
      </c>
      <c r="BD202" s="458">
        <f>BE202</f>
        <v>174.3</v>
      </c>
      <c r="BE202" s="151">
        <v>174.3</v>
      </c>
      <c r="BF202" s="458">
        <f>BF258</f>
        <v>163.49701125878971</v>
      </c>
      <c r="BG202" s="458">
        <f>BG258</f>
        <v>182.00627630947315</v>
      </c>
      <c r="BH202" s="458">
        <f>BG202</f>
        <v>182.00627630947315</v>
      </c>
      <c r="BI202" s="458">
        <f>BI258</f>
        <v>172.62849968084015</v>
      </c>
      <c r="BJ202" s="458">
        <f>BJ258</f>
        <v>184.27794502987837</v>
      </c>
      <c r="BK202" s="458">
        <f>BJ202</f>
        <v>184.27794502987837</v>
      </c>
      <c r="BL202" s="458">
        <f>BL258</f>
        <v>177.08862915306281</v>
      </c>
      <c r="BM202" s="458">
        <f>BM258</f>
        <v>189.1597397579005</v>
      </c>
      <c r="BN202" s="458">
        <f>BM202</f>
        <v>189.1597397579005</v>
      </c>
      <c r="BO202" s="458">
        <f>BO258</f>
        <v>183.70665793644744</v>
      </c>
      <c r="BP202" s="458">
        <f>BP258</f>
        <v>193.46400278819425</v>
      </c>
      <c r="BQ202" s="458">
        <f>BP202</f>
        <v>193.46400278819425</v>
      </c>
      <c r="BR202" s="458">
        <f>BR258</f>
        <v>184.88534348845116</v>
      </c>
      <c r="BS202" s="458">
        <f>BS258</f>
        <v>198.76108360350148</v>
      </c>
      <c r="BT202" s="458">
        <f>BS202</f>
        <v>198.76108360350148</v>
      </c>
      <c r="BU202" s="458">
        <f>BU258</f>
        <v>191.71521582787759</v>
      </c>
      <c r="BV202" s="458">
        <f>BV258</f>
        <v>205.73218097823485</v>
      </c>
      <c r="BW202" s="458">
        <f>BV202</f>
        <v>205.73218097823485</v>
      </c>
      <c r="BX202" s="458">
        <f>BX258</f>
        <v>198.21030249336727</v>
      </c>
      <c r="BY202" s="458">
        <f>BY258</f>
        <v>208.38662116776328</v>
      </c>
      <c r="BZ202" s="458">
        <f>BY202</f>
        <v>208.38662116776328</v>
      </c>
      <c r="CA202" s="458">
        <f>CA258</f>
        <v>200.70072805476184</v>
      </c>
      <c r="CB202" s="458">
        <f>CB258</f>
        <v>211.08379792652369</v>
      </c>
      <c r="CC202" s="458">
        <f>CB202</f>
        <v>211.08379792652369</v>
      </c>
    </row>
    <row r="203" spans="1:83">
      <c r="B203" s="257" t="s">
        <v>457</v>
      </c>
      <c r="AD203" s="151">
        <v>0</v>
      </c>
      <c r="AE203" s="151">
        <f>5.6+12.7</f>
        <v>18.299999999999997</v>
      </c>
      <c r="AF203" s="458">
        <f>AG203</f>
        <v>12.7</v>
      </c>
      <c r="AG203" s="151">
        <v>12.7</v>
      </c>
      <c r="AH203" s="151">
        <f>0.3+12.9</f>
        <v>13.200000000000001</v>
      </c>
      <c r="AI203" s="458">
        <f>AJ203</f>
        <v>0.2</v>
      </c>
      <c r="AJ203" s="151">
        <v>0.2</v>
      </c>
      <c r="AK203" s="151">
        <v>0</v>
      </c>
      <c r="AL203" s="458">
        <f>AK203</f>
        <v>0</v>
      </c>
      <c r="AM203" s="458">
        <f>AL203</f>
        <v>0</v>
      </c>
      <c r="AN203" s="151">
        <v>1.9</v>
      </c>
      <c r="AO203" s="458">
        <f>+AP203</f>
        <v>49.9</v>
      </c>
      <c r="AP203" s="151">
        <f>1.9+48</f>
        <v>49.9</v>
      </c>
      <c r="AQ203" s="151">
        <f>15.5+7.9+2.2</f>
        <v>25.599999999999998</v>
      </c>
      <c r="AR203" s="458">
        <f>+AS203</f>
        <v>60.4</v>
      </c>
      <c r="AS203" s="151">
        <f>7.9+52.5</f>
        <v>60.4</v>
      </c>
      <c r="AT203" s="151">
        <f>11+1.5+8.2</f>
        <v>20.7</v>
      </c>
      <c r="AU203" s="458">
        <f>AV203</f>
        <v>1.5</v>
      </c>
      <c r="AV203" s="151">
        <f>1.5</f>
        <v>1.5</v>
      </c>
      <c r="AW203" s="151">
        <f>1.9+7.9</f>
        <v>9.8000000000000007</v>
      </c>
      <c r="AX203" s="458">
        <f>AY203</f>
        <v>0</v>
      </c>
      <c r="AY203" s="151">
        <v>0</v>
      </c>
      <c r="AZ203" s="151">
        <v>8.1</v>
      </c>
      <c r="BA203" s="458">
        <f>BB203</f>
        <v>3.8</v>
      </c>
      <c r="BB203" s="151">
        <v>3.8</v>
      </c>
      <c r="BC203" s="151">
        <v>1.8</v>
      </c>
      <c r="BD203" s="458">
        <f>BE203</f>
        <v>1.9</v>
      </c>
      <c r="BE203" s="151">
        <v>1.9</v>
      </c>
      <c r="BF203" s="458">
        <f>BE203</f>
        <v>1.9</v>
      </c>
      <c r="BG203" s="458">
        <f>BF203</f>
        <v>1.9</v>
      </c>
      <c r="BH203" s="458">
        <f>BG203</f>
        <v>1.9</v>
      </c>
      <c r="BI203" s="458">
        <f>BH203</f>
        <v>1.9</v>
      </c>
      <c r="BJ203" s="458">
        <f>BI203</f>
        <v>1.9</v>
      </c>
      <c r="BK203" s="458">
        <f>BJ203</f>
        <v>1.9</v>
      </c>
      <c r="BL203" s="458">
        <f>BK203</f>
        <v>1.9</v>
      </c>
      <c r="BM203" s="458">
        <f>BL203</f>
        <v>1.9</v>
      </c>
      <c r="BN203" s="458">
        <f>BM203</f>
        <v>1.9</v>
      </c>
      <c r="BO203" s="458">
        <f>BN203</f>
        <v>1.9</v>
      </c>
      <c r="BP203" s="458">
        <f>BO203</f>
        <v>1.9</v>
      </c>
      <c r="BQ203" s="458">
        <f>BP203</f>
        <v>1.9</v>
      </c>
      <c r="BR203" s="458">
        <f>BQ203</f>
        <v>1.9</v>
      </c>
      <c r="BS203" s="458">
        <f>BR203</f>
        <v>1.9</v>
      </c>
      <c r="BT203" s="458">
        <f>BS203</f>
        <v>1.9</v>
      </c>
      <c r="BU203" s="458">
        <f>BT203</f>
        <v>1.9</v>
      </c>
      <c r="BV203" s="458">
        <f>BU203</f>
        <v>1.9</v>
      </c>
      <c r="BW203" s="458">
        <f>BV203</f>
        <v>1.9</v>
      </c>
      <c r="BX203" s="458">
        <f>BW203</f>
        <v>1.9</v>
      </c>
      <c r="BY203" s="458">
        <f>BX203</f>
        <v>1.9</v>
      </c>
      <c r="BZ203" s="458">
        <f>BY203</f>
        <v>1.9</v>
      </c>
      <c r="CA203" s="458">
        <f>BZ203</f>
        <v>1.9</v>
      </c>
      <c r="CB203" s="458">
        <f>CA203</f>
        <v>1.9</v>
      </c>
      <c r="CC203" s="458">
        <f>CB203</f>
        <v>1.9</v>
      </c>
    </row>
    <row r="204" spans="1:83">
      <c r="B204" s="40" t="s">
        <v>194</v>
      </c>
      <c r="AD204" s="458">
        <f>SUM(AD200:AD203)</f>
        <v>290.79999999999995</v>
      </c>
      <c r="AE204" s="458">
        <f>SUM(AE200:AE203)</f>
        <v>297.50000000000006</v>
      </c>
      <c r="AF204" s="458">
        <f>AG204</f>
        <v>308.8</v>
      </c>
      <c r="AG204" s="458">
        <f>SUM(AG200:AG203)</f>
        <v>308.8</v>
      </c>
      <c r="AH204" s="458">
        <f>SUM(AH200:AH203)</f>
        <v>350.09999999999997</v>
      </c>
      <c r="AI204" s="458">
        <f t="shared" ref="AI204:AP204" si="155">SUM(AI200:AI203)</f>
        <v>274.10000000000002</v>
      </c>
      <c r="AJ204" s="458">
        <f t="shared" si="155"/>
        <v>274.10000000000002</v>
      </c>
      <c r="AK204" s="458">
        <f t="shared" si="155"/>
        <v>319.29999999999995</v>
      </c>
      <c r="AL204" s="458">
        <f t="shared" si="155"/>
        <v>307</v>
      </c>
      <c r="AM204" s="151">
        <f t="shared" si="155"/>
        <v>307</v>
      </c>
      <c r="AN204" s="458">
        <f t="shared" si="155"/>
        <v>336.29999999999995</v>
      </c>
      <c r="AO204" s="458">
        <f t="shared" si="155"/>
        <v>363.7</v>
      </c>
      <c r="AP204" s="458">
        <f t="shared" si="155"/>
        <v>363.7</v>
      </c>
      <c r="AQ204" s="458">
        <f t="shared" ref="AQ204:BH204" si="156">SUM(AQ200:AQ203)</f>
        <v>383.30000000000007</v>
      </c>
      <c r="AR204" s="458">
        <f t="shared" si="156"/>
        <v>390.20000000000005</v>
      </c>
      <c r="AS204" s="458">
        <f t="shared" si="156"/>
        <v>390.2</v>
      </c>
      <c r="AT204" s="458">
        <f t="shared" si="156"/>
        <v>410.2</v>
      </c>
      <c r="AU204" s="458">
        <f t="shared" si="156"/>
        <v>387.2</v>
      </c>
      <c r="AV204" s="458">
        <f t="shared" si="156"/>
        <v>387.2</v>
      </c>
      <c r="AW204" s="458">
        <f t="shared" si="156"/>
        <v>422.50000000000006</v>
      </c>
      <c r="AX204" s="458">
        <f t="shared" si="156"/>
        <v>403.1</v>
      </c>
      <c r="AY204" s="458">
        <f t="shared" si="156"/>
        <v>403.1</v>
      </c>
      <c r="AZ204" s="458">
        <f t="shared" si="156"/>
        <v>414.70000000000005</v>
      </c>
      <c r="BA204" s="458">
        <f t="shared" si="156"/>
        <v>390.09999999999997</v>
      </c>
      <c r="BB204" s="458">
        <f t="shared" si="156"/>
        <v>390.09999999999997</v>
      </c>
      <c r="BC204" s="458">
        <f t="shared" si="156"/>
        <v>461.40000000000003</v>
      </c>
      <c r="BD204" s="458">
        <f t="shared" ref="BD204" si="157">SUM(BD200:BD203)</f>
        <v>474.8</v>
      </c>
      <c r="BE204" s="458">
        <f t="shared" si="156"/>
        <v>474.8</v>
      </c>
      <c r="BF204" s="458">
        <f t="shared" si="156"/>
        <v>476.41737870991375</v>
      </c>
      <c r="BG204" s="458">
        <f t="shared" si="156"/>
        <v>493.16154074196328</v>
      </c>
      <c r="BH204" s="458">
        <f t="shared" si="156"/>
        <v>493.16154074196328</v>
      </c>
      <c r="BI204" s="458">
        <f t="shared" ref="BI204:CC204" si="158">SUM(BI200:BI203)</f>
        <v>499.70267418614242</v>
      </c>
      <c r="BJ204" s="458">
        <f t="shared" si="158"/>
        <v>498.5741857194979</v>
      </c>
      <c r="BK204" s="458">
        <f t="shared" si="158"/>
        <v>498.5741857194979</v>
      </c>
      <c r="BL204" s="458">
        <f t="shared" si="158"/>
        <v>511.07600434031019</v>
      </c>
      <c r="BM204" s="458">
        <f t="shared" si="158"/>
        <v>510.20590890106757</v>
      </c>
      <c r="BN204" s="458">
        <f t="shared" si="158"/>
        <v>510.20590890106757</v>
      </c>
      <c r="BO204" s="458">
        <f t="shared" si="158"/>
        <v>527.95197773794098</v>
      </c>
      <c r="BP204" s="458">
        <f t="shared" si="158"/>
        <v>520.46156258139456</v>
      </c>
      <c r="BQ204" s="458">
        <f t="shared" si="158"/>
        <v>520.46156258139456</v>
      </c>
      <c r="BR204" s="458">
        <f t="shared" si="158"/>
        <v>530.95762589555045</v>
      </c>
      <c r="BS204" s="458">
        <f t="shared" si="158"/>
        <v>533.08277693938135</v>
      </c>
      <c r="BT204" s="458">
        <f t="shared" si="158"/>
        <v>533.08277693938135</v>
      </c>
      <c r="BU204" s="458">
        <f t="shared" si="158"/>
        <v>548.37380036108789</v>
      </c>
      <c r="BV204" s="458">
        <f t="shared" si="158"/>
        <v>549.69262627803175</v>
      </c>
      <c r="BW204" s="458">
        <f t="shared" si="158"/>
        <v>549.69262627803175</v>
      </c>
      <c r="BX204" s="458">
        <f t="shared" si="158"/>
        <v>564.93627135808651</v>
      </c>
      <c r="BY204" s="458">
        <f t="shared" si="158"/>
        <v>659.61231993798208</v>
      </c>
      <c r="BZ204" s="458">
        <f t="shared" si="158"/>
        <v>659.61231993798208</v>
      </c>
      <c r="CA204" s="458">
        <f t="shared" si="158"/>
        <v>674.88188576636787</v>
      </c>
      <c r="CB204" s="458">
        <f t="shared" si="158"/>
        <v>773.69395188699616</v>
      </c>
      <c r="CC204" s="458">
        <f t="shared" si="158"/>
        <v>773.69395188699616</v>
      </c>
    </row>
    <row r="205" spans="1:83">
      <c r="AD205" s="458"/>
      <c r="AE205" s="458"/>
      <c r="AF205" s="458"/>
      <c r="AG205" s="458"/>
      <c r="AH205" s="458"/>
    </row>
    <row r="206" spans="1:83">
      <c r="B206" s="40" t="s">
        <v>458</v>
      </c>
      <c r="AD206" s="458"/>
      <c r="AE206" s="458"/>
      <c r="AF206" s="458"/>
      <c r="AG206" s="458"/>
      <c r="AH206" s="458"/>
    </row>
    <row r="207" spans="1:83">
      <c r="B207" s="257" t="s">
        <v>491</v>
      </c>
      <c r="AD207" s="151">
        <v>28.4</v>
      </c>
      <c r="AE207" s="151">
        <v>27.3</v>
      </c>
      <c r="AF207" s="458">
        <f>AG207</f>
        <v>30.4</v>
      </c>
      <c r="AG207" s="151">
        <v>30.4</v>
      </c>
      <c r="AH207" s="151">
        <v>27.8</v>
      </c>
      <c r="AI207" s="151">
        <v>30.4</v>
      </c>
      <c r="AJ207" s="496">
        <f>AI207</f>
        <v>30.4</v>
      </c>
      <c r="AK207" s="151">
        <v>27.4</v>
      </c>
      <c r="AL207" s="496">
        <f>+AM207</f>
        <v>27.2</v>
      </c>
      <c r="AM207" s="151">
        <v>27.2</v>
      </c>
      <c r="AN207" s="151">
        <v>26.8</v>
      </c>
      <c r="AO207" s="496">
        <f>+AP207</f>
        <v>29.6</v>
      </c>
      <c r="AP207" s="151">
        <v>29.6</v>
      </c>
      <c r="AQ207" s="151">
        <v>29.2</v>
      </c>
      <c r="AR207" s="503">
        <f>+AS207</f>
        <v>31.4</v>
      </c>
      <c r="AS207" s="151">
        <v>31.4</v>
      </c>
      <c r="AT207" s="151">
        <v>31</v>
      </c>
      <c r="AU207" s="503">
        <f>AV207</f>
        <v>32.700000000000003</v>
      </c>
      <c r="AV207" s="151">
        <f>32.7</f>
        <v>32.700000000000003</v>
      </c>
      <c r="AW207" s="151">
        <f>32.4</f>
        <v>32.4</v>
      </c>
      <c r="AX207" s="503">
        <f>AY207</f>
        <v>32.9</v>
      </c>
      <c r="AY207" s="151">
        <v>32.9</v>
      </c>
      <c r="AZ207" s="151">
        <v>32.6</v>
      </c>
      <c r="BA207" s="503">
        <f>BB207</f>
        <v>34.4</v>
      </c>
      <c r="BB207" s="151">
        <v>34.4</v>
      </c>
      <c r="BC207" s="151">
        <v>34.1</v>
      </c>
      <c r="BD207" s="503">
        <f>BE207</f>
        <v>37.299999999999997</v>
      </c>
      <c r="BE207" s="151">
        <v>37.299999999999997</v>
      </c>
      <c r="BF207" s="503">
        <f>BE207</f>
        <v>37.299999999999997</v>
      </c>
      <c r="BG207" s="503">
        <f t="shared" ref="BG207:BP208" si="159">BF207</f>
        <v>37.299999999999997</v>
      </c>
      <c r="BH207" s="503">
        <f t="shared" si="159"/>
        <v>37.299999999999997</v>
      </c>
      <c r="BI207" s="503">
        <f t="shared" si="159"/>
        <v>37.299999999999997</v>
      </c>
      <c r="BJ207" s="503">
        <f t="shared" si="159"/>
        <v>37.299999999999997</v>
      </c>
      <c r="BK207" s="503">
        <f t="shared" si="159"/>
        <v>37.299999999999997</v>
      </c>
      <c r="BL207" s="503">
        <f t="shared" si="159"/>
        <v>37.299999999999997</v>
      </c>
      <c r="BM207" s="503">
        <f>BL207</f>
        <v>37.299999999999997</v>
      </c>
      <c r="BN207" s="503">
        <f t="shared" si="159"/>
        <v>37.299999999999997</v>
      </c>
      <c r="BO207" s="503">
        <f t="shared" si="159"/>
        <v>37.299999999999997</v>
      </c>
      <c r="BP207" s="503">
        <f t="shared" si="159"/>
        <v>37.299999999999997</v>
      </c>
      <c r="BQ207" s="503">
        <f t="shared" ref="BN207:BQ208" si="160">BP207</f>
        <v>37.299999999999997</v>
      </c>
      <c r="BR207" s="503">
        <f t="shared" ref="BR207:CC207" si="161">BQ207</f>
        <v>37.299999999999997</v>
      </c>
      <c r="BS207" s="503">
        <f t="shared" si="161"/>
        <v>37.299999999999997</v>
      </c>
      <c r="BT207" s="503">
        <f t="shared" si="161"/>
        <v>37.299999999999997</v>
      </c>
      <c r="BU207" s="503">
        <f t="shared" si="161"/>
        <v>37.299999999999997</v>
      </c>
      <c r="BV207" s="503">
        <f t="shared" si="161"/>
        <v>37.299999999999997</v>
      </c>
      <c r="BW207" s="503">
        <f t="shared" si="161"/>
        <v>37.299999999999997</v>
      </c>
      <c r="BX207" s="503">
        <f t="shared" si="161"/>
        <v>37.299999999999997</v>
      </c>
      <c r="BY207" s="503">
        <f t="shared" si="161"/>
        <v>37.299999999999997</v>
      </c>
      <c r="BZ207" s="503">
        <f t="shared" si="161"/>
        <v>37.299999999999997</v>
      </c>
      <c r="CA207" s="503">
        <f t="shared" si="161"/>
        <v>37.299999999999997</v>
      </c>
      <c r="CB207" s="503">
        <f t="shared" si="161"/>
        <v>37.299999999999997</v>
      </c>
      <c r="CC207" s="503">
        <f t="shared" si="161"/>
        <v>37.299999999999997</v>
      </c>
    </row>
    <row r="208" spans="1:83">
      <c r="B208" s="257" t="s">
        <v>495</v>
      </c>
      <c r="AD208" s="151">
        <v>67.599999999999994</v>
      </c>
      <c r="AE208" s="151">
        <v>69.400000000000006</v>
      </c>
      <c r="AF208" s="458">
        <f t="shared" ref="AF208:AF215" si="162">AG208</f>
        <v>72.5</v>
      </c>
      <c r="AG208" s="151">
        <v>72.5</v>
      </c>
      <c r="AH208" s="151">
        <v>84.3</v>
      </c>
      <c r="AI208" s="151">
        <v>87.7</v>
      </c>
      <c r="AJ208" s="458">
        <f>AI208</f>
        <v>87.7</v>
      </c>
      <c r="AK208" s="151">
        <v>94.8</v>
      </c>
      <c r="AL208" s="458">
        <f>+AM208</f>
        <v>94.3</v>
      </c>
      <c r="AM208" s="151">
        <v>94.3</v>
      </c>
      <c r="AN208" s="151">
        <v>102.2</v>
      </c>
      <c r="AO208" s="458">
        <f>+AP208</f>
        <v>129</v>
      </c>
      <c r="AP208" s="151">
        <v>129</v>
      </c>
      <c r="AQ208" s="151">
        <v>137.1</v>
      </c>
      <c r="AR208" s="458">
        <f>+AS208</f>
        <v>138.5</v>
      </c>
      <c r="AS208" s="151">
        <v>138.5</v>
      </c>
      <c r="AT208" s="151">
        <v>141.19999999999999</v>
      </c>
      <c r="AU208" s="458">
        <f>AV208</f>
        <v>139.9</v>
      </c>
      <c r="AV208" s="151">
        <f>139.9</f>
        <v>139.9</v>
      </c>
      <c r="AW208" s="151">
        <f>141.3</f>
        <v>141.30000000000001</v>
      </c>
      <c r="AX208" s="458">
        <f>AY208</f>
        <v>142.19999999999999</v>
      </c>
      <c r="AY208" s="151">
        <v>142.19999999999999</v>
      </c>
      <c r="AZ208" s="151">
        <v>149</v>
      </c>
      <c r="BA208" s="458">
        <f>BB208</f>
        <v>151.19999999999999</v>
      </c>
      <c r="BB208" s="151">
        <v>151.19999999999999</v>
      </c>
      <c r="BC208" s="151">
        <v>158.4</v>
      </c>
      <c r="BD208" s="458">
        <f>BE208</f>
        <v>160.30000000000001</v>
      </c>
      <c r="BE208" s="151">
        <v>160.30000000000001</v>
      </c>
      <c r="BF208" s="458">
        <f>BE208</f>
        <v>160.30000000000001</v>
      </c>
      <c r="BG208" s="458">
        <f t="shared" si="159"/>
        <v>160.30000000000001</v>
      </c>
      <c r="BH208" s="458">
        <f t="shared" si="159"/>
        <v>160.30000000000001</v>
      </c>
      <c r="BI208" s="458">
        <f t="shared" si="159"/>
        <v>160.30000000000001</v>
      </c>
      <c r="BJ208" s="458">
        <f t="shared" si="159"/>
        <v>160.30000000000001</v>
      </c>
      <c r="BK208" s="458">
        <f t="shared" si="159"/>
        <v>160.30000000000001</v>
      </c>
      <c r="BL208" s="458">
        <f t="shared" si="159"/>
        <v>160.30000000000001</v>
      </c>
      <c r="BM208" s="458">
        <f>BL208</f>
        <v>160.30000000000001</v>
      </c>
      <c r="BN208" s="458">
        <f t="shared" si="160"/>
        <v>160.30000000000001</v>
      </c>
      <c r="BO208" s="458">
        <f t="shared" si="160"/>
        <v>160.30000000000001</v>
      </c>
      <c r="BP208" s="458">
        <f t="shared" si="160"/>
        <v>160.30000000000001</v>
      </c>
      <c r="BQ208" s="458">
        <f t="shared" si="160"/>
        <v>160.30000000000001</v>
      </c>
      <c r="BR208" s="458">
        <f t="shared" ref="BR208:CC208" si="163">BQ208</f>
        <v>160.30000000000001</v>
      </c>
      <c r="BS208" s="458">
        <f t="shared" si="163"/>
        <v>160.30000000000001</v>
      </c>
      <c r="BT208" s="458">
        <f t="shared" si="163"/>
        <v>160.30000000000001</v>
      </c>
      <c r="BU208" s="458">
        <f t="shared" si="163"/>
        <v>160.30000000000001</v>
      </c>
      <c r="BV208" s="458">
        <f t="shared" si="163"/>
        <v>160.30000000000001</v>
      </c>
      <c r="BW208" s="458">
        <f t="shared" si="163"/>
        <v>160.30000000000001</v>
      </c>
      <c r="BX208" s="458">
        <f t="shared" si="163"/>
        <v>160.30000000000001</v>
      </c>
      <c r="BY208" s="458">
        <f t="shared" si="163"/>
        <v>160.30000000000001</v>
      </c>
      <c r="BZ208" s="458">
        <f t="shared" si="163"/>
        <v>160.30000000000001</v>
      </c>
      <c r="CA208" s="458">
        <f t="shared" si="163"/>
        <v>160.30000000000001</v>
      </c>
      <c r="CB208" s="458">
        <f t="shared" si="163"/>
        <v>160.30000000000001</v>
      </c>
      <c r="CC208" s="458">
        <f t="shared" si="163"/>
        <v>160.30000000000001</v>
      </c>
    </row>
    <row r="209" spans="1:89">
      <c r="B209" s="257" t="s">
        <v>459</v>
      </c>
      <c r="AD209" s="458"/>
      <c r="AE209" s="458"/>
      <c r="AF209" s="458"/>
      <c r="AG209" s="458"/>
      <c r="AH209" s="458"/>
      <c r="AM209" s="90"/>
    </row>
    <row r="210" spans="1:89">
      <c r="B210" s="257" t="s">
        <v>460</v>
      </c>
      <c r="AD210" s="151">
        <v>801.9</v>
      </c>
      <c r="AE210" s="151">
        <v>774.8</v>
      </c>
      <c r="AF210" s="458">
        <f t="shared" si="162"/>
        <v>774.3</v>
      </c>
      <c r="AG210" s="151">
        <v>774.3</v>
      </c>
      <c r="AH210" s="151">
        <v>764</v>
      </c>
      <c r="AI210" s="458">
        <f>AJ210</f>
        <v>760.6</v>
      </c>
      <c r="AJ210" s="458">
        <f>AJ191</f>
        <v>760.6</v>
      </c>
      <c r="AK210" s="151">
        <v>784.4</v>
      </c>
      <c r="AL210" s="458">
        <f>AM210</f>
        <v>851.4</v>
      </c>
      <c r="AM210" s="151">
        <v>851.4</v>
      </c>
      <c r="AN210" s="151">
        <v>880.7</v>
      </c>
      <c r="AO210" s="458">
        <f>+AP210</f>
        <v>902.5</v>
      </c>
      <c r="AP210" s="151">
        <v>902.5</v>
      </c>
      <c r="AQ210" s="151">
        <v>899.6</v>
      </c>
      <c r="AR210" s="458">
        <f>+AS210</f>
        <v>889.7</v>
      </c>
      <c r="AS210" s="151">
        <v>889.7</v>
      </c>
      <c r="AT210" s="151">
        <v>905.3</v>
      </c>
      <c r="AU210" s="458">
        <f>AV210</f>
        <v>989.6</v>
      </c>
      <c r="AV210" s="151">
        <f>989.6</f>
        <v>989.6</v>
      </c>
      <c r="AW210" s="151">
        <f>972.6</f>
        <v>972.6</v>
      </c>
      <c r="AX210" s="458">
        <f>AY210</f>
        <v>986.1</v>
      </c>
      <c r="AY210" s="151">
        <v>986.1</v>
      </c>
      <c r="AZ210" s="151">
        <v>992.6</v>
      </c>
      <c r="BA210" s="458">
        <f>BB210</f>
        <v>978.4</v>
      </c>
      <c r="BB210" s="151">
        <v>978.4</v>
      </c>
      <c r="BC210" s="151">
        <v>1026.5</v>
      </c>
      <c r="BD210" s="458">
        <f>BE210</f>
        <v>1037.2</v>
      </c>
      <c r="BE210" s="151">
        <v>1037.2</v>
      </c>
      <c r="BF210" s="458">
        <f>BF191</f>
        <v>1046.3216848745942</v>
      </c>
      <c r="BG210" s="458">
        <f>BG191</f>
        <v>1054.8920835533052</v>
      </c>
      <c r="BH210" s="458">
        <f>BG210</f>
        <v>1054.8920835533052</v>
      </c>
      <c r="BI210" s="458">
        <f>BI191</f>
        <v>1046.6192193132797</v>
      </c>
      <c r="BJ210" s="458">
        <f>BJ191</f>
        <v>1037.822597356942</v>
      </c>
      <c r="BK210" s="458">
        <f>BK191</f>
        <v>1037.822597356942</v>
      </c>
      <c r="BL210" s="458">
        <f>BL191</f>
        <v>1030.0356043296156</v>
      </c>
      <c r="BM210" s="458">
        <f>BN210</f>
        <v>1021.7119335338392</v>
      </c>
      <c r="BN210" s="458">
        <f>BN191</f>
        <v>1021.7119335338392</v>
      </c>
      <c r="BO210" s="458">
        <f>BO191</f>
        <v>1014.3759001427469</v>
      </c>
      <c r="BP210" s="458">
        <f>BQ210</f>
        <v>1006.4912258293698</v>
      </c>
      <c r="BQ210" s="458">
        <f>BQ191</f>
        <v>1006.4912258293698</v>
      </c>
      <c r="BR210" s="458">
        <f>BR191</f>
        <v>999.57119107212236</v>
      </c>
      <c r="BS210" s="458">
        <f>BT210</f>
        <v>992.0915755196263</v>
      </c>
      <c r="BT210" s="458">
        <f>BT191</f>
        <v>992.0915755196263</v>
      </c>
      <c r="BU210" s="458">
        <f>BU191</f>
        <v>985.55249558805531</v>
      </c>
      <c r="BV210" s="458">
        <f>BW210</f>
        <v>978.44399229630517</v>
      </c>
      <c r="BW210" s="458">
        <f>BW191</f>
        <v>978.44399229630517</v>
      </c>
      <c r="BX210" s="458">
        <f>BX191</f>
        <v>972.25070516324104</v>
      </c>
      <c r="BY210" s="458">
        <f>BZ210</f>
        <v>965.47933207566416</v>
      </c>
      <c r="BZ210" s="458">
        <f>BZ191</f>
        <v>965.47933207566416</v>
      </c>
      <c r="CA210" s="458">
        <f>CA191</f>
        <v>959.59651988548831</v>
      </c>
      <c r="CB210" s="458">
        <f>CC210</f>
        <v>953.12823155571095</v>
      </c>
      <c r="CC210" s="458">
        <f>CC191</f>
        <v>953.12823155571095</v>
      </c>
    </row>
    <row r="211" spans="1:89">
      <c r="B211" s="257" t="s">
        <v>435</v>
      </c>
      <c r="AD211" s="151">
        <v>169.4</v>
      </c>
      <c r="AE211" s="151">
        <v>169</v>
      </c>
      <c r="AF211" s="458">
        <f t="shared" si="162"/>
        <v>169</v>
      </c>
      <c r="AG211" s="151">
        <v>169</v>
      </c>
      <c r="AH211" s="151">
        <v>178.8</v>
      </c>
      <c r="AI211" s="151">
        <v>179.1</v>
      </c>
      <c r="AJ211" s="458">
        <f>AI211</f>
        <v>179.1</v>
      </c>
      <c r="AK211" s="151">
        <v>179.6</v>
      </c>
      <c r="AL211" s="458">
        <f>+AM211</f>
        <v>182.9</v>
      </c>
      <c r="AM211" s="151">
        <v>182.9</v>
      </c>
      <c r="AN211" s="151">
        <v>185</v>
      </c>
      <c r="AO211" s="458">
        <f>+AP211</f>
        <v>184.8</v>
      </c>
      <c r="AP211" s="151">
        <v>184.8</v>
      </c>
      <c r="AQ211" s="151">
        <v>184.6</v>
      </c>
      <c r="AR211" s="458">
        <f>+AS211</f>
        <v>183.9</v>
      </c>
      <c r="AS211" s="151">
        <v>183.9</v>
      </c>
      <c r="AT211" s="151">
        <v>183.2</v>
      </c>
      <c r="AU211" s="458">
        <f>AV211</f>
        <v>263.89999999999998</v>
      </c>
      <c r="AV211" s="151">
        <f>263.9</f>
        <v>263.89999999999998</v>
      </c>
      <c r="AW211" s="151">
        <f>263</f>
        <v>263</v>
      </c>
      <c r="AX211" s="458">
        <f>AY211</f>
        <v>272.89999999999998</v>
      </c>
      <c r="AY211" s="151">
        <v>272.89999999999998</v>
      </c>
      <c r="AZ211" s="151">
        <v>271.60000000000002</v>
      </c>
      <c r="BA211" s="458">
        <f>BB211</f>
        <v>270.3</v>
      </c>
      <c r="BB211" s="151">
        <v>270.3</v>
      </c>
      <c r="BC211" s="151">
        <v>286.5</v>
      </c>
      <c r="BD211" s="458">
        <f>BE211</f>
        <v>299.89999999999998</v>
      </c>
      <c r="BE211" s="151">
        <v>299.89999999999998</v>
      </c>
      <c r="BF211" s="458">
        <f>BE211</f>
        <v>299.89999999999998</v>
      </c>
      <c r="BG211" s="458">
        <f>BF211</f>
        <v>299.89999999999998</v>
      </c>
      <c r="BH211" s="458">
        <f>BG211</f>
        <v>299.89999999999998</v>
      </c>
      <c r="BI211" s="458">
        <f t="shared" ref="BI211:BQ211" si="164">BH211</f>
        <v>299.89999999999998</v>
      </c>
      <c r="BJ211" s="458">
        <f t="shared" si="164"/>
        <v>299.89999999999998</v>
      </c>
      <c r="BK211" s="458">
        <f t="shared" si="164"/>
        <v>299.89999999999998</v>
      </c>
      <c r="BL211" s="458">
        <f t="shared" si="164"/>
        <v>299.89999999999998</v>
      </c>
      <c r="BM211" s="458">
        <f t="shared" si="164"/>
        <v>299.89999999999998</v>
      </c>
      <c r="BN211" s="458">
        <f t="shared" si="164"/>
        <v>299.89999999999998</v>
      </c>
      <c r="BO211" s="458">
        <f t="shared" si="164"/>
        <v>299.89999999999998</v>
      </c>
      <c r="BP211" s="458">
        <f t="shared" si="164"/>
        <v>299.89999999999998</v>
      </c>
      <c r="BQ211" s="458">
        <f t="shared" si="164"/>
        <v>299.89999999999998</v>
      </c>
      <c r="BR211" s="458">
        <f t="shared" ref="BR211:CC212" si="165">BQ211</f>
        <v>299.89999999999998</v>
      </c>
      <c r="BS211" s="458">
        <f t="shared" si="165"/>
        <v>299.89999999999998</v>
      </c>
      <c r="BT211" s="458">
        <f t="shared" si="165"/>
        <v>299.89999999999998</v>
      </c>
      <c r="BU211" s="458">
        <f t="shared" si="165"/>
        <v>299.89999999999998</v>
      </c>
      <c r="BV211" s="458">
        <f t="shared" si="165"/>
        <v>299.89999999999998</v>
      </c>
      <c r="BW211" s="458">
        <f t="shared" si="165"/>
        <v>299.89999999999998</v>
      </c>
      <c r="BX211" s="458">
        <f t="shared" si="165"/>
        <v>299.89999999999998</v>
      </c>
      <c r="BY211" s="458">
        <f t="shared" si="165"/>
        <v>299.89999999999998</v>
      </c>
      <c r="BZ211" s="458">
        <f t="shared" si="165"/>
        <v>299.89999999999998</v>
      </c>
      <c r="CA211" s="458">
        <f t="shared" si="165"/>
        <v>299.89999999999998</v>
      </c>
      <c r="CB211" s="458">
        <f t="shared" si="165"/>
        <v>299.89999999999998</v>
      </c>
      <c r="CC211" s="458">
        <f t="shared" si="165"/>
        <v>299.89999999999998</v>
      </c>
    </row>
    <row r="212" spans="1:89">
      <c r="B212" s="461" t="s">
        <v>492</v>
      </c>
      <c r="AD212" s="151">
        <v>0</v>
      </c>
      <c r="AE212" s="151">
        <v>0</v>
      </c>
      <c r="AF212" s="458">
        <f t="shared" si="162"/>
        <v>0</v>
      </c>
      <c r="AG212" s="151">
        <v>0</v>
      </c>
      <c r="AH212" s="151">
        <v>0</v>
      </c>
      <c r="AI212" s="139">
        <v>0</v>
      </c>
      <c r="AJ212" s="139">
        <v>0</v>
      </c>
      <c r="AK212" s="139">
        <v>0</v>
      </c>
      <c r="AL212" s="139">
        <v>0</v>
      </c>
      <c r="AM212" s="139">
        <v>0</v>
      </c>
      <c r="AN212" s="139">
        <v>0</v>
      </c>
      <c r="AO212" s="139">
        <v>0</v>
      </c>
      <c r="AP212" s="139">
        <v>0</v>
      </c>
      <c r="AQ212" s="139">
        <v>0</v>
      </c>
      <c r="AR212" s="257">
        <f>+AS212</f>
        <v>0</v>
      </c>
      <c r="AS212" s="139">
        <v>0</v>
      </c>
      <c r="AT212" s="139">
        <v>0</v>
      </c>
      <c r="AU212" s="257">
        <f>AV212</f>
        <v>0</v>
      </c>
      <c r="AV212" s="139">
        <v>0</v>
      </c>
      <c r="AW212" s="139">
        <f>0</f>
        <v>0</v>
      </c>
      <c r="AX212" s="139">
        <v>0</v>
      </c>
      <c r="AY212" s="139">
        <v>0</v>
      </c>
      <c r="AZ212" s="139">
        <v>0</v>
      </c>
      <c r="BA212" s="139">
        <v>0</v>
      </c>
      <c r="BB212" s="139">
        <v>0</v>
      </c>
      <c r="BC212" s="139">
        <v>0</v>
      </c>
      <c r="BD212" s="139">
        <v>0</v>
      </c>
      <c r="BE212" s="648">
        <v>0</v>
      </c>
      <c r="BF212" s="495">
        <v>0</v>
      </c>
      <c r="BG212" s="495">
        <v>0</v>
      </c>
      <c r="BH212" s="514">
        <f>BG212</f>
        <v>0</v>
      </c>
      <c r="BI212" s="495">
        <v>0</v>
      </c>
      <c r="BJ212" s="495">
        <v>0</v>
      </c>
      <c r="BK212" s="514">
        <f>BJ212</f>
        <v>0</v>
      </c>
      <c r="BL212" s="495">
        <v>0</v>
      </c>
      <c r="BM212" s="495">
        <v>0</v>
      </c>
      <c r="BN212" s="514">
        <f>BM212</f>
        <v>0</v>
      </c>
      <c r="BO212" s="495">
        <v>0</v>
      </c>
      <c r="BP212" s="495">
        <v>0</v>
      </c>
      <c r="BQ212" s="514">
        <f>BP212</f>
        <v>0</v>
      </c>
      <c r="BR212" s="495">
        <v>0</v>
      </c>
      <c r="BS212" s="495">
        <v>0</v>
      </c>
      <c r="BT212" s="514">
        <f t="shared" si="165"/>
        <v>0</v>
      </c>
      <c r="BU212" s="495">
        <v>0</v>
      </c>
      <c r="BV212" s="495">
        <v>0</v>
      </c>
      <c r="BW212" s="514">
        <f t="shared" si="165"/>
        <v>0</v>
      </c>
      <c r="BX212" s="495">
        <v>0</v>
      </c>
      <c r="BY212" s="495">
        <v>0</v>
      </c>
      <c r="BZ212" s="514">
        <f t="shared" si="165"/>
        <v>0</v>
      </c>
      <c r="CA212" s="495">
        <v>0</v>
      </c>
      <c r="CB212" s="495">
        <v>0</v>
      </c>
      <c r="CC212" s="514">
        <f t="shared" si="165"/>
        <v>0</v>
      </c>
    </row>
    <row r="213" spans="1:89">
      <c r="B213" s="461" t="s">
        <v>472</v>
      </c>
      <c r="AD213" s="151">
        <v>0</v>
      </c>
      <c r="AE213" s="151">
        <v>0</v>
      </c>
      <c r="AF213" s="458">
        <f t="shared" si="162"/>
        <v>0</v>
      </c>
      <c r="AG213" s="151">
        <v>0</v>
      </c>
      <c r="AH213" s="151">
        <v>0</v>
      </c>
      <c r="AI213" s="139">
        <v>0</v>
      </c>
      <c r="AJ213" s="139">
        <v>0</v>
      </c>
      <c r="AK213" s="151">
        <v>0</v>
      </c>
      <c r="AL213" s="458">
        <f>+AM213</f>
        <v>0</v>
      </c>
      <c r="AM213" s="151">
        <v>0</v>
      </c>
      <c r="AN213" s="151">
        <v>0</v>
      </c>
      <c r="AO213" s="458">
        <f>+AP213</f>
        <v>3.5</v>
      </c>
      <c r="AP213" s="151">
        <v>3.5</v>
      </c>
      <c r="AQ213" s="151">
        <v>0</v>
      </c>
      <c r="AR213" s="458">
        <f>+AS213</f>
        <v>0</v>
      </c>
      <c r="AS213" s="151">
        <v>0</v>
      </c>
      <c r="AT213" s="151">
        <v>0</v>
      </c>
      <c r="AU213" s="458">
        <f>AV213</f>
        <v>0</v>
      </c>
      <c r="AV213" s="151">
        <v>0</v>
      </c>
      <c r="AW213" s="151">
        <v>2.5</v>
      </c>
      <c r="AX213" s="458">
        <f>AY213</f>
        <v>1.3</v>
      </c>
      <c r="AY213" s="151">
        <v>1.3</v>
      </c>
      <c r="AZ213" s="151">
        <v>0</v>
      </c>
      <c r="BA213" s="458">
        <f>BB213</f>
        <v>2.2999999999999998</v>
      </c>
      <c r="BB213" s="151">
        <v>2.2999999999999998</v>
      </c>
      <c r="BC213" s="151">
        <v>3.7</v>
      </c>
      <c r="BD213" s="458">
        <f>BE213</f>
        <v>3.5</v>
      </c>
      <c r="BE213" s="151">
        <v>3.5</v>
      </c>
      <c r="BF213" s="458">
        <f>+BE213</f>
        <v>3.5</v>
      </c>
      <c r="BG213" s="458">
        <f t="shared" ref="BG213:BQ213" si="166">+BF213</f>
        <v>3.5</v>
      </c>
      <c r="BH213" s="458">
        <f t="shared" si="166"/>
        <v>3.5</v>
      </c>
      <c r="BI213" s="458">
        <f t="shared" si="166"/>
        <v>3.5</v>
      </c>
      <c r="BJ213" s="458">
        <f t="shared" si="166"/>
        <v>3.5</v>
      </c>
      <c r="BK213" s="458">
        <f t="shared" si="166"/>
        <v>3.5</v>
      </c>
      <c r="BL213" s="458">
        <f t="shared" si="166"/>
        <v>3.5</v>
      </c>
      <c r="BM213" s="458">
        <f>+BL213</f>
        <v>3.5</v>
      </c>
      <c r="BN213" s="458">
        <f t="shared" si="166"/>
        <v>3.5</v>
      </c>
      <c r="BO213" s="458">
        <f t="shared" si="166"/>
        <v>3.5</v>
      </c>
      <c r="BP213" s="458">
        <f t="shared" si="166"/>
        <v>3.5</v>
      </c>
      <c r="BQ213" s="458">
        <f t="shared" si="166"/>
        <v>3.5</v>
      </c>
      <c r="BR213" s="458">
        <f t="shared" ref="BR213:CC213" si="167">+BQ213</f>
        <v>3.5</v>
      </c>
      <c r="BS213" s="458">
        <f t="shared" si="167"/>
        <v>3.5</v>
      </c>
      <c r="BT213" s="458">
        <f t="shared" si="167"/>
        <v>3.5</v>
      </c>
      <c r="BU213" s="458">
        <f t="shared" si="167"/>
        <v>3.5</v>
      </c>
      <c r="BV213" s="458">
        <f t="shared" si="167"/>
        <v>3.5</v>
      </c>
      <c r="BW213" s="458">
        <f t="shared" si="167"/>
        <v>3.5</v>
      </c>
      <c r="BX213" s="458">
        <f t="shared" si="167"/>
        <v>3.5</v>
      </c>
      <c r="BY213" s="458">
        <f t="shared" si="167"/>
        <v>3.5</v>
      </c>
      <c r="BZ213" s="458">
        <f t="shared" si="167"/>
        <v>3.5</v>
      </c>
      <c r="CA213" s="458">
        <f t="shared" si="167"/>
        <v>3.5</v>
      </c>
      <c r="CB213" s="458">
        <f t="shared" si="167"/>
        <v>3.5</v>
      </c>
      <c r="CC213" s="458">
        <f t="shared" si="167"/>
        <v>3.5</v>
      </c>
    </row>
    <row r="214" spans="1:89">
      <c r="AD214" s="458"/>
      <c r="AE214" s="458"/>
      <c r="AF214" s="458"/>
      <c r="AG214" s="458"/>
      <c r="AH214" s="458"/>
    </row>
    <row r="215" spans="1:89" s="7" customFormat="1">
      <c r="A215" s="40"/>
      <c r="B215" s="40" t="s">
        <v>137</v>
      </c>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c r="AA215" s="40"/>
      <c r="AB215" s="40"/>
      <c r="AC215" s="40"/>
      <c r="AD215" s="110">
        <f>SUM(AD207:AD213)</f>
        <v>1067.3</v>
      </c>
      <c r="AE215" s="110">
        <f>SUM(AE207:AE213)</f>
        <v>1040.5</v>
      </c>
      <c r="AF215" s="110">
        <f t="shared" si="162"/>
        <v>1046.1999999999998</v>
      </c>
      <c r="AG215" s="110">
        <f t="shared" ref="AG215:AP215" si="168">SUM(AG207:AG213)</f>
        <v>1046.1999999999998</v>
      </c>
      <c r="AH215" s="110">
        <f t="shared" si="168"/>
        <v>1054.9000000000001</v>
      </c>
      <c r="AI215" s="110">
        <f t="shared" si="168"/>
        <v>1057.8</v>
      </c>
      <c r="AJ215" s="110">
        <f t="shared" si="168"/>
        <v>1057.8</v>
      </c>
      <c r="AK215" s="110">
        <f t="shared" si="168"/>
        <v>1086.1999999999998</v>
      </c>
      <c r="AL215" s="110">
        <f t="shared" si="168"/>
        <v>1155.8</v>
      </c>
      <c r="AM215" s="110">
        <f t="shared" si="168"/>
        <v>1155.8</v>
      </c>
      <c r="AN215" s="110">
        <f t="shared" si="168"/>
        <v>1194.7</v>
      </c>
      <c r="AO215" s="110">
        <f t="shared" si="168"/>
        <v>1249.3999999999999</v>
      </c>
      <c r="AP215" s="110">
        <f t="shared" si="168"/>
        <v>1249.3999999999999</v>
      </c>
      <c r="AQ215" s="110">
        <f t="shared" ref="AQ215:BN215" si="169">SUM(AQ207:AQ213)</f>
        <v>1250.5</v>
      </c>
      <c r="AR215" s="110">
        <f t="shared" si="169"/>
        <v>1243.5000000000002</v>
      </c>
      <c r="AS215" s="110">
        <f t="shared" si="169"/>
        <v>1243.5000000000002</v>
      </c>
      <c r="AT215" s="110">
        <f t="shared" si="169"/>
        <v>1260.7</v>
      </c>
      <c r="AU215" s="110">
        <f t="shared" si="169"/>
        <v>1426.1</v>
      </c>
      <c r="AV215" s="110">
        <f t="shared" si="169"/>
        <v>1426.1</v>
      </c>
      <c r="AW215" s="110">
        <f t="shared" si="169"/>
        <v>1411.8</v>
      </c>
      <c r="AX215" s="110">
        <f t="shared" si="169"/>
        <v>1435.3999999999999</v>
      </c>
      <c r="AY215" s="110">
        <f t="shared" si="169"/>
        <v>1435.3999999999999</v>
      </c>
      <c r="AZ215" s="110">
        <f t="shared" si="169"/>
        <v>1445.8000000000002</v>
      </c>
      <c r="BA215" s="110">
        <f t="shared" si="169"/>
        <v>1436.6</v>
      </c>
      <c r="BB215" s="110">
        <f t="shared" si="169"/>
        <v>1436.6</v>
      </c>
      <c r="BC215" s="110">
        <f t="shared" si="169"/>
        <v>1509.2</v>
      </c>
      <c r="BD215" s="110">
        <f t="shared" ref="BD215" si="170">SUM(BD207:BD213)</f>
        <v>1538.2000000000003</v>
      </c>
      <c r="BE215" s="110">
        <f t="shared" si="169"/>
        <v>1538.2000000000003</v>
      </c>
      <c r="BF215" s="110">
        <f t="shared" si="169"/>
        <v>1547.3216848745942</v>
      </c>
      <c r="BG215" s="110">
        <f t="shared" si="169"/>
        <v>1555.8920835533054</v>
      </c>
      <c r="BH215" s="110">
        <f t="shared" si="169"/>
        <v>1555.8920835533054</v>
      </c>
      <c r="BI215" s="110">
        <f t="shared" si="169"/>
        <v>1547.6192193132797</v>
      </c>
      <c r="BJ215" s="110">
        <f t="shared" si="169"/>
        <v>1538.822597356942</v>
      </c>
      <c r="BK215" s="110">
        <f t="shared" si="169"/>
        <v>1538.822597356942</v>
      </c>
      <c r="BL215" s="110">
        <f t="shared" si="169"/>
        <v>1531.0356043296156</v>
      </c>
      <c r="BM215" s="110">
        <f t="shared" si="169"/>
        <v>1522.7119335338393</v>
      </c>
      <c r="BN215" s="110">
        <f t="shared" si="169"/>
        <v>1522.7119335338393</v>
      </c>
      <c r="BO215" s="110">
        <f>SUM(BO207:BO213)</f>
        <v>1515.375900142747</v>
      </c>
      <c r="BP215" s="110">
        <f>SUM(BP207:BP213)</f>
        <v>1507.4912258293698</v>
      </c>
      <c r="BQ215" s="110">
        <f>SUM(BQ207:BQ213)</f>
        <v>1507.4912258293698</v>
      </c>
      <c r="BR215" s="110">
        <f t="shared" ref="BR215:CC215" si="171">SUM(BR207:BR213)</f>
        <v>1500.5711910721225</v>
      </c>
      <c r="BS215" s="110">
        <f t="shared" si="171"/>
        <v>1493.0915755196265</v>
      </c>
      <c r="BT215" s="110">
        <f t="shared" si="171"/>
        <v>1493.0915755196265</v>
      </c>
      <c r="BU215" s="110">
        <f t="shared" si="171"/>
        <v>1486.5524955880555</v>
      </c>
      <c r="BV215" s="110">
        <f t="shared" si="171"/>
        <v>1479.4439922963052</v>
      </c>
      <c r="BW215" s="110">
        <f t="shared" si="171"/>
        <v>1479.4439922963052</v>
      </c>
      <c r="BX215" s="110">
        <f t="shared" si="171"/>
        <v>1473.250705163241</v>
      </c>
      <c r="BY215" s="110">
        <f t="shared" si="171"/>
        <v>1466.4793320756644</v>
      </c>
      <c r="BZ215" s="110">
        <f t="shared" si="171"/>
        <v>1466.4793320756644</v>
      </c>
      <c r="CA215" s="110">
        <f t="shared" si="171"/>
        <v>1460.5965198854883</v>
      </c>
      <c r="CB215" s="110">
        <f t="shared" si="171"/>
        <v>1454.128231555711</v>
      </c>
      <c r="CC215" s="110">
        <f t="shared" si="171"/>
        <v>1454.128231555711</v>
      </c>
      <c r="CD215" s="40"/>
      <c r="CE215" s="40"/>
      <c r="CF215"/>
      <c r="CG215"/>
      <c r="CH215"/>
      <c r="CI215"/>
      <c r="CJ215"/>
      <c r="CK215"/>
    </row>
    <row r="216" spans="1:89">
      <c r="AD216" s="458"/>
      <c r="AE216" s="458"/>
      <c r="AF216" s="458"/>
      <c r="AG216" s="458"/>
      <c r="AH216" s="458"/>
    </row>
    <row r="217" spans="1:89" ht="13.5" thickBot="1">
      <c r="B217" s="515" t="s">
        <v>138</v>
      </c>
      <c r="C217" s="515"/>
      <c r="D217" s="515"/>
      <c r="E217" s="515"/>
      <c r="F217" s="515"/>
      <c r="G217" s="515"/>
      <c r="H217" s="515"/>
      <c r="I217" s="515"/>
      <c r="J217" s="515"/>
      <c r="K217" s="515"/>
      <c r="L217" s="515"/>
      <c r="M217" s="515"/>
      <c r="N217" s="515"/>
      <c r="O217" s="515"/>
      <c r="P217" s="515"/>
      <c r="Q217" s="515"/>
      <c r="R217" s="515"/>
      <c r="S217" s="515"/>
      <c r="T217" s="515"/>
      <c r="U217" s="515"/>
      <c r="V217" s="515"/>
      <c r="W217" s="515"/>
      <c r="X217" s="515"/>
      <c r="Y217" s="515"/>
      <c r="Z217" s="515"/>
      <c r="AA217" s="515"/>
      <c r="AB217" s="515"/>
      <c r="AC217" s="515"/>
      <c r="AD217" s="516">
        <f t="shared" ref="AD217:AI217" si="172">AD215+AD204</f>
        <v>1358.1</v>
      </c>
      <c r="AE217" s="516">
        <f t="shared" si="172"/>
        <v>1338</v>
      </c>
      <c r="AF217" s="516">
        <f t="shared" si="172"/>
        <v>1354.9999999999998</v>
      </c>
      <c r="AG217" s="516">
        <f t="shared" si="172"/>
        <v>1354.9999999999998</v>
      </c>
      <c r="AH217" s="516">
        <f t="shared" si="172"/>
        <v>1405</v>
      </c>
      <c r="AI217" s="516">
        <f t="shared" si="172"/>
        <v>1331.9</v>
      </c>
      <c r="AJ217" s="516">
        <f t="shared" ref="AJ217:AP217" si="173">AJ215+AJ204</f>
        <v>1331.9</v>
      </c>
      <c r="AK217" s="516">
        <f t="shared" si="173"/>
        <v>1405.4999999999998</v>
      </c>
      <c r="AL217" s="516">
        <f t="shared" si="173"/>
        <v>1462.8</v>
      </c>
      <c r="AM217" s="516">
        <f t="shared" si="173"/>
        <v>1462.8</v>
      </c>
      <c r="AN217" s="516">
        <f t="shared" si="173"/>
        <v>1531</v>
      </c>
      <c r="AO217" s="516">
        <f t="shared" si="173"/>
        <v>1613.1</v>
      </c>
      <c r="AP217" s="516">
        <f t="shared" si="173"/>
        <v>1613.1</v>
      </c>
      <c r="AQ217" s="516">
        <f t="shared" ref="AQ217:BN217" si="174">AQ215+AQ204</f>
        <v>1633.8000000000002</v>
      </c>
      <c r="AR217" s="516">
        <f t="shared" si="174"/>
        <v>1633.7000000000003</v>
      </c>
      <c r="AS217" s="516">
        <f t="shared" si="174"/>
        <v>1633.7000000000003</v>
      </c>
      <c r="AT217" s="516">
        <f t="shared" si="174"/>
        <v>1670.9</v>
      </c>
      <c r="AU217" s="516">
        <f t="shared" si="174"/>
        <v>1813.3</v>
      </c>
      <c r="AV217" s="516">
        <f t="shared" si="174"/>
        <v>1813.3</v>
      </c>
      <c r="AW217" s="516">
        <f t="shared" si="174"/>
        <v>1834.3</v>
      </c>
      <c r="AX217" s="516">
        <f t="shared" si="174"/>
        <v>1838.5</v>
      </c>
      <c r="AY217" s="516">
        <f t="shared" si="174"/>
        <v>1838.5</v>
      </c>
      <c r="AZ217" s="516">
        <f t="shared" si="174"/>
        <v>1860.5000000000002</v>
      </c>
      <c r="BA217" s="516">
        <f t="shared" si="174"/>
        <v>1826.6999999999998</v>
      </c>
      <c r="BB217" s="516">
        <f t="shared" si="174"/>
        <v>1826.6999999999998</v>
      </c>
      <c r="BC217" s="516">
        <f t="shared" si="174"/>
        <v>1970.6000000000001</v>
      </c>
      <c r="BD217" s="516">
        <f t="shared" si="174"/>
        <v>2013.0000000000002</v>
      </c>
      <c r="BE217" s="516">
        <f t="shared" si="174"/>
        <v>2013.0000000000002</v>
      </c>
      <c r="BF217" s="516">
        <f t="shared" si="174"/>
        <v>2023.7390635845079</v>
      </c>
      <c r="BG217" s="516">
        <f t="shared" si="174"/>
        <v>2049.0536242952685</v>
      </c>
      <c r="BH217" s="516">
        <f t="shared" si="174"/>
        <v>2049.0536242952685</v>
      </c>
      <c r="BI217" s="516">
        <f t="shared" si="174"/>
        <v>2047.321893499422</v>
      </c>
      <c r="BJ217" s="516">
        <f t="shared" si="174"/>
        <v>2037.39678307644</v>
      </c>
      <c r="BK217" s="516">
        <f t="shared" si="174"/>
        <v>2037.39678307644</v>
      </c>
      <c r="BL217" s="516">
        <f t="shared" si="174"/>
        <v>2042.1116086699258</v>
      </c>
      <c r="BM217" s="516">
        <f t="shared" si="174"/>
        <v>2032.917842434907</v>
      </c>
      <c r="BN217" s="516">
        <f t="shared" si="174"/>
        <v>2032.917842434907</v>
      </c>
      <c r="BO217" s="516">
        <f>BO215+BO204</f>
        <v>2043.327877880688</v>
      </c>
      <c r="BP217" s="516">
        <f>BP215+BP204</f>
        <v>2027.9527884107642</v>
      </c>
      <c r="BQ217" s="516">
        <f>BQ215+BQ204</f>
        <v>2027.9527884107642</v>
      </c>
      <c r="BR217" s="516">
        <f t="shared" ref="BR217:CC217" si="175">BR215+BR204</f>
        <v>2031.5288169676728</v>
      </c>
      <c r="BS217" s="516">
        <f t="shared" si="175"/>
        <v>2026.1743524590079</v>
      </c>
      <c r="BT217" s="516">
        <f t="shared" si="175"/>
        <v>2026.1743524590079</v>
      </c>
      <c r="BU217" s="516">
        <f t="shared" si="175"/>
        <v>2034.9262959491434</v>
      </c>
      <c r="BV217" s="516">
        <f t="shared" si="175"/>
        <v>2029.1366185743368</v>
      </c>
      <c r="BW217" s="516">
        <f t="shared" si="175"/>
        <v>2029.1366185743368</v>
      </c>
      <c r="BX217" s="516">
        <f t="shared" si="175"/>
        <v>2038.1869765213276</v>
      </c>
      <c r="BY217" s="516">
        <f t="shared" si="175"/>
        <v>2126.0916520136466</v>
      </c>
      <c r="BZ217" s="516">
        <f t="shared" si="175"/>
        <v>2126.0916520136466</v>
      </c>
      <c r="CA217" s="516">
        <f t="shared" si="175"/>
        <v>2135.4784056518561</v>
      </c>
      <c r="CB217" s="516">
        <f t="shared" si="175"/>
        <v>2227.8221834427072</v>
      </c>
      <c r="CC217" s="516">
        <f t="shared" si="175"/>
        <v>2227.8221834427072</v>
      </c>
    </row>
    <row r="218" spans="1:89">
      <c r="AD218" s="458"/>
      <c r="AE218" s="405"/>
      <c r="AF218" s="406"/>
      <c r="AG218" s="405" t="str">
        <f>IF(AF217=AG217,"","ERROR")</f>
        <v/>
      </c>
      <c r="AH218" s="405"/>
      <c r="AI218" s="406"/>
      <c r="AJ218" s="405" t="str">
        <f>IF(AI217=AJ217,"","ERROR")</f>
        <v/>
      </c>
      <c r="AK218" s="405"/>
      <c r="AL218" s="406"/>
      <c r="AM218" s="405" t="str">
        <f>IF(AL217=AM217,"","ERROR")</f>
        <v/>
      </c>
      <c r="AN218" s="405"/>
      <c r="AO218" s="406"/>
      <c r="AP218" s="405" t="str">
        <f>IF(AO217=AP217,"","ERROR")</f>
        <v/>
      </c>
      <c r="AQ218" s="405"/>
      <c r="AR218" s="406"/>
      <c r="AS218" s="405" t="str">
        <f>IF(AR217=AS217,"","ERROR")</f>
        <v/>
      </c>
      <c r="AT218" s="405"/>
      <c r="AU218" s="406"/>
      <c r="AV218" s="405" t="str">
        <f>IF(AU217=AV217,"","ERROR")</f>
        <v/>
      </c>
      <c r="AW218" s="405"/>
      <c r="AX218" s="406"/>
      <c r="AY218" s="405" t="str">
        <f>IF(AX217=AY217,"","ERROR")</f>
        <v/>
      </c>
      <c r="AZ218" s="405"/>
      <c r="BA218" s="406"/>
      <c r="BB218" s="405" t="str">
        <f>IF(BA217=BB217,"","ERROR")</f>
        <v/>
      </c>
      <c r="BC218" s="405"/>
      <c r="BD218" s="406"/>
      <c r="BE218" s="405" t="str">
        <f>IF(BD217=BE217,"","ERROR")</f>
        <v/>
      </c>
      <c r="BF218" s="405"/>
      <c r="BG218" s="406"/>
      <c r="BH218" s="405" t="str">
        <f>IF(BG217=BH217,"","ERROR")</f>
        <v/>
      </c>
      <c r="BI218" s="405"/>
      <c r="BJ218" s="406"/>
      <c r="BK218" s="405" t="str">
        <f>IF(BJ217=BK217,"","ERROR")</f>
        <v/>
      </c>
      <c r="BL218" s="405"/>
      <c r="BM218" s="406"/>
      <c r="BN218" s="405" t="str">
        <f>IF(BM217=BN217,"","ERROR")</f>
        <v/>
      </c>
      <c r="BO218" s="405"/>
      <c r="BP218" s="406"/>
      <c r="BQ218" s="405" t="str">
        <f>IF(BP217=BQ217,"","ERROR")</f>
        <v/>
      </c>
      <c r="BR218" s="405"/>
      <c r="BS218" s="406"/>
      <c r="BT218" s="405" t="str">
        <f>IF(BS217=BT217,"","ERROR")</f>
        <v/>
      </c>
      <c r="BU218" s="405"/>
      <c r="BV218" s="406"/>
      <c r="BW218" s="405" t="str">
        <f>IF(BV217=BW217,"","ERROR")</f>
        <v/>
      </c>
      <c r="BX218" s="405"/>
      <c r="BY218" s="406"/>
      <c r="BZ218" s="405" t="str">
        <f>IF(BY217=BZ217,"","ERROR")</f>
        <v/>
      </c>
      <c r="CA218" s="405"/>
      <c r="CB218" s="406"/>
      <c r="CC218" s="405" t="str">
        <f>IF(CB217=CC217,"","ERROR")</f>
        <v/>
      </c>
    </row>
    <row r="219" spans="1:89">
      <c r="B219" s="40" t="s">
        <v>447</v>
      </c>
      <c r="AD219" s="458"/>
      <c r="AE219" s="458"/>
      <c r="AF219" s="458"/>
      <c r="AG219" s="458"/>
      <c r="AH219" s="458"/>
    </row>
    <row r="220" spans="1:89">
      <c r="B220" s="257" t="s">
        <v>448</v>
      </c>
      <c r="AD220" s="151">
        <v>98</v>
      </c>
      <c r="AE220" s="151">
        <v>89.6</v>
      </c>
      <c r="AF220" s="458">
        <f t="shared" ref="AF220:AF225" si="176">AG220</f>
        <v>106.1</v>
      </c>
      <c r="AG220" s="151">
        <v>106.1</v>
      </c>
      <c r="AH220" s="151">
        <v>109.3</v>
      </c>
      <c r="AI220" s="458">
        <f>AJ220</f>
        <v>105.4</v>
      </c>
      <c r="AJ220" s="151">
        <v>105.4</v>
      </c>
      <c r="AK220" s="151">
        <v>98.8</v>
      </c>
      <c r="AL220" s="458">
        <f>AM220</f>
        <v>99.2</v>
      </c>
      <c r="AM220" s="151">
        <v>99.2</v>
      </c>
      <c r="AN220" s="151">
        <v>113.3</v>
      </c>
      <c r="AO220" s="458">
        <f>AP220</f>
        <v>95</v>
      </c>
      <c r="AP220" s="151">
        <v>95</v>
      </c>
      <c r="AQ220" s="151">
        <v>103.6</v>
      </c>
      <c r="AR220" s="458">
        <f>+AS220</f>
        <v>105.4</v>
      </c>
      <c r="AS220" s="151">
        <v>105.4</v>
      </c>
      <c r="AT220" s="151">
        <v>113.3</v>
      </c>
      <c r="AU220" s="458">
        <f>AV220</f>
        <v>120.4</v>
      </c>
      <c r="AV220" s="151">
        <f>120.4</f>
        <v>120.4</v>
      </c>
      <c r="AW220" s="151">
        <f>130.2</f>
        <v>130.19999999999999</v>
      </c>
      <c r="AX220" s="458">
        <f>AY220</f>
        <v>122.9</v>
      </c>
      <c r="AY220" s="151">
        <v>122.9</v>
      </c>
      <c r="AZ220" s="151">
        <v>116.3</v>
      </c>
      <c r="BA220" s="458">
        <f>BB220</f>
        <v>117</v>
      </c>
      <c r="BB220" s="151">
        <v>117</v>
      </c>
      <c r="BC220" s="151">
        <v>138.1</v>
      </c>
      <c r="BD220" s="458">
        <f>BE220</f>
        <v>145.80000000000001</v>
      </c>
      <c r="BE220" s="151">
        <v>145.80000000000001</v>
      </c>
      <c r="BF220" s="458">
        <f t="shared" ref="BF220:CB220" si="177">BF260</f>
        <v>144.73677727460807</v>
      </c>
      <c r="BG220" s="458">
        <f t="shared" si="177"/>
        <v>152.24621391807909</v>
      </c>
      <c r="BH220" s="458">
        <f>BG220</f>
        <v>152.24621391807909</v>
      </c>
      <c r="BI220" s="458">
        <f t="shared" si="177"/>
        <v>152.82048593541043</v>
      </c>
      <c r="BJ220" s="458">
        <f t="shared" si="177"/>
        <v>154.14643938815988</v>
      </c>
      <c r="BK220" s="458">
        <f>BJ220</f>
        <v>154.14643938815988</v>
      </c>
      <c r="BL220" s="458">
        <f t="shared" si="177"/>
        <v>156.76884414126906</v>
      </c>
      <c r="BM220" s="458">
        <f t="shared" si="177"/>
        <v>158.23000606254669</v>
      </c>
      <c r="BN220" s="458">
        <f>BM220</f>
        <v>158.23000606254669</v>
      </c>
      <c r="BO220" s="458">
        <f t="shared" si="177"/>
        <v>162.62749654502173</v>
      </c>
      <c r="BP220" s="458">
        <f t="shared" si="177"/>
        <v>161.83047393298173</v>
      </c>
      <c r="BQ220" s="458">
        <f>BP220</f>
        <v>161.83047393298173</v>
      </c>
      <c r="BR220" s="458">
        <f t="shared" si="177"/>
        <v>163.67093548560962</v>
      </c>
      <c r="BS220" s="458">
        <f t="shared" si="177"/>
        <v>166.26142277332482</v>
      </c>
      <c r="BT220" s="458">
        <f>BS220</f>
        <v>166.26142277332482</v>
      </c>
      <c r="BU220" s="458">
        <f t="shared" si="177"/>
        <v>169.71712375531985</v>
      </c>
      <c r="BV220" s="458">
        <f t="shared" si="177"/>
        <v>172.0926677373875</v>
      </c>
      <c r="BW220" s="458">
        <f>BV220</f>
        <v>172.0926677373875</v>
      </c>
      <c r="BX220" s="458">
        <f t="shared" si="177"/>
        <v>175.46694086111552</v>
      </c>
      <c r="BY220" s="458">
        <f t="shared" si="177"/>
        <v>174.31307725909284</v>
      </c>
      <c r="BZ220" s="458">
        <f>BY220</f>
        <v>174.31307725909284</v>
      </c>
      <c r="CA220" s="458">
        <f t="shared" si="177"/>
        <v>177.67160605360647</v>
      </c>
      <c r="CB220" s="458">
        <f t="shared" si="177"/>
        <v>176.56923544284081</v>
      </c>
      <c r="CC220" s="458">
        <f>CB220</f>
        <v>176.56923544284081</v>
      </c>
    </row>
    <row r="221" spans="1:89">
      <c r="B221" s="257" t="s">
        <v>473</v>
      </c>
      <c r="AD221" s="151">
        <v>0.4</v>
      </c>
      <c r="AE221" s="151">
        <v>60.3</v>
      </c>
      <c r="AF221" s="458">
        <f t="shared" si="176"/>
        <v>0.4</v>
      </c>
      <c r="AG221" s="151">
        <v>0.4</v>
      </c>
      <c r="AH221" s="151">
        <v>0.2</v>
      </c>
      <c r="AI221" s="151">
        <v>1</v>
      </c>
      <c r="AJ221" s="458">
        <f>AI221</f>
        <v>1</v>
      </c>
      <c r="AK221" s="151">
        <v>0.1</v>
      </c>
      <c r="AL221" s="458">
        <f>+AM221</f>
        <v>0.7</v>
      </c>
      <c r="AM221" s="151">
        <v>0.7</v>
      </c>
      <c r="AN221" s="151">
        <v>0.6</v>
      </c>
      <c r="AO221" s="458">
        <f>+AP221</f>
        <v>20</v>
      </c>
      <c r="AP221" s="151">
        <v>20</v>
      </c>
      <c r="AQ221" s="151">
        <v>0</v>
      </c>
      <c r="AR221" s="458">
        <f>+AS221</f>
        <v>0</v>
      </c>
      <c r="AS221" s="151">
        <v>0</v>
      </c>
      <c r="AT221" s="151">
        <v>0</v>
      </c>
      <c r="AU221" s="458">
        <f>AV221</f>
        <v>1.4</v>
      </c>
      <c r="AV221" s="151">
        <f>1.4</f>
        <v>1.4</v>
      </c>
      <c r="AW221" s="151">
        <f>1.1</f>
        <v>1.1000000000000001</v>
      </c>
      <c r="AX221" s="458">
        <f>AY221</f>
        <v>1</v>
      </c>
      <c r="AY221" s="151">
        <v>1</v>
      </c>
      <c r="AZ221" s="151">
        <v>1.4</v>
      </c>
      <c r="BA221" s="458">
        <f>BB221</f>
        <v>0.4</v>
      </c>
      <c r="BB221" s="151">
        <v>0.4</v>
      </c>
      <c r="BC221" s="151">
        <v>0.5</v>
      </c>
      <c r="BD221" s="458">
        <f>BE221</f>
        <v>0.3</v>
      </c>
      <c r="BE221" s="151">
        <v>0.3</v>
      </c>
      <c r="BF221" s="458">
        <f>BE221</f>
        <v>0.3</v>
      </c>
      <c r="BG221" s="458">
        <f t="shared" ref="BG221:BP224" si="178">BF221</f>
        <v>0.3</v>
      </c>
      <c r="BH221" s="458">
        <f t="shared" si="178"/>
        <v>0.3</v>
      </c>
      <c r="BI221" s="458">
        <f t="shared" si="178"/>
        <v>0.3</v>
      </c>
      <c r="BJ221" s="458">
        <f t="shared" si="178"/>
        <v>0.3</v>
      </c>
      <c r="BK221" s="458">
        <f t="shared" si="178"/>
        <v>0.3</v>
      </c>
      <c r="BL221" s="458">
        <f t="shared" si="178"/>
        <v>0.3</v>
      </c>
      <c r="BM221" s="458">
        <f>BL221</f>
        <v>0.3</v>
      </c>
      <c r="BN221" s="458">
        <f t="shared" si="178"/>
        <v>0.3</v>
      </c>
      <c r="BO221" s="458">
        <f t="shared" si="178"/>
        <v>0.3</v>
      </c>
      <c r="BP221" s="458">
        <f t="shared" si="178"/>
        <v>0.3</v>
      </c>
      <c r="BQ221" s="458">
        <f t="shared" ref="BN221:BQ224" si="179">BP221</f>
        <v>0.3</v>
      </c>
      <c r="BR221" s="458">
        <f t="shared" ref="BR221:BS224" si="180">BQ221</f>
        <v>0.3</v>
      </c>
      <c r="BS221" s="458">
        <f t="shared" si="180"/>
        <v>0.3</v>
      </c>
      <c r="BT221" s="458">
        <f>BS221</f>
        <v>0.3</v>
      </c>
      <c r="BU221" s="458">
        <f t="shared" ref="BU221:BV224" si="181">BT221</f>
        <v>0.3</v>
      </c>
      <c r="BV221" s="458">
        <f t="shared" si="181"/>
        <v>0.3</v>
      </c>
      <c r="BW221" s="458">
        <f>BV221</f>
        <v>0.3</v>
      </c>
      <c r="BX221" s="458">
        <f t="shared" ref="BX221:BY224" si="182">BW221</f>
        <v>0.3</v>
      </c>
      <c r="BY221" s="458">
        <f t="shared" si="182"/>
        <v>0.3</v>
      </c>
      <c r="BZ221" s="458">
        <f>BY221</f>
        <v>0.3</v>
      </c>
      <c r="CA221" s="458">
        <f t="shared" ref="CA221:CB224" si="183">BZ221</f>
        <v>0.3</v>
      </c>
      <c r="CB221" s="458">
        <f t="shared" si="183"/>
        <v>0.3</v>
      </c>
      <c r="CC221" s="458">
        <f>CB221</f>
        <v>0.3</v>
      </c>
    </row>
    <row r="222" spans="1:89">
      <c r="B222" s="257" t="s">
        <v>450</v>
      </c>
      <c r="AD222" s="151">
        <v>23.6</v>
      </c>
      <c r="AE222" s="151">
        <v>24.4</v>
      </c>
      <c r="AF222" s="458">
        <f t="shared" si="176"/>
        <v>24.4</v>
      </c>
      <c r="AG222" s="151">
        <v>24.4</v>
      </c>
      <c r="AH222" s="151">
        <v>22.9</v>
      </c>
      <c r="AI222" s="151">
        <v>27.1</v>
      </c>
      <c r="AJ222" s="458">
        <f>AI222</f>
        <v>27.1</v>
      </c>
      <c r="AK222" s="151">
        <v>23.2</v>
      </c>
      <c r="AL222" s="458">
        <f>+AM222</f>
        <v>21.8</v>
      </c>
      <c r="AM222" s="151">
        <v>21.8</v>
      </c>
      <c r="AN222" s="151">
        <v>24.5</v>
      </c>
      <c r="AO222" s="458">
        <f>+AP222</f>
        <v>26.1</v>
      </c>
      <c r="AP222" s="151">
        <v>26.1</v>
      </c>
      <c r="AQ222" s="151">
        <f>15.3+25.3</f>
        <v>40.6</v>
      </c>
      <c r="AR222" s="458">
        <f>+AS222</f>
        <v>66.400000000000006</v>
      </c>
      <c r="AS222" s="151">
        <f>26.7+39.7</f>
        <v>66.400000000000006</v>
      </c>
      <c r="AT222" s="151">
        <f>23.7+12</f>
        <v>35.700000000000003</v>
      </c>
      <c r="AU222" s="458">
        <f>AV222</f>
        <v>38.700000000000003</v>
      </c>
      <c r="AV222" s="151">
        <f>24.7+14</f>
        <v>38.700000000000003</v>
      </c>
      <c r="AW222" s="151">
        <f>26.3</f>
        <v>26.3</v>
      </c>
      <c r="AX222" s="458">
        <f>AY222</f>
        <v>33.6</v>
      </c>
      <c r="AY222" s="151">
        <v>33.6</v>
      </c>
      <c r="AZ222" s="151">
        <v>30.3</v>
      </c>
      <c r="BA222" s="458">
        <f>BB222</f>
        <v>31.9</v>
      </c>
      <c r="BB222" s="151">
        <v>31.9</v>
      </c>
      <c r="BC222" s="151">
        <v>37</v>
      </c>
      <c r="BD222" s="458">
        <f>BE222</f>
        <v>33.799999999999997</v>
      </c>
      <c r="BE222" s="151">
        <v>33.799999999999997</v>
      </c>
      <c r="BF222" s="458">
        <f>BE222</f>
        <v>33.799999999999997</v>
      </c>
      <c r="BG222" s="458">
        <f t="shared" si="178"/>
        <v>33.799999999999997</v>
      </c>
      <c r="BH222" s="458">
        <f t="shared" si="178"/>
        <v>33.799999999999997</v>
      </c>
      <c r="BI222" s="458">
        <f t="shared" si="178"/>
        <v>33.799999999999997</v>
      </c>
      <c r="BJ222" s="458">
        <f t="shared" si="178"/>
        <v>33.799999999999997</v>
      </c>
      <c r="BK222" s="458">
        <f t="shared" si="178"/>
        <v>33.799999999999997</v>
      </c>
      <c r="BL222" s="458">
        <f t="shared" si="178"/>
        <v>33.799999999999997</v>
      </c>
      <c r="BM222" s="458">
        <f>BL222</f>
        <v>33.799999999999997</v>
      </c>
      <c r="BN222" s="458">
        <f t="shared" si="179"/>
        <v>33.799999999999997</v>
      </c>
      <c r="BO222" s="458">
        <f t="shared" si="179"/>
        <v>33.799999999999997</v>
      </c>
      <c r="BP222" s="458">
        <f t="shared" si="179"/>
        <v>33.799999999999997</v>
      </c>
      <c r="BQ222" s="458">
        <f t="shared" si="179"/>
        <v>33.799999999999997</v>
      </c>
      <c r="BR222" s="458">
        <f t="shared" si="180"/>
        <v>33.799999999999997</v>
      </c>
      <c r="BS222" s="458">
        <f t="shared" si="180"/>
        <v>33.799999999999997</v>
      </c>
      <c r="BT222" s="458">
        <f>BS222</f>
        <v>33.799999999999997</v>
      </c>
      <c r="BU222" s="458">
        <f t="shared" si="181"/>
        <v>33.799999999999997</v>
      </c>
      <c r="BV222" s="458">
        <f t="shared" si="181"/>
        <v>33.799999999999997</v>
      </c>
      <c r="BW222" s="458">
        <f>BV222</f>
        <v>33.799999999999997</v>
      </c>
      <c r="BX222" s="458">
        <f t="shared" si="182"/>
        <v>33.799999999999997</v>
      </c>
      <c r="BY222" s="458">
        <f t="shared" si="182"/>
        <v>33.799999999999997</v>
      </c>
      <c r="BZ222" s="458">
        <f>BY222</f>
        <v>33.799999999999997</v>
      </c>
      <c r="CA222" s="458">
        <f t="shared" si="183"/>
        <v>33.799999999999997</v>
      </c>
      <c r="CB222" s="458">
        <f t="shared" si="183"/>
        <v>33.799999999999997</v>
      </c>
      <c r="CC222" s="458">
        <f>CB222</f>
        <v>33.799999999999997</v>
      </c>
    </row>
    <row r="223" spans="1:89">
      <c r="B223" s="257" t="s">
        <v>181</v>
      </c>
      <c r="AD223" s="151">
        <v>5.7</v>
      </c>
      <c r="AE223" s="151">
        <v>0</v>
      </c>
      <c r="AF223" s="458">
        <f t="shared" si="176"/>
        <v>16.7</v>
      </c>
      <c r="AG223" s="151">
        <v>16.7</v>
      </c>
      <c r="AH223" s="151">
        <v>14.4</v>
      </c>
      <c r="AI223" s="151">
        <v>21.6</v>
      </c>
      <c r="AJ223" s="458">
        <f>AI223</f>
        <v>21.6</v>
      </c>
      <c r="AK223" s="151">
        <v>5.8</v>
      </c>
      <c r="AL223" s="458">
        <f>+AM223</f>
        <v>8.1999999999999993</v>
      </c>
      <c r="AM223" s="151">
        <v>8.1999999999999993</v>
      </c>
      <c r="AN223" s="151">
        <v>3.5</v>
      </c>
      <c r="AO223" s="458">
        <f>+AP223</f>
        <v>7.7</v>
      </c>
      <c r="AP223" s="151">
        <v>7.7</v>
      </c>
      <c r="AQ223" s="151">
        <v>6.7</v>
      </c>
      <c r="AR223" s="458">
        <f>+AS223</f>
        <v>19</v>
      </c>
      <c r="AS223" s="151">
        <v>19</v>
      </c>
      <c r="AT223" s="151">
        <v>0</v>
      </c>
      <c r="AU223" s="458">
        <f>AV223</f>
        <v>1.3</v>
      </c>
      <c r="AV223" s="151">
        <f>1.3</f>
        <v>1.3</v>
      </c>
      <c r="AW223" s="151">
        <f>0</f>
        <v>0</v>
      </c>
      <c r="AX223" s="458">
        <f>AY223</f>
        <v>15</v>
      </c>
      <c r="AY223" s="151">
        <v>15</v>
      </c>
      <c r="AZ223" s="151">
        <v>7.2</v>
      </c>
      <c r="BA223" s="458">
        <f>BB223</f>
        <v>15.4</v>
      </c>
      <c r="BB223" s="151">
        <v>15.4</v>
      </c>
      <c r="BC223" s="151">
        <v>3.3</v>
      </c>
      <c r="BD223" s="458">
        <f>BE223</f>
        <v>9.8000000000000007</v>
      </c>
      <c r="BE223" s="151">
        <v>9.8000000000000007</v>
      </c>
      <c r="BF223" s="458">
        <f>BE223</f>
        <v>9.8000000000000007</v>
      </c>
      <c r="BG223" s="458">
        <f t="shared" si="178"/>
        <v>9.8000000000000007</v>
      </c>
      <c r="BH223" s="458">
        <f t="shared" si="178"/>
        <v>9.8000000000000007</v>
      </c>
      <c r="BI223" s="458">
        <f t="shared" si="178"/>
        <v>9.8000000000000007</v>
      </c>
      <c r="BJ223" s="458">
        <f t="shared" si="178"/>
        <v>9.8000000000000007</v>
      </c>
      <c r="BK223" s="458">
        <f t="shared" si="178"/>
        <v>9.8000000000000007</v>
      </c>
      <c r="BL223" s="458">
        <f t="shared" si="178"/>
        <v>9.8000000000000007</v>
      </c>
      <c r="BM223" s="458">
        <f>BL223</f>
        <v>9.8000000000000007</v>
      </c>
      <c r="BN223" s="458">
        <f t="shared" si="179"/>
        <v>9.8000000000000007</v>
      </c>
      <c r="BO223" s="458">
        <f t="shared" si="179"/>
        <v>9.8000000000000007</v>
      </c>
      <c r="BP223" s="458">
        <f t="shared" si="179"/>
        <v>9.8000000000000007</v>
      </c>
      <c r="BQ223" s="458">
        <f t="shared" si="179"/>
        <v>9.8000000000000007</v>
      </c>
      <c r="BR223" s="458">
        <f t="shared" si="180"/>
        <v>9.8000000000000007</v>
      </c>
      <c r="BS223" s="458">
        <f t="shared" si="180"/>
        <v>9.8000000000000007</v>
      </c>
      <c r="BT223" s="458">
        <f>BS223</f>
        <v>9.8000000000000007</v>
      </c>
      <c r="BU223" s="458">
        <f t="shared" si="181"/>
        <v>9.8000000000000007</v>
      </c>
      <c r="BV223" s="458">
        <f t="shared" si="181"/>
        <v>9.8000000000000007</v>
      </c>
      <c r="BW223" s="458">
        <f>BV223</f>
        <v>9.8000000000000007</v>
      </c>
      <c r="BX223" s="458">
        <f t="shared" si="182"/>
        <v>9.8000000000000007</v>
      </c>
      <c r="BY223" s="458">
        <f t="shared" si="182"/>
        <v>9.8000000000000007</v>
      </c>
      <c r="BZ223" s="458">
        <f>BY223</f>
        <v>9.8000000000000007</v>
      </c>
      <c r="CA223" s="458">
        <f t="shared" si="183"/>
        <v>9.8000000000000007</v>
      </c>
      <c r="CB223" s="458">
        <f t="shared" si="183"/>
        <v>9.8000000000000007</v>
      </c>
      <c r="CC223" s="458">
        <f>CB223</f>
        <v>9.8000000000000007</v>
      </c>
    </row>
    <row r="224" spans="1:89">
      <c r="B224" s="257" t="s">
        <v>493</v>
      </c>
      <c r="AD224" s="151">
        <v>15.2</v>
      </c>
      <c r="AE224" s="140">
        <f>14.8+1.1</f>
        <v>15.9</v>
      </c>
      <c r="AF224" s="458">
        <f t="shared" si="176"/>
        <v>14.3</v>
      </c>
      <c r="AG224" s="151">
        <v>14.3</v>
      </c>
      <c r="AH224" s="151">
        <v>15.3</v>
      </c>
      <c r="AI224" s="151">
        <v>3.9</v>
      </c>
      <c r="AJ224" s="458">
        <f>AI224</f>
        <v>3.9</v>
      </c>
      <c r="AK224" s="140">
        <f>0.4+1.7</f>
        <v>2.1</v>
      </c>
      <c r="AL224" s="458">
        <f>+AM224</f>
        <v>4.5999999999999996</v>
      </c>
      <c r="AM224" s="151">
        <v>4.5999999999999996</v>
      </c>
      <c r="AN224" s="151">
        <v>1.6</v>
      </c>
      <c r="AO224" s="458">
        <f>+AP224</f>
        <v>44.7</v>
      </c>
      <c r="AP224" s="151">
        <f>19.5+25.2</f>
        <v>44.7</v>
      </c>
      <c r="AQ224" s="151">
        <v>2.2000000000000002</v>
      </c>
      <c r="AR224" s="458">
        <f>+AS224</f>
        <v>20.399999999999999</v>
      </c>
      <c r="AS224" s="151">
        <v>20.399999999999999</v>
      </c>
      <c r="AT224" s="151">
        <v>2.9</v>
      </c>
      <c r="AU224" s="458">
        <f>AV224</f>
        <v>4.2</v>
      </c>
      <c r="AV224" s="151">
        <f>4.2</f>
        <v>4.2</v>
      </c>
      <c r="AW224" s="151">
        <f>4.6</f>
        <v>4.5999999999999996</v>
      </c>
      <c r="AX224" s="458">
        <f>AY224</f>
        <v>6.8</v>
      </c>
      <c r="AY224" s="151">
        <v>6.8</v>
      </c>
      <c r="AZ224" s="151">
        <v>3.9</v>
      </c>
      <c r="BA224" s="458">
        <f>BB224</f>
        <v>3.3</v>
      </c>
      <c r="BB224" s="151">
        <v>3.3</v>
      </c>
      <c r="BC224" s="151">
        <v>4</v>
      </c>
      <c r="BD224" s="458">
        <f>BE224</f>
        <v>15.1</v>
      </c>
      <c r="BE224" s="151">
        <v>15.1</v>
      </c>
      <c r="BF224" s="458">
        <f>BE224</f>
        <v>15.1</v>
      </c>
      <c r="BG224" s="458">
        <f t="shared" si="178"/>
        <v>15.1</v>
      </c>
      <c r="BH224" s="458">
        <f t="shared" si="178"/>
        <v>15.1</v>
      </c>
      <c r="BI224" s="458">
        <f t="shared" si="178"/>
        <v>15.1</v>
      </c>
      <c r="BJ224" s="458">
        <f t="shared" si="178"/>
        <v>15.1</v>
      </c>
      <c r="BK224" s="458">
        <f t="shared" si="178"/>
        <v>15.1</v>
      </c>
      <c r="BL224" s="458">
        <f t="shared" si="178"/>
        <v>15.1</v>
      </c>
      <c r="BM224" s="458">
        <f>BL224</f>
        <v>15.1</v>
      </c>
      <c r="BN224" s="458">
        <f t="shared" si="179"/>
        <v>15.1</v>
      </c>
      <c r="BO224" s="458">
        <f t="shared" si="179"/>
        <v>15.1</v>
      </c>
      <c r="BP224" s="458">
        <f t="shared" si="179"/>
        <v>15.1</v>
      </c>
      <c r="BQ224" s="458">
        <f t="shared" si="179"/>
        <v>15.1</v>
      </c>
      <c r="BR224" s="458">
        <f t="shared" si="180"/>
        <v>15.1</v>
      </c>
      <c r="BS224" s="458">
        <f t="shared" si="180"/>
        <v>15.1</v>
      </c>
      <c r="BT224" s="458">
        <f>BS224</f>
        <v>15.1</v>
      </c>
      <c r="BU224" s="458">
        <f t="shared" si="181"/>
        <v>15.1</v>
      </c>
      <c r="BV224" s="458">
        <f t="shared" si="181"/>
        <v>15.1</v>
      </c>
      <c r="BW224" s="458">
        <f>BV224</f>
        <v>15.1</v>
      </c>
      <c r="BX224" s="458">
        <f t="shared" si="182"/>
        <v>15.1</v>
      </c>
      <c r="BY224" s="458">
        <f t="shared" si="182"/>
        <v>15.1</v>
      </c>
      <c r="BZ224" s="458">
        <f>BY224</f>
        <v>15.1</v>
      </c>
      <c r="CA224" s="458">
        <f t="shared" si="183"/>
        <v>15.1</v>
      </c>
      <c r="CB224" s="458">
        <f t="shared" si="183"/>
        <v>15.1</v>
      </c>
      <c r="CC224" s="458">
        <f>CB224</f>
        <v>15.1</v>
      </c>
    </row>
    <row r="225" spans="1:89" s="7" customFormat="1">
      <c r="A225" s="40"/>
      <c r="B225" s="40" t="s">
        <v>198</v>
      </c>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c r="AA225" s="40"/>
      <c r="AB225" s="40"/>
      <c r="AC225" s="40"/>
      <c r="AD225" s="110">
        <f>SUM(AD220:AD224)</f>
        <v>142.9</v>
      </c>
      <c r="AE225" s="110">
        <f>SUM(AE220:AE224)</f>
        <v>190.2</v>
      </c>
      <c r="AF225" s="110">
        <f t="shared" si="176"/>
        <v>161.9</v>
      </c>
      <c r="AG225" s="110">
        <f>SUM(AG220:AG224)</f>
        <v>161.9</v>
      </c>
      <c r="AH225" s="110">
        <f>SUM(AH220:AH224)</f>
        <v>162.10000000000002</v>
      </c>
      <c r="AI225" s="110">
        <f t="shared" ref="AI225:AP225" si="184">SUM(AI220:AI224)</f>
        <v>159</v>
      </c>
      <c r="AJ225" s="110">
        <f t="shared" si="184"/>
        <v>159</v>
      </c>
      <c r="AK225" s="110">
        <f t="shared" si="184"/>
        <v>130</v>
      </c>
      <c r="AL225" s="110">
        <f t="shared" si="184"/>
        <v>134.5</v>
      </c>
      <c r="AM225" s="110">
        <f t="shared" si="184"/>
        <v>134.5</v>
      </c>
      <c r="AN225" s="110">
        <f t="shared" si="184"/>
        <v>143.49999999999997</v>
      </c>
      <c r="AO225" s="110">
        <f t="shared" si="184"/>
        <v>193.5</v>
      </c>
      <c r="AP225" s="110">
        <f t="shared" si="184"/>
        <v>193.5</v>
      </c>
      <c r="AQ225" s="110">
        <f t="shared" ref="AQ225:BN225" si="185">SUM(AQ220:AQ224)</f>
        <v>153.09999999999997</v>
      </c>
      <c r="AR225" s="110">
        <f t="shared" si="185"/>
        <v>211.20000000000002</v>
      </c>
      <c r="AS225" s="110">
        <f t="shared" si="185"/>
        <v>211.20000000000002</v>
      </c>
      <c r="AT225" s="110">
        <f t="shared" si="185"/>
        <v>151.9</v>
      </c>
      <c r="AU225" s="110">
        <f t="shared" si="185"/>
        <v>166</v>
      </c>
      <c r="AV225" s="110">
        <f t="shared" si="185"/>
        <v>166</v>
      </c>
      <c r="AW225" s="110">
        <f t="shared" si="185"/>
        <v>162.19999999999999</v>
      </c>
      <c r="AX225" s="110">
        <f t="shared" si="185"/>
        <v>179.3</v>
      </c>
      <c r="AY225" s="110">
        <f t="shared" si="185"/>
        <v>179.3</v>
      </c>
      <c r="AZ225" s="110">
        <f t="shared" si="185"/>
        <v>159.1</v>
      </c>
      <c r="BA225" s="110">
        <f t="shared" si="185"/>
        <v>168.00000000000003</v>
      </c>
      <c r="BB225" s="110">
        <f>SUM(BB220:BB224)</f>
        <v>168.00000000000003</v>
      </c>
      <c r="BC225" s="110">
        <f t="shared" si="185"/>
        <v>182.9</v>
      </c>
      <c r="BD225" s="110">
        <f t="shared" ref="BD225" si="186">SUM(BD220:BD224)</f>
        <v>204.80000000000004</v>
      </c>
      <c r="BE225" s="110">
        <f t="shared" si="185"/>
        <v>204.80000000000004</v>
      </c>
      <c r="BF225" s="110">
        <f t="shared" si="185"/>
        <v>203.7367772746081</v>
      </c>
      <c r="BG225" s="110">
        <f t="shared" si="185"/>
        <v>211.24621391807912</v>
      </c>
      <c r="BH225" s="110">
        <f t="shared" si="185"/>
        <v>211.24621391807912</v>
      </c>
      <c r="BI225" s="110">
        <f t="shared" si="185"/>
        <v>211.82048593541046</v>
      </c>
      <c r="BJ225" s="110">
        <f t="shared" si="185"/>
        <v>213.14643938815991</v>
      </c>
      <c r="BK225" s="110">
        <f t="shared" si="185"/>
        <v>213.14643938815991</v>
      </c>
      <c r="BL225" s="110">
        <f t="shared" si="185"/>
        <v>215.76884414126906</v>
      </c>
      <c r="BM225" s="110">
        <f t="shared" si="185"/>
        <v>217.23000606254672</v>
      </c>
      <c r="BN225" s="110">
        <f t="shared" si="185"/>
        <v>217.23000606254672</v>
      </c>
      <c r="BO225" s="110">
        <f>SUM(BO220:BO224)</f>
        <v>221.62749654502173</v>
      </c>
      <c r="BP225" s="110">
        <f>SUM(BP220:BP224)</f>
        <v>220.83047393298173</v>
      </c>
      <c r="BQ225" s="110">
        <f>SUM(BQ220:BQ224)</f>
        <v>220.83047393298173</v>
      </c>
      <c r="BR225" s="110">
        <f t="shared" ref="BR225:CC225" si="187">SUM(BR220:BR224)</f>
        <v>222.67093548560965</v>
      </c>
      <c r="BS225" s="110">
        <f t="shared" si="187"/>
        <v>225.26142277332482</v>
      </c>
      <c r="BT225" s="110">
        <f t="shared" si="187"/>
        <v>225.26142277332482</v>
      </c>
      <c r="BU225" s="110">
        <f t="shared" si="187"/>
        <v>228.71712375531988</v>
      </c>
      <c r="BV225" s="110">
        <f t="shared" si="187"/>
        <v>231.09266773738753</v>
      </c>
      <c r="BW225" s="110">
        <f t="shared" si="187"/>
        <v>231.09266773738753</v>
      </c>
      <c r="BX225" s="110">
        <f t="shared" si="187"/>
        <v>234.46694086111555</v>
      </c>
      <c r="BY225" s="110">
        <f t="shared" si="187"/>
        <v>233.31307725909286</v>
      </c>
      <c r="BZ225" s="110">
        <f t="shared" si="187"/>
        <v>233.31307725909286</v>
      </c>
      <c r="CA225" s="110">
        <f t="shared" si="187"/>
        <v>236.6716060536065</v>
      </c>
      <c r="CB225" s="110">
        <f t="shared" si="187"/>
        <v>235.56923544284084</v>
      </c>
      <c r="CC225" s="110">
        <f t="shared" si="187"/>
        <v>235.56923544284084</v>
      </c>
      <c r="CD225" s="40"/>
      <c r="CE225" s="40"/>
      <c r="CF225"/>
      <c r="CG225"/>
      <c r="CH225"/>
      <c r="CI225"/>
      <c r="CJ225"/>
      <c r="CK225"/>
    </row>
    <row r="226" spans="1:89">
      <c r="AD226" s="458"/>
      <c r="AE226" s="458"/>
      <c r="AF226" s="458"/>
      <c r="AG226" s="458"/>
      <c r="AH226" s="458"/>
    </row>
    <row r="227" spans="1:89">
      <c r="B227" s="40" t="s">
        <v>452</v>
      </c>
      <c r="AD227" s="458"/>
      <c r="AE227" s="458"/>
      <c r="AF227" s="458"/>
      <c r="AG227" s="458"/>
      <c r="AH227" s="458"/>
      <c r="AI227" s="458"/>
      <c r="AL227" s="458"/>
      <c r="AZ227" s="458"/>
    </row>
    <row r="228" spans="1:89">
      <c r="B228" s="257" t="s">
        <v>349</v>
      </c>
      <c r="AD228" s="151">
        <v>410.5</v>
      </c>
      <c r="AE228" s="151">
        <v>210.6</v>
      </c>
      <c r="AF228" s="458">
        <f>AG228</f>
        <v>200.5</v>
      </c>
      <c r="AG228" s="151">
        <v>200.5</v>
      </c>
      <c r="AH228" s="151">
        <v>230.2</v>
      </c>
      <c r="AI228" s="458">
        <f>AH228+AI144-(AI221-AH221)+0.8</f>
        <v>150.19999999999999</v>
      </c>
      <c r="AJ228" s="458">
        <f>AG228+AJ144-(AJ221-AG221)+0.8</f>
        <v>150.20000000000002</v>
      </c>
      <c r="AK228" s="151">
        <v>259.60000000000002</v>
      </c>
      <c r="AL228" s="458">
        <f>AK228+AL144-(AL221-AK221)</f>
        <v>258.7</v>
      </c>
      <c r="AM228" s="151">
        <v>258.7</v>
      </c>
      <c r="AN228" s="458">
        <f>AM228+AN144-(AN221-AM221)</f>
        <v>309</v>
      </c>
      <c r="AO228" s="458">
        <f>+AP228</f>
        <v>299.3</v>
      </c>
      <c r="AP228" s="151">
        <v>299.3</v>
      </c>
      <c r="AQ228" s="151">
        <v>358.8</v>
      </c>
      <c r="AR228" s="458">
        <f>+AS228</f>
        <v>259.10000000000002</v>
      </c>
      <c r="AS228" s="151">
        <v>259.10000000000002</v>
      </c>
      <c r="AT228" s="151">
        <v>379.3</v>
      </c>
      <c r="AU228" s="458">
        <f>AV228</f>
        <v>390.1</v>
      </c>
      <c r="AV228" s="151">
        <f>390.1</f>
        <v>390.1</v>
      </c>
      <c r="AW228" s="151">
        <f>389.9</f>
        <v>389.9</v>
      </c>
      <c r="AX228" s="458">
        <f>AW228+AX144-(AX221-AW221)</f>
        <v>329.3</v>
      </c>
      <c r="AY228" s="151">
        <v>329.5</v>
      </c>
      <c r="AZ228" s="151">
        <v>389</v>
      </c>
      <c r="BA228" s="458">
        <f>BB228</f>
        <v>309.60000000000002</v>
      </c>
      <c r="BB228" s="151">
        <v>309.60000000000002</v>
      </c>
      <c r="BC228" s="151">
        <v>468.7</v>
      </c>
      <c r="BD228" s="458">
        <f>BE228</f>
        <v>428.9</v>
      </c>
      <c r="BE228" s="151">
        <v>428.9</v>
      </c>
      <c r="BF228" s="458">
        <f>BE228+BF144-(BF221-BE221)</f>
        <v>467.60091143320631</v>
      </c>
      <c r="BG228" s="458">
        <f>BF228+BG144-(BG221-BF221)</f>
        <v>436.28163118902586</v>
      </c>
      <c r="BH228" s="458">
        <f>BG228</f>
        <v>436.28163118902586</v>
      </c>
      <c r="BI228" s="458">
        <f>BH228+BI144-(BI221-BH221)</f>
        <v>452.68355165086695</v>
      </c>
      <c r="BJ228" s="458">
        <f>BI228+BJ144-(BJ221-BI221)</f>
        <v>397.43771899773174</v>
      </c>
      <c r="BK228" s="458">
        <f>BJ228</f>
        <v>397.43771899773174</v>
      </c>
      <c r="BL228" s="458">
        <f>BK228+BL144-(BL221-BK221)</f>
        <v>425.47686107276229</v>
      </c>
      <c r="BM228" s="458">
        <f>BL228+BM144-(BM221-BL221)</f>
        <v>370.16223387535217</v>
      </c>
      <c r="BN228" s="458">
        <f>BM228</f>
        <v>370.16223387535217</v>
      </c>
      <c r="BO228" s="458">
        <f>BN228+BO144-(BO221-BN221)</f>
        <v>393.19056279755193</v>
      </c>
      <c r="BP228" s="458">
        <f>BO228+BP144-(BP221-BO221)</f>
        <v>302.64754402942117</v>
      </c>
      <c r="BQ228" s="458">
        <f>BP228</f>
        <v>302.64754402942117</v>
      </c>
      <c r="BR228" s="458">
        <f>BQ228+BR144-(BR221-BQ221)</f>
        <v>296.52085038600359</v>
      </c>
      <c r="BS228" s="458">
        <f>BR228+BS144-(BS221-BR221)</f>
        <v>203.64714491952952</v>
      </c>
      <c r="BT228" s="458">
        <f>BS228</f>
        <v>203.64714491952952</v>
      </c>
      <c r="BU228" s="458">
        <f>BT228+BU144-(BU221-BT221)</f>
        <v>197.31345799195867</v>
      </c>
      <c r="BV228" s="458">
        <f>BU228+BV144-(BV221-BU221)</f>
        <v>97.580035505439781</v>
      </c>
      <c r="BW228" s="458">
        <f>BV228</f>
        <v>97.580035505439781</v>
      </c>
      <c r="BX228" s="458">
        <f>BW228+BX144-(BX221-BW221)</f>
        <v>87.570974734702375</v>
      </c>
      <c r="BY228" s="458">
        <f>BX228+BY144-(BY221-BX221)</f>
        <v>87.570974734702375</v>
      </c>
      <c r="BZ228" s="458">
        <f>BY228</f>
        <v>87.570974734702375</v>
      </c>
      <c r="CA228" s="458">
        <f>BZ228+CA144-(CA221-BZ221)</f>
        <v>81.611174258841402</v>
      </c>
      <c r="CB228" s="458">
        <f>CA228+CB144-(CB221-CA221)</f>
        <v>81.611174258841402</v>
      </c>
      <c r="CC228" s="458">
        <f>CB228</f>
        <v>81.611174258841402</v>
      </c>
    </row>
    <row r="229" spans="1:89">
      <c r="B229" s="257" t="s">
        <v>350</v>
      </c>
      <c r="AD229" s="151">
        <v>32.700000000000003</v>
      </c>
      <c r="AE229" s="151">
        <v>31.8</v>
      </c>
      <c r="AF229" s="458">
        <f>AG229</f>
        <v>29.9</v>
      </c>
      <c r="AG229" s="151">
        <v>29.9</v>
      </c>
      <c r="AH229" s="151">
        <v>33</v>
      </c>
      <c r="AI229" s="151">
        <v>32.6</v>
      </c>
      <c r="AJ229" s="458">
        <f>AI229</f>
        <v>32.6</v>
      </c>
      <c r="AK229" s="151">
        <v>32.700000000000003</v>
      </c>
      <c r="AL229" s="458">
        <f>+AM229</f>
        <v>35</v>
      </c>
      <c r="AM229" s="151">
        <v>35</v>
      </c>
      <c r="AN229" s="151">
        <v>33.1</v>
      </c>
      <c r="AO229" s="458">
        <f>+AP229</f>
        <v>31.2</v>
      </c>
      <c r="AP229" s="151">
        <v>31.2</v>
      </c>
      <c r="AQ229" s="151">
        <v>31.8</v>
      </c>
      <c r="AR229" s="458">
        <f>+AS229</f>
        <v>28.5</v>
      </c>
      <c r="AS229" s="151">
        <v>28.5</v>
      </c>
      <c r="AT229" s="151">
        <v>31.1</v>
      </c>
      <c r="AU229" s="458">
        <f>AV229</f>
        <v>41.4</v>
      </c>
      <c r="AV229" s="151">
        <f>41.4</f>
        <v>41.4</v>
      </c>
      <c r="AW229" s="151">
        <f>40.4</f>
        <v>40.4</v>
      </c>
      <c r="AX229" s="458">
        <f>AW229</f>
        <v>40.4</v>
      </c>
      <c r="AY229" s="151">
        <v>36.9</v>
      </c>
      <c r="AZ229" s="151">
        <v>41.9</v>
      </c>
      <c r="BA229" s="458">
        <f>BB229</f>
        <v>39</v>
      </c>
      <c r="BB229" s="151">
        <v>39</v>
      </c>
      <c r="BC229" s="151">
        <v>43.4</v>
      </c>
      <c r="BD229" s="458">
        <f>BE229</f>
        <v>45</v>
      </c>
      <c r="BE229" s="151">
        <v>45</v>
      </c>
      <c r="BF229" s="458">
        <f t="shared" ref="BF229:BG231" si="188">BE229</f>
        <v>45</v>
      </c>
      <c r="BG229" s="458">
        <f t="shared" si="188"/>
        <v>45</v>
      </c>
      <c r="BH229" s="458">
        <f>BG229</f>
        <v>45</v>
      </c>
      <c r="BI229" s="458">
        <f t="shared" ref="BI229:BJ231" si="189">BH229</f>
        <v>45</v>
      </c>
      <c r="BJ229" s="458">
        <f t="shared" si="189"/>
        <v>45</v>
      </c>
      <c r="BK229" s="458">
        <f>BJ229</f>
        <v>45</v>
      </c>
      <c r="BL229" s="458">
        <f t="shared" ref="BL229:BM231" si="190">BK229</f>
        <v>45</v>
      </c>
      <c r="BM229" s="458">
        <f t="shared" si="190"/>
        <v>45</v>
      </c>
      <c r="BN229" s="458">
        <f>BM229</f>
        <v>45</v>
      </c>
      <c r="BO229" s="458">
        <f t="shared" ref="BO229:BP231" si="191">BN229</f>
        <v>45</v>
      </c>
      <c r="BP229" s="458">
        <f t="shared" si="191"/>
        <v>45</v>
      </c>
      <c r="BQ229" s="458">
        <f>BP229</f>
        <v>45</v>
      </c>
      <c r="BR229" s="458">
        <f t="shared" ref="BR229:BS231" si="192">BQ229</f>
        <v>45</v>
      </c>
      <c r="BS229" s="458">
        <f t="shared" si="192"/>
        <v>45</v>
      </c>
      <c r="BT229" s="458">
        <f>BS229</f>
        <v>45</v>
      </c>
      <c r="BU229" s="458">
        <f t="shared" ref="BU229:BV231" si="193">BT229</f>
        <v>45</v>
      </c>
      <c r="BV229" s="458">
        <f t="shared" si="193"/>
        <v>45</v>
      </c>
      <c r="BW229" s="458">
        <f>BV229</f>
        <v>45</v>
      </c>
      <c r="BX229" s="458">
        <f t="shared" ref="BX229:BY231" si="194">BW229</f>
        <v>45</v>
      </c>
      <c r="BY229" s="458">
        <f t="shared" si="194"/>
        <v>45</v>
      </c>
      <c r="BZ229" s="458">
        <f>BY229</f>
        <v>45</v>
      </c>
      <c r="CA229" s="458">
        <f t="shared" ref="CA229:CB231" si="195">BZ229</f>
        <v>45</v>
      </c>
      <c r="CB229" s="458">
        <f t="shared" si="195"/>
        <v>45</v>
      </c>
      <c r="CC229" s="458">
        <f>CB229</f>
        <v>45</v>
      </c>
    </row>
    <row r="230" spans="1:89">
      <c r="B230" s="257" t="s">
        <v>513</v>
      </c>
      <c r="AD230" s="151">
        <v>57.4</v>
      </c>
      <c r="AE230" s="151">
        <v>64.5</v>
      </c>
      <c r="AF230" s="458">
        <f>AG230</f>
        <v>59.8</v>
      </c>
      <c r="AG230" s="151">
        <v>59.8</v>
      </c>
      <c r="AH230" s="151">
        <v>58</v>
      </c>
      <c r="AI230" s="151">
        <v>51.5</v>
      </c>
      <c r="AJ230" s="458">
        <f>AI230</f>
        <v>51.5</v>
      </c>
      <c r="AK230" s="151">
        <v>56.9</v>
      </c>
      <c r="AL230" s="458">
        <f>+AM230</f>
        <v>69.8</v>
      </c>
      <c r="AM230" s="151">
        <v>69.8</v>
      </c>
      <c r="AN230" s="151">
        <v>66.400000000000006</v>
      </c>
      <c r="AO230" s="458">
        <f>+AP230</f>
        <v>66.7</v>
      </c>
      <c r="AP230" s="151">
        <v>66.7</v>
      </c>
      <c r="AQ230" s="151">
        <v>70.7</v>
      </c>
      <c r="AR230" s="458">
        <f>+AS230</f>
        <v>64.3</v>
      </c>
      <c r="AS230" s="151">
        <v>64.3</v>
      </c>
      <c r="AT230" s="151">
        <v>70.099999999999994</v>
      </c>
      <c r="AU230" s="458">
        <f>AV230</f>
        <v>76.8</v>
      </c>
      <c r="AV230" s="151">
        <f>76.8</f>
        <v>76.8</v>
      </c>
      <c r="AW230" s="151">
        <f>79</f>
        <v>79</v>
      </c>
      <c r="AX230" s="458">
        <f>AW230</f>
        <v>79</v>
      </c>
      <c r="AY230" s="151">
        <v>85.4</v>
      </c>
      <c r="AZ230" s="151">
        <v>82</v>
      </c>
      <c r="BA230" s="458">
        <f>BB230</f>
        <v>89.9</v>
      </c>
      <c r="BB230" s="151">
        <v>89.9</v>
      </c>
      <c r="BC230" s="151">
        <v>87.6</v>
      </c>
      <c r="BD230" s="458">
        <f>BE230</f>
        <v>86</v>
      </c>
      <c r="BE230" s="151">
        <v>86</v>
      </c>
      <c r="BF230" s="458">
        <f t="shared" si="188"/>
        <v>86</v>
      </c>
      <c r="BG230" s="458">
        <f t="shared" si="188"/>
        <v>86</v>
      </c>
      <c r="BH230" s="458">
        <f>BG230</f>
        <v>86</v>
      </c>
      <c r="BI230" s="458">
        <f t="shared" si="189"/>
        <v>86</v>
      </c>
      <c r="BJ230" s="458">
        <f t="shared" si="189"/>
        <v>86</v>
      </c>
      <c r="BK230" s="458">
        <f>BJ230</f>
        <v>86</v>
      </c>
      <c r="BL230" s="458">
        <f t="shared" si="190"/>
        <v>86</v>
      </c>
      <c r="BM230" s="458">
        <f t="shared" si="190"/>
        <v>86</v>
      </c>
      <c r="BN230" s="458">
        <f>BM230</f>
        <v>86</v>
      </c>
      <c r="BO230" s="458">
        <f t="shared" si="191"/>
        <v>86</v>
      </c>
      <c r="BP230" s="458">
        <f t="shared" si="191"/>
        <v>86</v>
      </c>
      <c r="BQ230" s="458">
        <f>BP230</f>
        <v>86</v>
      </c>
      <c r="BR230" s="458">
        <f t="shared" si="192"/>
        <v>86</v>
      </c>
      <c r="BS230" s="458">
        <f t="shared" si="192"/>
        <v>86</v>
      </c>
      <c r="BT230" s="458">
        <f>BS230</f>
        <v>86</v>
      </c>
      <c r="BU230" s="458">
        <f t="shared" si="193"/>
        <v>86</v>
      </c>
      <c r="BV230" s="458">
        <f t="shared" si="193"/>
        <v>86</v>
      </c>
      <c r="BW230" s="458">
        <f>BV230</f>
        <v>86</v>
      </c>
      <c r="BX230" s="458">
        <f t="shared" si="194"/>
        <v>86</v>
      </c>
      <c r="BY230" s="458">
        <f t="shared" si="194"/>
        <v>86</v>
      </c>
      <c r="BZ230" s="458">
        <f>BY230</f>
        <v>86</v>
      </c>
      <c r="CA230" s="458">
        <f t="shared" si="195"/>
        <v>86</v>
      </c>
      <c r="CB230" s="458">
        <f t="shared" si="195"/>
        <v>86</v>
      </c>
      <c r="CC230" s="458">
        <f>CB230</f>
        <v>86</v>
      </c>
    </row>
    <row r="231" spans="1:89">
      <c r="B231" s="257" t="s">
        <v>493</v>
      </c>
      <c r="AD231" s="140">
        <f>12.6+0.1</f>
        <v>12.7</v>
      </c>
      <c r="AE231" s="140">
        <f>8.4+0.1</f>
        <v>8.5</v>
      </c>
      <c r="AF231" s="458">
        <f>AG231</f>
        <v>5.8999999999999995</v>
      </c>
      <c r="AG231" s="140">
        <f>5.8+0.1</f>
        <v>5.8999999999999995</v>
      </c>
      <c r="AH231" s="140">
        <f>9+0.1</f>
        <v>9.1</v>
      </c>
      <c r="AI231" s="151">
        <v>4.3</v>
      </c>
      <c r="AJ231" s="458">
        <f>AI231</f>
        <v>4.3</v>
      </c>
      <c r="AK231" s="140">
        <f>3.4+0.1</f>
        <v>3.5</v>
      </c>
      <c r="AL231" s="458">
        <f>+AM231</f>
        <v>9.6999999999999993</v>
      </c>
      <c r="AM231" s="151">
        <f>9.6+0.1</f>
        <v>9.6999999999999993</v>
      </c>
      <c r="AN231" s="151">
        <f>11.7+0.1</f>
        <v>11.799999999999999</v>
      </c>
      <c r="AO231" s="458">
        <f>+AP231</f>
        <v>16.5</v>
      </c>
      <c r="AP231" s="151">
        <f>8+8.4+0.1</f>
        <v>16.5</v>
      </c>
      <c r="AQ231" s="151">
        <f>0.1+3.6</f>
        <v>3.7</v>
      </c>
      <c r="AR231" s="458">
        <f>+AS231</f>
        <v>8.7999999999999989</v>
      </c>
      <c r="AS231" s="151">
        <f>0.5+8.2+0.1</f>
        <v>8.7999999999999989</v>
      </c>
      <c r="AT231" s="151">
        <f>1.6+0.1</f>
        <v>1.7000000000000002</v>
      </c>
      <c r="AU231" s="458">
        <f>AV231</f>
        <v>2.3000000000000003</v>
      </c>
      <c r="AV231" s="151">
        <f>2.2+0.1</f>
        <v>2.3000000000000003</v>
      </c>
      <c r="AW231" s="151">
        <f>0.1</f>
        <v>0.1</v>
      </c>
      <c r="AX231" s="458">
        <f>+AX217-AX244-AX225-SUM(AX228:AX230)</f>
        <v>3.2000000000000455</v>
      </c>
      <c r="AY231" s="151">
        <v>0.1</v>
      </c>
      <c r="AZ231" s="151">
        <f>0.8+0.1</f>
        <v>0.9</v>
      </c>
      <c r="BA231" s="458">
        <f>BB231</f>
        <v>0.1</v>
      </c>
      <c r="BB231" s="151">
        <v>0.1</v>
      </c>
      <c r="BC231" s="151">
        <v>0.1</v>
      </c>
      <c r="BD231" s="458">
        <f>BE231</f>
        <v>0.1</v>
      </c>
      <c r="BE231" s="151">
        <v>0.1</v>
      </c>
      <c r="BF231" s="458">
        <f t="shared" si="188"/>
        <v>0.1</v>
      </c>
      <c r="BG231" s="458">
        <f t="shared" si="188"/>
        <v>0.1</v>
      </c>
      <c r="BH231" s="458">
        <f>BG231</f>
        <v>0.1</v>
      </c>
      <c r="BI231" s="458">
        <f t="shared" si="189"/>
        <v>0.1</v>
      </c>
      <c r="BJ231" s="458">
        <f t="shared" si="189"/>
        <v>0.1</v>
      </c>
      <c r="BK231" s="458">
        <f>BJ231</f>
        <v>0.1</v>
      </c>
      <c r="BL231" s="458">
        <f t="shared" si="190"/>
        <v>0.1</v>
      </c>
      <c r="BM231" s="458">
        <f t="shared" si="190"/>
        <v>0.1</v>
      </c>
      <c r="BN231" s="458">
        <f>BM231</f>
        <v>0.1</v>
      </c>
      <c r="BO231" s="458">
        <f t="shared" si="191"/>
        <v>0.1</v>
      </c>
      <c r="BP231" s="458">
        <f t="shared" si="191"/>
        <v>0.1</v>
      </c>
      <c r="BQ231" s="458">
        <f>BP231</f>
        <v>0.1</v>
      </c>
      <c r="BR231" s="458">
        <f t="shared" si="192"/>
        <v>0.1</v>
      </c>
      <c r="BS231" s="458">
        <f t="shared" si="192"/>
        <v>0.1</v>
      </c>
      <c r="BT231" s="458">
        <f>BS231</f>
        <v>0.1</v>
      </c>
      <c r="BU231" s="458">
        <f t="shared" si="193"/>
        <v>0.1</v>
      </c>
      <c r="BV231" s="458">
        <f t="shared" si="193"/>
        <v>0.1</v>
      </c>
      <c r="BW231" s="458">
        <f>BV231</f>
        <v>0.1</v>
      </c>
      <c r="BX231" s="458">
        <f t="shared" si="194"/>
        <v>0.1</v>
      </c>
      <c r="BY231" s="458">
        <f t="shared" si="194"/>
        <v>0.1</v>
      </c>
      <c r="BZ231" s="458">
        <f>BY231</f>
        <v>0.1</v>
      </c>
      <c r="CA231" s="458">
        <f t="shared" si="195"/>
        <v>0.1</v>
      </c>
      <c r="CB231" s="458">
        <f t="shared" si="195"/>
        <v>0.1</v>
      </c>
      <c r="CC231" s="458">
        <f>CB231</f>
        <v>0.1</v>
      </c>
    </row>
    <row r="232" spans="1:89" s="7" customFormat="1">
      <c r="A232" s="40"/>
      <c r="B232" s="40" t="s">
        <v>514</v>
      </c>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c r="AA232" s="40"/>
      <c r="AB232" s="40"/>
      <c r="AC232" s="40"/>
      <c r="AD232" s="110">
        <f>SUM(AD228:AD231)</f>
        <v>513.29999999999995</v>
      </c>
      <c r="AE232" s="110">
        <f>SUM(AE228:AE231)</f>
        <v>315.39999999999998</v>
      </c>
      <c r="AF232" s="110">
        <f>AG232</f>
        <v>296.09999999999997</v>
      </c>
      <c r="AG232" s="110">
        <f t="shared" ref="AG232:AM232" si="196">SUM(AG228:AG231)</f>
        <v>296.09999999999997</v>
      </c>
      <c r="AH232" s="110">
        <f t="shared" si="196"/>
        <v>330.3</v>
      </c>
      <c r="AI232" s="110">
        <f t="shared" si="196"/>
        <v>238.6</v>
      </c>
      <c r="AJ232" s="110">
        <f t="shared" si="196"/>
        <v>238.60000000000002</v>
      </c>
      <c r="AK232" s="110">
        <f t="shared" si="196"/>
        <v>352.7</v>
      </c>
      <c r="AL232" s="110">
        <f t="shared" si="196"/>
        <v>373.2</v>
      </c>
      <c r="AM232" s="110">
        <f t="shared" si="196"/>
        <v>373.2</v>
      </c>
      <c r="AN232" s="110">
        <f t="shared" ref="AN232:BN232" si="197">SUM(AN228:AN231)</f>
        <v>420.3</v>
      </c>
      <c r="AO232" s="110">
        <f t="shared" si="197"/>
        <v>413.7</v>
      </c>
      <c r="AP232" s="110">
        <f t="shared" si="197"/>
        <v>413.7</v>
      </c>
      <c r="AQ232" s="110">
        <f t="shared" si="197"/>
        <v>465</v>
      </c>
      <c r="AR232" s="110">
        <f t="shared" si="197"/>
        <v>360.70000000000005</v>
      </c>
      <c r="AS232" s="110">
        <f t="shared" si="197"/>
        <v>360.70000000000005</v>
      </c>
      <c r="AT232" s="110">
        <f t="shared" si="197"/>
        <v>482.2</v>
      </c>
      <c r="AU232" s="110">
        <f t="shared" si="197"/>
        <v>510.6</v>
      </c>
      <c r="AV232" s="110">
        <f t="shared" si="197"/>
        <v>510.6</v>
      </c>
      <c r="AW232" s="110">
        <f t="shared" si="197"/>
        <v>509.4</v>
      </c>
      <c r="AX232" s="110">
        <f t="shared" si="197"/>
        <v>451.90000000000003</v>
      </c>
      <c r="AY232" s="110">
        <f t="shared" si="197"/>
        <v>451.9</v>
      </c>
      <c r="AZ232" s="110">
        <f t="shared" si="197"/>
        <v>513.79999999999995</v>
      </c>
      <c r="BA232" s="110">
        <f t="shared" si="197"/>
        <v>438.6</v>
      </c>
      <c r="BB232" s="110">
        <f t="shared" si="197"/>
        <v>438.6</v>
      </c>
      <c r="BC232" s="110">
        <f t="shared" si="197"/>
        <v>599.80000000000007</v>
      </c>
      <c r="BD232" s="110">
        <f t="shared" ref="BD232" si="198">SUM(BD228:BD231)</f>
        <v>560</v>
      </c>
      <c r="BE232" s="110">
        <f t="shared" si="197"/>
        <v>560</v>
      </c>
      <c r="BF232" s="110">
        <f t="shared" si="197"/>
        <v>598.70091143320633</v>
      </c>
      <c r="BG232" s="110">
        <f t="shared" si="197"/>
        <v>567.38163118902582</v>
      </c>
      <c r="BH232" s="110">
        <f t="shared" si="197"/>
        <v>567.38163118902582</v>
      </c>
      <c r="BI232" s="110">
        <f t="shared" si="197"/>
        <v>583.78355165086703</v>
      </c>
      <c r="BJ232" s="110">
        <f t="shared" si="197"/>
        <v>528.53771899773176</v>
      </c>
      <c r="BK232" s="110">
        <f t="shared" si="197"/>
        <v>528.53771899773176</v>
      </c>
      <c r="BL232" s="110">
        <f t="shared" si="197"/>
        <v>556.57686107276231</v>
      </c>
      <c r="BM232" s="110">
        <f t="shared" si="197"/>
        <v>501.26223387535219</v>
      </c>
      <c r="BN232" s="110">
        <f t="shared" si="197"/>
        <v>501.26223387535219</v>
      </c>
      <c r="BO232" s="110">
        <f>SUM(BO228:BO231)</f>
        <v>524.29056279755196</v>
      </c>
      <c r="BP232" s="110">
        <f>SUM(BP228:BP231)</f>
        <v>433.74754402942119</v>
      </c>
      <c r="BQ232" s="110">
        <f>SUM(BQ228:BQ231)</f>
        <v>433.74754402942119</v>
      </c>
      <c r="BR232" s="110">
        <f t="shared" ref="BR232:CC232" si="199">SUM(BR228:BR231)</f>
        <v>427.62085038600361</v>
      </c>
      <c r="BS232" s="110">
        <f t="shared" si="199"/>
        <v>334.74714491952955</v>
      </c>
      <c r="BT232" s="110">
        <f t="shared" si="199"/>
        <v>334.74714491952955</v>
      </c>
      <c r="BU232" s="110">
        <f t="shared" si="199"/>
        <v>328.41345799195869</v>
      </c>
      <c r="BV232" s="110">
        <f t="shared" si="199"/>
        <v>228.68003550543978</v>
      </c>
      <c r="BW232" s="110">
        <f t="shared" si="199"/>
        <v>228.68003550543978</v>
      </c>
      <c r="BX232" s="110">
        <f t="shared" si="199"/>
        <v>218.67097473470236</v>
      </c>
      <c r="BY232" s="110">
        <f t="shared" si="199"/>
        <v>218.67097473470236</v>
      </c>
      <c r="BZ232" s="110">
        <f t="shared" si="199"/>
        <v>218.67097473470236</v>
      </c>
      <c r="CA232" s="110">
        <f t="shared" si="199"/>
        <v>212.7111742588414</v>
      </c>
      <c r="CB232" s="110">
        <f t="shared" si="199"/>
        <v>212.7111742588414</v>
      </c>
      <c r="CC232" s="110">
        <f t="shared" si="199"/>
        <v>212.7111742588414</v>
      </c>
      <c r="CD232" s="40"/>
      <c r="CE232" s="40"/>
      <c r="CF232"/>
      <c r="CG232"/>
      <c r="CH232"/>
      <c r="CI232"/>
      <c r="CJ232"/>
      <c r="CK232"/>
    </row>
    <row r="233" spans="1:89">
      <c r="AD233" s="458"/>
      <c r="AE233" s="458"/>
      <c r="AF233" s="458"/>
      <c r="AG233" s="458"/>
      <c r="AH233" s="458"/>
    </row>
    <row r="234" spans="1:89" s="7" customFormat="1" ht="13.5" thickBot="1">
      <c r="A234" s="40"/>
      <c r="B234" s="515" t="s">
        <v>315</v>
      </c>
      <c r="C234" s="515"/>
      <c r="D234" s="515"/>
      <c r="E234" s="515"/>
      <c r="F234" s="515"/>
      <c r="G234" s="515"/>
      <c r="H234" s="515"/>
      <c r="I234" s="515"/>
      <c r="J234" s="515"/>
      <c r="K234" s="515"/>
      <c r="L234" s="515"/>
      <c r="M234" s="515"/>
      <c r="N234" s="515"/>
      <c r="O234" s="515"/>
      <c r="P234" s="515"/>
      <c r="Q234" s="515"/>
      <c r="R234" s="515"/>
      <c r="S234" s="515"/>
      <c r="T234" s="515"/>
      <c r="U234" s="515"/>
      <c r="V234" s="515"/>
      <c r="W234" s="515"/>
      <c r="X234" s="515"/>
      <c r="Y234" s="515"/>
      <c r="Z234" s="515"/>
      <c r="AA234" s="515"/>
      <c r="AB234" s="515"/>
      <c r="AC234" s="515"/>
      <c r="AD234" s="517">
        <f t="shared" ref="AD234:AI234" si="200">AD232+AD225</f>
        <v>656.19999999999993</v>
      </c>
      <c r="AE234" s="517">
        <f t="shared" si="200"/>
        <v>505.59999999999997</v>
      </c>
      <c r="AF234" s="517">
        <f t="shared" si="200"/>
        <v>458</v>
      </c>
      <c r="AG234" s="517">
        <f t="shared" si="200"/>
        <v>458</v>
      </c>
      <c r="AH234" s="517">
        <f t="shared" si="200"/>
        <v>492.40000000000003</v>
      </c>
      <c r="AI234" s="517">
        <f t="shared" si="200"/>
        <v>397.6</v>
      </c>
      <c r="AJ234" s="517">
        <f t="shared" ref="AJ234:AP234" si="201">AJ232+AJ225</f>
        <v>397.6</v>
      </c>
      <c r="AK234" s="517">
        <f t="shared" si="201"/>
        <v>482.7</v>
      </c>
      <c r="AL234" s="517">
        <f t="shared" si="201"/>
        <v>507.7</v>
      </c>
      <c r="AM234" s="517">
        <f t="shared" si="201"/>
        <v>507.7</v>
      </c>
      <c r="AN234" s="517">
        <f t="shared" si="201"/>
        <v>563.79999999999995</v>
      </c>
      <c r="AO234" s="517">
        <f t="shared" si="201"/>
        <v>607.20000000000005</v>
      </c>
      <c r="AP234" s="517">
        <f t="shared" si="201"/>
        <v>607.20000000000005</v>
      </c>
      <c r="AQ234" s="517">
        <f t="shared" ref="AQ234:BN234" si="202">AQ232+AQ225</f>
        <v>618.09999999999991</v>
      </c>
      <c r="AR234" s="517">
        <f t="shared" si="202"/>
        <v>571.90000000000009</v>
      </c>
      <c r="AS234" s="517">
        <f t="shared" si="202"/>
        <v>571.90000000000009</v>
      </c>
      <c r="AT234" s="517">
        <f t="shared" si="202"/>
        <v>634.1</v>
      </c>
      <c r="AU234" s="517">
        <f t="shared" si="202"/>
        <v>676.6</v>
      </c>
      <c r="AV234" s="517">
        <f t="shared" si="202"/>
        <v>676.6</v>
      </c>
      <c r="AW234" s="517">
        <f t="shared" si="202"/>
        <v>671.59999999999991</v>
      </c>
      <c r="AX234" s="517">
        <f t="shared" si="202"/>
        <v>631.20000000000005</v>
      </c>
      <c r="AY234" s="517">
        <f t="shared" si="202"/>
        <v>631.20000000000005</v>
      </c>
      <c r="AZ234" s="517">
        <f t="shared" si="202"/>
        <v>672.9</v>
      </c>
      <c r="BA234" s="517">
        <f t="shared" si="202"/>
        <v>606.6</v>
      </c>
      <c r="BB234" s="517">
        <f t="shared" si="202"/>
        <v>606.6</v>
      </c>
      <c r="BC234" s="517">
        <f t="shared" si="202"/>
        <v>782.7</v>
      </c>
      <c r="BD234" s="517">
        <f t="shared" si="202"/>
        <v>764.80000000000007</v>
      </c>
      <c r="BE234" s="517">
        <f t="shared" si="202"/>
        <v>764.80000000000007</v>
      </c>
      <c r="BF234" s="517">
        <f t="shared" si="202"/>
        <v>802.43768870781446</v>
      </c>
      <c r="BG234" s="517">
        <f t="shared" si="202"/>
        <v>778.62784510710492</v>
      </c>
      <c r="BH234" s="517">
        <f t="shared" si="202"/>
        <v>778.62784510710492</v>
      </c>
      <c r="BI234" s="517">
        <f t="shared" si="202"/>
        <v>795.60403758627751</v>
      </c>
      <c r="BJ234" s="517">
        <f t="shared" si="202"/>
        <v>741.68415838589169</v>
      </c>
      <c r="BK234" s="517">
        <f t="shared" si="202"/>
        <v>741.68415838589169</v>
      </c>
      <c r="BL234" s="517">
        <f t="shared" si="202"/>
        <v>772.34570521403134</v>
      </c>
      <c r="BM234" s="517">
        <f t="shared" si="202"/>
        <v>718.49223993789894</v>
      </c>
      <c r="BN234" s="517">
        <f t="shared" si="202"/>
        <v>718.49223993789894</v>
      </c>
      <c r="BO234" s="517">
        <f>BO232+BO225</f>
        <v>745.91805934257366</v>
      </c>
      <c r="BP234" s="517">
        <f>BP232+BP225</f>
        <v>654.5780179624029</v>
      </c>
      <c r="BQ234" s="517">
        <f>BQ232+BQ225</f>
        <v>654.5780179624029</v>
      </c>
      <c r="BR234" s="517">
        <f t="shared" ref="BR234:CC234" si="203">BR232+BR225</f>
        <v>650.29178587161323</v>
      </c>
      <c r="BS234" s="517">
        <f t="shared" si="203"/>
        <v>560.0085676928544</v>
      </c>
      <c r="BT234" s="517">
        <f t="shared" si="203"/>
        <v>560.0085676928544</v>
      </c>
      <c r="BU234" s="517">
        <f t="shared" si="203"/>
        <v>557.1305817472786</v>
      </c>
      <c r="BV234" s="517">
        <f t="shared" si="203"/>
        <v>459.77270324282733</v>
      </c>
      <c r="BW234" s="517">
        <f t="shared" si="203"/>
        <v>459.77270324282733</v>
      </c>
      <c r="BX234" s="517">
        <f t="shared" si="203"/>
        <v>453.1379155958179</v>
      </c>
      <c r="BY234" s="517">
        <f t="shared" si="203"/>
        <v>451.98405199379522</v>
      </c>
      <c r="BZ234" s="517">
        <f t="shared" si="203"/>
        <v>451.98405199379522</v>
      </c>
      <c r="CA234" s="517">
        <f t="shared" si="203"/>
        <v>449.38278031244789</v>
      </c>
      <c r="CB234" s="517">
        <f t="shared" si="203"/>
        <v>448.28040970168223</v>
      </c>
      <c r="CC234" s="517">
        <f t="shared" si="203"/>
        <v>448.28040970168223</v>
      </c>
      <c r="CD234" s="40"/>
      <c r="CE234" s="40"/>
      <c r="CF234"/>
      <c r="CG234"/>
      <c r="CH234"/>
      <c r="CI234"/>
      <c r="CJ234"/>
      <c r="CK234"/>
    </row>
    <row r="235" spans="1:89">
      <c r="AD235" s="458"/>
      <c r="AE235" s="405"/>
      <c r="AF235" s="406"/>
      <c r="AG235" s="405" t="str">
        <f>IF(AF234=AG234,"","ERROR")</f>
        <v/>
      </c>
      <c r="AH235" s="405"/>
      <c r="AI235" s="406"/>
      <c r="AJ235" s="405" t="str">
        <f>IF(AI234=AJ234,"","ERROR")</f>
        <v/>
      </c>
      <c r="AK235" s="405"/>
      <c r="AL235" s="406"/>
      <c r="AM235" s="405" t="str">
        <f>IF(AL234=AM234,"","ERROR")</f>
        <v/>
      </c>
      <c r="AN235" s="405"/>
      <c r="AO235" s="406"/>
      <c r="AP235" s="405" t="str">
        <f>IF(AO234=AP234,"","ERROR")</f>
        <v/>
      </c>
      <c r="AQ235" s="405"/>
      <c r="AR235" s="406"/>
      <c r="AS235" s="405" t="str">
        <f>IF(AR234=AS234,"","ERROR")</f>
        <v/>
      </c>
      <c r="AT235" s="405"/>
      <c r="AU235" s="406"/>
      <c r="AV235" s="405" t="str">
        <f>IF(AU234=AV234,"","ERROR")</f>
        <v/>
      </c>
      <c r="AW235" s="405"/>
      <c r="AX235" s="406"/>
      <c r="AY235" s="405" t="str">
        <f>IF(AX234=AY234,"","ERROR")</f>
        <v/>
      </c>
      <c r="AZ235" s="405"/>
      <c r="BA235" s="406"/>
      <c r="BB235" s="405" t="str">
        <f>IF(BA234=BB234,"","ERROR")</f>
        <v/>
      </c>
      <c r="BC235" s="405"/>
      <c r="BD235" s="406"/>
      <c r="BE235" s="405" t="str">
        <f>IF(BD234=BE234,"","ERROR")</f>
        <v/>
      </c>
      <c r="BF235" s="405"/>
      <c r="BG235" s="406"/>
      <c r="BH235" s="405" t="str">
        <f>IF(BG234=BH234,"","ERROR")</f>
        <v/>
      </c>
      <c r="BI235" s="405"/>
      <c r="BJ235" s="406"/>
      <c r="BK235" s="405" t="str">
        <f>IF(BJ234=BK234,"","ERROR")</f>
        <v/>
      </c>
      <c r="BL235" s="405"/>
      <c r="BM235" s="406"/>
      <c r="BN235" s="405" t="str">
        <f>IF(BM234=BN234,"","ERROR")</f>
        <v/>
      </c>
      <c r="BO235" s="405"/>
      <c r="BP235" s="406"/>
      <c r="BQ235" s="405" t="str">
        <f>IF(BP234=BQ234,"","ERROR")</f>
        <v/>
      </c>
      <c r="BR235" s="405"/>
      <c r="BS235" s="406"/>
      <c r="BT235" s="405" t="str">
        <f>IF(BS234=BT234,"","ERROR")</f>
        <v/>
      </c>
      <c r="BU235" s="405"/>
      <c r="BV235" s="406"/>
      <c r="BW235" s="405" t="str">
        <f>IF(BV234=BW234,"","ERROR")</f>
        <v/>
      </c>
      <c r="BX235" s="405"/>
      <c r="BY235" s="406"/>
      <c r="BZ235" s="405" t="str">
        <f>IF(BY234=BZ234,"","ERROR")</f>
        <v/>
      </c>
      <c r="CA235" s="405"/>
      <c r="CB235" s="406"/>
      <c r="CC235" s="405" t="str">
        <f>IF(CB234=CC234,"","ERROR")</f>
        <v/>
      </c>
    </row>
    <row r="236" spans="1:89" s="7" customFormat="1">
      <c r="A236" s="40"/>
      <c r="B236" s="40" t="s">
        <v>515</v>
      </c>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c r="AA236" s="40"/>
      <c r="AB236" s="40"/>
      <c r="AC236" s="40"/>
      <c r="AD236" s="110">
        <f t="shared" ref="AD236:AI236" si="204">AD217-AD234</f>
        <v>701.9</v>
      </c>
      <c r="AE236" s="110">
        <f t="shared" si="204"/>
        <v>832.40000000000009</v>
      </c>
      <c r="AF236" s="110">
        <f t="shared" si="204"/>
        <v>896.99999999999977</v>
      </c>
      <c r="AG236" s="110">
        <f t="shared" si="204"/>
        <v>896.99999999999977</v>
      </c>
      <c r="AH236" s="110">
        <f t="shared" si="204"/>
        <v>912.59999999999991</v>
      </c>
      <c r="AI236" s="110">
        <f t="shared" si="204"/>
        <v>934.30000000000007</v>
      </c>
      <c r="AJ236" s="110">
        <f t="shared" ref="AJ236:AP236" si="205">AJ217-AJ234</f>
        <v>934.30000000000007</v>
      </c>
      <c r="AK236" s="110">
        <f t="shared" si="205"/>
        <v>922.79999999999973</v>
      </c>
      <c r="AL236" s="110">
        <f t="shared" si="205"/>
        <v>955.09999999999991</v>
      </c>
      <c r="AM236" s="110">
        <f t="shared" si="205"/>
        <v>955.09999999999991</v>
      </c>
      <c r="AN236" s="110">
        <f t="shared" si="205"/>
        <v>967.2</v>
      </c>
      <c r="AO236" s="110">
        <f t="shared" si="205"/>
        <v>1005.8999999999999</v>
      </c>
      <c r="AP236" s="110">
        <f t="shared" si="205"/>
        <v>1005.8999999999999</v>
      </c>
      <c r="AQ236" s="110">
        <f t="shared" ref="AQ236:BN236" si="206">AQ217-AQ234</f>
        <v>1015.7000000000003</v>
      </c>
      <c r="AR236" s="110">
        <f t="shared" si="206"/>
        <v>1061.8000000000002</v>
      </c>
      <c r="AS236" s="110">
        <f t="shared" si="206"/>
        <v>1061.8000000000002</v>
      </c>
      <c r="AT236" s="110">
        <f t="shared" si="206"/>
        <v>1036.8000000000002</v>
      </c>
      <c r="AU236" s="110">
        <f t="shared" si="206"/>
        <v>1136.6999999999998</v>
      </c>
      <c r="AV236" s="110">
        <f t="shared" si="206"/>
        <v>1136.6999999999998</v>
      </c>
      <c r="AW236" s="110">
        <f t="shared" si="206"/>
        <v>1162.7</v>
      </c>
      <c r="AX236" s="110">
        <f t="shared" si="206"/>
        <v>1207.3</v>
      </c>
      <c r="AY236" s="110">
        <f t="shared" si="206"/>
        <v>1207.3</v>
      </c>
      <c r="AZ236" s="110">
        <f t="shared" si="206"/>
        <v>1187.6000000000004</v>
      </c>
      <c r="BA236" s="110">
        <f t="shared" si="206"/>
        <v>1220.0999999999999</v>
      </c>
      <c r="BB236" s="110">
        <f t="shared" si="206"/>
        <v>1220.0999999999999</v>
      </c>
      <c r="BC236" s="110">
        <f t="shared" si="206"/>
        <v>1187.9000000000001</v>
      </c>
      <c r="BD236" s="110">
        <f t="shared" si="206"/>
        <v>1248.2000000000003</v>
      </c>
      <c r="BE236" s="110">
        <f t="shared" si="206"/>
        <v>1248.2000000000003</v>
      </c>
      <c r="BF236" s="110">
        <f t="shared" si="206"/>
        <v>1221.3013748766934</v>
      </c>
      <c r="BG236" s="110">
        <f t="shared" si="206"/>
        <v>1270.4257791881637</v>
      </c>
      <c r="BH236" s="110">
        <f t="shared" si="206"/>
        <v>1270.4257791881637</v>
      </c>
      <c r="BI236" s="110">
        <f t="shared" si="206"/>
        <v>1251.7178559131444</v>
      </c>
      <c r="BJ236" s="110">
        <f t="shared" si="206"/>
        <v>1295.7126246905482</v>
      </c>
      <c r="BK236" s="110">
        <f t="shared" si="206"/>
        <v>1295.7126246905482</v>
      </c>
      <c r="BL236" s="110">
        <f t="shared" si="206"/>
        <v>1269.7659034558944</v>
      </c>
      <c r="BM236" s="110">
        <f t="shared" si="206"/>
        <v>1314.4256024970082</v>
      </c>
      <c r="BN236" s="110">
        <f t="shared" si="206"/>
        <v>1314.4256024970082</v>
      </c>
      <c r="BO236" s="110">
        <f>BO217-BO234</f>
        <v>1297.4098185381145</v>
      </c>
      <c r="BP236" s="110">
        <f>BP217-BP234</f>
        <v>1373.3747704483612</v>
      </c>
      <c r="BQ236" s="110">
        <f>BQ217-BQ234</f>
        <v>1373.3747704483612</v>
      </c>
      <c r="BR236" s="110">
        <f t="shared" ref="BR236:CC236" si="207">BR217-BR234</f>
        <v>1381.2370310960596</v>
      </c>
      <c r="BS236" s="110">
        <f t="shared" si="207"/>
        <v>1466.1657847661536</v>
      </c>
      <c r="BT236" s="110">
        <f t="shared" si="207"/>
        <v>1466.1657847661536</v>
      </c>
      <c r="BU236" s="110">
        <f t="shared" si="207"/>
        <v>1477.7957142018649</v>
      </c>
      <c r="BV236" s="110">
        <f t="shared" si="207"/>
        <v>1569.3639153315094</v>
      </c>
      <c r="BW236" s="110">
        <f t="shared" si="207"/>
        <v>1569.3639153315094</v>
      </c>
      <c r="BX236" s="110">
        <f t="shared" si="207"/>
        <v>1585.0490609255096</v>
      </c>
      <c r="BY236" s="110">
        <f t="shared" si="207"/>
        <v>1674.1076000198514</v>
      </c>
      <c r="BZ236" s="110">
        <f t="shared" si="207"/>
        <v>1674.1076000198514</v>
      </c>
      <c r="CA236" s="110">
        <f t="shared" si="207"/>
        <v>1686.0956253394081</v>
      </c>
      <c r="CB236" s="110">
        <f t="shared" si="207"/>
        <v>1779.5417737410251</v>
      </c>
      <c r="CC236" s="110">
        <f t="shared" si="207"/>
        <v>1779.5417737410251</v>
      </c>
      <c r="CD236" s="40"/>
      <c r="CE236" s="40"/>
      <c r="CF236"/>
      <c r="CG236"/>
      <c r="CH236"/>
      <c r="CI236"/>
      <c r="CJ236"/>
      <c r="CK236"/>
    </row>
    <row r="237" spans="1:89">
      <c r="AD237" s="458"/>
      <c r="AE237" s="458"/>
      <c r="AF237" s="458"/>
      <c r="AG237" s="458"/>
      <c r="AH237" s="458"/>
      <c r="AK237" s="458"/>
    </row>
    <row r="238" spans="1:89">
      <c r="B238" s="40" t="s">
        <v>164</v>
      </c>
      <c r="AD238" s="458"/>
      <c r="AE238" s="458"/>
      <c r="AF238" s="458"/>
      <c r="AG238" s="458"/>
      <c r="AH238" s="458"/>
    </row>
    <row r="239" spans="1:89">
      <c r="B239" s="257" t="s">
        <v>516</v>
      </c>
      <c r="AD239" s="151">
        <v>540.4</v>
      </c>
      <c r="AE239" s="151">
        <v>671.6</v>
      </c>
      <c r="AF239" s="458">
        <f>AG239</f>
        <v>690.4</v>
      </c>
      <c r="AG239" s="151">
        <v>690.4</v>
      </c>
      <c r="AH239" s="151">
        <v>690.5</v>
      </c>
      <c r="AI239" s="458">
        <f>AJ239</f>
        <v>692.69999999999993</v>
      </c>
      <c r="AJ239" s="458">
        <f>AG239+AJ143+2.3</f>
        <v>692.69999999999993</v>
      </c>
      <c r="AK239" s="151">
        <v>694.4</v>
      </c>
      <c r="AL239" s="458">
        <f>+AM239</f>
        <v>694.6</v>
      </c>
      <c r="AM239" s="151">
        <v>694.6</v>
      </c>
      <c r="AN239" s="151">
        <v>696.6</v>
      </c>
      <c r="AO239" s="458">
        <f>+AP239</f>
        <v>696.6</v>
      </c>
      <c r="AP239" s="151">
        <v>696.6</v>
      </c>
      <c r="AQ239" s="151">
        <v>698.4</v>
      </c>
      <c r="AR239" s="458">
        <f>+AS239</f>
        <v>699.1</v>
      </c>
      <c r="AS239" s="151">
        <v>699.1</v>
      </c>
      <c r="AT239" s="151">
        <v>703.3</v>
      </c>
      <c r="AU239" s="458">
        <f>AV239</f>
        <v>727.9</v>
      </c>
      <c r="AV239" s="151">
        <f>727.9</f>
        <v>727.9</v>
      </c>
      <c r="AW239" s="151">
        <f>729.1</f>
        <v>729.1</v>
      </c>
      <c r="AX239" s="458">
        <f>AY239</f>
        <v>729.2</v>
      </c>
      <c r="AY239" s="151">
        <v>729.2</v>
      </c>
      <c r="AZ239" s="151">
        <v>730.3</v>
      </c>
      <c r="BA239" s="458">
        <f>BB239</f>
        <v>731.4</v>
      </c>
      <c r="BB239" s="151">
        <v>731.4</v>
      </c>
      <c r="BC239" s="151">
        <v>732.3</v>
      </c>
      <c r="BD239" s="458">
        <f>BE239</f>
        <v>733.1</v>
      </c>
      <c r="BE239" s="151">
        <v>733.1</v>
      </c>
      <c r="BF239" s="458">
        <f>BE239+BF143</f>
        <v>733.1</v>
      </c>
      <c r="BG239" s="458">
        <f>BF239+BG143</f>
        <v>733.1</v>
      </c>
      <c r="BH239" s="458">
        <f>BG239</f>
        <v>733.1</v>
      </c>
      <c r="BI239" s="458">
        <f>BH239+BI143</f>
        <v>733.1</v>
      </c>
      <c r="BJ239" s="458">
        <f>BI239+BJ143</f>
        <v>733.1</v>
      </c>
      <c r="BK239" s="458">
        <f>BH239+BK143</f>
        <v>733.1</v>
      </c>
      <c r="BL239" s="458">
        <f>BK239+BL143</f>
        <v>733.1</v>
      </c>
      <c r="BM239" s="458">
        <f>BL239+BM143</f>
        <v>733.1</v>
      </c>
      <c r="BN239" s="458">
        <f>BK239+BN143</f>
        <v>733.1</v>
      </c>
      <c r="BO239" s="458">
        <f>BN239+BO143</f>
        <v>733.1</v>
      </c>
      <c r="BP239" s="458">
        <f>BO239+BP143</f>
        <v>733.1</v>
      </c>
      <c r="BQ239" s="458">
        <f>BN239+BQ143</f>
        <v>733.1</v>
      </c>
      <c r="BR239" s="458">
        <f>BQ239+BR143</f>
        <v>733.1</v>
      </c>
      <c r="BS239" s="458">
        <f>BR239+BS143</f>
        <v>733.1</v>
      </c>
      <c r="BT239" s="458">
        <f>BQ239+BT143</f>
        <v>733.1</v>
      </c>
      <c r="BU239" s="458">
        <f>BT239+BU143</f>
        <v>733.1</v>
      </c>
      <c r="BV239" s="458">
        <f>BU239+BV143</f>
        <v>733.1</v>
      </c>
      <c r="BW239" s="458">
        <f>BT239+BW143</f>
        <v>733.1</v>
      </c>
      <c r="BX239" s="458">
        <f>BW239+BX143</f>
        <v>733.1</v>
      </c>
      <c r="BY239" s="458">
        <f>BX239+BY143</f>
        <v>733.1</v>
      </c>
      <c r="BZ239" s="458">
        <f>BW239+BZ143</f>
        <v>733.1</v>
      </c>
      <c r="CA239" s="458">
        <f>BZ239+CA143</f>
        <v>733.1</v>
      </c>
      <c r="CB239" s="458">
        <f>CA239+CB143</f>
        <v>733.1</v>
      </c>
      <c r="CC239" s="458">
        <f>BZ239+CC143</f>
        <v>733.1</v>
      </c>
    </row>
    <row r="240" spans="1:89">
      <c r="B240" s="257" t="s">
        <v>161</v>
      </c>
      <c r="AD240" s="151">
        <v>3.5</v>
      </c>
      <c r="AE240" s="151">
        <v>3.6</v>
      </c>
      <c r="AF240" s="458">
        <f>AG240</f>
        <v>2.9</v>
      </c>
      <c r="AG240" s="151">
        <v>2.9</v>
      </c>
      <c r="AH240" s="151">
        <v>2.6</v>
      </c>
      <c r="AI240" s="458">
        <f>AH240</f>
        <v>2.6</v>
      </c>
      <c r="AJ240" s="458">
        <f>AI240</f>
        <v>2.6</v>
      </c>
      <c r="AK240" s="151">
        <v>1.7</v>
      </c>
      <c r="AL240" s="458">
        <f>+AM240</f>
        <v>2.2999999999999998</v>
      </c>
      <c r="AM240" s="151">
        <v>2.2999999999999998</v>
      </c>
      <c r="AN240" s="151">
        <v>1.4</v>
      </c>
      <c r="AO240" s="458">
        <f>+AP240</f>
        <v>2.1</v>
      </c>
      <c r="AP240" s="151">
        <v>2.1</v>
      </c>
      <c r="AQ240" s="151">
        <v>3.6</v>
      </c>
      <c r="AR240" s="458">
        <f>+AS240</f>
        <v>4.3</v>
      </c>
      <c r="AS240" s="151">
        <v>4.3</v>
      </c>
      <c r="AT240" s="151">
        <v>1.2</v>
      </c>
      <c r="AU240" s="458">
        <f>AV240</f>
        <v>3.3</v>
      </c>
      <c r="AV240" s="151">
        <f>3.3</f>
        <v>3.3</v>
      </c>
      <c r="AW240" s="151">
        <f>3.3</f>
        <v>3.3</v>
      </c>
      <c r="AX240" s="458">
        <f>AY240</f>
        <v>1.2</v>
      </c>
      <c r="AY240" s="151">
        <v>1.2</v>
      </c>
      <c r="AZ240" s="151">
        <v>1.7</v>
      </c>
      <c r="BA240" s="458">
        <f>BB240</f>
        <v>2.9</v>
      </c>
      <c r="BB240" s="151">
        <v>2.9</v>
      </c>
      <c r="BC240" s="151">
        <v>0.6</v>
      </c>
      <c r="BD240" s="458">
        <f>BE240</f>
        <v>1.9</v>
      </c>
      <c r="BE240" s="151">
        <v>1.9</v>
      </c>
      <c r="BF240" s="458">
        <f>BE240</f>
        <v>1.9</v>
      </c>
      <c r="BG240" s="458">
        <f>BF240</f>
        <v>1.9</v>
      </c>
      <c r="BH240" s="458">
        <f>BG240</f>
        <v>1.9</v>
      </c>
      <c r="BI240" s="458">
        <f t="shared" ref="BI240:BN240" si="208">BH240</f>
        <v>1.9</v>
      </c>
      <c r="BJ240" s="458">
        <f t="shared" si="208"/>
        <v>1.9</v>
      </c>
      <c r="BK240" s="458">
        <f t="shared" si="208"/>
        <v>1.9</v>
      </c>
      <c r="BL240" s="458">
        <f t="shared" si="208"/>
        <v>1.9</v>
      </c>
      <c r="BM240" s="458">
        <f>BL240</f>
        <v>1.9</v>
      </c>
      <c r="BN240" s="458">
        <f t="shared" si="208"/>
        <v>1.9</v>
      </c>
      <c r="BO240" s="458">
        <f>BN240</f>
        <v>1.9</v>
      </c>
      <c r="BP240" s="458">
        <f>BO240</f>
        <v>1.9</v>
      </c>
      <c r="BQ240" s="458">
        <f>BP240</f>
        <v>1.9</v>
      </c>
      <c r="BR240" s="458">
        <f t="shared" ref="BR240:CC240" si="209">BQ240</f>
        <v>1.9</v>
      </c>
      <c r="BS240" s="458">
        <f t="shared" si="209"/>
        <v>1.9</v>
      </c>
      <c r="BT240" s="458">
        <f t="shared" si="209"/>
        <v>1.9</v>
      </c>
      <c r="BU240" s="458">
        <f t="shared" si="209"/>
        <v>1.9</v>
      </c>
      <c r="BV240" s="458">
        <f t="shared" si="209"/>
        <v>1.9</v>
      </c>
      <c r="BW240" s="458">
        <f t="shared" si="209"/>
        <v>1.9</v>
      </c>
      <c r="BX240" s="458">
        <f t="shared" si="209"/>
        <v>1.9</v>
      </c>
      <c r="BY240" s="458">
        <f t="shared" si="209"/>
        <v>1.9</v>
      </c>
      <c r="BZ240" s="458">
        <f t="shared" si="209"/>
        <v>1.9</v>
      </c>
      <c r="CA240" s="458">
        <f t="shared" si="209"/>
        <v>1.9</v>
      </c>
      <c r="CB240" s="458">
        <f t="shared" si="209"/>
        <v>1.9</v>
      </c>
      <c r="CC240" s="458">
        <f t="shared" si="209"/>
        <v>1.9</v>
      </c>
    </row>
    <row r="241" spans="1:89">
      <c r="B241" s="257" t="s">
        <v>474</v>
      </c>
      <c r="AD241" s="151">
        <v>155</v>
      </c>
      <c r="AE241" s="151">
        <v>154.30000000000001</v>
      </c>
      <c r="AF241" s="458">
        <f>AG241</f>
        <v>200.6</v>
      </c>
      <c r="AG241" s="151">
        <v>200.6</v>
      </c>
      <c r="AH241" s="151">
        <v>216.4</v>
      </c>
      <c r="AI241" s="458">
        <f>AH241+AI81+AI142+2.3-1.9</f>
        <v>235.99999999999997</v>
      </c>
      <c r="AJ241" s="458">
        <f>AG241+AJ81+AJ142-1.9</f>
        <v>235.99999999999997</v>
      </c>
      <c r="AK241" s="151">
        <v>224</v>
      </c>
      <c r="AL241" s="458">
        <f>+AM241</f>
        <v>255.3</v>
      </c>
      <c r="AM241" s="151">
        <v>255.3</v>
      </c>
      <c r="AN241" s="151">
        <v>266.3</v>
      </c>
      <c r="AO241" s="458">
        <f>+AP241</f>
        <v>304.39999999999998</v>
      </c>
      <c r="AP241" s="151">
        <v>304.39999999999998</v>
      </c>
      <c r="AQ241" s="151">
        <v>310.89999999999998</v>
      </c>
      <c r="AR241" s="458">
        <f>+AS241</f>
        <v>355.6</v>
      </c>
      <c r="AS241" s="151">
        <v>355.6</v>
      </c>
      <c r="AT241" s="151">
        <v>329.5</v>
      </c>
      <c r="AU241" s="458">
        <f>AV241</f>
        <v>402.8</v>
      </c>
      <c r="AV241" s="151">
        <f>402.8</f>
        <v>402.8</v>
      </c>
      <c r="AW241" s="151">
        <f>427.6</f>
        <v>427.6</v>
      </c>
      <c r="AX241" s="458">
        <f>AY241</f>
        <v>474.3</v>
      </c>
      <c r="AY241" s="151">
        <v>474.3</v>
      </c>
      <c r="AZ241" s="151">
        <v>453</v>
      </c>
      <c r="BA241" s="458">
        <f>BB241</f>
        <v>483.3</v>
      </c>
      <c r="BB241" s="151">
        <v>483.3</v>
      </c>
      <c r="BC241" s="151">
        <v>452.5</v>
      </c>
      <c r="BD241" s="458">
        <f>BE241</f>
        <v>510.6</v>
      </c>
      <c r="BE241" s="151">
        <v>510.6</v>
      </c>
      <c r="BF241" s="458">
        <f>BE241+BF81+BF142</f>
        <v>483.70137487669336</v>
      </c>
      <c r="BG241" s="458">
        <f>BF241+BG81+BG142</f>
        <v>532.82577918816298</v>
      </c>
      <c r="BH241" s="458">
        <f>BG241</f>
        <v>532.82577918816298</v>
      </c>
      <c r="BI241" s="458">
        <f>BH241+BI81+BI142</f>
        <v>514.11785591314469</v>
      </c>
      <c r="BJ241" s="458">
        <f>BI241+BJ81+BJ142</f>
        <v>558.11262469054827</v>
      </c>
      <c r="BK241" s="458">
        <f>BH241+BK81+BK142</f>
        <v>558.11262469054827</v>
      </c>
      <c r="BL241" s="458">
        <f>BK241+BL81+BL142</f>
        <v>532.16590345589475</v>
      </c>
      <c r="BM241" s="458">
        <f>BL241+BM81+BM142</f>
        <v>576.82560249700805</v>
      </c>
      <c r="BN241" s="458">
        <f>BK241+BN81+BN142</f>
        <v>576.82560249700805</v>
      </c>
      <c r="BO241" s="458">
        <f>BN241+BO81+BO142</f>
        <v>559.80981853811431</v>
      </c>
      <c r="BP241" s="458">
        <f>BO241+BP81+BP142</f>
        <v>635.77477044836166</v>
      </c>
      <c r="BQ241" s="458">
        <f>BN241+BQ81+BQ142</f>
        <v>635.77477044836178</v>
      </c>
      <c r="BR241" s="458">
        <f>BQ241+BR81+BR142</f>
        <v>643.63703109606001</v>
      </c>
      <c r="BS241" s="458">
        <f>BR241+BS81+BS142</f>
        <v>728.56578476615357</v>
      </c>
      <c r="BT241" s="458">
        <f>BQ241+BT81+BT142</f>
        <v>728.56578476615346</v>
      </c>
      <c r="BU241" s="458">
        <f>BT241+BU81+BU142</f>
        <v>740.19571420186469</v>
      </c>
      <c r="BV241" s="458">
        <f>BU241+BV81+BV142</f>
        <v>831.76391533150968</v>
      </c>
      <c r="BW241" s="458">
        <f>BT241+BW81+BW142</f>
        <v>831.76391533150979</v>
      </c>
      <c r="BX241" s="458">
        <f>BW241+BX81+BX142</f>
        <v>847.44906092550991</v>
      </c>
      <c r="BY241" s="458">
        <f>BX241+BY81+BY142</f>
        <v>936.50760001985134</v>
      </c>
      <c r="BZ241" s="458">
        <f>BW241+BZ81+BZ142</f>
        <v>936.50760001985145</v>
      </c>
      <c r="CA241" s="458">
        <f>BZ241+CA81+CA142</f>
        <v>948.49562533940866</v>
      </c>
      <c r="CB241" s="458">
        <f>CA241+CB81+CB142</f>
        <v>1041.9417737410251</v>
      </c>
      <c r="CC241" s="458">
        <f>BZ241+CC81+CC142</f>
        <v>1041.9417737410254</v>
      </c>
    </row>
    <row r="242" spans="1:89">
      <c r="B242" s="257" t="s">
        <v>475</v>
      </c>
      <c r="AD242" s="518">
        <v>3</v>
      </c>
      <c r="AE242" s="151">
        <v>2.9</v>
      </c>
      <c r="AF242" s="458">
        <f>AG242</f>
        <v>3.1</v>
      </c>
      <c r="AG242" s="151">
        <v>3.1</v>
      </c>
      <c r="AH242" s="151">
        <v>3.1</v>
      </c>
      <c r="AI242" s="151">
        <v>3</v>
      </c>
      <c r="AJ242" s="458">
        <f>AI242</f>
        <v>3</v>
      </c>
      <c r="AK242" s="151">
        <v>2.7</v>
      </c>
      <c r="AL242" s="458">
        <f>+AM242</f>
        <v>2.9</v>
      </c>
      <c r="AM242" s="151">
        <v>2.9</v>
      </c>
      <c r="AN242" s="151">
        <v>2.9</v>
      </c>
      <c r="AO242" s="458">
        <f>+AP242</f>
        <v>2.8</v>
      </c>
      <c r="AP242" s="151">
        <v>2.8</v>
      </c>
      <c r="AQ242" s="151">
        <v>2.8</v>
      </c>
      <c r="AR242" s="458">
        <f>+AS242</f>
        <v>2.8</v>
      </c>
      <c r="AS242" s="151">
        <v>2.8</v>
      </c>
      <c r="AT242" s="151">
        <v>2.8</v>
      </c>
      <c r="AU242" s="458">
        <f>AV242</f>
        <v>2.7</v>
      </c>
      <c r="AV242" s="151">
        <f>2.7</f>
        <v>2.7</v>
      </c>
      <c r="AW242" s="151">
        <f>2.7</f>
        <v>2.7</v>
      </c>
      <c r="AX242" s="458">
        <f>AY242</f>
        <v>2.6</v>
      </c>
      <c r="AY242" s="151">
        <v>2.6</v>
      </c>
      <c r="AZ242" s="151">
        <v>2.6</v>
      </c>
      <c r="BA242" s="458">
        <f>BB242</f>
        <v>2.5</v>
      </c>
      <c r="BB242" s="151">
        <v>2.5</v>
      </c>
      <c r="BC242" s="151">
        <v>2.5</v>
      </c>
      <c r="BD242" s="458">
        <f>BE242</f>
        <v>2.6</v>
      </c>
      <c r="BE242" s="151">
        <v>2.6</v>
      </c>
      <c r="BF242" s="458">
        <f>BE242</f>
        <v>2.6</v>
      </c>
      <c r="BG242" s="458">
        <f>BF242</f>
        <v>2.6</v>
      </c>
      <c r="BH242" s="458">
        <f>BG242</f>
        <v>2.6</v>
      </c>
      <c r="BI242" s="458">
        <f t="shared" ref="BI242:CC242" si="210">BH242</f>
        <v>2.6</v>
      </c>
      <c r="BJ242" s="458">
        <f t="shared" si="210"/>
        <v>2.6</v>
      </c>
      <c r="BK242" s="458">
        <f t="shared" si="210"/>
        <v>2.6</v>
      </c>
      <c r="BL242" s="458">
        <f t="shared" si="210"/>
        <v>2.6</v>
      </c>
      <c r="BM242" s="458">
        <f>BL242</f>
        <v>2.6</v>
      </c>
      <c r="BN242" s="458">
        <f t="shared" si="210"/>
        <v>2.6</v>
      </c>
      <c r="BO242" s="458">
        <f t="shared" si="210"/>
        <v>2.6</v>
      </c>
      <c r="BP242" s="458">
        <f t="shared" si="210"/>
        <v>2.6</v>
      </c>
      <c r="BQ242" s="458">
        <f t="shared" si="210"/>
        <v>2.6</v>
      </c>
      <c r="BR242" s="458">
        <f t="shared" si="210"/>
        <v>2.6</v>
      </c>
      <c r="BS242" s="458">
        <f t="shared" si="210"/>
        <v>2.6</v>
      </c>
      <c r="BT242" s="458">
        <f t="shared" si="210"/>
        <v>2.6</v>
      </c>
      <c r="BU242" s="458">
        <f t="shared" si="210"/>
        <v>2.6</v>
      </c>
      <c r="BV242" s="458">
        <f t="shared" si="210"/>
        <v>2.6</v>
      </c>
      <c r="BW242" s="458">
        <f t="shared" si="210"/>
        <v>2.6</v>
      </c>
      <c r="BX242" s="458">
        <f t="shared" si="210"/>
        <v>2.6</v>
      </c>
      <c r="BY242" s="458">
        <f t="shared" si="210"/>
        <v>2.6</v>
      </c>
      <c r="BZ242" s="458">
        <f t="shared" si="210"/>
        <v>2.6</v>
      </c>
      <c r="CA242" s="458">
        <f t="shared" si="210"/>
        <v>2.6</v>
      </c>
      <c r="CB242" s="458">
        <f t="shared" si="210"/>
        <v>2.6</v>
      </c>
      <c r="CC242" s="458">
        <f t="shared" si="210"/>
        <v>2.6</v>
      </c>
    </row>
    <row r="243" spans="1:89">
      <c r="AD243" s="458"/>
      <c r="AE243" s="458"/>
      <c r="AF243" s="458"/>
      <c r="AG243" s="458"/>
      <c r="AH243" s="458"/>
      <c r="BC243" s="458"/>
      <c r="BD243" s="458"/>
      <c r="BE243" s="458"/>
    </row>
    <row r="244" spans="1:89" s="7" customFormat="1">
      <c r="A244" s="40"/>
      <c r="B244" s="40" t="s">
        <v>517</v>
      </c>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c r="AA244" s="40"/>
      <c r="AB244" s="40"/>
      <c r="AC244" s="40"/>
      <c r="AD244" s="110">
        <f t="shared" ref="AD244:AI244" si="211">SUM(AD239:AD242)</f>
        <v>701.9</v>
      </c>
      <c r="AE244" s="110">
        <f t="shared" si="211"/>
        <v>832.4</v>
      </c>
      <c r="AF244" s="110">
        <f t="shared" si="211"/>
        <v>897</v>
      </c>
      <c r="AG244" s="110">
        <f t="shared" si="211"/>
        <v>897</v>
      </c>
      <c r="AH244" s="110">
        <f t="shared" si="211"/>
        <v>912.6</v>
      </c>
      <c r="AI244" s="110">
        <f t="shared" si="211"/>
        <v>934.3</v>
      </c>
      <c r="AJ244" s="110">
        <f t="shared" ref="AJ244:AP244" si="212">SUM(AJ239:AJ242)</f>
        <v>934.3</v>
      </c>
      <c r="AK244" s="110">
        <f t="shared" si="212"/>
        <v>922.80000000000007</v>
      </c>
      <c r="AL244" s="110">
        <f t="shared" si="212"/>
        <v>955.1</v>
      </c>
      <c r="AM244" s="110">
        <f t="shared" si="212"/>
        <v>955.1</v>
      </c>
      <c r="AN244" s="110">
        <f t="shared" si="212"/>
        <v>967.19999999999993</v>
      </c>
      <c r="AO244" s="110">
        <f t="shared" si="212"/>
        <v>1005.9</v>
      </c>
      <c r="AP244" s="110">
        <f t="shared" si="212"/>
        <v>1005.9</v>
      </c>
      <c r="AQ244" s="110">
        <f t="shared" ref="AQ244:BN244" si="213">SUM(AQ239:AQ242)</f>
        <v>1015.6999999999999</v>
      </c>
      <c r="AR244" s="110">
        <f t="shared" si="213"/>
        <v>1061.8</v>
      </c>
      <c r="AS244" s="110">
        <f t="shared" si="213"/>
        <v>1061.8</v>
      </c>
      <c r="AT244" s="110">
        <f t="shared" si="213"/>
        <v>1036.8</v>
      </c>
      <c r="AU244" s="110">
        <f t="shared" si="213"/>
        <v>1136.7</v>
      </c>
      <c r="AV244" s="110">
        <f t="shared" si="213"/>
        <v>1136.7</v>
      </c>
      <c r="AW244" s="110">
        <f t="shared" si="213"/>
        <v>1162.7</v>
      </c>
      <c r="AX244" s="110">
        <f t="shared" si="213"/>
        <v>1207.3</v>
      </c>
      <c r="AY244" s="110">
        <f t="shared" si="213"/>
        <v>1207.3</v>
      </c>
      <c r="AZ244" s="110">
        <f t="shared" si="213"/>
        <v>1187.5999999999999</v>
      </c>
      <c r="BA244" s="110">
        <f t="shared" si="213"/>
        <v>1220.0999999999999</v>
      </c>
      <c r="BB244" s="110">
        <f t="shared" si="213"/>
        <v>1220.0999999999999</v>
      </c>
      <c r="BC244" s="110">
        <f t="shared" si="213"/>
        <v>1187.9000000000001</v>
      </c>
      <c r="BD244" s="110">
        <f t="shared" si="213"/>
        <v>1248.1999999999998</v>
      </c>
      <c r="BE244" s="110">
        <f t="shared" si="213"/>
        <v>1248.1999999999998</v>
      </c>
      <c r="BF244" s="110">
        <f t="shared" si="213"/>
        <v>1221.3013748766932</v>
      </c>
      <c r="BG244" s="110">
        <f t="shared" si="213"/>
        <v>1270.4257791881628</v>
      </c>
      <c r="BH244" s="110">
        <f t="shared" si="213"/>
        <v>1270.4257791881628</v>
      </c>
      <c r="BI244" s="110">
        <f t="shared" si="213"/>
        <v>1251.7178559131446</v>
      </c>
      <c r="BJ244" s="110">
        <f t="shared" si="213"/>
        <v>1295.7126246905482</v>
      </c>
      <c r="BK244" s="110">
        <f t="shared" si="213"/>
        <v>1295.7126246905482</v>
      </c>
      <c r="BL244" s="110">
        <f t="shared" si="213"/>
        <v>1269.7659034558947</v>
      </c>
      <c r="BM244" s="110">
        <f t="shared" si="213"/>
        <v>1314.425602497008</v>
      </c>
      <c r="BN244" s="110">
        <f t="shared" si="213"/>
        <v>1314.425602497008</v>
      </c>
      <c r="BO244" s="110">
        <f>SUM(BO239:BO242)</f>
        <v>1297.4098185381142</v>
      </c>
      <c r="BP244" s="110">
        <f>SUM(BP239:BP242)</f>
        <v>1373.3747704483617</v>
      </c>
      <c r="BQ244" s="110">
        <f>SUM(BQ239:BQ242)</f>
        <v>1373.3747704483617</v>
      </c>
      <c r="BR244" s="110">
        <f t="shared" ref="BR244:CC244" si="214">SUM(BR239:BR242)</f>
        <v>1381.23703109606</v>
      </c>
      <c r="BS244" s="110">
        <f t="shared" si="214"/>
        <v>1466.1657847661536</v>
      </c>
      <c r="BT244" s="110">
        <f t="shared" si="214"/>
        <v>1466.1657847661534</v>
      </c>
      <c r="BU244" s="110">
        <f t="shared" si="214"/>
        <v>1477.7957142018645</v>
      </c>
      <c r="BV244" s="110">
        <f t="shared" si="214"/>
        <v>1569.3639153315096</v>
      </c>
      <c r="BW244" s="110">
        <f t="shared" si="214"/>
        <v>1569.3639153315098</v>
      </c>
      <c r="BX244" s="110">
        <f t="shared" si="214"/>
        <v>1585.0490609255098</v>
      </c>
      <c r="BY244" s="110">
        <f t="shared" si="214"/>
        <v>1674.1076000198514</v>
      </c>
      <c r="BZ244" s="110">
        <f t="shared" si="214"/>
        <v>1674.1076000198514</v>
      </c>
      <c r="CA244" s="110">
        <f t="shared" si="214"/>
        <v>1686.0956253394086</v>
      </c>
      <c r="CB244" s="110">
        <f t="shared" si="214"/>
        <v>1779.5417737410251</v>
      </c>
      <c r="CC244" s="110">
        <f t="shared" si="214"/>
        <v>1779.5417737410253</v>
      </c>
      <c r="CD244" s="40"/>
      <c r="CE244" s="40"/>
      <c r="CF244"/>
      <c r="CG244"/>
      <c r="CH244"/>
      <c r="CI244"/>
      <c r="CJ244"/>
      <c r="CK244"/>
    </row>
    <row r="245" spans="1:89">
      <c r="B245" s="519" t="s">
        <v>629</v>
      </c>
      <c r="C245" s="140"/>
      <c r="D245" s="140"/>
      <c r="E245" s="140"/>
      <c r="F245" s="140"/>
      <c r="G245" s="140"/>
      <c r="H245" s="140"/>
      <c r="I245" s="140"/>
      <c r="J245" s="140"/>
      <c r="K245" s="140"/>
      <c r="L245" s="140"/>
      <c r="M245" s="140"/>
      <c r="N245" s="140"/>
      <c r="O245" s="140"/>
      <c r="P245" s="140"/>
      <c r="Q245" s="140"/>
      <c r="R245" s="140"/>
      <c r="S245" s="140"/>
      <c r="T245" s="140"/>
      <c r="U245" s="140"/>
      <c r="V245" s="140"/>
      <c r="W245" s="140"/>
      <c r="X245" s="140"/>
      <c r="Y245" s="140"/>
      <c r="Z245" s="140"/>
      <c r="AA245" s="140"/>
      <c r="AB245" s="140"/>
      <c r="AC245" s="140"/>
      <c r="AD245" s="458">
        <f>AD236-AD244</f>
        <v>0</v>
      </c>
      <c r="AE245" s="458">
        <f>AE236-AE244</f>
        <v>0</v>
      </c>
      <c r="AF245" s="458">
        <f>AF236-AF244</f>
        <v>0</v>
      </c>
      <c r="AG245" s="458">
        <f>AG236-AG244</f>
        <v>0</v>
      </c>
      <c r="AH245" s="458">
        <f>AH236-AH244</f>
        <v>0</v>
      </c>
      <c r="AI245" s="458">
        <f t="shared" ref="AI245:AP245" si="215">AI236-AI244</f>
        <v>0</v>
      </c>
      <c r="AJ245" s="458">
        <f t="shared" si="215"/>
        <v>0</v>
      </c>
      <c r="AK245" s="458">
        <f t="shared" si="215"/>
        <v>0</v>
      </c>
      <c r="AL245" s="458">
        <f t="shared" si="215"/>
        <v>0</v>
      </c>
      <c r="AM245" s="458">
        <f t="shared" si="215"/>
        <v>0</v>
      </c>
      <c r="AN245" s="458">
        <f t="shared" si="215"/>
        <v>0</v>
      </c>
      <c r="AO245" s="458">
        <f t="shared" si="215"/>
        <v>0</v>
      </c>
      <c r="AP245" s="458">
        <f t="shared" si="215"/>
        <v>0</v>
      </c>
      <c r="AQ245" s="458">
        <f t="shared" ref="AQ245:BN245" si="216">AQ236-AQ244</f>
        <v>0</v>
      </c>
      <c r="AR245" s="458">
        <f t="shared" si="216"/>
        <v>0</v>
      </c>
      <c r="AS245" s="458">
        <f t="shared" si="216"/>
        <v>0</v>
      </c>
      <c r="AT245" s="458">
        <f t="shared" si="216"/>
        <v>0</v>
      </c>
      <c r="AU245" s="458">
        <f t="shared" si="216"/>
        <v>0</v>
      </c>
      <c r="AV245" s="458">
        <f t="shared" si="216"/>
        <v>0</v>
      </c>
      <c r="AW245" s="458">
        <f t="shared" si="216"/>
        <v>0</v>
      </c>
      <c r="AX245" s="458">
        <f t="shared" si="216"/>
        <v>0</v>
      </c>
      <c r="AY245" s="458">
        <f t="shared" si="216"/>
        <v>0</v>
      </c>
      <c r="AZ245" s="458">
        <f t="shared" si="216"/>
        <v>0</v>
      </c>
      <c r="BA245" s="458">
        <f t="shared" si="216"/>
        <v>0</v>
      </c>
      <c r="BB245" s="458">
        <f t="shared" si="216"/>
        <v>0</v>
      </c>
      <c r="BC245" s="458">
        <f t="shared" si="216"/>
        <v>0</v>
      </c>
      <c r="BD245" s="458">
        <f t="shared" si="216"/>
        <v>0</v>
      </c>
      <c r="BE245" s="458">
        <f t="shared" si="216"/>
        <v>0</v>
      </c>
      <c r="BF245" s="458">
        <f t="shared" si="216"/>
        <v>0</v>
      </c>
      <c r="BG245" s="458">
        <f t="shared" si="216"/>
        <v>0</v>
      </c>
      <c r="BH245" s="458">
        <f t="shared" si="216"/>
        <v>0</v>
      </c>
      <c r="BI245" s="458">
        <f t="shared" si="216"/>
        <v>0</v>
      </c>
      <c r="BJ245" s="458">
        <f t="shared" si="216"/>
        <v>0</v>
      </c>
      <c r="BK245" s="458">
        <f t="shared" si="216"/>
        <v>0</v>
      </c>
      <c r="BL245" s="458">
        <f t="shared" si="216"/>
        <v>0</v>
      </c>
      <c r="BM245" s="458">
        <f t="shared" si="216"/>
        <v>0</v>
      </c>
      <c r="BN245" s="458">
        <f t="shared" si="216"/>
        <v>0</v>
      </c>
      <c r="BO245" s="458">
        <f>BO236-BO244</f>
        <v>0</v>
      </c>
      <c r="BP245" s="458">
        <f>BP236-BP244</f>
        <v>0</v>
      </c>
      <c r="BQ245" s="458">
        <f>BQ236-BQ244</f>
        <v>0</v>
      </c>
      <c r="BR245" s="458">
        <f t="shared" ref="BR245:CC245" si="217">BR236-BR244</f>
        <v>0</v>
      </c>
      <c r="BS245" s="458">
        <f t="shared" si="217"/>
        <v>0</v>
      </c>
      <c r="BT245" s="458">
        <f t="shared" si="217"/>
        <v>0</v>
      </c>
      <c r="BU245" s="458">
        <f t="shared" si="217"/>
        <v>0</v>
      </c>
      <c r="BV245" s="458">
        <f t="shared" si="217"/>
        <v>0</v>
      </c>
      <c r="BW245" s="458">
        <f t="shared" si="217"/>
        <v>0</v>
      </c>
      <c r="BX245" s="458">
        <f t="shared" si="217"/>
        <v>0</v>
      </c>
      <c r="BY245" s="458">
        <f t="shared" si="217"/>
        <v>0</v>
      </c>
      <c r="BZ245" s="458">
        <f t="shared" si="217"/>
        <v>0</v>
      </c>
      <c r="CA245" s="458">
        <f t="shared" si="217"/>
        <v>0</v>
      </c>
      <c r="CB245" s="458">
        <f t="shared" si="217"/>
        <v>0</v>
      </c>
      <c r="CC245" s="458">
        <f t="shared" si="217"/>
        <v>0</v>
      </c>
    </row>
    <row r="246" spans="1:89">
      <c r="B246" s="520"/>
      <c r="C246" s="140"/>
      <c r="D246" s="140"/>
      <c r="E246" s="140"/>
      <c r="F246" s="140"/>
      <c r="G246" s="140"/>
      <c r="H246" s="140"/>
      <c r="I246" s="140"/>
      <c r="J246" s="140"/>
      <c r="K246" s="140"/>
      <c r="L246" s="140"/>
      <c r="M246" s="140"/>
      <c r="N246" s="140"/>
      <c r="O246" s="140"/>
      <c r="P246" s="140"/>
      <c r="Q246" s="140"/>
      <c r="R246" s="140"/>
      <c r="S246" s="140"/>
      <c r="T246" s="140"/>
      <c r="U246" s="140"/>
      <c r="V246" s="140"/>
      <c r="W246" s="140"/>
      <c r="X246" s="140"/>
      <c r="Y246" s="140"/>
      <c r="Z246" s="140"/>
      <c r="AA246" s="140"/>
      <c r="AB246" s="140"/>
      <c r="AC246" s="140"/>
      <c r="AD246" s="458"/>
      <c r="AG246" s="405" t="str">
        <f>IF(AF244=AG244,"","ERROR")</f>
        <v/>
      </c>
      <c r="AJ246" s="405" t="str">
        <f>IF(AI244=AJ244,"","ERROR")</f>
        <v/>
      </c>
      <c r="AM246" s="405" t="str">
        <f>IF(AL244=AM244,"","ERROR")</f>
        <v/>
      </c>
      <c r="AP246" s="405" t="str">
        <f>IF(AO244=AP244,"","ERROR")</f>
        <v/>
      </c>
      <c r="AS246" s="405" t="str">
        <f>IF(AR244=AS244,"","ERROR")</f>
        <v/>
      </c>
      <c r="AV246" s="405" t="str">
        <f>IF(AU244=AV244,"","ERROR")</f>
        <v/>
      </c>
      <c r="AY246" s="405" t="str">
        <f>IF(AX244=AY244,"","ERROR")</f>
        <v/>
      </c>
      <c r="BB246" s="405" t="str">
        <f>IF(BA244=BB244,"","ERROR")</f>
        <v/>
      </c>
      <c r="BE246" s="405" t="str">
        <f>IF(BD244=BE244,"","ERROR")</f>
        <v/>
      </c>
      <c r="BH246" s="405" t="str">
        <f>IF(BG244=BH244,"","ERROR")</f>
        <v/>
      </c>
      <c r="BK246" s="405" t="str">
        <f>IF(BJ244=BK244,"","ERROR")</f>
        <v/>
      </c>
      <c r="BN246" s="405" t="str">
        <f>IF(BM244=BN244,"","ERROR")</f>
        <v/>
      </c>
      <c r="BQ246" s="405" t="str">
        <f>IF(BP244=BQ244,"","ERROR")</f>
        <v/>
      </c>
      <c r="BT246" s="405" t="str">
        <f>IF(BS244=BT244,"","ERROR")</f>
        <v/>
      </c>
      <c r="BW246" s="405" t="str">
        <f>IF(BV244=BW244,"","ERROR")</f>
        <v/>
      </c>
      <c r="BZ246" s="405" t="str">
        <f>IF(BY244=BZ244,"","ERROR")</f>
        <v/>
      </c>
      <c r="CC246" s="405" t="str">
        <f>IF(CB244=CC244,"","ERROR")</f>
        <v/>
      </c>
    </row>
    <row r="247" spans="1:89">
      <c r="A247" s="486" t="s">
        <v>518</v>
      </c>
      <c r="B247" s="486"/>
      <c r="C247" s="486"/>
      <c r="D247" s="486"/>
      <c r="E247" s="486"/>
      <c r="F247" s="486"/>
      <c r="G247" s="486"/>
      <c r="H247" s="486"/>
      <c r="I247" s="486"/>
      <c r="J247" s="486"/>
      <c r="K247" s="486"/>
      <c r="L247" s="486"/>
      <c r="M247" s="486"/>
      <c r="N247" s="486"/>
      <c r="O247" s="486"/>
      <c r="P247" s="486"/>
      <c r="Q247" s="486"/>
      <c r="R247" s="486"/>
      <c r="S247" s="486"/>
      <c r="T247" s="486"/>
      <c r="U247" s="486"/>
      <c r="V247" s="486"/>
      <c r="W247" s="486"/>
      <c r="X247" s="486"/>
      <c r="Y247" s="486"/>
      <c r="Z247" s="486"/>
      <c r="AA247" s="486"/>
      <c r="AB247" s="486"/>
      <c r="AC247" s="486"/>
      <c r="AD247" s="486"/>
      <c r="AE247" s="486"/>
      <c r="AF247" s="486"/>
      <c r="AG247" s="486"/>
      <c r="AH247" s="486"/>
      <c r="AI247" s="486"/>
      <c r="AJ247" s="486"/>
      <c r="AK247" s="486"/>
      <c r="AL247" s="486"/>
      <c r="AM247" s="486"/>
      <c r="AN247" s="486"/>
      <c r="AO247" s="486"/>
      <c r="AP247" s="486"/>
      <c r="AQ247" s="486"/>
      <c r="AR247" s="486"/>
      <c r="AS247" s="486"/>
      <c r="AT247" s="486"/>
      <c r="AU247" s="486"/>
      <c r="AV247" s="486"/>
      <c r="AW247" s="486"/>
      <c r="AX247" s="486"/>
      <c r="AY247" s="486"/>
      <c r="AZ247" s="486"/>
      <c r="BA247" s="486"/>
      <c r="BB247" s="486"/>
      <c r="BC247" s="486"/>
      <c r="BD247" s="486"/>
      <c r="BE247" s="486"/>
      <c r="BF247" s="486"/>
      <c r="BG247" s="486"/>
      <c r="BH247" s="486"/>
      <c r="BI247" s="486"/>
      <c r="BJ247" s="486"/>
      <c r="BK247" s="486"/>
      <c r="BL247" s="486"/>
      <c r="BM247" s="486"/>
      <c r="BN247" s="486"/>
      <c r="BO247" s="486"/>
      <c r="BP247" s="486"/>
      <c r="BQ247" s="486"/>
      <c r="BR247" s="487"/>
      <c r="BS247" s="487"/>
      <c r="BT247" s="487"/>
      <c r="BU247" s="487"/>
      <c r="BV247" s="487"/>
      <c r="BW247" s="487"/>
      <c r="BX247" s="487"/>
      <c r="BY247" s="487"/>
      <c r="BZ247" s="649"/>
      <c r="CA247" s="487"/>
      <c r="CB247" s="487"/>
      <c r="CC247" s="487"/>
      <c r="CD247" s="487"/>
      <c r="CE247" s="487"/>
    </row>
    <row r="249" spans="1:89">
      <c r="B249" s="40" t="s">
        <v>497</v>
      </c>
    </row>
    <row r="250" spans="1:89">
      <c r="B250" s="257" t="s">
        <v>55</v>
      </c>
      <c r="C250" s="257" t="s">
        <v>195</v>
      </c>
      <c r="AD250" s="470">
        <f>AD202/AD19</f>
        <v>9.4313566206336311E-2</v>
      </c>
      <c r="AE250" s="470">
        <f>AE202/AE19/2</f>
        <v>0.10788195069281986</v>
      </c>
      <c r="AF250" s="470">
        <f>AF202/AF19/2</f>
        <v>8.4416601409553635E-2</v>
      </c>
      <c r="AG250" s="470">
        <f>AG202/AG19</f>
        <v>9.0269636576787798E-2</v>
      </c>
      <c r="AH250" s="470">
        <f>AH202/AH19/2</f>
        <v>9.420289855072464E-2</v>
      </c>
      <c r="AI250" s="470">
        <f>AI202/AI19/2</f>
        <v>7.8209706896494036E-2</v>
      </c>
      <c r="AJ250" s="470">
        <f>AJ202/AJ19</f>
        <v>8.6161280602464821E-2</v>
      </c>
      <c r="AK250" s="470">
        <f>AK202/AK19/2</f>
        <v>0.10057384125433587</v>
      </c>
      <c r="AL250" s="470">
        <f>AL202/AL19/2</f>
        <v>7.8951244614390417E-2</v>
      </c>
      <c r="AM250" s="470">
        <f>AM202/AM19</f>
        <v>8.8870469375243968E-2</v>
      </c>
      <c r="AN250" s="470">
        <f>AN202/AN19/2</f>
        <v>0.10619701097915403</v>
      </c>
      <c r="AO250" s="470">
        <f>AO202/AO19/2</f>
        <v>9.4528288178059167E-2</v>
      </c>
      <c r="AP250" s="470">
        <f>AP202/AP19</f>
        <v>9.9329452509026611E-2</v>
      </c>
      <c r="AQ250" s="470">
        <f>AQ202/AQ19/2</f>
        <v>9.895052473763119E-2</v>
      </c>
      <c r="AR250" s="470">
        <f>AR202/AR19/2</f>
        <v>9.1036601656425339E-2</v>
      </c>
      <c r="AS250" s="470">
        <f>AS202/AS19</f>
        <v>9.6284261090703593E-2</v>
      </c>
      <c r="AT250" s="470">
        <f>AT202/AT19/2</f>
        <v>0.10696410696410695</v>
      </c>
      <c r="AU250" s="521">
        <f>AR250</f>
        <v>9.1036601656425339E-2</v>
      </c>
      <c r="AV250" s="470">
        <f>AV202/AV19</f>
        <v>9.9896680873046609E-2</v>
      </c>
      <c r="AW250" s="470">
        <f>AW202/AW19/2</f>
        <v>0.10271583406004735</v>
      </c>
      <c r="AX250" s="470">
        <f>AX202/AX19/2</f>
        <v>9.1574053073259221E-2</v>
      </c>
      <c r="AY250" s="470">
        <f>AY202/AY19</f>
        <v>9.5874146631047791E-2</v>
      </c>
      <c r="AZ250" s="470">
        <f>AZ202/AZ19/2</f>
        <v>9.5158398087268378E-2</v>
      </c>
      <c r="BA250" s="470">
        <f>BA202/BA19/2</f>
        <v>9.0385917400135407E-2</v>
      </c>
      <c r="BB250" s="470">
        <f>BB202/BB19</f>
        <v>9.299355662622627E-2</v>
      </c>
      <c r="BC250" s="470">
        <f>BC202/BC19/2</f>
        <v>0.10941225978398092</v>
      </c>
      <c r="BD250" s="470">
        <f>BD202/BD19/2</f>
        <v>0.10423394330821673</v>
      </c>
      <c r="BE250" s="470">
        <f>BE202/BE19</f>
        <v>0.11252420916720465</v>
      </c>
      <c r="BF250" s="521">
        <f t="shared" ref="BF250:BG252" si="218">BC250</f>
        <v>0.10941225978398092</v>
      </c>
      <c r="BG250" s="521">
        <f t="shared" si="218"/>
        <v>0.10423394330821673</v>
      </c>
      <c r="BH250" s="521">
        <f>BH258/BH19</f>
        <v>0.11233383820919766</v>
      </c>
      <c r="BI250" s="521">
        <f t="shared" ref="BI250:BJ252" si="219">BF250</f>
        <v>0.10941225978398092</v>
      </c>
      <c r="BJ250" s="521">
        <f t="shared" si="219"/>
        <v>0.10423394330821673</v>
      </c>
      <c r="BK250" s="521">
        <f>BK258/BK19</f>
        <v>0.11015786092224597</v>
      </c>
      <c r="BL250" s="521">
        <f t="shared" ref="BL250:BM252" si="220">BI250</f>
        <v>0.10941225978398092</v>
      </c>
      <c r="BM250" s="521">
        <f t="shared" si="220"/>
        <v>0.10423394330821673</v>
      </c>
      <c r="BN250" s="521">
        <f>BN258/BN19</f>
        <v>0.11019101400347811</v>
      </c>
      <c r="BO250" s="521">
        <f t="shared" ref="BO250:BP252" si="221">BL250</f>
        <v>0.10941225978398092</v>
      </c>
      <c r="BP250" s="521">
        <f t="shared" si="221"/>
        <v>0.10423394330821673</v>
      </c>
      <c r="BQ250" s="521">
        <f>BQ258/BQ19</f>
        <v>0.10945358864326979</v>
      </c>
      <c r="BR250" s="521">
        <f t="shared" ref="BR250:BS252" si="222">BO250</f>
        <v>0.10941225978398092</v>
      </c>
      <c r="BS250" s="521">
        <f t="shared" si="222"/>
        <v>0.10423394330821673</v>
      </c>
      <c r="BT250" s="521">
        <f>BT258/BT19</f>
        <v>0.11052476890967185</v>
      </c>
      <c r="BU250" s="521">
        <f t="shared" ref="BU250:BV252" si="223">BR250</f>
        <v>0.10941225978398092</v>
      </c>
      <c r="BV250" s="521">
        <f t="shared" si="223"/>
        <v>0.10423394330821673</v>
      </c>
      <c r="BW250" s="521">
        <f>BW258/BW19</f>
        <v>0.11043111636555414</v>
      </c>
      <c r="BX250" s="521">
        <f t="shared" ref="BX250:BY252" si="224">BU250</f>
        <v>0.10941225978398092</v>
      </c>
      <c r="BY250" s="521">
        <f t="shared" si="224"/>
        <v>0.10423394330821673</v>
      </c>
      <c r="BZ250" s="521">
        <f>BZ258/BZ19</f>
        <v>0.10936600270181548</v>
      </c>
      <c r="CA250" s="521">
        <f t="shared" ref="CA250:CB252" si="225">BX250</f>
        <v>0.10941225978398092</v>
      </c>
      <c r="CB250" s="521">
        <f t="shared" si="225"/>
        <v>0.10423394330821673</v>
      </c>
      <c r="CC250" s="521">
        <f>CC258/CC19</f>
        <v>0.10938543707280754</v>
      </c>
    </row>
    <row r="251" spans="1:89">
      <c r="B251" s="257" t="s">
        <v>56</v>
      </c>
      <c r="C251" s="257" t="s">
        <v>195</v>
      </c>
      <c r="AD251" s="470">
        <f>AD201/AD19</f>
        <v>0.1231519090170593</v>
      </c>
      <c r="AE251" s="470">
        <f>AE201/AE19/2</f>
        <v>0.13478495591146303</v>
      </c>
      <c r="AF251" s="470">
        <f>AF201/AF19/2</f>
        <v>0.12748629600626468</v>
      </c>
      <c r="AG251" s="470">
        <f>AG201/AG19</f>
        <v>0.1363255736057612</v>
      </c>
      <c r="AH251" s="470">
        <f>AH201/AH19/2</f>
        <v>0.13979807848884546</v>
      </c>
      <c r="AI251" s="470">
        <f>AI201/AI19/2</f>
        <v>0.10177884607158351</v>
      </c>
      <c r="AJ251" s="470">
        <f>AJ201/AJ19</f>
        <v>0.11212669198945549</v>
      </c>
      <c r="AK251" s="470">
        <f>AK201/AK19/2</f>
        <v>0.12928578614749864</v>
      </c>
      <c r="AL251" s="470">
        <f>AL201/AL19/2</f>
        <v>0.1083269700116737</v>
      </c>
      <c r="AM251" s="470">
        <f>AM201/AM19</f>
        <v>0.12193688292002805</v>
      </c>
      <c r="AN251" s="470">
        <f>AN201/AN19/2</f>
        <v>0.13779217433333216</v>
      </c>
      <c r="AO251" s="470">
        <f>AO201/AO19/2</f>
        <v>0.11935248255122897</v>
      </c>
      <c r="AP251" s="470">
        <f>AP201/AP19</f>
        <v>0.12541448677326653</v>
      </c>
      <c r="AQ251" s="470">
        <f>AQ201/AQ19/2</f>
        <v>0.13440779610194903</v>
      </c>
      <c r="AR251" s="470">
        <f>AR201/AR19/2</f>
        <v>0.12182741116751271</v>
      </c>
      <c r="AS251" s="470">
        <f>AS201/AS19</f>
        <v>0.12884995761514551</v>
      </c>
      <c r="AT251" s="470">
        <f>AT201/AT19/2</f>
        <v>0.13842413842413839</v>
      </c>
      <c r="AU251" s="521">
        <f>AR251</f>
        <v>0.12182741116751271</v>
      </c>
      <c r="AV251" s="470">
        <f>AV201/AV19</f>
        <v>0.12869688751130051</v>
      </c>
      <c r="AW251" s="470">
        <f>AW201/AW19/2</f>
        <v>0.12638594742743242</v>
      </c>
      <c r="AX251" s="470">
        <f>AX201/AX19/2</f>
        <v>0.11811068269448853</v>
      </c>
      <c r="AY251" s="470">
        <f>AY201/AY19</f>
        <v>0.1236568714752152</v>
      </c>
      <c r="AZ251" s="470">
        <f>AZ201/AZ19/2</f>
        <v>0.12098027495517036</v>
      </c>
      <c r="BA251" s="470">
        <f>BA201/BA19/2</f>
        <v>0.11543669600541639</v>
      </c>
      <c r="BB251" s="470">
        <f>BB201/BB19</f>
        <v>0.11876705172113541</v>
      </c>
      <c r="BC251" s="470">
        <f>BC201/BC19/2</f>
        <v>0.16958900266517044</v>
      </c>
      <c r="BD251" s="470">
        <f>BD201/BD19/2</f>
        <v>0.14412151656500419</v>
      </c>
      <c r="BE251" s="470">
        <f>BE201/BE19</f>
        <v>0.15558424790187217</v>
      </c>
      <c r="BF251" s="521">
        <f t="shared" si="218"/>
        <v>0.16958900266517044</v>
      </c>
      <c r="BG251" s="521">
        <f t="shared" si="218"/>
        <v>0.14412151656500419</v>
      </c>
      <c r="BH251" s="521">
        <f>BH259/BH19</f>
        <v>0.15532102701329109</v>
      </c>
      <c r="BI251" s="521">
        <f t="shared" si="219"/>
        <v>0.16958900266517044</v>
      </c>
      <c r="BJ251" s="521">
        <f t="shared" si="219"/>
        <v>0.14412151656500419</v>
      </c>
      <c r="BK251" s="521">
        <f>BK259/BK19</f>
        <v>0.15231236077028845</v>
      </c>
      <c r="BL251" s="521">
        <f t="shared" si="220"/>
        <v>0.16958900266517044</v>
      </c>
      <c r="BM251" s="521">
        <f t="shared" si="220"/>
        <v>0.14412151656500419</v>
      </c>
      <c r="BN251" s="521">
        <f>BN259/BN19</f>
        <v>0.15235820065885383</v>
      </c>
      <c r="BO251" s="521">
        <f t="shared" si="221"/>
        <v>0.16958900266517044</v>
      </c>
      <c r="BP251" s="521">
        <f t="shared" si="221"/>
        <v>0.14412151656500419</v>
      </c>
      <c r="BQ251" s="521">
        <f>BQ259/BQ19</f>
        <v>0.15133858211720036</v>
      </c>
      <c r="BR251" s="521">
        <f t="shared" si="222"/>
        <v>0.16958900266517044</v>
      </c>
      <c r="BS251" s="521">
        <f t="shared" si="222"/>
        <v>0.14412151656500419</v>
      </c>
      <c r="BT251" s="521">
        <f>BT259/BT19</f>
        <v>0.15281967474028066</v>
      </c>
      <c r="BU251" s="521">
        <f t="shared" si="223"/>
        <v>0.16958900266517044</v>
      </c>
      <c r="BV251" s="521">
        <f t="shared" si="223"/>
        <v>0.14412151656500419</v>
      </c>
      <c r="BW251" s="521">
        <f>BW259/BW19</f>
        <v>0.15269018384451261</v>
      </c>
      <c r="BX251" s="521">
        <f t="shared" si="224"/>
        <v>0.16958900266517044</v>
      </c>
      <c r="BY251" s="521">
        <f t="shared" si="224"/>
        <v>0.14412151656500419</v>
      </c>
      <c r="BZ251" s="521">
        <f>BZ259/BZ19</f>
        <v>0.15121747935248153</v>
      </c>
      <c r="CA251" s="521">
        <f t="shared" si="225"/>
        <v>0.16958900266517044</v>
      </c>
      <c r="CB251" s="521">
        <f t="shared" si="225"/>
        <v>0.14412151656500419</v>
      </c>
      <c r="CC251" s="521">
        <f>CC259/CC19</f>
        <v>0.15124435074323933</v>
      </c>
    </row>
    <row r="252" spans="1:89">
      <c r="B252" s="257" t="s">
        <v>57</v>
      </c>
      <c r="C252" s="257" t="s">
        <v>195</v>
      </c>
      <c r="AD252" s="470">
        <f>AD220/AD19</f>
        <v>7.9610073111291632E-2</v>
      </c>
      <c r="AE252" s="470">
        <f>AE220/AE19/2</f>
        <v>8.0619039049847033E-2</v>
      </c>
      <c r="AF252" s="470">
        <f>AF220/AF19/2</f>
        <v>8.3085356303837107E-2</v>
      </c>
      <c r="AG252" s="470">
        <f>AG220/AG19</f>
        <v>8.8846089432255901E-2</v>
      </c>
      <c r="AH252" s="470">
        <f>AH220/AH19/2</f>
        <v>8.8992020843510822E-2</v>
      </c>
      <c r="AI252" s="470">
        <f>AI220/AI19/2</f>
        <v>6.9977106170547296E-2</v>
      </c>
      <c r="AJ252" s="470">
        <f>AJ220/AJ19</f>
        <v>7.7091672117994836E-2</v>
      </c>
      <c r="AK252" s="470">
        <f>AK220/AK19/2</f>
        <v>8.1049718726985187E-2</v>
      </c>
      <c r="AL252" s="470">
        <f>AL220/AL19/2</f>
        <v>6.3211973089164888E-2</v>
      </c>
      <c r="AM252" s="470">
        <f>AM220/AM19</f>
        <v>7.1153757562745779E-2</v>
      </c>
      <c r="AN252" s="470">
        <f>AN220/AN19/2</f>
        <v>8.7954103391360755E-2</v>
      </c>
      <c r="AO252" s="470">
        <f>AO220/AO19/2</f>
        <v>6.6618600718958601E-2</v>
      </c>
      <c r="AP252" s="470">
        <f>AP220/AP19</f>
        <v>7.000221059612409E-2</v>
      </c>
      <c r="AQ252" s="470">
        <f>AQ220/AQ19/2</f>
        <v>7.7661169415292344E-2</v>
      </c>
      <c r="AR252" s="470">
        <f>AR220/AR19/2</f>
        <v>7.0398076409297364E-2</v>
      </c>
      <c r="AS252" s="470">
        <f>AS220/AS19</f>
        <v>7.4456061034190446E-2</v>
      </c>
      <c r="AT252" s="470">
        <f>AT220/AT19/2</f>
        <v>8.1009581009581E-2</v>
      </c>
      <c r="AU252" s="521">
        <f>AR252</f>
        <v>7.0398076409297364E-2</v>
      </c>
      <c r="AV252" s="470">
        <f>AV220/AV19</f>
        <v>7.7747643032416366E-2</v>
      </c>
      <c r="AW252" s="470">
        <f>AW220/AW19/2</f>
        <v>8.1101283169303595E-2</v>
      </c>
      <c r="AX252" s="470">
        <f>AX220/AX19/2</f>
        <v>6.9687003855749594E-2</v>
      </c>
      <c r="AY252" s="470">
        <f>AY220/AY19</f>
        <v>7.2959335114277241E-2</v>
      </c>
      <c r="AZ252" s="470">
        <f>AZ220/AZ19/2</f>
        <v>6.9515839808726831E-2</v>
      </c>
      <c r="BA252" s="470">
        <f>BA220/BA19/2</f>
        <v>6.6012186865267442E-2</v>
      </c>
      <c r="BB252" s="470">
        <f>BB220/BB19</f>
        <v>6.7916642479828176E-2</v>
      </c>
      <c r="BC252" s="470">
        <f>BC220/BC19/2</f>
        <v>9.6857904334408745E-2</v>
      </c>
      <c r="BD252" s="470">
        <f>BD220/BD19/2</f>
        <v>8.7190527448869751E-2</v>
      </c>
      <c r="BE252" s="470">
        <f>BE220/BE19</f>
        <v>9.4125242091672057E-2</v>
      </c>
      <c r="BF252" s="521">
        <f t="shared" si="218"/>
        <v>9.6857904334408745E-2</v>
      </c>
      <c r="BG252" s="521">
        <f t="shared" si="218"/>
        <v>8.7190527448869751E-2</v>
      </c>
      <c r="BH252" s="521">
        <f>BH260/BH19</f>
        <v>9.3965998915094773E-2</v>
      </c>
      <c r="BI252" s="521">
        <f t="shared" si="219"/>
        <v>9.6857904334408745E-2</v>
      </c>
      <c r="BJ252" s="521">
        <f t="shared" si="219"/>
        <v>8.7190527448869751E-2</v>
      </c>
      <c r="BK252" s="521">
        <f>BK260/BK19</f>
        <v>9.2145818258539652E-2</v>
      </c>
      <c r="BL252" s="521">
        <f t="shared" si="220"/>
        <v>9.6857904334408745E-2</v>
      </c>
      <c r="BM252" s="521">
        <f t="shared" si="220"/>
        <v>8.7190527448869751E-2</v>
      </c>
      <c r="BN252" s="521">
        <f>BN260/BN19</f>
        <v>9.2173550440086668E-2</v>
      </c>
      <c r="BO252" s="521">
        <f t="shared" si="221"/>
        <v>9.6857904334408745E-2</v>
      </c>
      <c r="BP252" s="521">
        <f t="shared" si="221"/>
        <v>8.7190527448869751E-2</v>
      </c>
      <c r="BQ252" s="521">
        <f>BQ260/BQ19</f>
        <v>9.1556702376297955E-2</v>
      </c>
      <c r="BR252" s="521">
        <f t="shared" si="222"/>
        <v>9.6857904334408745E-2</v>
      </c>
      <c r="BS252" s="521">
        <f t="shared" si="222"/>
        <v>8.7190527448869751E-2</v>
      </c>
      <c r="BT252" s="521">
        <f>BT260/BT19</f>
        <v>9.2452732685198838E-2</v>
      </c>
      <c r="BU252" s="521">
        <f t="shared" si="223"/>
        <v>9.6857904334408745E-2</v>
      </c>
      <c r="BV252" s="521">
        <f t="shared" si="223"/>
        <v>8.7190527448869751E-2</v>
      </c>
      <c r="BW252" s="521">
        <f>BW260/BW19</f>
        <v>9.237439337979228E-2</v>
      </c>
      <c r="BX252" s="521">
        <f t="shared" si="224"/>
        <v>9.6857904334408745E-2</v>
      </c>
      <c r="BY252" s="521">
        <f t="shared" si="224"/>
        <v>8.7190527448869751E-2</v>
      </c>
      <c r="BZ252" s="521">
        <f>BZ260/BZ19</f>
        <v>9.1483437716148558E-2</v>
      </c>
      <c r="CA252" s="521">
        <f t="shared" si="225"/>
        <v>9.6857904334408745E-2</v>
      </c>
      <c r="CB252" s="521">
        <f t="shared" si="225"/>
        <v>8.7190527448869751E-2</v>
      </c>
      <c r="CC252" s="521">
        <f>CC260/CC19</f>
        <v>9.1499694350059321E-2</v>
      </c>
    </row>
    <row r="254" spans="1:89">
      <c r="B254" s="257" t="s">
        <v>58</v>
      </c>
      <c r="C254" s="257" t="s">
        <v>59</v>
      </c>
      <c r="AE254" s="458">
        <f>365/(AE$21/AVERAGE(AD202:AE202))*0.5</f>
        <v>38.325324790888054</v>
      </c>
      <c r="AF254" s="458">
        <f>365/(AF$21/AVERAGE(AE202:AF202))*0.5</f>
        <v>31.653907678244973</v>
      </c>
      <c r="AG254" s="458">
        <f>365/(AG$21/AVERAGE(AD202:AG202))</f>
        <v>33.824591644094234</v>
      </c>
      <c r="AH254" s="458">
        <f>365/(AH$21/AVERAGE(AG202:AH202))*0.5</f>
        <v>33.064810311284049</v>
      </c>
      <c r="AI254" s="458">
        <f>365/(AI$21/AVERAGE(AH202:AI202))*0.5</f>
        <v>28.07587056208142</v>
      </c>
      <c r="AJ254" s="458">
        <f>365/(AJ$21/AVERAGE(AG202:AJ202))</f>
        <v>30.451966253313845</v>
      </c>
      <c r="AK254" s="458">
        <f>365/(AK$21/AVERAGE(AJ202:AK202))*0.5</f>
        <v>35.74452235277478</v>
      </c>
      <c r="AL254" s="458">
        <f>365/(AL$21/AVERAGE(AK202:AL202))*0.5</f>
        <v>28.369552220659777</v>
      </c>
      <c r="AM254" s="458">
        <f>365/(AM$21/AVERAGE(AJ202:AM202))</f>
        <v>31.671685917575051</v>
      </c>
      <c r="AN254" s="458">
        <f>365/(AN$21/AVERAGE(AM202:AN202))*0.5</f>
        <v>36.425337166344448</v>
      </c>
      <c r="AO254" s="458">
        <f>365/(AO$21/AVERAGE(AN202:AO202))*0.5</f>
        <v>34.724689973448605</v>
      </c>
      <c r="AP254" s="458">
        <f>365/(AP$21/AVERAGE(AM202:AP202))</f>
        <v>35.40377158326018</v>
      </c>
      <c r="AQ254" s="458">
        <f>365/(AQ$21/AVERAGE(AP202:AQ202))*0.5</f>
        <v>36.341991341991346</v>
      </c>
      <c r="AR254" s="458">
        <f>365/(AR$21/AVERAGE(AQ202:AR202))*0.5</f>
        <v>32.625766257995743</v>
      </c>
      <c r="AS254" s="458">
        <f>365/(AS$21/AVERAGE(AP202:AS202))</f>
        <v>34.65482644511723</v>
      </c>
      <c r="AT254" s="458">
        <f>365/(AT$21/AVERAGE(AS202:AT202))*0.5</f>
        <v>37.200021388849272</v>
      </c>
      <c r="AU254" s="458">
        <f>365/(AU$21/AVERAGE(AT202:AU202))*0.5</f>
        <v>30.041517905441946</v>
      </c>
      <c r="AV254" s="458">
        <f>365/(AV$21/AVERAGE(AS202:AV202))</f>
        <v>34.496173874388766</v>
      </c>
      <c r="AW254" s="458">
        <f>365/(AW$21/AVERAGE(AV202:AW202))*0.5</f>
        <v>36.241456443395059</v>
      </c>
      <c r="AX254" s="458">
        <f>365/(AX$21/AVERAGE(AW202:AX202))*0.5</f>
        <v>31.984536082474222</v>
      </c>
      <c r="AY254" s="458">
        <f>365/(AY$21/AVERAGE(AV202:AY202))</f>
        <v>33.779163546287229</v>
      </c>
      <c r="AZ254" s="458">
        <f>365/(AZ$21/AVERAGE(AY202:AZ202))*0.5</f>
        <v>34.804799000951476</v>
      </c>
      <c r="BA254" s="458">
        <f>365/(BA$21/AVERAGE(AZ202:BA202))*0.5</f>
        <v>32.513665774207936</v>
      </c>
      <c r="BB254" s="458">
        <f>365/(BB$21/AVERAGE(AY202:BB202))</f>
        <v>33.67509498042827</v>
      </c>
      <c r="BC254" s="458">
        <f>365/(BC$21/AVERAGE(BB202:BC202))*0.5</f>
        <v>40.39939792775133</v>
      </c>
      <c r="BD254" s="458">
        <f>365/(BD$21/AVERAGE(BC202:BD202))*0.5</f>
        <v>35.276070926966291</v>
      </c>
      <c r="BE254" s="458">
        <f>365/(BE$21/AVERAGE(BB202:BE202))</f>
        <v>38.673339283437457</v>
      </c>
      <c r="BF254" s="458">
        <f>365/(BF$21/AVERAGE(BE202:BF202))*0.5</f>
        <v>40.268546969589103</v>
      </c>
      <c r="BG254" s="458">
        <f>365/(BG$21/AVERAGE(BF202:BG202))*0.5</f>
        <v>35.369495917543276</v>
      </c>
      <c r="BH254" s="458">
        <f>365/(BH$21/AVERAGE(BE202:BH202))</f>
        <v>38.652277479084994</v>
      </c>
      <c r="BI254" s="458">
        <f>365/(BI$21/AVERAGE(BH202:BI202))*0.5</f>
        <v>40.090212752562174</v>
      </c>
      <c r="BJ254" s="458">
        <f>365/(BJ$21/AVERAGE(BI202:BJ202))*0.5</f>
        <v>36.095578579552132</v>
      </c>
      <c r="BK254" s="458">
        <f>365/(BK$21/AVERAGE(BH202:BK202))</f>
        <v>38.603655872064557</v>
      </c>
      <c r="BL254" s="458">
        <f>365/(BL$21/AVERAGE(BK202:BL202))*0.5</f>
        <v>39.845097083020136</v>
      </c>
      <c r="BM254" s="458">
        <f>365/(BM$21/AVERAGE(BL202:BM202))*0.5</f>
        <v>36.103337971373975</v>
      </c>
      <c r="BN254" s="458">
        <f>365/(BN$21/AVERAGE(BK202:BN202))</f>
        <v>38.497781355352664</v>
      </c>
      <c r="BO254" s="458">
        <f>365/(BO$21/AVERAGE(BN202:BO202))*0.5</f>
        <v>39.663591914906938</v>
      </c>
      <c r="BP254" s="458">
        <f>365/(BP$21/AVERAGE(BO202:BP202))*0.5</f>
        <v>36.368815637278672</v>
      </c>
      <c r="BQ254" s="458">
        <f>365/(BQ$21/AVERAGE(BN202:BQ202))</f>
        <v>38.428889388222608</v>
      </c>
      <c r="BR254" s="458">
        <f>365/(BR$21/AVERAGE(BQ202:BR202))*0.5</f>
        <v>39.995696475892863</v>
      </c>
      <c r="BS254" s="458">
        <f>365/(BS$21/AVERAGE(BR202:BS202))*0.5</f>
        <v>36.025922038902358</v>
      </c>
      <c r="BT254" s="458">
        <f>365/(BT$21/AVERAGE(BQ202:BT202))</f>
        <v>38.58343370351399</v>
      </c>
      <c r="BU254" s="458">
        <f>365/(BU$21/AVERAGE(BT202:BU202))*0.5</f>
        <v>39.837216342549866</v>
      </c>
      <c r="BV254" s="458">
        <f>365/(BV$21/AVERAGE(BU202:BV202))*0.5</f>
        <v>36.0802841364752</v>
      </c>
      <c r="BW254" s="458">
        <f>365/(BW$21/AVERAGE(BT202:BW202))</f>
        <v>38.522547002640863</v>
      </c>
      <c r="BX254" s="458">
        <f>365/(BX$21/AVERAGE(BW202:BX202))*0.5</f>
        <v>39.887376145997884</v>
      </c>
      <c r="BY254" s="458">
        <f>365/(BY$21/AVERAGE(BX202:BY202))*0.5</f>
        <v>36.449158383497327</v>
      </c>
      <c r="BZ254" s="458">
        <f>365/(BZ$21/AVERAGE(BW202:BZ202))</f>
        <v>38.563380249516072</v>
      </c>
      <c r="CA254" s="458">
        <f>365/(CA$21/AVERAGE(BZ202:CA202))*0.5</f>
        <v>39.90395993047504</v>
      </c>
      <c r="CB254" s="458">
        <f>365/(CB$21/AVERAGE(CA202:CB202))*0.5</f>
        <v>36.450891069403049</v>
      </c>
      <c r="CC254" s="458">
        <f>365/(CC$21/AVERAGE(BZ202:CC202))</f>
        <v>38.575524848177501</v>
      </c>
    </row>
    <row r="255" spans="1:89">
      <c r="B255" s="257" t="s">
        <v>60</v>
      </c>
      <c r="C255" s="257" t="s">
        <v>59</v>
      </c>
      <c r="AE255" s="458">
        <f>365/(AE$21/AVERAGE(AD201:AE201))*0.5</f>
        <v>48.945986830396855</v>
      </c>
      <c r="AF255" s="458">
        <f>365/(AF$21/AVERAGE(AE201:AF201))*0.5</f>
        <v>43.456352833638036</v>
      </c>
      <c r="AG255" s="458">
        <f>365/(AG$21/AVERAGE(AD201:AG201))</f>
        <v>46.961955183452353</v>
      </c>
      <c r="AH255" s="458">
        <f>365/(AH$21/AVERAGE(AG201:AH201))*0.5</f>
        <v>49.486259727626454</v>
      </c>
      <c r="AI255" s="458">
        <f>365/(AI$21/AVERAGE(AH201:AI201))*0.5</f>
        <v>39.077764165637952</v>
      </c>
      <c r="AJ255" s="458">
        <f>365/(AJ$21/AVERAGE(AG201:AJ201))</f>
        <v>42.523972043126776</v>
      </c>
      <c r="AK255" s="458">
        <f>365/(AK$21/AVERAGE(AJ201:AK201))*0.5</f>
        <v>46.227004989507826</v>
      </c>
      <c r="AL255" s="458">
        <f>365/(AL$21/AVERAGE(AK201:AL201))*0.5</f>
        <v>37.703307535448864</v>
      </c>
      <c r="AM255" s="458">
        <f>365/(AM$21/AVERAGE(AJ201:AM201))</f>
        <v>42.226752076504717</v>
      </c>
      <c r="AN255" s="458">
        <f>365/(AN$21/AVERAGE(AM201:AN201))*0.5</f>
        <v>48.553144093995755</v>
      </c>
      <c r="AO255" s="458">
        <f>365/(AO$21/AVERAGE(AN201:AO201))*0.5</f>
        <v>44.454251486627683</v>
      </c>
      <c r="AP255" s="458">
        <f>365/(AP$21/AVERAGE(AM201:AP201))</f>
        <v>45.925428007023712</v>
      </c>
      <c r="AQ255" s="458">
        <f>365/(AQ$21/AVERAGE(AP201:AQ201))*0.5</f>
        <v>47.606918943125841</v>
      </c>
      <c r="AR255" s="458">
        <f>365/(AR$21/AVERAGE(AQ201:AR201))*0.5</f>
        <v>43.983375533049049</v>
      </c>
      <c r="AS255" s="458">
        <f>365/(AS$21/AVERAGE(AP201:AS201))</f>
        <v>45.891625008800943</v>
      </c>
      <c r="AT255" s="458">
        <f>365/(AT$21/AVERAGE(AS201:AT201))*0.5</f>
        <v>48.923427919577918</v>
      </c>
      <c r="AU255" s="458">
        <f>365/(AU$21/AVERAGE(AT201:AU201))*0.5</f>
        <v>38.788407443470724</v>
      </c>
      <c r="AV255" s="458">
        <f>365/(AV$21/AVERAGE(AS201:AV201))</f>
        <v>44.886168794056005</v>
      </c>
      <c r="AW255" s="458">
        <f>365/(AW$21/AVERAGE(AV201:AW201))*0.5</f>
        <v>45.607990555486531</v>
      </c>
      <c r="AX255" s="458">
        <f>365/(AX$21/AVERAGE(AW201:AX201))*0.5</f>
        <v>40.294243986254294</v>
      </c>
      <c r="AY255" s="458">
        <f>365/(AY$21/AVERAGE(AV201:AY201))</f>
        <v>43.041361829598472</v>
      </c>
      <c r="AZ255" s="458">
        <f>365/(AZ$21/AVERAGE(AY201:AZ201))*0.5</f>
        <v>44.572282350142729</v>
      </c>
      <c r="BA255" s="458">
        <f>365/(BA$21/AVERAGE(AZ201:BA201))*0.5</f>
        <v>41.431001784917449</v>
      </c>
      <c r="BB255" s="458">
        <f>365/(BB$21/AVERAGE(AY201:BB201))</f>
        <v>43.066932419986188</v>
      </c>
      <c r="BC255" s="458">
        <f>365/(BC$21/AVERAGE(BB201:BC201))*0.5</f>
        <v>57.034444133295999</v>
      </c>
      <c r="BD255" s="458">
        <f>365/(BD$21/AVERAGE(BC201:BD201))*0.5</f>
        <v>51.563085205992515</v>
      </c>
      <c r="BE255" s="458">
        <f>365/(BE$21/AVERAGE(BB201:BE201))</f>
        <v>54.007713884992988</v>
      </c>
      <c r="BF255" s="458">
        <f>365/(BF$21/AVERAGE(BE201:BF201))*0.5</f>
        <v>58.939508420262953</v>
      </c>
      <c r="BG255" s="458">
        <f>365/(BG$21/AVERAGE(BF201:BG201))*0.5</f>
        <v>51.705066616561631</v>
      </c>
      <c r="BH255" s="458">
        <f>365/(BH$21/AVERAGE(BE201:BH201))</f>
        <v>54.95019366904021</v>
      </c>
      <c r="BI255" s="458">
        <f>365/(BI$21/AVERAGE(BH201:BI201))*0.5</f>
        <v>58.697059859065156</v>
      </c>
      <c r="BJ255" s="458">
        <f>365/(BJ$21/AVERAGE(BI201:BJ201))*0.5</f>
        <v>52.829705511718153</v>
      </c>
      <c r="BK255" s="458">
        <f>365/(BK$21/AVERAGE(BH201:BK201))</f>
        <v>54.918141549694106</v>
      </c>
      <c r="BL255" s="458">
        <f>365/(BL$21/AVERAGE(BK201:BL201))*0.5</f>
        <v>58.360010487271154</v>
      </c>
      <c r="BM255" s="458">
        <f>365/(BM$21/AVERAGE(BL201:BM201))*0.5</f>
        <v>52.840099390747412</v>
      </c>
      <c r="BN255" s="458">
        <f>365/(BN$21/AVERAGE(BK201:BN201))</f>
        <v>54.772074158242901</v>
      </c>
      <c r="BO255" s="458">
        <f>365/(BO$21/AVERAGE(BN201:BO201))*0.5</f>
        <v>58.1116529085838</v>
      </c>
      <c r="BP255" s="458">
        <f>365/(BP$21/AVERAGE(BO201:BP201))*0.5</f>
        <v>53.250216855128599</v>
      </c>
      <c r="BQ255" s="458">
        <f>365/(BQ$21/AVERAGE(BN201:BQ201))</f>
        <v>54.689325556140112</v>
      </c>
      <c r="BR255" s="458">
        <f>365/(BR$21/AVERAGE(BQ201:BR201))*0.5</f>
        <v>58.571289875800545</v>
      </c>
      <c r="BS255" s="458">
        <f>365/(BS$21/AVERAGE(BR201:BS201))*0.5</f>
        <v>52.71712226418969</v>
      </c>
      <c r="BT255" s="458">
        <f>365/(BT$21/AVERAGE(BQ201:BT201))</f>
        <v>54.886724739603352</v>
      </c>
      <c r="BU255" s="458">
        <f>365/(BU$21/AVERAGE(BT201:BU201))*0.5</f>
        <v>58.354635367945235</v>
      </c>
      <c r="BV255" s="458">
        <f>365/(BV$21/AVERAGE(BU201:BV201))*0.5</f>
        <v>52.799389363702609</v>
      </c>
      <c r="BW255" s="458">
        <f>365/(BW$21/AVERAGE(BT201:BW201))</f>
        <v>54.805075991085921</v>
      </c>
      <c r="BX255" s="458">
        <f>365/(BX$21/AVERAGE(BW201:BX201))*0.5</f>
        <v>58.426185726800206</v>
      </c>
      <c r="BY255" s="458">
        <f>365/(BY$21/AVERAGE(BX201:BY201))*0.5</f>
        <v>53.370419561002656</v>
      </c>
      <c r="BZ255" s="458">
        <f>365/(BZ$21/AVERAGE(BW201:BZ201))</f>
        <v>54.878945174239639</v>
      </c>
      <c r="CA255" s="458">
        <f>365/(CA$21/AVERAGE(BZ201:CA201))*0.5</f>
        <v>58.449920643195547</v>
      </c>
      <c r="CB255" s="458">
        <f>365/(CB$21/AVERAGE(CA201:CB201))*0.5</f>
        <v>53.372387010328993</v>
      </c>
      <c r="CC255" s="458">
        <f>365/(CC$21/AVERAGE(BZ201:CC201))</f>
        <v>54.895801729079515</v>
      </c>
    </row>
    <row r="256" spans="1:89">
      <c r="B256" s="257" t="s">
        <v>61</v>
      </c>
      <c r="C256" s="257" t="s">
        <v>59</v>
      </c>
      <c r="AE256" s="458">
        <f>365/(AE$21/AVERAGE(AD220:AE220))*0.5</f>
        <v>30.465385299875415</v>
      </c>
      <c r="AF256" s="458">
        <f>365/(AF$21/AVERAGE(AE220:AF220))*0.5</f>
        <v>27.205400670322973</v>
      </c>
      <c r="AG256" s="458">
        <f>365/(AG$21/AVERAGE(AD220:AG220))</f>
        <v>29.944800131330542</v>
      </c>
      <c r="AH256" s="458">
        <f>365/(AH$21/AVERAGE(AG220:AH220))*0.5</f>
        <v>31.866488326848241</v>
      </c>
      <c r="AI256" s="458">
        <f>365/(AI$21/AVERAGE(AH220:AI220))*0.5</f>
        <v>25.815372204192208</v>
      </c>
      <c r="AJ256" s="458">
        <f>365/(AJ$21/AVERAGE(AG220:AJ220))</f>
        <v>28.269719052847652</v>
      </c>
      <c r="AK256" s="458">
        <f>365/(AK$21/AVERAGE(AJ220:AK220))*0.5</f>
        <v>30.362027722282075</v>
      </c>
      <c r="AL256" s="458">
        <f>365/(AL$21/AVERAGE(AK220:AL220))*0.5</f>
        <v>22.787713345600956</v>
      </c>
      <c r="AM256" s="458">
        <f>365/(AM$21/AVERAGE(AJ220:AM220))</f>
        <v>26.11843660470241</v>
      </c>
      <c r="AN256" s="458">
        <f>365/(AN$21/AVERAGE(AM220:AN220))*0.5</f>
        <v>29.690771568270783</v>
      </c>
      <c r="AO256" s="458">
        <f>365/(AO$21/AVERAGE(AN220:AO220))*0.5</f>
        <v>26.631638149739857</v>
      </c>
      <c r="AP256" s="458">
        <f>365/(AP$21/AVERAGE(AM220:AP220))</f>
        <v>26.871616183786948</v>
      </c>
      <c r="AQ256" s="458">
        <f>365/(AQ$21/AVERAGE(AP220:AQ220))*0.5</f>
        <v>27.052171965965069</v>
      </c>
      <c r="AR256" s="458">
        <f>365/(AR$21/AVERAGE(AQ220:AR220))*0.5</f>
        <v>25.414778784648192</v>
      </c>
      <c r="AS256" s="458">
        <f>365/(AS$21/AVERAGE(AP220:AS220))</f>
        <v>26.30271773568964</v>
      </c>
      <c r="AT256" s="458">
        <f>365/(AT$21/AVERAGE(AS220:AT220))*0.5</f>
        <v>28.456259803222583</v>
      </c>
      <c r="AU256" s="458">
        <f>365/(AU$21/AVERAGE(AT220:AU220))*0.5</f>
        <v>23.071648815319694</v>
      </c>
      <c r="AV256" s="458">
        <f>365/(AV$21/AVERAGE(AS220:AV220))</f>
        <v>26.626897186765731</v>
      </c>
      <c r="AW256" s="458">
        <f>365/(AW$21/AVERAGE(AV220:AW220))*0.5</f>
        <v>28.417111967192746</v>
      </c>
      <c r="AX256" s="458">
        <f>365/(AX$21/AVERAGE(AW220:AX220))*0.5</f>
        <v>24.801734321305837</v>
      </c>
      <c r="AY256" s="458">
        <f>365/(AY$21/AVERAGE(AV220:AY220))</f>
        <v>26.093957025174259</v>
      </c>
      <c r="AZ256" s="522">
        <f>365/(AZ$21/AVERAGE(AY220:AZ220))*0.5</f>
        <v>25.959800190294956</v>
      </c>
      <c r="BA256" s="458">
        <f>365/(BA$21/AVERAGE(AZ220:BA220))*0.5</f>
        <v>23.749023873270861</v>
      </c>
      <c r="BB256" s="458">
        <f>365/(BB$21/AVERAGE(AY220:BB220))</f>
        <v>24.855802440709184</v>
      </c>
      <c r="BC256" s="458">
        <f>365/(BC$21/AVERAGE(BB220:BC220))*0.5</f>
        <v>32.592936152338282</v>
      </c>
      <c r="BD256" s="458">
        <f>365/(BD$21/AVERAGE(BC220:BD220))*0.5</f>
        <v>30.320546582397004</v>
      </c>
      <c r="BE256" s="458">
        <f>365/(BE$21/AVERAGE(BB220:BE220))</f>
        <v>31.803120617110807</v>
      </c>
      <c r="BF256" s="458">
        <f>365/(BF$21/AVERAGE(BE220:BF220))*0.5</f>
        <v>34.634687318510657</v>
      </c>
      <c r="BG256" s="458">
        <f>365/(BG$21/AVERAGE(BF220:BG220))*0.5</f>
        <v>30.40242762521958</v>
      </c>
      <c r="BH256" s="458">
        <f>365/(BH$21/AVERAGE(BE220:BH220))</f>
        <v>32.771331608851469</v>
      </c>
      <c r="BI256" s="458">
        <f>365/(BI$21/AVERAGE(BH220:BI220))*0.5</f>
        <v>34.486716275062896</v>
      </c>
      <c r="BJ256" s="458">
        <f>365/(BJ$21/AVERAGE(BI220:BJ220))*0.5</f>
        <v>31.044966933340692</v>
      </c>
      <c r="BK256" s="458">
        <f>365/(BK$21/AVERAGE(BH220:BK220))</f>
        <v>32.74091219758683</v>
      </c>
      <c r="BL256" s="458">
        <f>365/(BL$21/AVERAGE(BK220:BL220))*0.5</f>
        <v>34.282223486871807</v>
      </c>
      <c r="BM256" s="458">
        <f>365/(BM$21/AVERAGE(BL220:BM220))*0.5</f>
        <v>31.051359991905588</v>
      </c>
      <c r="BN256" s="458">
        <f>365/(BN$21/AVERAGE(BK220:BN220))</f>
        <v>32.652443342800055</v>
      </c>
      <c r="BO256" s="458">
        <f>365/(BO$21/AVERAGE(BN220:BO220))*0.5</f>
        <v>34.131155622918435</v>
      </c>
      <c r="BP256" s="458">
        <f>365/(BP$21/AVERAGE(BO220:BP220))*0.5</f>
        <v>31.285975658045594</v>
      </c>
      <c r="BQ256" s="458">
        <f>365/(BQ$21/AVERAGE(BN220:BQ220))</f>
        <v>32.598461024844369</v>
      </c>
      <c r="BR256" s="458">
        <f>365/(BR$21/AVERAGE(BQ220:BR220))*0.5</f>
        <v>34.409087003052989</v>
      </c>
      <c r="BS256" s="458">
        <f>365/(BS$21/AVERAGE(BR220:BS220))*0.5</f>
        <v>30.981957806422368</v>
      </c>
      <c r="BT256" s="458">
        <f>365/(BT$21/AVERAGE(BQ220:BT220))</f>
        <v>32.722989277902698</v>
      </c>
      <c r="BU256" s="458">
        <f>365/(BU$21/AVERAGE(BT220:BU220))*0.5</f>
        <v>34.277240549574529</v>
      </c>
      <c r="BV256" s="458">
        <f>365/(BV$21/AVERAGE(BU220:BV220))*0.5</f>
        <v>31.029501002625658</v>
      </c>
      <c r="BW256" s="458">
        <f>365/(BW$21/AVERAGE(BT220:BW220))</f>
        <v>32.672797845953468</v>
      </c>
      <c r="BX256" s="458">
        <f>365/(BX$21/AVERAGE(BW220:BX220))*0.5</f>
        <v>34.319838612119888</v>
      </c>
      <c r="BY256" s="458">
        <f>365/(BY$21/AVERAGE(BX220:BY220))*0.5</f>
        <v>31.355838025158238</v>
      </c>
      <c r="BZ256" s="458">
        <f>365/(BZ$21/AVERAGE(BW220:BZ220))</f>
        <v>32.71202861498184</v>
      </c>
      <c r="CA256" s="458">
        <f>365/(CA$21/AVERAGE(BZ220:CA220))*0.5</f>
        <v>34.333945368256146</v>
      </c>
      <c r="CB256" s="458">
        <f>365/(CB$21/AVERAGE(CA220:CB220))*0.5</f>
        <v>31.357162571736616</v>
      </c>
      <c r="CC256" s="458">
        <f>365/(CC$21/AVERAGE(BZ220:CC220))</f>
        <v>32.722206246041686</v>
      </c>
    </row>
    <row r="257" spans="1:89">
      <c r="AI257" s="489"/>
      <c r="AZ257" s="523"/>
    </row>
    <row r="258" spans="1:89">
      <c r="B258" s="257" t="s">
        <v>62</v>
      </c>
      <c r="C258" s="257" t="s">
        <v>420</v>
      </c>
      <c r="AD258" s="257">
        <f t="shared" ref="AD258:AJ258" si="226">AD202</f>
        <v>116.1</v>
      </c>
      <c r="AE258" s="257">
        <f t="shared" si="226"/>
        <v>119.9</v>
      </c>
      <c r="AF258" s="257">
        <f t="shared" si="226"/>
        <v>107.8</v>
      </c>
      <c r="AG258" s="11">
        <f t="shared" si="226"/>
        <v>107.8</v>
      </c>
      <c r="AH258" s="257">
        <f t="shared" si="226"/>
        <v>115.7</v>
      </c>
      <c r="AI258" s="257">
        <f t="shared" si="226"/>
        <v>117.8</v>
      </c>
      <c r="AJ258" s="257">
        <f t="shared" si="226"/>
        <v>117.8</v>
      </c>
      <c r="AK258" s="257">
        <f t="shared" ref="AK258:AV258" si="227">AK202</f>
        <v>122.6</v>
      </c>
      <c r="AL258" s="257">
        <f t="shared" si="227"/>
        <v>123.9</v>
      </c>
      <c r="AM258" s="257">
        <f t="shared" si="227"/>
        <v>123.9</v>
      </c>
      <c r="AN258" s="257">
        <f t="shared" si="227"/>
        <v>136.80000000000001</v>
      </c>
      <c r="AO258" s="257">
        <f t="shared" si="227"/>
        <v>134.80000000000001</v>
      </c>
      <c r="AP258" s="257">
        <f t="shared" si="227"/>
        <v>134.80000000000001</v>
      </c>
      <c r="AQ258" s="257">
        <f t="shared" si="227"/>
        <v>132</v>
      </c>
      <c r="AR258" s="257">
        <f t="shared" si="227"/>
        <v>136.30000000000001</v>
      </c>
      <c r="AS258" s="257">
        <f t="shared" si="227"/>
        <v>136.30000000000001</v>
      </c>
      <c r="AT258" s="11">
        <f t="shared" si="227"/>
        <v>149.6</v>
      </c>
      <c r="AU258" s="11">
        <f t="shared" si="227"/>
        <v>154.69999999999999</v>
      </c>
      <c r="AV258" s="11">
        <f t="shared" si="227"/>
        <v>154.69999999999999</v>
      </c>
      <c r="AW258" s="11">
        <f t="shared" ref="AW258:BC258" si="228">AW202</f>
        <v>164.9</v>
      </c>
      <c r="AX258" s="11">
        <f t="shared" si="228"/>
        <v>161.5</v>
      </c>
      <c r="AY258" s="11">
        <f t="shared" si="228"/>
        <v>161.5</v>
      </c>
      <c r="AZ258" s="524">
        <f t="shared" si="228"/>
        <v>159.19999999999999</v>
      </c>
      <c r="BA258" s="489">
        <f t="shared" si="228"/>
        <v>160.19999999999999</v>
      </c>
      <c r="BB258" s="489">
        <f t="shared" si="228"/>
        <v>160.19999999999999</v>
      </c>
      <c r="BC258" s="489">
        <f t="shared" si="228"/>
        <v>156</v>
      </c>
      <c r="BD258" s="489">
        <f t="shared" ref="BD258:BE258" si="229">BD202</f>
        <v>174.3</v>
      </c>
      <c r="BE258" s="489">
        <f t="shared" si="229"/>
        <v>174.3</v>
      </c>
      <c r="BF258" s="489">
        <f>BF19*BF250*2</f>
        <v>163.49701125878971</v>
      </c>
      <c r="BG258" s="489">
        <f>BG19*BG250*2</f>
        <v>182.00627630947315</v>
      </c>
      <c r="BH258" s="458">
        <f>BG258</f>
        <v>182.00627630947315</v>
      </c>
      <c r="BI258" s="489">
        <f>BI19*BI250*2</f>
        <v>172.62849968084015</v>
      </c>
      <c r="BJ258" s="489">
        <f>BJ19*BJ250*2</f>
        <v>184.27794502987837</v>
      </c>
      <c r="BK258" s="458">
        <f>BJ258</f>
        <v>184.27794502987837</v>
      </c>
      <c r="BL258" s="489">
        <f>BL19*BL250*2</f>
        <v>177.08862915306281</v>
      </c>
      <c r="BM258" s="489">
        <f>BM19*BM250*2</f>
        <v>189.1597397579005</v>
      </c>
      <c r="BN258" s="458">
        <f>BM258</f>
        <v>189.1597397579005</v>
      </c>
      <c r="BO258" s="489">
        <f>BO19*BO250*2</f>
        <v>183.70665793644744</v>
      </c>
      <c r="BP258" s="489">
        <f>BP19*BP250*2</f>
        <v>193.46400278819425</v>
      </c>
      <c r="BQ258" s="458">
        <f>BP258</f>
        <v>193.46400278819425</v>
      </c>
      <c r="BR258" s="489">
        <f>BR19*BR250*2</f>
        <v>184.88534348845116</v>
      </c>
      <c r="BS258" s="489">
        <f>BS19*BS250*2</f>
        <v>198.76108360350148</v>
      </c>
      <c r="BT258" s="458">
        <f>BS258</f>
        <v>198.76108360350148</v>
      </c>
      <c r="BU258" s="489">
        <f>BU19*BU250*2</f>
        <v>191.71521582787759</v>
      </c>
      <c r="BV258" s="489">
        <f>BV19*BV250*2</f>
        <v>205.73218097823485</v>
      </c>
      <c r="BW258" s="458">
        <f>BV258</f>
        <v>205.73218097823485</v>
      </c>
      <c r="BX258" s="489">
        <f>BX19*BX250*2</f>
        <v>198.21030249336727</v>
      </c>
      <c r="BY258" s="489">
        <f>BY19*BY250*2</f>
        <v>208.38662116776328</v>
      </c>
      <c r="BZ258" s="458">
        <f>BY258</f>
        <v>208.38662116776328</v>
      </c>
      <c r="CA258" s="489">
        <f>CA19*CA250*2</f>
        <v>200.70072805476184</v>
      </c>
      <c r="CB258" s="489">
        <f>CB19*CB250*2</f>
        <v>211.08379792652369</v>
      </c>
      <c r="CC258" s="458">
        <f>CB258</f>
        <v>211.08379792652369</v>
      </c>
    </row>
    <row r="259" spans="1:89">
      <c r="B259" s="257" t="s">
        <v>63</v>
      </c>
      <c r="C259" s="257" t="s">
        <v>420</v>
      </c>
      <c r="AD259" s="257">
        <f t="shared" ref="AD259:AJ259" si="230">AD201</f>
        <v>151.6</v>
      </c>
      <c r="AE259" s="257">
        <f t="shared" si="230"/>
        <v>149.80000000000001</v>
      </c>
      <c r="AF259" s="257">
        <f t="shared" si="230"/>
        <v>162.80000000000001</v>
      </c>
      <c r="AG259" s="257">
        <f t="shared" si="230"/>
        <v>162.80000000000001</v>
      </c>
      <c r="AH259" s="257">
        <f t="shared" si="230"/>
        <v>171.7</v>
      </c>
      <c r="AI259" s="257">
        <f t="shared" si="230"/>
        <v>153.30000000000001</v>
      </c>
      <c r="AJ259" s="257">
        <f t="shared" si="230"/>
        <v>153.30000000000001</v>
      </c>
      <c r="AK259" s="257">
        <f t="shared" ref="AK259:AV259" si="231">AK201</f>
        <v>157.6</v>
      </c>
      <c r="AL259" s="257">
        <f t="shared" si="231"/>
        <v>170</v>
      </c>
      <c r="AM259" s="257">
        <f t="shared" si="231"/>
        <v>170</v>
      </c>
      <c r="AN259" s="257">
        <f t="shared" si="231"/>
        <v>177.5</v>
      </c>
      <c r="AO259" s="257">
        <f t="shared" si="231"/>
        <v>170.2</v>
      </c>
      <c r="AP259" s="257">
        <f t="shared" si="231"/>
        <v>170.2</v>
      </c>
      <c r="AQ259" s="257">
        <f t="shared" si="231"/>
        <v>179.3</v>
      </c>
      <c r="AR259" s="257">
        <f t="shared" si="231"/>
        <v>182.4</v>
      </c>
      <c r="AS259" s="257">
        <f t="shared" si="231"/>
        <v>182.4</v>
      </c>
      <c r="AT259" s="11">
        <f t="shared" si="231"/>
        <v>193.6</v>
      </c>
      <c r="AU259" s="11">
        <f t="shared" si="231"/>
        <v>199.3</v>
      </c>
      <c r="AV259" s="11">
        <f t="shared" si="231"/>
        <v>199.3</v>
      </c>
      <c r="AW259" s="11">
        <f t="shared" ref="AW259:BC259" si="232">AW201</f>
        <v>202.9</v>
      </c>
      <c r="AX259" s="11">
        <f t="shared" si="232"/>
        <v>208.3</v>
      </c>
      <c r="AY259" s="11">
        <f t="shared" si="232"/>
        <v>208.3</v>
      </c>
      <c r="AZ259" s="524">
        <f t="shared" si="232"/>
        <v>202.4</v>
      </c>
      <c r="BA259" s="489">
        <f t="shared" si="232"/>
        <v>204.6</v>
      </c>
      <c r="BB259" s="489">
        <f t="shared" si="232"/>
        <v>204.6</v>
      </c>
      <c r="BC259" s="489">
        <f t="shared" si="232"/>
        <v>241.8</v>
      </c>
      <c r="BD259" s="489">
        <f t="shared" ref="BD259:BE259" si="233">BD201</f>
        <v>241</v>
      </c>
      <c r="BE259" s="489">
        <f t="shared" si="233"/>
        <v>241</v>
      </c>
      <c r="BF259" s="489">
        <f>BF19*BF251*2</f>
        <v>253.42036745112406</v>
      </c>
      <c r="BG259" s="489">
        <f>BG19*BG251*2</f>
        <v>251.65526443249013</v>
      </c>
      <c r="BH259" s="458">
        <f>BG259</f>
        <v>251.65526443249013</v>
      </c>
      <c r="BI259" s="489">
        <f>BI19*BI251*2</f>
        <v>267.57417450530227</v>
      </c>
      <c r="BJ259" s="489">
        <f>BJ19*BJ251*2</f>
        <v>254.79624068961954</v>
      </c>
      <c r="BK259" s="458">
        <f>BJ259</f>
        <v>254.79624068961954</v>
      </c>
      <c r="BL259" s="489">
        <f>BL19*BL251*2</f>
        <v>274.48737518724738</v>
      </c>
      <c r="BM259" s="489">
        <f>BM19*BM251*2</f>
        <v>261.54616914316705</v>
      </c>
      <c r="BN259" s="458">
        <f>BM259</f>
        <v>261.54616914316705</v>
      </c>
      <c r="BO259" s="489">
        <f>BO19*BO251*2</f>
        <v>284.74531980149357</v>
      </c>
      <c r="BP259" s="489">
        <f>BP19*BP251*2</f>
        <v>267.49755979320031</v>
      </c>
      <c r="BQ259" s="458">
        <f>BP259</f>
        <v>267.49755979320031</v>
      </c>
      <c r="BR259" s="489">
        <f>BR19*BR251*2</f>
        <v>286.57228240709929</v>
      </c>
      <c r="BS259" s="489">
        <f>BS19*BS251*2</f>
        <v>274.82169333587984</v>
      </c>
      <c r="BT259" s="458">
        <f>BS259</f>
        <v>274.82169333587984</v>
      </c>
      <c r="BU259" s="489">
        <f>BU19*BU251*2</f>
        <v>297.15858453321027</v>
      </c>
      <c r="BV259" s="489">
        <f>BV19*BV251*2</f>
        <v>284.4604452997969</v>
      </c>
      <c r="BW259" s="458">
        <f>BV259</f>
        <v>284.4604452997969</v>
      </c>
      <c r="BX259" s="489">
        <f>BX19*BX251*2</f>
        <v>307.22596886471928</v>
      </c>
      <c r="BY259" s="489">
        <f>BY19*BY251*2</f>
        <v>288.1306695434937</v>
      </c>
      <c r="BZ259" s="458">
        <f>BY259</f>
        <v>288.1306695434937</v>
      </c>
      <c r="CA259" s="489">
        <f>CA19*CA251*2</f>
        <v>311.08612848488087</v>
      </c>
      <c r="CB259" s="489">
        <f>CB19*CB251*2</f>
        <v>291.8599845111429</v>
      </c>
      <c r="CC259" s="458">
        <f>CB259</f>
        <v>291.8599845111429</v>
      </c>
    </row>
    <row r="260" spans="1:89">
      <c r="B260" s="257" t="s">
        <v>64</v>
      </c>
      <c r="C260" s="257" t="s">
        <v>420</v>
      </c>
      <c r="AD260" s="257">
        <f t="shared" ref="AD260:AJ260" si="234">AD220</f>
        <v>98</v>
      </c>
      <c r="AE260" s="257">
        <f t="shared" si="234"/>
        <v>89.6</v>
      </c>
      <c r="AF260" s="257">
        <f t="shared" si="234"/>
        <v>106.1</v>
      </c>
      <c r="AG260" s="11">
        <f t="shared" si="234"/>
        <v>106.1</v>
      </c>
      <c r="AH260" s="257">
        <f t="shared" si="234"/>
        <v>109.3</v>
      </c>
      <c r="AI260" s="257">
        <f t="shared" si="234"/>
        <v>105.4</v>
      </c>
      <c r="AJ260" s="257">
        <f t="shared" si="234"/>
        <v>105.4</v>
      </c>
      <c r="AK260" s="257">
        <f t="shared" ref="AK260:AV260" si="235">AK220</f>
        <v>98.8</v>
      </c>
      <c r="AL260" s="257">
        <f t="shared" si="235"/>
        <v>99.2</v>
      </c>
      <c r="AM260" s="257">
        <f t="shared" si="235"/>
        <v>99.2</v>
      </c>
      <c r="AN260" s="257">
        <f t="shared" si="235"/>
        <v>113.3</v>
      </c>
      <c r="AO260" s="257">
        <f t="shared" si="235"/>
        <v>95</v>
      </c>
      <c r="AP260" s="257">
        <f t="shared" si="235"/>
        <v>95</v>
      </c>
      <c r="AQ260" s="257">
        <f t="shared" si="235"/>
        <v>103.6</v>
      </c>
      <c r="AR260" s="257">
        <f t="shared" si="235"/>
        <v>105.4</v>
      </c>
      <c r="AS260" s="257">
        <f t="shared" si="235"/>
        <v>105.4</v>
      </c>
      <c r="AT260" s="11">
        <f t="shared" si="235"/>
        <v>113.3</v>
      </c>
      <c r="AU260" s="11">
        <f t="shared" si="235"/>
        <v>120.4</v>
      </c>
      <c r="AV260" s="11">
        <f t="shared" si="235"/>
        <v>120.4</v>
      </c>
      <c r="AW260" s="11">
        <f t="shared" ref="AW260:BC260" si="236">AW220</f>
        <v>130.19999999999999</v>
      </c>
      <c r="AX260" s="11">
        <f t="shared" si="236"/>
        <v>122.9</v>
      </c>
      <c r="AY260" s="11">
        <f t="shared" si="236"/>
        <v>122.9</v>
      </c>
      <c r="AZ260" s="524">
        <f t="shared" si="236"/>
        <v>116.3</v>
      </c>
      <c r="BA260" s="489">
        <f t="shared" si="236"/>
        <v>117</v>
      </c>
      <c r="BB260" s="489">
        <f t="shared" si="236"/>
        <v>117</v>
      </c>
      <c r="BC260" s="489">
        <f t="shared" si="236"/>
        <v>138.1</v>
      </c>
      <c r="BD260" s="489">
        <f t="shared" ref="BD260:BE260" si="237">BD220</f>
        <v>145.80000000000001</v>
      </c>
      <c r="BE260" s="489">
        <f t="shared" si="237"/>
        <v>145.80000000000001</v>
      </c>
      <c r="BF260" s="489">
        <f>BF19*BF252*2</f>
        <v>144.73677727460807</v>
      </c>
      <c r="BG260" s="489">
        <f>BG19*BG252*2</f>
        <v>152.24621391807909</v>
      </c>
      <c r="BH260" s="458">
        <f>BG260</f>
        <v>152.24621391807909</v>
      </c>
      <c r="BI260" s="489">
        <f>BI19*BI252*2</f>
        <v>152.82048593541043</v>
      </c>
      <c r="BJ260" s="489">
        <f>BJ19*BJ252*2</f>
        <v>154.14643938815988</v>
      </c>
      <c r="BK260" s="458">
        <f>BJ260</f>
        <v>154.14643938815988</v>
      </c>
      <c r="BL260" s="489">
        <f>BL19*BL252*2</f>
        <v>156.76884414126906</v>
      </c>
      <c r="BM260" s="489">
        <f>BM19*BM252*2</f>
        <v>158.23000606254669</v>
      </c>
      <c r="BN260" s="458">
        <f>BM260</f>
        <v>158.23000606254669</v>
      </c>
      <c r="BO260" s="489">
        <f>BO19*BO252*2</f>
        <v>162.62749654502173</v>
      </c>
      <c r="BP260" s="489">
        <f>BP19*BP252*2</f>
        <v>161.83047393298173</v>
      </c>
      <c r="BQ260" s="458">
        <f>BP260</f>
        <v>161.83047393298173</v>
      </c>
      <c r="BR260" s="489">
        <f>BR19*BR252*2</f>
        <v>163.67093548560962</v>
      </c>
      <c r="BS260" s="489">
        <f>BS19*BS252*2</f>
        <v>166.26142277332482</v>
      </c>
      <c r="BT260" s="458">
        <f>BS260</f>
        <v>166.26142277332482</v>
      </c>
      <c r="BU260" s="489">
        <f>BU19*BU252*2</f>
        <v>169.71712375531985</v>
      </c>
      <c r="BV260" s="489">
        <f>BV19*BV252*2</f>
        <v>172.0926677373875</v>
      </c>
      <c r="BW260" s="458">
        <f>BV260</f>
        <v>172.0926677373875</v>
      </c>
      <c r="BX260" s="489">
        <f>BX19*BX252*2</f>
        <v>175.46694086111552</v>
      </c>
      <c r="BY260" s="489">
        <f>BY19*BY252*2</f>
        <v>174.31307725909284</v>
      </c>
      <c r="BZ260" s="458">
        <f>BY260</f>
        <v>174.31307725909284</v>
      </c>
      <c r="CA260" s="489">
        <f>CA19*CA252*2</f>
        <v>177.67160605360647</v>
      </c>
      <c r="CB260" s="489">
        <f>CB19*CB252*2</f>
        <v>176.56923544284081</v>
      </c>
      <c r="CC260" s="458">
        <f>CB260</f>
        <v>176.56923544284081</v>
      </c>
    </row>
    <row r="261" spans="1:89" s="7" customFormat="1">
      <c r="A261" s="40"/>
      <c r="B261" s="40" t="s">
        <v>364</v>
      </c>
      <c r="C261" s="40" t="s">
        <v>420</v>
      </c>
      <c r="D261" s="40"/>
      <c r="E261" s="40"/>
      <c r="F261" s="40"/>
      <c r="G261" s="40"/>
      <c r="H261" s="40"/>
      <c r="I261" s="40"/>
      <c r="J261" s="40"/>
      <c r="K261" s="40"/>
      <c r="L261" s="40"/>
      <c r="M261" s="40"/>
      <c r="N261" s="40"/>
      <c r="O261" s="40"/>
      <c r="P261" s="40"/>
      <c r="Q261" s="40"/>
      <c r="R261" s="40"/>
      <c r="S261" s="40"/>
      <c r="T261" s="40"/>
      <c r="U261" s="40"/>
      <c r="V261" s="40"/>
      <c r="W261" s="40"/>
      <c r="X261" s="40"/>
      <c r="Y261" s="40"/>
      <c r="Z261" s="40"/>
      <c r="AA261" s="40"/>
      <c r="AB261" s="40"/>
      <c r="AC261" s="40"/>
      <c r="AD261" s="40">
        <f t="shared" ref="AD261:AK261" si="238">AD258+AD259-AD260</f>
        <v>169.7</v>
      </c>
      <c r="AE261" s="40">
        <f t="shared" si="238"/>
        <v>180.10000000000005</v>
      </c>
      <c r="AF261" s="40">
        <f t="shared" si="238"/>
        <v>164.50000000000003</v>
      </c>
      <c r="AG261" s="40">
        <f t="shared" si="238"/>
        <v>164.50000000000003</v>
      </c>
      <c r="AH261" s="40">
        <f t="shared" si="238"/>
        <v>178.09999999999997</v>
      </c>
      <c r="AI261" s="40">
        <f>AI258+AI259-AI260</f>
        <v>165.70000000000002</v>
      </c>
      <c r="AJ261" s="40">
        <f>AJ258+AJ259-AJ260</f>
        <v>165.70000000000002</v>
      </c>
      <c r="AK261" s="40">
        <f t="shared" si="238"/>
        <v>181.39999999999998</v>
      </c>
      <c r="AL261" s="131">
        <f t="shared" ref="AL261:AY261" si="239">AL258+AL259-AL260</f>
        <v>194.7</v>
      </c>
      <c r="AM261" s="110">
        <f t="shared" si="239"/>
        <v>194.7</v>
      </c>
      <c r="AN261" s="40">
        <f t="shared" si="239"/>
        <v>201</v>
      </c>
      <c r="AO261" s="131">
        <f t="shared" si="239"/>
        <v>210</v>
      </c>
      <c r="AP261" s="110">
        <f t="shared" si="239"/>
        <v>210</v>
      </c>
      <c r="AQ261" s="40">
        <f>AQ258+AQ259-AQ260</f>
        <v>207.70000000000002</v>
      </c>
      <c r="AR261" s="131">
        <f t="shared" si="239"/>
        <v>213.30000000000004</v>
      </c>
      <c r="AS261" s="110">
        <f t="shared" si="239"/>
        <v>213.30000000000004</v>
      </c>
      <c r="AT261" s="131">
        <f t="shared" si="239"/>
        <v>229.89999999999998</v>
      </c>
      <c r="AU261" s="131">
        <f t="shared" si="239"/>
        <v>233.6</v>
      </c>
      <c r="AV261" s="110">
        <f t="shared" si="239"/>
        <v>233.6</v>
      </c>
      <c r="AW261" s="131">
        <f t="shared" si="239"/>
        <v>237.60000000000002</v>
      </c>
      <c r="AX261" s="131">
        <f t="shared" si="239"/>
        <v>246.9</v>
      </c>
      <c r="AY261" s="110">
        <f t="shared" si="239"/>
        <v>246.9</v>
      </c>
      <c r="AZ261" s="525">
        <f t="shared" ref="AZ261:BN261" si="240">AZ258+AZ259-AZ260</f>
        <v>245.3</v>
      </c>
      <c r="BA261" s="131">
        <f>BA258+BA259-BA260</f>
        <v>247.79999999999995</v>
      </c>
      <c r="BB261" s="131">
        <f>BB258+BB259-BB260</f>
        <v>247.79999999999995</v>
      </c>
      <c r="BC261" s="131">
        <f>BC258+BC259-BC260</f>
        <v>259.70000000000005</v>
      </c>
      <c r="BD261" s="131">
        <f>BD258+BD259-BD260</f>
        <v>269.5</v>
      </c>
      <c r="BE261" s="131">
        <f>BE258+BE259-BE260</f>
        <v>269.5</v>
      </c>
      <c r="BF261" s="131">
        <f t="shared" si="240"/>
        <v>272.18060143530573</v>
      </c>
      <c r="BG261" s="131">
        <f t="shared" si="240"/>
        <v>281.41532682388419</v>
      </c>
      <c r="BH261" s="110">
        <f t="shared" si="240"/>
        <v>281.41532682388419</v>
      </c>
      <c r="BI261" s="131">
        <f t="shared" si="240"/>
        <v>287.38218825073199</v>
      </c>
      <c r="BJ261" s="131">
        <f t="shared" si="240"/>
        <v>284.92774633133803</v>
      </c>
      <c r="BK261" s="110">
        <f t="shared" si="240"/>
        <v>284.92774633133803</v>
      </c>
      <c r="BL261" s="131">
        <f t="shared" si="240"/>
        <v>294.80716019904116</v>
      </c>
      <c r="BM261" s="131">
        <f t="shared" si="240"/>
        <v>292.47590283852088</v>
      </c>
      <c r="BN261" s="110">
        <f t="shared" si="240"/>
        <v>292.47590283852088</v>
      </c>
      <c r="BO261" s="131">
        <f>BO258+BO259-BO260</f>
        <v>305.82448119291928</v>
      </c>
      <c r="BP261" s="131">
        <f>BP258+BP259-BP260</f>
        <v>299.13108864841286</v>
      </c>
      <c r="BQ261" s="110">
        <f>BQ258+BQ259-BQ260</f>
        <v>299.13108864841286</v>
      </c>
      <c r="BR261" s="131">
        <f t="shared" ref="BR261:CC261" si="241">BR258+BR259-BR260</f>
        <v>307.78669040994083</v>
      </c>
      <c r="BS261" s="131">
        <f t="shared" si="241"/>
        <v>307.32135416605649</v>
      </c>
      <c r="BT261" s="110">
        <f t="shared" si="241"/>
        <v>307.32135416605649</v>
      </c>
      <c r="BU261" s="131">
        <f t="shared" si="241"/>
        <v>319.15667660576804</v>
      </c>
      <c r="BV261" s="131">
        <f t="shared" si="241"/>
        <v>318.09995854064425</v>
      </c>
      <c r="BW261" s="110">
        <f t="shared" si="241"/>
        <v>318.09995854064425</v>
      </c>
      <c r="BX261" s="131">
        <f t="shared" si="241"/>
        <v>329.969330496971</v>
      </c>
      <c r="BY261" s="131">
        <f t="shared" si="241"/>
        <v>322.20421345216414</v>
      </c>
      <c r="BZ261" s="110">
        <f t="shared" si="241"/>
        <v>322.20421345216414</v>
      </c>
      <c r="CA261" s="131">
        <f t="shared" si="241"/>
        <v>334.11525048603625</v>
      </c>
      <c r="CB261" s="131">
        <f t="shared" si="241"/>
        <v>326.37454699482578</v>
      </c>
      <c r="CC261" s="110">
        <f t="shared" si="241"/>
        <v>326.37454699482578</v>
      </c>
      <c r="CD261" s="40"/>
      <c r="CE261" s="40"/>
      <c r="CF261"/>
      <c r="CG261"/>
      <c r="CH261"/>
      <c r="CI261"/>
      <c r="CJ261"/>
      <c r="CK261"/>
    </row>
    <row r="262" spans="1:89">
      <c r="AZ262" s="523"/>
    </row>
    <row r="263" spans="1:89">
      <c r="B263" s="40" t="s">
        <v>365</v>
      </c>
      <c r="C263" s="257" t="s">
        <v>420</v>
      </c>
      <c r="AE263" s="257">
        <f>AE261-AD261</f>
        <v>10.400000000000063</v>
      </c>
      <c r="AF263" s="257">
        <f>AF261-AE261</f>
        <v>-15.600000000000023</v>
      </c>
      <c r="AG263" s="458">
        <f>AG261-AD261</f>
        <v>-5.1999999999999602</v>
      </c>
      <c r="AH263" s="257">
        <f>AH261-AG261</f>
        <v>13.599999999999937</v>
      </c>
      <c r="AI263" s="257">
        <f>AI261-AH261</f>
        <v>-12.399999999999949</v>
      </c>
      <c r="AJ263" s="458">
        <f>AJ261-AG261</f>
        <v>1.1999999999999886</v>
      </c>
      <c r="AK263" s="458">
        <f>AK261-AJ261</f>
        <v>15.69999999999996</v>
      </c>
      <c r="AL263" s="458">
        <f>AL261-AK261</f>
        <v>13.300000000000011</v>
      </c>
      <c r="AM263" s="458">
        <f>AM261-AJ261</f>
        <v>28.999999999999972</v>
      </c>
      <c r="AN263" s="458">
        <f>AN261-AM261</f>
        <v>6.3000000000000114</v>
      </c>
      <c r="AO263" s="458">
        <f>AO261-AN261</f>
        <v>9</v>
      </c>
      <c r="AP263" s="458">
        <f>AP261-AM261</f>
        <v>15.300000000000011</v>
      </c>
      <c r="AQ263" s="458">
        <f>AQ261-AP261</f>
        <v>-2.2999999999999829</v>
      </c>
      <c r="AR263" s="458">
        <f>AR261-AQ261</f>
        <v>5.6000000000000227</v>
      </c>
      <c r="AS263" s="458">
        <f>AS261-AP261</f>
        <v>3.3000000000000398</v>
      </c>
      <c r="AT263" s="458">
        <f>AT261-AS261</f>
        <v>16.599999999999937</v>
      </c>
      <c r="AU263" s="458">
        <f>AU261-AT261</f>
        <v>3.7000000000000171</v>
      </c>
      <c r="AV263" s="458">
        <f>AV261-AS261</f>
        <v>20.299999999999955</v>
      </c>
      <c r="AW263" s="458">
        <f>AW261-AV261</f>
        <v>4.0000000000000284</v>
      </c>
      <c r="AX263" s="458">
        <f>AX261-AW261</f>
        <v>9.2999999999999829</v>
      </c>
      <c r="AY263" s="458">
        <f>AY261-AV261</f>
        <v>13.300000000000011</v>
      </c>
      <c r="AZ263" s="522">
        <f>AZ261-AY261</f>
        <v>-1.5999999999999943</v>
      </c>
      <c r="BA263" s="458">
        <f>BA261-AZ261</f>
        <v>2.4999999999999432</v>
      </c>
      <c r="BB263" s="458">
        <f>BB261-AY261</f>
        <v>0.89999999999994884</v>
      </c>
      <c r="BC263" s="458">
        <f>BC261-BB261</f>
        <v>11.900000000000091</v>
      </c>
      <c r="BD263" s="458">
        <f>BD261-BC261</f>
        <v>9.7999999999999545</v>
      </c>
      <c r="BE263" s="458">
        <f>BE261-BB261</f>
        <v>21.700000000000045</v>
      </c>
      <c r="BF263" s="458">
        <f>BF261-BE261</f>
        <v>2.6806014353057321</v>
      </c>
      <c r="BG263" s="458">
        <f>BG261-BF261</f>
        <v>9.2347253885784539</v>
      </c>
      <c r="BH263" s="458">
        <f>BH261-BE261</f>
        <v>11.915326823884186</v>
      </c>
      <c r="BI263" s="458">
        <f>BI261-BH261</f>
        <v>5.9668614268477995</v>
      </c>
      <c r="BJ263" s="458">
        <f>BJ261-BI261</f>
        <v>-2.4544419193939575</v>
      </c>
      <c r="BK263" s="458">
        <f>BK261-BH261</f>
        <v>3.512419507453842</v>
      </c>
      <c r="BL263" s="458">
        <f>BL261-BK261</f>
        <v>9.8794138677031356</v>
      </c>
      <c r="BM263" s="458">
        <f>BM261-BL261</f>
        <v>-2.3312573605202829</v>
      </c>
      <c r="BN263" s="458">
        <f>BN261-BK261</f>
        <v>7.5481565071828527</v>
      </c>
      <c r="BO263" s="458">
        <f>BO261-BN261</f>
        <v>13.348578354398398</v>
      </c>
      <c r="BP263" s="458">
        <f>BP261-BO261</f>
        <v>-6.6933925445064233</v>
      </c>
      <c r="BQ263" s="458">
        <f>BQ261-BN261</f>
        <v>6.6551858098919752</v>
      </c>
      <c r="BR263" s="458">
        <f>BR261-BQ261</f>
        <v>8.6556017615279757</v>
      </c>
      <c r="BS263" s="458">
        <f>BS261-BR261</f>
        <v>-0.46533624388433736</v>
      </c>
      <c r="BT263" s="458">
        <f>BT261-BQ261</f>
        <v>8.1902655176436383</v>
      </c>
      <c r="BU263" s="458">
        <f>BU261-BT261</f>
        <v>11.835322439711547</v>
      </c>
      <c r="BV263" s="458">
        <f>BV261-BU261</f>
        <v>-1.0567180651237891</v>
      </c>
      <c r="BW263" s="458">
        <f>BW261-BT261</f>
        <v>10.778604374587758</v>
      </c>
      <c r="BX263" s="458">
        <f>BX261-BW261</f>
        <v>11.869371956326745</v>
      </c>
      <c r="BY263" s="458">
        <f>BY261-BX261</f>
        <v>-7.7651170448068569</v>
      </c>
      <c r="BZ263" s="458">
        <f>BZ261-BW261</f>
        <v>4.1042549115198881</v>
      </c>
      <c r="CA263" s="458">
        <f>CA261-BZ261</f>
        <v>11.911037033872105</v>
      </c>
      <c r="CB263" s="458">
        <f>CB261-CA261</f>
        <v>-7.7407034912104677</v>
      </c>
      <c r="CC263" s="458">
        <f>CC261-BZ261</f>
        <v>4.1703335426616377</v>
      </c>
    </row>
    <row r="264" spans="1:89">
      <c r="B264" s="40" t="s">
        <v>366</v>
      </c>
      <c r="C264" s="257" t="s">
        <v>195</v>
      </c>
      <c r="AD264" s="470">
        <f>AD261/AD21</f>
        <v>0.13655749577532791</v>
      </c>
      <c r="AE264" s="470">
        <f>AE261/AE21/2</f>
        <v>0.16025983271044672</v>
      </c>
      <c r="AF264" s="470">
        <f>AF261/AF21/2</f>
        <v>0.12530469226081661</v>
      </c>
      <c r="AG264" s="470">
        <f>AG261/AG21</f>
        <v>0.1350242140687844</v>
      </c>
      <c r="AH264" s="470">
        <f>AH261/AH21/2</f>
        <v>0.1443741893644617</v>
      </c>
      <c r="AI264" s="470">
        <f>AI261/AI21/2</f>
        <v>0.10917067266168529</v>
      </c>
      <c r="AJ264" s="470">
        <f>AJ261/AJ21</f>
        <v>0.12044747008110816</v>
      </c>
      <c r="AK264" s="470">
        <f>AK261/AK21/2</f>
        <v>0.14779149715755352</v>
      </c>
      <c r="AL264" s="470">
        <f>AL261/AL21/2</f>
        <v>0.12278311300369465</v>
      </c>
      <c r="AM264" s="470">
        <f t="shared" ref="AM264:CC264" si="242">AM261/AM21</f>
        <v>0.13842243518324207</v>
      </c>
      <c r="AN264" s="470">
        <f t="shared" si="242"/>
        <v>0.30776960955216387</v>
      </c>
      <c r="AO264" s="470">
        <f t="shared" si="242"/>
        <v>0.29423547499038505</v>
      </c>
      <c r="AP264" s="470">
        <f t="shared" si="242"/>
        <v>0.15364354697102722</v>
      </c>
      <c r="AQ264" s="470">
        <f t="shared" si="242"/>
        <v>0.31004627556351699</v>
      </c>
      <c r="AR264" s="470">
        <f t="shared" si="242"/>
        <v>0.28424840085287856</v>
      </c>
      <c r="AS264" s="470">
        <f t="shared" si="242"/>
        <v>0.15017953953390129</v>
      </c>
      <c r="AT264" s="470">
        <f t="shared" si="242"/>
        <v>0.32781976329673457</v>
      </c>
      <c r="AU264" s="470">
        <f t="shared" si="242"/>
        <v>0.25273179703559445</v>
      </c>
      <c r="AV264" s="470">
        <f t="shared" si="242"/>
        <v>0.14834571664444021</v>
      </c>
      <c r="AW264" s="470">
        <f t="shared" si="242"/>
        <v>0.29526531626693181</v>
      </c>
      <c r="AX264" s="470">
        <f t="shared" si="242"/>
        <v>0.26514175257731953</v>
      </c>
      <c r="AY264" s="470">
        <f t="shared" si="242"/>
        <v>0.1422316953741575</v>
      </c>
      <c r="AZ264" s="526">
        <f t="shared" si="242"/>
        <v>0.29174595623215988</v>
      </c>
      <c r="BA264" s="470">
        <f t="shared" si="242"/>
        <v>0.27643908969210168</v>
      </c>
      <c r="BB264" s="470">
        <f t="shared" si="242"/>
        <v>0.14264333410085192</v>
      </c>
      <c r="BC264" s="470">
        <f t="shared" si="242"/>
        <v>0.36362363483618043</v>
      </c>
      <c r="BD264" s="470">
        <f t="shared" ref="BD264:BE264" si="243">BD261/BD21</f>
        <v>0.31542602996254682</v>
      </c>
      <c r="BE264" s="470">
        <f t="shared" si="243"/>
        <v>0.17180925666199159</v>
      </c>
      <c r="BF264" s="470">
        <f t="shared" si="242"/>
        <v>0.35557764770211131</v>
      </c>
      <c r="BG264" s="470">
        <f t="shared" si="242"/>
        <v>0.31571234200964454</v>
      </c>
      <c r="BH264" s="470">
        <f t="shared" si="242"/>
        <v>0.16985200589897292</v>
      </c>
      <c r="BI264" s="470">
        <f t="shared" si="242"/>
        <v>0.35602788499441962</v>
      </c>
      <c r="BJ264" s="470">
        <f t="shared" si="242"/>
        <v>0.31579226431958946</v>
      </c>
      <c r="BK264" s="470">
        <f t="shared" si="242"/>
        <v>0.16667769776632277</v>
      </c>
      <c r="BL264" s="470">
        <f t="shared" si="242"/>
        <v>0.3562312911593401</v>
      </c>
      <c r="BM264" s="470">
        <f t="shared" si="242"/>
        <v>0.31595764985174701</v>
      </c>
      <c r="BN264" s="470">
        <f t="shared" si="242"/>
        <v>0.16681899034272912</v>
      </c>
      <c r="BO264" s="470">
        <f t="shared" si="242"/>
        <v>0.35651529685601602</v>
      </c>
      <c r="BP264" s="470">
        <f t="shared" si="242"/>
        <v>0.31609667982596013</v>
      </c>
      <c r="BQ264" s="470">
        <f t="shared" si="242"/>
        <v>0.16580225068188972</v>
      </c>
      <c r="BR264" s="470">
        <f t="shared" si="242"/>
        <v>0.35656379104772318</v>
      </c>
      <c r="BS264" s="470">
        <f t="shared" si="242"/>
        <v>0.31625966891309953</v>
      </c>
      <c r="BT264" s="470">
        <f t="shared" si="242"/>
        <v>0.16748307769855678</v>
      </c>
      <c r="BU264" s="470">
        <f t="shared" si="242"/>
        <v>0.35683329172576389</v>
      </c>
      <c r="BV264" s="470">
        <f t="shared" si="242"/>
        <v>0.31646160880253793</v>
      </c>
      <c r="BW264" s="470">
        <f t="shared" si="242"/>
        <v>0.16745707410366606</v>
      </c>
      <c r="BX264" s="470">
        <f t="shared" si="242"/>
        <v>0.35707269378838608</v>
      </c>
      <c r="BY264" s="470">
        <f t="shared" si="242"/>
        <v>0.31653501511004511</v>
      </c>
      <c r="BZ264" s="470">
        <f t="shared" si="242"/>
        <v>0.16591310150387706</v>
      </c>
      <c r="CA264" s="470">
        <f t="shared" si="242"/>
        <v>0.35716045894733955</v>
      </c>
      <c r="CB264" s="470">
        <f t="shared" si="242"/>
        <v>0.31660774579503048</v>
      </c>
      <c r="CC264" s="470">
        <f t="shared" si="242"/>
        <v>0.16598200663300292</v>
      </c>
    </row>
    <row r="265" spans="1:89">
      <c r="AZ265" s="523"/>
    </row>
    <row r="266" spans="1:89">
      <c r="B266" s="488" t="s">
        <v>367</v>
      </c>
      <c r="AZ266" s="523"/>
    </row>
    <row r="267" spans="1:89">
      <c r="B267" s="257" t="s">
        <v>368</v>
      </c>
      <c r="C267" s="257" t="s">
        <v>369</v>
      </c>
      <c r="AD267" s="527">
        <f t="shared" ref="AD267:BN267" si="244">(AD236-AD211)/AD286</f>
        <v>0.96303197667109375</v>
      </c>
      <c r="AE267" s="527">
        <f t="shared" si="244"/>
        <v>1.1244451451576183</v>
      </c>
      <c r="AF267" s="527">
        <f t="shared" si="244"/>
        <v>1.2009024517990661</v>
      </c>
      <c r="AG267" s="527">
        <f t="shared" si="244"/>
        <v>1.2009024517990661</v>
      </c>
      <c r="AH267" s="527">
        <f t="shared" si="244"/>
        <v>1.1562480830634252</v>
      </c>
      <c r="AI267" s="527">
        <f>(AI236-AI211)/AI286</f>
        <v>1.1890426507803937</v>
      </c>
      <c r="AJ267" s="527">
        <f>(AJ236-AJ211)/AJ286</f>
        <v>1.1895704661408741</v>
      </c>
      <c r="AK267" s="527">
        <f t="shared" si="244"/>
        <v>1.1690951582581555</v>
      </c>
      <c r="AL267" s="527">
        <f t="shared" si="244"/>
        <v>1.2143512387950504</v>
      </c>
      <c r="AM267" s="527">
        <f t="shared" si="244"/>
        <v>1.2143512387950504</v>
      </c>
      <c r="AN267" s="527">
        <f t="shared" si="244"/>
        <v>1.2282661720127985</v>
      </c>
      <c r="AO267" s="527">
        <f t="shared" si="244"/>
        <v>1.288981520505678</v>
      </c>
      <c r="AP267" s="527">
        <f t="shared" si="244"/>
        <v>1.288981520505678</v>
      </c>
      <c r="AQ267" s="527">
        <f t="shared" si="244"/>
        <v>1.3101083743842368</v>
      </c>
      <c r="AR267" s="527">
        <f t="shared" si="244"/>
        <v>1.375804649041841</v>
      </c>
      <c r="AS267" s="527">
        <f t="shared" si="244"/>
        <v>1.375804649041841</v>
      </c>
      <c r="AT267" s="527">
        <f t="shared" si="244"/>
        <v>1.3348014606518468</v>
      </c>
      <c r="AU267" s="527">
        <f t="shared" si="244"/>
        <v>1.3608461053799836</v>
      </c>
      <c r="AV267" s="527">
        <f t="shared" si="244"/>
        <v>1.3608461053799836</v>
      </c>
      <c r="AW267" s="527">
        <f t="shared" si="244"/>
        <v>1.4077609137850102</v>
      </c>
      <c r="AX267" s="527">
        <f t="shared" si="244"/>
        <v>1.4404618256272894</v>
      </c>
      <c r="AY267" s="527">
        <f t="shared" si="244"/>
        <v>1.4404618256272894</v>
      </c>
      <c r="AZ267" s="528">
        <f t="shared" si="244"/>
        <v>1.4104259403038366</v>
      </c>
      <c r="BA267" s="527">
        <f t="shared" si="244"/>
        <v>1.462590118488001</v>
      </c>
      <c r="BB267" s="527">
        <f t="shared" si="244"/>
        <v>1.462590118488001</v>
      </c>
      <c r="BC267" s="527">
        <f>(BC236-BC211)/BC286</f>
        <v>1.3873987255879239</v>
      </c>
      <c r="BD267" s="527">
        <f t="shared" ref="BD267:BE267" si="245">(BD236-BD211)/BD286</f>
        <v>1.4587716070564567</v>
      </c>
      <c r="BE267" s="527">
        <f t="shared" si="245"/>
        <v>1.4587716070564567</v>
      </c>
      <c r="BF267" s="527">
        <f t="shared" si="244"/>
        <v>1.4173934033247941</v>
      </c>
      <c r="BG267" s="527">
        <f t="shared" si="244"/>
        <v>1.4929615634251154</v>
      </c>
      <c r="BH267" s="527">
        <f t="shared" si="244"/>
        <v>1.4929615634251154</v>
      </c>
      <c r="BI267" s="527">
        <f t="shared" si="244"/>
        <v>1.4641831311773152</v>
      </c>
      <c r="BJ267" s="527">
        <f t="shared" si="244"/>
        <v>1.5318603636475152</v>
      </c>
      <c r="BK267" s="527">
        <f t="shared" si="244"/>
        <v>1.5318603636475152</v>
      </c>
      <c r="BL267" s="527">
        <f t="shared" si="244"/>
        <v>1.4919464753913496</v>
      </c>
      <c r="BM267" s="527">
        <f t="shared" si="244"/>
        <v>1.5606465712901825</v>
      </c>
      <c r="BN267" s="527">
        <f t="shared" si="244"/>
        <v>1.5606465712901825</v>
      </c>
      <c r="BO267" s="527">
        <f>(BO236-BO211)/BO286</f>
        <v>1.534471160016281</v>
      </c>
      <c r="BP267" s="527">
        <f>(BP236-BP211)/BP286</f>
        <v>1.6513281830871203</v>
      </c>
      <c r="BQ267" s="527">
        <f>(BQ236-BQ211)/BQ286</f>
        <v>1.6513281830871203</v>
      </c>
      <c r="BR267" s="527">
        <f t="shared" ref="BR267:CC267" si="246">(BR236-BR211)/BR286</f>
        <v>1.6634227128774184</v>
      </c>
      <c r="BS267" s="527">
        <f t="shared" si="246"/>
        <v>1.7940687684258998</v>
      </c>
      <c r="BT267" s="527">
        <f t="shared" si="246"/>
        <v>1.7940687684258998</v>
      </c>
      <c r="BU267" s="527">
        <f t="shared" si="246"/>
        <v>1.8119591099347956</v>
      </c>
      <c r="BV267" s="527">
        <f t="shared" si="246"/>
        <v>1.9528186395321383</v>
      </c>
      <c r="BW267" s="527">
        <f t="shared" si="246"/>
        <v>1.9528186395321383</v>
      </c>
      <c r="BX267" s="527">
        <f>(BX236-BX211)/BX286</f>
        <v>1.9769471273999804</v>
      </c>
      <c r="BY267" s="527">
        <f t="shared" si="246"/>
        <v>2.1139460393442522</v>
      </c>
      <c r="BZ267" s="527">
        <f t="shared" si="246"/>
        <v>2.1139460393442522</v>
      </c>
      <c r="CA267" s="527">
        <f t="shared" si="246"/>
        <v>2.1323872403996602</v>
      </c>
      <c r="CB267" s="527">
        <f t="shared" si="246"/>
        <v>2.2761356196858173</v>
      </c>
      <c r="CC267" s="527">
        <f t="shared" si="246"/>
        <v>2.2761356196858173</v>
      </c>
    </row>
    <row r="268" spans="1:89">
      <c r="B268" s="257" t="s">
        <v>370</v>
      </c>
      <c r="C268" s="257" t="s">
        <v>420</v>
      </c>
      <c r="AD268" s="257">
        <f t="shared" ref="AD268:BI268" si="247">AD159+AD229+SUM(AD239:AD241)</f>
        <v>1119.3999999999999</v>
      </c>
      <c r="AE268" s="257">
        <f t="shared" si="247"/>
        <v>1122.7</v>
      </c>
      <c r="AF268" s="257">
        <f t="shared" si="247"/>
        <v>1099.2</v>
      </c>
      <c r="AG268" s="458">
        <f t="shared" si="247"/>
        <v>1099.2</v>
      </c>
      <c r="AH268" s="257">
        <f t="shared" si="247"/>
        <v>1123.4000000000001</v>
      </c>
      <c r="AI268" s="257">
        <f t="shared" si="247"/>
        <v>1112.3</v>
      </c>
      <c r="AJ268" s="458">
        <f t="shared" si="247"/>
        <v>1112.3</v>
      </c>
      <c r="AK268" s="458">
        <f t="shared" si="247"/>
        <v>1173.4000000000001</v>
      </c>
      <c r="AL268" s="458">
        <f t="shared" si="247"/>
        <v>1233.5</v>
      </c>
      <c r="AM268" s="458">
        <f t="shared" si="247"/>
        <v>1233.5</v>
      </c>
      <c r="AN268" s="458">
        <f t="shared" si="247"/>
        <v>1286.9000000000001</v>
      </c>
      <c r="AO268" s="458">
        <f t="shared" si="247"/>
        <v>1344.8</v>
      </c>
      <c r="AP268" s="458">
        <f t="shared" si="247"/>
        <v>1344.8</v>
      </c>
      <c r="AQ268" s="458">
        <f t="shared" si="247"/>
        <v>1357.1</v>
      </c>
      <c r="AR268" s="458">
        <f t="shared" si="247"/>
        <v>1335.5</v>
      </c>
      <c r="AS268" s="458">
        <f t="shared" si="247"/>
        <v>1335.5</v>
      </c>
      <c r="AT268" s="458">
        <f t="shared" si="247"/>
        <v>1398.1</v>
      </c>
      <c r="AU268" s="458">
        <f t="shared" si="247"/>
        <v>1535.2</v>
      </c>
      <c r="AV268" s="458">
        <f t="shared" si="247"/>
        <v>1535.2</v>
      </c>
      <c r="AW268" s="458">
        <f t="shared" si="247"/>
        <v>1546.5</v>
      </c>
      <c r="AX268" s="458">
        <f t="shared" si="247"/>
        <v>1542.1</v>
      </c>
      <c r="AY268" s="458">
        <f t="shared" si="247"/>
        <v>1538.8</v>
      </c>
      <c r="AZ268" s="522">
        <f t="shared" si="247"/>
        <v>1572.3</v>
      </c>
      <c r="BA268" s="458">
        <f t="shared" si="247"/>
        <v>1545.1</v>
      </c>
      <c r="BB268" s="458">
        <f t="shared" si="247"/>
        <v>1545.1</v>
      </c>
      <c r="BC268" s="458">
        <f t="shared" si="247"/>
        <v>1636.2</v>
      </c>
      <c r="BD268" s="458">
        <f t="shared" ref="BD268:BE268" si="248">BD159+BD229+SUM(BD239:BD241)</f>
        <v>1662.1999999999998</v>
      </c>
      <c r="BE268" s="458">
        <f t="shared" si="248"/>
        <v>1662.1999999999998</v>
      </c>
      <c r="BF268" s="458">
        <f t="shared" si="247"/>
        <v>1674.0022863098995</v>
      </c>
      <c r="BG268" s="458">
        <f t="shared" si="247"/>
        <v>1691.8074103771887</v>
      </c>
      <c r="BH268" s="458">
        <f t="shared" si="247"/>
        <v>1691.8074103771887</v>
      </c>
      <c r="BI268" s="458">
        <f t="shared" si="247"/>
        <v>1689.5014075640115</v>
      </c>
      <c r="BJ268" s="458">
        <f t="shared" ref="BJ268:CC268" si="249">BJ159+BJ229+SUM(BJ239:BJ241)</f>
        <v>1678.2503436882801</v>
      </c>
      <c r="BK268" s="458">
        <f t="shared" si="249"/>
        <v>1678.2503436882801</v>
      </c>
      <c r="BL268" s="458">
        <f t="shared" si="249"/>
        <v>1680.342764528657</v>
      </c>
      <c r="BM268" s="458">
        <f t="shared" si="249"/>
        <v>1669.6878363723602</v>
      </c>
      <c r="BN268" s="458">
        <f t="shared" si="249"/>
        <v>1669.6878363723602</v>
      </c>
      <c r="BO268" s="458">
        <f t="shared" si="249"/>
        <v>1675.7003813356662</v>
      </c>
      <c r="BP268" s="458">
        <f t="shared" si="249"/>
        <v>1661.122314477783</v>
      </c>
      <c r="BQ268" s="458">
        <f t="shared" si="249"/>
        <v>1661.122314477783</v>
      </c>
      <c r="BR268" s="458">
        <f t="shared" si="249"/>
        <v>1662.8578814820637</v>
      </c>
      <c r="BS268" s="458">
        <f t="shared" si="249"/>
        <v>1654.9129296856831</v>
      </c>
      <c r="BT268" s="458">
        <f t="shared" si="249"/>
        <v>1654.9129296856829</v>
      </c>
      <c r="BU268" s="458">
        <f t="shared" si="249"/>
        <v>1660.2091721938232</v>
      </c>
      <c r="BV268" s="458">
        <f t="shared" si="249"/>
        <v>1652.0439508369495</v>
      </c>
      <c r="BW268" s="458">
        <f t="shared" si="249"/>
        <v>1652.0439508369498</v>
      </c>
      <c r="BX268" s="458">
        <f t="shared" si="249"/>
        <v>1657.7200356602123</v>
      </c>
      <c r="BY268" s="458">
        <f t="shared" si="249"/>
        <v>1643.1835455278285</v>
      </c>
      <c r="BZ268" s="458">
        <f t="shared" si="249"/>
        <v>1643.1835455278285</v>
      </c>
      <c r="CA268" s="458">
        <f t="shared" si="249"/>
        <v>1649.2117703715248</v>
      </c>
      <c r="CB268" s="458">
        <f t="shared" si="249"/>
        <v>1635.002778550537</v>
      </c>
      <c r="CC268" s="458">
        <f t="shared" si="249"/>
        <v>1635.0027785505372</v>
      </c>
    </row>
    <row r="269" spans="1:89">
      <c r="B269" s="257" t="s">
        <v>127</v>
      </c>
      <c r="C269" s="257" t="s">
        <v>195</v>
      </c>
      <c r="AD269" s="470">
        <f t="shared" ref="AD269:BI269" si="250">AD159/(AD159+AD244)</f>
        <v>0.3558777645223456</v>
      </c>
      <c r="AE269" s="470">
        <f t="shared" si="250"/>
        <v>0.23898336076065094</v>
      </c>
      <c r="AF269" s="470">
        <f t="shared" si="250"/>
        <v>0.16355837374114135</v>
      </c>
      <c r="AG269" s="470">
        <f t="shared" si="250"/>
        <v>0.16355837374114135</v>
      </c>
      <c r="AH269" s="470">
        <f t="shared" si="250"/>
        <v>0.16543209876543208</v>
      </c>
      <c r="AI269" s="470">
        <f t="shared" si="250"/>
        <v>0.13706474554354853</v>
      </c>
      <c r="AJ269" s="470">
        <f t="shared" si="250"/>
        <v>0.13706474554354853</v>
      </c>
      <c r="AK269" s="470">
        <f t="shared" si="250"/>
        <v>0.19293335665558861</v>
      </c>
      <c r="AL269" s="470">
        <f t="shared" si="250"/>
        <v>0.20501082070917259</v>
      </c>
      <c r="AM269" s="470">
        <f t="shared" si="250"/>
        <v>0.20501082070917259</v>
      </c>
      <c r="AN269" s="470">
        <f t="shared" si="250"/>
        <v>0.23036524230126526</v>
      </c>
      <c r="AO269" s="470">
        <f t="shared" si="250"/>
        <v>0.23587055606198723</v>
      </c>
      <c r="AP269" s="470">
        <f t="shared" si="250"/>
        <v>0.23587055606198723</v>
      </c>
      <c r="AQ269" s="470">
        <f t="shared" si="250"/>
        <v>0.23522325126120025</v>
      </c>
      <c r="AR269" s="470">
        <f t="shared" si="250"/>
        <v>0.18934188425713852</v>
      </c>
      <c r="AS269" s="470">
        <f t="shared" si="250"/>
        <v>0.18934188425713852</v>
      </c>
      <c r="AT269" s="470">
        <f t="shared" si="250"/>
        <v>0.24310118265440211</v>
      </c>
      <c r="AU269" s="470">
        <f t="shared" si="250"/>
        <v>0.24042766455061812</v>
      </c>
      <c r="AV269" s="470">
        <f t="shared" si="250"/>
        <v>0.24042766455061812</v>
      </c>
      <c r="AW269" s="470">
        <f t="shared" si="250"/>
        <v>0.22938759278897136</v>
      </c>
      <c r="AX269" s="470">
        <f t="shared" si="250"/>
        <v>0.19743402246892242</v>
      </c>
      <c r="AY269" s="470">
        <f t="shared" si="250"/>
        <v>0.19754071119973413</v>
      </c>
      <c r="AZ269" s="526">
        <f t="shared" si="250"/>
        <v>0.22530984996738421</v>
      </c>
      <c r="BA269" s="470">
        <f t="shared" si="250"/>
        <v>0.19123690839188653</v>
      </c>
      <c r="BB269" s="470">
        <f t="shared" si="250"/>
        <v>0.19123690839188653</v>
      </c>
      <c r="BC269" s="470">
        <f t="shared" si="250"/>
        <v>0.25537516454585341</v>
      </c>
      <c r="BD269" s="470">
        <f t="shared" ref="BD269:BE269" si="251">BD159/(BD159+BD244)</f>
        <v>0.22941103839980245</v>
      </c>
      <c r="BE269" s="470">
        <f t="shared" si="251"/>
        <v>0.22941103839980245</v>
      </c>
      <c r="BF269" s="470">
        <f t="shared" si="250"/>
        <v>0.2514711549964545</v>
      </c>
      <c r="BG269" s="470">
        <f t="shared" si="250"/>
        <v>0.22976835729285333</v>
      </c>
      <c r="BH269" s="470">
        <f t="shared" si="250"/>
        <v>0.22976835729285333</v>
      </c>
      <c r="BI269" s="470">
        <f t="shared" si="250"/>
        <v>0.24004809287099169</v>
      </c>
      <c r="BJ269" s="470">
        <f t="shared" ref="BJ269:CC269" si="252">BJ159/(BJ159+BJ244)</f>
        <v>0.20792716174197093</v>
      </c>
      <c r="BK269" s="470">
        <f t="shared" si="252"/>
        <v>0.20792716174197093</v>
      </c>
      <c r="BL269" s="470">
        <f t="shared" si="252"/>
        <v>0.22478005278695487</v>
      </c>
      <c r="BM269" s="470">
        <f t="shared" si="252"/>
        <v>0.19225992284979032</v>
      </c>
      <c r="BN269" s="470">
        <f t="shared" si="252"/>
        <v>0.19225992284979032</v>
      </c>
      <c r="BO269" s="470">
        <f t="shared" si="252"/>
        <v>0.20565143229983837</v>
      </c>
      <c r="BP269" s="470">
        <f t="shared" si="252"/>
        <v>0.15156864264799669</v>
      </c>
      <c r="BQ269" s="470">
        <f t="shared" si="252"/>
        <v>0.15156864264799669</v>
      </c>
      <c r="BR269" s="470">
        <f t="shared" si="252"/>
        <v>0.14762546630783965</v>
      </c>
      <c r="BS269" s="470">
        <f t="shared" si="252"/>
        <v>9.0757191601592971E-2</v>
      </c>
      <c r="BT269" s="470">
        <f t="shared" si="252"/>
        <v>9.0757191601592971E-2</v>
      </c>
      <c r="BU269" s="470">
        <f t="shared" si="252"/>
        <v>8.6545100867547964E-2</v>
      </c>
      <c r="BV269" s="470">
        <f t="shared" si="252"/>
        <v>2.502418965666028E-2</v>
      </c>
      <c r="BW269" s="470">
        <f t="shared" si="252"/>
        <v>2.5024189656660277E-2</v>
      </c>
      <c r="BX269" s="470">
        <f t="shared" si="252"/>
        <v>1.8739924019038151E-2</v>
      </c>
      <c r="BY269" s="470">
        <f t="shared" si="252"/>
        <v>-4.580510256797124E-2</v>
      </c>
      <c r="BZ269" s="470">
        <f t="shared" si="252"/>
        <v>-4.580510256797124E-2</v>
      </c>
      <c r="CA269" s="470">
        <f t="shared" si="252"/>
        <v>-4.9342341417845048E-2</v>
      </c>
      <c r="CB269" s="470">
        <f t="shared" si="252"/>
        <v>-0.11737954856554098</v>
      </c>
      <c r="CC269" s="470">
        <f t="shared" si="252"/>
        <v>-0.11737954856554096</v>
      </c>
    </row>
    <row r="270" spans="1:89">
      <c r="B270" s="257" t="s">
        <v>150</v>
      </c>
      <c r="C270" s="257" t="s">
        <v>195</v>
      </c>
      <c r="AD270" s="470">
        <f t="shared" ref="AD270:BI270" si="253">AD159/AD244</f>
        <v>0.55250035617609339</v>
      </c>
      <c r="AE270" s="470">
        <f t="shared" si="253"/>
        <v>0.31403171552138393</v>
      </c>
      <c r="AF270" s="470">
        <f t="shared" si="253"/>
        <v>0.1955406911928651</v>
      </c>
      <c r="AG270" s="470">
        <f t="shared" si="253"/>
        <v>0.1955406911928651</v>
      </c>
      <c r="AH270" s="470">
        <f t="shared" si="253"/>
        <v>0.19822485207100587</v>
      </c>
      <c r="AI270" s="470">
        <f t="shared" si="253"/>
        <v>0.15883549181205178</v>
      </c>
      <c r="AJ270" s="470">
        <f t="shared" si="253"/>
        <v>0.15883549181205181</v>
      </c>
      <c r="AK270" s="470">
        <f t="shared" si="253"/>
        <v>0.23905504984828785</v>
      </c>
      <c r="AL270" s="470">
        <f t="shared" si="253"/>
        <v>0.25787875615118833</v>
      </c>
      <c r="AM270" s="470">
        <f t="shared" si="253"/>
        <v>0.25787875615118833</v>
      </c>
      <c r="AN270" s="470">
        <f t="shared" si="253"/>
        <v>0.29931761786600497</v>
      </c>
      <c r="AO270" s="470">
        <f t="shared" si="253"/>
        <v>0.30867879510885776</v>
      </c>
      <c r="AP270" s="470">
        <f t="shared" si="253"/>
        <v>0.30867879510885776</v>
      </c>
      <c r="AQ270" s="470">
        <f t="shared" si="253"/>
        <v>0.30757113320862467</v>
      </c>
      <c r="AR270" s="470">
        <f t="shared" si="253"/>
        <v>0.23356564324731591</v>
      </c>
      <c r="AS270" s="470">
        <f t="shared" si="253"/>
        <v>0.23356564324731591</v>
      </c>
      <c r="AT270" s="470">
        <f t="shared" si="253"/>
        <v>0.32118055555555558</v>
      </c>
      <c r="AU270" s="470">
        <f t="shared" si="253"/>
        <v>0.31653030702911938</v>
      </c>
      <c r="AV270" s="470">
        <f t="shared" si="253"/>
        <v>0.31653030702911938</v>
      </c>
      <c r="AW270" s="470">
        <f t="shared" si="253"/>
        <v>0.29766921819901954</v>
      </c>
      <c r="AX270" s="470">
        <f t="shared" si="253"/>
        <v>0.24600347883707446</v>
      </c>
      <c r="AY270" s="470">
        <f t="shared" si="253"/>
        <v>0.24616913774538227</v>
      </c>
      <c r="AZ270" s="526">
        <f t="shared" si="253"/>
        <v>0.2908386662175817</v>
      </c>
      <c r="BA270" s="470">
        <f t="shared" si="253"/>
        <v>0.23645602819441031</v>
      </c>
      <c r="BB270" s="470">
        <f t="shared" si="253"/>
        <v>0.23645602819441031</v>
      </c>
      <c r="BC270" s="470">
        <f t="shared" si="253"/>
        <v>0.34295816146140246</v>
      </c>
      <c r="BD270" s="470">
        <f t="shared" ref="BD270:BE270" si="254">BD159/BD244</f>
        <v>0.29770870052876142</v>
      </c>
      <c r="BE270" s="470">
        <f t="shared" si="254"/>
        <v>0.29770870052876142</v>
      </c>
      <c r="BF270" s="470">
        <f t="shared" si="253"/>
        <v>0.33595386026207635</v>
      </c>
      <c r="BG270" s="470">
        <f t="shared" si="253"/>
        <v>0.29831072180478391</v>
      </c>
      <c r="BH270" s="470">
        <f t="shared" si="253"/>
        <v>0.29831072180478391</v>
      </c>
      <c r="BI270" s="470">
        <f t="shared" si="253"/>
        <v>0.31587274223425488</v>
      </c>
      <c r="BJ270" s="470">
        <f t="shared" ref="BJ270:CC270" si="255">BJ159/BJ244</f>
        <v>0.26251015272693357</v>
      </c>
      <c r="BK270" s="470">
        <f t="shared" si="255"/>
        <v>0.26251015272693357</v>
      </c>
      <c r="BL270" s="470">
        <f t="shared" si="255"/>
        <v>0.28995648731053747</v>
      </c>
      <c r="BM270" s="470">
        <f t="shared" si="255"/>
        <v>0.23802201758776556</v>
      </c>
      <c r="BN270" s="470">
        <f t="shared" si="255"/>
        <v>0.23802201758776556</v>
      </c>
      <c r="BO270" s="470">
        <f t="shared" si="255"/>
        <v>0.25889318702399228</v>
      </c>
      <c r="BP270" s="470">
        <f t="shared" si="255"/>
        <v>0.17864573407688514</v>
      </c>
      <c r="BQ270" s="470">
        <f t="shared" si="255"/>
        <v>0.17864573407688514</v>
      </c>
      <c r="BR270" s="470">
        <f t="shared" si="255"/>
        <v>0.17319319204479586</v>
      </c>
      <c r="BS270" s="470">
        <f t="shared" si="255"/>
        <v>9.9816232543491798E-2</v>
      </c>
      <c r="BT270" s="470">
        <f t="shared" si="255"/>
        <v>9.9816232543491826E-2</v>
      </c>
      <c r="BU270" s="470">
        <f t="shared" si="255"/>
        <v>9.4744799058764276E-2</v>
      </c>
      <c r="BV270" s="470">
        <f t="shared" si="255"/>
        <v>2.5666472328013924E-2</v>
      </c>
      <c r="BW270" s="470">
        <f t="shared" si="255"/>
        <v>2.5666472328013921E-2</v>
      </c>
      <c r="BX270" s="470">
        <f t="shared" si="255"/>
        <v>1.9097815632928835E-2</v>
      </c>
      <c r="BY270" s="470">
        <f t="shared" si="255"/>
        <v>-4.3798889922698737E-2</v>
      </c>
      <c r="BZ270" s="470">
        <f t="shared" si="255"/>
        <v>-4.3798889922698737E-2</v>
      </c>
      <c r="CA270" s="470">
        <f t="shared" si="255"/>
        <v>-4.7022158041554782E-2</v>
      </c>
      <c r="CB270" s="470">
        <f t="shared" si="255"/>
        <v>-0.10504895021233331</v>
      </c>
      <c r="CC270" s="470">
        <f t="shared" si="255"/>
        <v>-0.10504895021233329</v>
      </c>
    </row>
    <row r="271" spans="1:89">
      <c r="AZ271" s="523"/>
    </row>
    <row r="272" spans="1:89">
      <c r="AZ272" s="523"/>
    </row>
    <row r="273" spans="1:83">
      <c r="B273" s="488" t="s">
        <v>445</v>
      </c>
      <c r="AZ273" s="523"/>
    </row>
    <row r="274" spans="1:83">
      <c r="B274" s="257" t="s">
        <v>446</v>
      </c>
      <c r="C274" s="257" t="s">
        <v>195</v>
      </c>
      <c r="AE274" s="470">
        <f>AE60/AVERAGE(AE217,AD217)*2</f>
        <v>0.105782426467861</v>
      </c>
      <c r="AF274" s="470">
        <f>AF60/AVERAGE(AF217,AE217)*2</f>
        <v>0.16932788711474192</v>
      </c>
      <c r="AG274" s="470">
        <f>AG60/AVERAGE(AG217,AD217)</f>
        <v>0.13659651321366706</v>
      </c>
      <c r="AH274" s="470">
        <f>AH60/AVERAGE(AH217,AG217)*2</f>
        <v>0.14304347826086958</v>
      </c>
      <c r="AI274" s="470">
        <f>AI60/AVERAGE(AI217,AH217)*2</f>
        <v>0.17172713654134236</v>
      </c>
      <c r="AJ274" s="470">
        <f>AJ60/AVERAGE(AJ217,AG217)</f>
        <v>0.1609289515798876</v>
      </c>
      <c r="AK274" s="470">
        <f>AK60/AVERAGE(AK217,AJ217)*2</f>
        <v>0.13501863081756413</v>
      </c>
      <c r="AL274" s="470">
        <f>AL60/AVERAGE(AL217,AK217)*2</f>
        <v>0.18268660879266466</v>
      </c>
      <c r="AM274" s="470">
        <f>AM60/AVERAGE(AM217,AJ217)</f>
        <v>0.15987404730382512</v>
      </c>
      <c r="AN274" s="470">
        <f>AN60/AVERAGE(AN217,AM217)*2</f>
        <v>0.13160531765649008</v>
      </c>
      <c r="AO274" s="470">
        <f>AO60/AVERAGE(AO217,AN217)*2</f>
        <v>0.15724690690499668</v>
      </c>
      <c r="AP274" s="470">
        <f>AP60/AVERAGE(AP217,AM217)</f>
        <v>0.14441301732826167</v>
      </c>
      <c r="AQ274" s="470">
        <f>AQ60/AVERAGE(AQ217,AP217)*2</f>
        <v>0.11407804367242601</v>
      </c>
      <c r="AR274" s="470">
        <f>AR60/AVERAGE(AR217,AQ217)*2</f>
        <v>0.15926549349655697</v>
      </c>
      <c r="AS274" s="470">
        <f>AS60/AVERAGE(AS217,AP217)</f>
        <v>0.13718122459036589</v>
      </c>
      <c r="AT274" s="470">
        <f>AT60/AVERAGE(AT217,AS217)*2</f>
        <v>0.11196513950251165</v>
      </c>
      <c r="AU274" s="470">
        <f>AU60/AVERAGE(AU217,AT217)*2</f>
        <v>0.17530566557602886</v>
      </c>
      <c r="AV274" s="470">
        <f>AV60/AVERAGE(AV217,AS217)</f>
        <v>0.14226863939657672</v>
      </c>
      <c r="AW274" s="470">
        <f>AW60/AVERAGE(AW217,AV217)*2</f>
        <v>0.1286325254962167</v>
      </c>
      <c r="AX274" s="470">
        <f>AX60/AVERAGE(AX217,AW217)*2</f>
        <v>0.19930298409932473</v>
      </c>
      <c r="AY274" s="470">
        <f>AY60/AVERAGE(AY217,AV217)</f>
        <v>0.1644668382715373</v>
      </c>
      <c r="AZ274" s="526">
        <f>AZ60/AVERAGE(AZ217,AY217)*2</f>
        <v>0.11981616653149502</v>
      </c>
      <c r="BA274" s="470">
        <f>BA60/AVERAGE(BA217,AZ217)*2</f>
        <v>0.16847472336732483</v>
      </c>
      <c r="BB274" s="470">
        <f>BB60/AVERAGE(BB217,AY217)</f>
        <v>0.14520353595983848</v>
      </c>
      <c r="BC274" s="470">
        <f>BC60/AVERAGE(BC217,BB217)*2</f>
        <v>0.1142917336001896</v>
      </c>
      <c r="BD274" s="470">
        <f>BD60/AVERAGE(BD217,BC217)*2</f>
        <v>0.18104227332061457</v>
      </c>
      <c r="BE274" s="470">
        <f>BE60/AVERAGE(BE217,BB217)</f>
        <v>0.15042841888689223</v>
      </c>
      <c r="BF274" s="470">
        <f>BF60/AVERAGE(BF217,BE217)*2</f>
        <v>0.10817584517831061</v>
      </c>
      <c r="BG274" s="470">
        <f>BG60/AVERAGE(BG217,BF217)*2</f>
        <v>0.185026548524625</v>
      </c>
      <c r="BH274" s="470">
        <f>BH60/AVERAGE(BH217,BE217)</f>
        <v>0.14650870519573461</v>
      </c>
      <c r="BI274" s="470">
        <f>BI60/AVERAGE(BI217,BH217)*2</f>
        <v>0.1258160427090462</v>
      </c>
      <c r="BJ274" s="470">
        <f>BJ60/AVERAGE(BJ217,BI217)*2</f>
        <v>0.18633442430021252</v>
      </c>
      <c r="BK274" s="470">
        <f>BK60/AVERAGE(BK217,BH217)</f>
        <v>0.15618854175062108</v>
      </c>
      <c r="BL274" s="470">
        <f>BL60/AVERAGE(BL217,BK217)*2</f>
        <v>0.13340436187437857</v>
      </c>
      <c r="BM274" s="470">
        <f>BM60/AVERAGE(BM217,BL217)*2</f>
        <v>0.19601646375874276</v>
      </c>
      <c r="BN274" s="470">
        <f>BN60/AVERAGE(BN217,BK217)</f>
        <v>0.16497460270797587</v>
      </c>
      <c r="BO274" s="470">
        <f>BO60/AVERAGE(BO217,BN217)*2</f>
        <v>0.14496618115506196</v>
      </c>
      <c r="BP274" s="470">
        <f>BP60/AVERAGE(BP217,BO217)*2</f>
        <v>0.20286783030446931</v>
      </c>
      <c r="BQ274" s="470">
        <f>BQ60/AVERAGE(BQ217,BN217)</f>
        <v>0.17445146369509443</v>
      </c>
      <c r="BR274" s="470">
        <f>BR60/AVERAGE(BR217,BQ217)*2</f>
        <v>0.14307420469846086</v>
      </c>
      <c r="BS274" s="470">
        <f>BS60/AVERAGE(BS217,BR217)*2</f>
        <v>0.21421153306931312</v>
      </c>
      <c r="BT274" s="470">
        <f>BT60/AVERAGE(BT217,BQ217)</f>
        <v>0.17883182599566491</v>
      </c>
      <c r="BU274" s="470">
        <f>BU60/AVERAGE(BU217,BT217)*2</f>
        <v>0.15523422202028342</v>
      </c>
      <c r="BV274" s="470">
        <f>BV60/AVERAGE(BV217,BU217)*2</f>
        <v>0.23011439309948087</v>
      </c>
      <c r="BW274" s="470">
        <f>BW60/AVERAGE(BW217,BT217)</f>
        <v>0.19303342973922979</v>
      </c>
      <c r="BX274" s="470">
        <f>BX60/AVERAGE(BX217,BW217)*2</f>
        <v>0.16746772454747805</v>
      </c>
      <c r="BY274" s="470">
        <f>BY60/AVERAGE(BY217,BX217)*2</f>
        <v>0.22822877987743365</v>
      </c>
      <c r="BZ274" s="470">
        <f>BZ60/AVERAGE(BZ217,BW217)</f>
        <v>0.19632539438059277</v>
      </c>
      <c r="CA274" s="470">
        <f>CA60/AVERAGE(CA217,BZ217)*2</f>
        <v>0.16137346725074009</v>
      </c>
      <c r="CB274" s="470">
        <f>CB60/AVERAGE(CB217,CA217)*2</f>
        <v>0.22138883066722645</v>
      </c>
      <c r="CC274" s="470">
        <f>CC60/AVERAGE(CC217,BZ217)</f>
        <v>0.18990848394147805</v>
      </c>
    </row>
    <row r="275" spans="1:83">
      <c r="B275" s="257" t="s">
        <v>179</v>
      </c>
      <c r="C275" s="257" t="s">
        <v>195</v>
      </c>
      <c r="AE275" s="470">
        <f>AE60/AVERAGE(AE268,AD268)*2</f>
        <v>0.12720217653093085</v>
      </c>
      <c r="AF275" s="470">
        <f>AF60/AVERAGE(AF268,AE268)*2</f>
        <v>0.20522975831495566</v>
      </c>
      <c r="AG275" s="470">
        <f>AG60/AVERAGE(AG268,AD268)</f>
        <v>0.16704227891463086</v>
      </c>
      <c r="AH275" s="470">
        <f>AH60/AVERAGE(AH268,AG268)*2</f>
        <v>0.17762980293350128</v>
      </c>
      <c r="AI275" s="470">
        <f>AI60/AVERAGE(AI268,AH268)*2</f>
        <v>0.2102249854631659</v>
      </c>
      <c r="AJ275" s="470">
        <f>AJ60/AVERAGE(AJ268,AG268)</f>
        <v>0.19552340040696356</v>
      </c>
      <c r="AK275" s="470">
        <f>AK60/AVERAGE(AK268,AJ268)*2</f>
        <v>0.16170101063131645</v>
      </c>
      <c r="AL275" s="470">
        <f>AL60/AVERAGE(AL268,AK268)*2</f>
        <v>0.21770742448793051</v>
      </c>
      <c r="AM275" s="470">
        <f>AM60/AVERAGE(AM268,AJ268)</f>
        <v>0.19046807059425355</v>
      </c>
      <c r="AN275" s="470">
        <f>AN60/AVERAGE(AN268,AM268)*2</f>
        <v>0.15632439295349945</v>
      </c>
      <c r="AO275" s="470">
        <f>AO60/AVERAGE(AO268,AN268)*2</f>
        <v>0.18786335828551889</v>
      </c>
      <c r="AP275" s="470">
        <f>AP60/AVERAGE(AP268,AM268)</f>
        <v>0.17228406314238065</v>
      </c>
      <c r="AQ275" s="470">
        <f>AQ60/AVERAGE(AQ268,AP268)*2</f>
        <v>0.13708871534845851</v>
      </c>
      <c r="AR275" s="470">
        <f>AR60/AVERAGE(AR268,AQ268)*2</f>
        <v>0.19327044492312262</v>
      </c>
      <c r="AS275" s="470">
        <f>AS60/AVERAGE(AS268,AP268)</f>
        <v>0.16617542812371747</v>
      </c>
      <c r="AT275" s="470">
        <f>AT60/AVERAGE(AT268,AS268)*2</f>
        <v>0.13535264852209544</v>
      </c>
      <c r="AU275" s="470">
        <f>AU60/AVERAGE(AU268,AT268)*2</f>
        <v>0.20822963897317004</v>
      </c>
      <c r="AV275" s="470">
        <f>AV60/AVERAGE(AV268,AS268)</f>
        <v>0.17082941442853661</v>
      </c>
      <c r="AW275" s="470">
        <f>AW60/AVERAGE(AW268,AV268)*2</f>
        <v>0.15225362624525424</v>
      </c>
      <c r="AX275" s="470">
        <f>AX60/AVERAGE(AX268,AW268)*2</f>
        <v>0.23700058278831831</v>
      </c>
      <c r="AY275" s="470">
        <f>AY60/AVERAGE(AY268,AV268)</f>
        <v>0.19538061158100192</v>
      </c>
      <c r="AZ275" s="526">
        <f>AZ60/AVERAGE(AZ268,AY268)*2</f>
        <v>0.14245765163447013</v>
      </c>
      <c r="BA275" s="470">
        <f>BA60/AVERAGE(BA268,AZ268)*2</f>
        <v>0.19926862128696995</v>
      </c>
      <c r="BB275" s="470">
        <f>BB60/AVERAGE(BB268,AY268)</f>
        <v>0.1725736891598301</v>
      </c>
      <c r="BC275" s="470">
        <f>BC60/AVERAGE(BC268,BB268)*2</f>
        <v>0.13642221733253701</v>
      </c>
      <c r="BD275" s="470">
        <f>BD60/AVERAGE(BD268,BC268)*2</f>
        <v>0.21865146737812283</v>
      </c>
      <c r="BE275" s="470">
        <f>BE60/AVERAGE(BE268,BB268)</f>
        <v>0.18008917157733925</v>
      </c>
      <c r="BF275" s="470">
        <f>BF60/AVERAGE(BF268,BE268)*2</f>
        <v>0.13089064226095112</v>
      </c>
      <c r="BG275" s="470">
        <f>BG60/AVERAGE(BG268,BF268)*2</f>
        <v>0.22389108173182123</v>
      </c>
      <c r="BH275" s="470">
        <f>BH60/AVERAGE(BH268,BE268)</f>
        <v>0.1774373589902753</v>
      </c>
      <c r="BI275" s="470">
        <f>BI60/AVERAGE(BI268,BH268)*2</f>
        <v>0.15242315471585846</v>
      </c>
      <c r="BJ275" s="470">
        <f>BJ60/AVERAGE(BJ268,BI268)*2</f>
        <v>0.22600350597251326</v>
      </c>
      <c r="BK275" s="470">
        <f>BK60/AVERAGE(BK268,BH268)</f>
        <v>0.18939044272866176</v>
      </c>
      <c r="BL275" s="470">
        <f>BL60/AVERAGE(BL268,BK268)*2</f>
        <v>0.16203934094625191</v>
      </c>
      <c r="BM275" s="470">
        <f>BM60/AVERAGE(BM268,BL268)*2</f>
        <v>0.23843748248253718</v>
      </c>
      <c r="BN275" s="470">
        <f>BN60/AVERAGE(BN268,BK268)</f>
        <v>0.200570769866496</v>
      </c>
      <c r="BO275" s="470">
        <f>BO60/AVERAGE(BO268,BN268)*2</f>
        <v>0.17663653276350175</v>
      </c>
      <c r="BP275" s="470">
        <f>BP60/AVERAGE(BP268,BO268)*2</f>
        <v>0.24752045602163342</v>
      </c>
      <c r="BQ275" s="470">
        <f>BQ60/AVERAGE(BQ268,BN268)</f>
        <v>0.21268844315447796</v>
      </c>
      <c r="BR275" s="470">
        <f>BR60/AVERAGE(BR268,BQ268)*2</f>
        <v>0.17473241955036217</v>
      </c>
      <c r="BS275" s="470">
        <f>BS60/AVERAGE(BS268,BR268)*2</f>
        <v>0.26198519009731347</v>
      </c>
      <c r="BT275" s="470">
        <f>BT60/AVERAGE(BT268,BQ268)</f>
        <v>0.21863668689782656</v>
      </c>
      <c r="BU275" s="470">
        <f>BU60/AVERAGE(BU268,BT268)*2</f>
        <v>0.19016548420472679</v>
      </c>
      <c r="BV275" s="470">
        <f>BV60/AVERAGE(BV268,BU268)*2</f>
        <v>0.28234538133304055</v>
      </c>
      <c r="BW275" s="470">
        <f>BW60/AVERAGE(BW268,BT268)</f>
        <v>0.23671629648644746</v>
      </c>
      <c r="BX275" s="470">
        <f>BX60/AVERAGE(BX268,BW268)*2</f>
        <v>0.20579879116692507</v>
      </c>
      <c r="BY275" s="470">
        <f>BY60/AVERAGE(BY268,BX268)*2</f>
        <v>0.28792365698792838</v>
      </c>
      <c r="BZ275" s="470">
        <f>BZ60/AVERAGE(BZ268,BW268)</f>
        <v>0.24756312875651867</v>
      </c>
      <c r="CA275" s="470">
        <f>CA60/AVERAGE(CA268,BZ268)*2</f>
        <v>0.2088765989966076</v>
      </c>
      <c r="CB275" s="470">
        <f>CB60/AVERAGE(CB268,CA268)*2</f>
        <v>0.29412999695355457</v>
      </c>
      <c r="CC275" s="470">
        <f>CC60/AVERAGE(CC268,BZ268)</f>
        <v>0.25222641240070531</v>
      </c>
    </row>
    <row r="276" spans="1:83">
      <c r="B276" s="257" t="s">
        <v>180</v>
      </c>
      <c r="C276" s="257" t="s">
        <v>195</v>
      </c>
      <c r="AE276" s="470">
        <f>AE72*2/AVERAGE(SUM(AD239:AD241),SUM(AE239:AE241))</f>
        <v>0.11489138968856323</v>
      </c>
      <c r="AF276" s="470">
        <f>AF72*2/AVERAGE(SUM(AE239:AE241),SUM(AF239:AF241))</f>
        <v>0.18382267610537306</v>
      </c>
      <c r="AG276" s="470">
        <f>AG72/AVERAGE(SUM(AD239:AD241),SUM(AG239:AG241))</f>
        <v>0.15457056755399301</v>
      </c>
      <c r="AH276" s="470">
        <f>AH72*2/AVERAGE(SUM(AG239:AG241),SUM(AH239:AH241))</f>
        <v>0.15260064322945549</v>
      </c>
      <c r="AI276" s="470">
        <f>AI72*2/AVERAGE(SUM(AH239:AH241),SUM(AI239:AI241))</f>
        <v>0.17970447631464576</v>
      </c>
      <c r="AJ276" s="470">
        <f>AJ72/AVERAGE(SUM(AG239:AG241),SUM(AJ239:AJ241))</f>
        <v>0.16600920447074291</v>
      </c>
      <c r="AK276" s="470">
        <f>AK72*2/AVERAGE(SUM(AJ239:AJ241),SUM(AK239:AK241))</f>
        <v>0.1328724208706924</v>
      </c>
      <c r="AL276" s="470">
        <f>AL72*2/AVERAGE(SUM(AK239:AK241),SUM(AL239:AL241))</f>
        <v>0.18565400843881855</v>
      </c>
      <c r="AM276" s="470">
        <f>AM72/AVERAGE(SUM(AJ239:AJ241),SUM(AM239:AM241))</f>
        <v>0.15757897531191931</v>
      </c>
      <c r="AN276" s="470">
        <f>AN72*2/AVERAGE(SUM(AM239:AM241),SUM(AN239:AN241))</f>
        <v>0.14088181581007045</v>
      </c>
      <c r="AO276" s="470">
        <f>AO72*2/AVERAGE(SUM(AN239:AN241),SUM(AO239:AO241))</f>
        <v>0.1737928230151469</v>
      </c>
      <c r="AP276" s="470">
        <f>AP72/AVERAGE(SUM(AM239:AM241),SUM(AP239:AP241))</f>
        <v>0.15647726691556282</v>
      </c>
      <c r="AQ276" s="470">
        <f>AQ72*2/AVERAGE(SUM(AP239:AP241),SUM(AQ239:AQ241))</f>
        <v>0.125</v>
      </c>
      <c r="AR276" s="470">
        <f>AR72*2/AVERAGE(SUM(AQ239:AQ241),SUM(AR239:AR241))</f>
        <v>0.17008542883343788</v>
      </c>
      <c r="AS276" s="470">
        <f>AS72/AVERAGE(SUM(AP239:AP241),SUM(AS239:AS241))</f>
        <v>0.1465496338683866</v>
      </c>
      <c r="AT276" s="470">
        <f>AT72*2/AVERAGE(SUM(AS239:AS241),SUM(AT239:AT241))</f>
        <v>0.11696129956999524</v>
      </c>
      <c r="AU276" s="470">
        <f>AU72*2/AVERAGE(SUM(AT239:AT241),SUM(AU239:AU241))</f>
        <v>0.19409594095940946</v>
      </c>
      <c r="AV276" s="470">
        <f>AV72/AVERAGE(SUM(AS239:AS241),SUM(AV239:AV241))</f>
        <v>0.15175558595531233</v>
      </c>
      <c r="AW276" s="470">
        <f>AW72*2/AVERAGE(SUM(AV239:AV241),SUM(AW239:AW241))</f>
        <v>0.14472537053182213</v>
      </c>
      <c r="AX276" s="470">
        <f>AX72*2/AVERAGE(SUM(AW239:AW241),SUM(AX239:AX241))</f>
        <v>0.21330401319406264</v>
      </c>
      <c r="AY276" s="470">
        <f>AY72/AVERAGE(SUM(AV239:AV241),SUM(AY239:AY241))</f>
        <v>0.17881729165775856</v>
      </c>
      <c r="AZ276" s="526">
        <f>AZ72*2/AVERAGE(SUM(AY239:AY241),SUM(AZ239:AZ241))</f>
        <v>0.12905385613256898</v>
      </c>
      <c r="BA276" s="470">
        <f>BA72*2/AVERAGE(SUM(AZ239:AZ241),SUM(BA239:BA241))</f>
        <v>0.18163656039290768</v>
      </c>
      <c r="BB276" s="470">
        <f>BB72/AVERAGE(SUM(AY239:AY241),SUM(BB239:BB241))</f>
        <v>0.15373818271890347</v>
      </c>
      <c r="BC276" s="470">
        <f>BC72*2/AVERAGE(SUM(BB239:BB241),SUM(BC239:BC241))</f>
        <v>0.12401165210153975</v>
      </c>
      <c r="BD276" s="470">
        <f>BD72*2/AVERAGE(SUM(BC239:BC241),SUM(BD239:BD241))</f>
        <v>0.20271493212669695</v>
      </c>
      <c r="BE276" s="470">
        <f>BE72/AVERAGE(SUM(BB239:BB241),SUM(BE239:BE241))</f>
        <v>0.16052289704449504</v>
      </c>
      <c r="BF276" s="470">
        <f>BF72*2/AVERAGE(SUM(BE239:BE241),SUM(BF239:BF241))</f>
        <v>0.12515297056237931</v>
      </c>
      <c r="BG276" s="470">
        <f>BG72*2/AVERAGE(SUM(BF239:BF241),SUM(BG239:BG241))</f>
        <v>0.21497159691662726</v>
      </c>
      <c r="BH276" s="470">
        <f>BH72/AVERAGE(SUM(BE239:BE241),SUM(BH239:BH241))</f>
        <v>0.1676889282931053</v>
      </c>
      <c r="BI276" s="470">
        <f>BI72*2/AVERAGE(SUM(BH239:BH241),SUM(BI239:BI241))</f>
        <v>0.1458968712444553</v>
      </c>
      <c r="BJ276" s="470">
        <f>BJ72*2/AVERAGE(SUM(BI239:BI241),SUM(BJ239:BJ241))</f>
        <v>0.21241853354750861</v>
      </c>
      <c r="BK276" s="470">
        <f>BK72/AVERAGE(SUM(BH239:BH241),SUM(BK239:BK241))</f>
        <v>0.17712863978209697</v>
      </c>
      <c r="BL276" s="470">
        <f>BL72*2/AVERAGE(SUM(BK239:BK241),SUM(BL239:BL241))</f>
        <v>0.1524304503166396</v>
      </c>
      <c r="BM276" s="470">
        <f>BM72*2/AVERAGE(SUM(BL239:BL241),SUM(BM239:BM241))</f>
        <v>0.22050452281514352</v>
      </c>
      <c r="BN276" s="470">
        <f>BN72/AVERAGE(SUM(BK239:BK241),SUM(BN239:BN241))</f>
        <v>0.18406265652241022</v>
      </c>
      <c r="BO276" s="470">
        <f>BO72*2/AVERAGE(SUM(BN239:BN241),SUM(BO239:BO241))</f>
        <v>0.16342452597964802</v>
      </c>
      <c r="BP276" s="470">
        <f>BP72*2/AVERAGE(SUM(BO239:BO241),SUM(BP239:BP241))</f>
        <v>0.22129836230231231</v>
      </c>
      <c r="BQ276" s="470">
        <f>BQ72/AVERAGE(SUM(BN239:BN241),SUM(BQ239:BQ241))</f>
        <v>0.18934569465708909</v>
      </c>
      <c r="BR276" s="470">
        <f>BR72*2/AVERAGE(SUM(BQ239:BQ241),SUM(BR239:BR241))</f>
        <v>0.1533017125895911</v>
      </c>
      <c r="BS276" s="470">
        <f>BS72*2/AVERAGE(SUM(BR239:BR241),SUM(BS239:BS241))</f>
        <v>0.22016187855001737</v>
      </c>
      <c r="BT276" s="470">
        <f>BT72/AVERAGE(SUM(BQ239:BQ241),SUM(BT239:BT241))</f>
        <v>0.18474037056424009</v>
      </c>
      <c r="BU276" s="470">
        <f>BU72*2/AVERAGE(SUM(BT239:BT241),SUM(BU239:BU241))</f>
        <v>0.15740063043063546</v>
      </c>
      <c r="BV276" s="470">
        <f>BV72*2/AVERAGE(SUM(BU239:BU241),SUM(BV239:BV241))</f>
        <v>0.2229829725855467</v>
      </c>
      <c r="BW276" s="470">
        <f>BW72/AVERAGE(SUM(BT239:BT241),SUM(BW239:BW241))</f>
        <v>0.18824158197450541</v>
      </c>
      <c r="BX276" s="470">
        <f>BX72*2/AVERAGE(SUM(BW239:BW241),SUM(BX239:BX241))</f>
        <v>0.16028972341399458</v>
      </c>
      <c r="BY276" s="470">
        <f>BY72*2/AVERAGE(SUM(BX239:BX241),SUM(BY239:BY241))</f>
        <v>0.21336155473430973</v>
      </c>
      <c r="BZ276" s="470">
        <f>BZ72/AVERAGE(SUM(BW239:BW241),SUM(BZ239:BZ241))</f>
        <v>0.18513823245968075</v>
      </c>
      <c r="CA276" s="470">
        <f>CA72*2/AVERAGE(SUM(BZ239:BZ241),SUM(CA239:CA241))</f>
        <v>0.15380035751321069</v>
      </c>
      <c r="CB276" s="470">
        <f>CB72*2/AVERAGE(SUM(CA239:CA241),SUM(CB239:CB241))</f>
        <v>0.20570222990759018</v>
      </c>
      <c r="CC276" s="470">
        <f>CC72/AVERAGE(SUM(BZ239:BZ241),SUM(CC239:CC241))</f>
        <v>0.17802499788849094</v>
      </c>
    </row>
    <row r="277" spans="1:83">
      <c r="AZ277" s="523"/>
    </row>
    <row r="278" spans="1:83">
      <c r="A278" s="236" t="s">
        <v>675</v>
      </c>
      <c r="B278" s="236"/>
      <c r="C278" s="493"/>
      <c r="D278" s="493"/>
      <c r="E278" s="493"/>
      <c r="F278" s="493"/>
      <c r="G278" s="493"/>
      <c r="H278" s="493"/>
      <c r="I278" s="493"/>
      <c r="J278" s="493"/>
      <c r="K278" s="493"/>
      <c r="L278" s="493"/>
      <c r="M278" s="493"/>
      <c r="N278" s="493"/>
      <c r="O278" s="493"/>
      <c r="P278" s="493"/>
      <c r="Q278" s="493"/>
      <c r="R278" s="493"/>
      <c r="S278" s="493"/>
      <c r="T278" s="493"/>
      <c r="U278" s="493"/>
      <c r="V278" s="493"/>
      <c r="W278" s="493"/>
      <c r="X278" s="493"/>
      <c r="Y278" s="493"/>
      <c r="Z278" s="493"/>
      <c r="AA278" s="493"/>
      <c r="AB278" s="493"/>
      <c r="AC278" s="493"/>
      <c r="AD278" s="493"/>
      <c r="AE278" s="493"/>
      <c r="AF278" s="493"/>
      <c r="AG278" s="493"/>
      <c r="AH278" s="493"/>
      <c r="AI278" s="493"/>
      <c r="AJ278" s="493"/>
      <c r="AK278" s="493"/>
      <c r="AL278" s="493"/>
      <c r="AM278" s="493"/>
      <c r="AN278" s="493"/>
      <c r="AO278" s="493"/>
      <c r="AP278" s="493"/>
      <c r="AQ278" s="493"/>
      <c r="AR278" s="493"/>
      <c r="AS278" s="493"/>
      <c r="AT278" s="493"/>
      <c r="AU278" s="493"/>
      <c r="AV278" s="493"/>
      <c r="AW278" s="493"/>
      <c r="AX278" s="493"/>
      <c r="AY278" s="493"/>
      <c r="AZ278" s="529"/>
      <c r="BA278" s="493"/>
      <c r="BB278" s="493"/>
      <c r="BC278" s="493"/>
      <c r="BD278" s="493"/>
      <c r="BE278" s="493"/>
      <c r="BF278" s="493"/>
      <c r="BG278" s="493"/>
      <c r="BH278" s="493"/>
      <c r="BI278" s="493"/>
      <c r="BJ278" s="493"/>
      <c r="BK278" s="493"/>
      <c r="BL278" s="493"/>
      <c r="BM278" s="493"/>
      <c r="BN278" s="493"/>
      <c r="BO278" s="493"/>
      <c r="BP278" s="493"/>
      <c r="BQ278" s="493"/>
      <c r="BR278" s="395"/>
      <c r="BS278" s="395"/>
      <c r="BT278" s="395"/>
      <c r="BU278" s="395"/>
      <c r="BV278" s="395"/>
      <c r="BW278" s="395"/>
      <c r="BX278" s="395"/>
      <c r="BY278" s="395"/>
      <c r="BZ278" s="395"/>
      <c r="CA278" s="395"/>
      <c r="CB278" s="395"/>
      <c r="CC278" s="395"/>
      <c r="CD278" s="395"/>
      <c r="CE278" s="395"/>
    </row>
    <row r="279" spans="1:83">
      <c r="A279" s="435"/>
      <c r="B279" s="435"/>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41"/>
      <c r="AJ279" s="141"/>
      <c r="AK279" s="141"/>
      <c r="AL279" s="141"/>
      <c r="AM279" s="141"/>
      <c r="AN279" s="141"/>
      <c r="AO279" s="141"/>
      <c r="AP279" s="141"/>
      <c r="AQ279" s="141"/>
      <c r="AR279" s="141"/>
      <c r="AS279" s="141"/>
      <c r="AT279" s="141"/>
      <c r="AU279" s="141"/>
      <c r="AV279" s="141"/>
      <c r="AW279" s="141"/>
      <c r="AX279" s="141"/>
      <c r="AY279" s="141"/>
      <c r="AZ279" s="530"/>
      <c r="BA279" s="141"/>
      <c r="BB279" s="141"/>
      <c r="BC279" s="141"/>
      <c r="BD279" s="141"/>
      <c r="BE279" s="141"/>
      <c r="BF279" s="141"/>
      <c r="BG279" s="141"/>
      <c r="BH279" s="141"/>
      <c r="BI279" s="141"/>
      <c r="BJ279" s="141"/>
      <c r="BK279" s="141"/>
      <c r="BL279" s="141"/>
      <c r="BM279" s="141"/>
      <c r="BN279" s="141"/>
      <c r="BO279" s="141"/>
      <c r="BP279" s="141"/>
      <c r="BQ279" s="141"/>
    </row>
    <row r="280" spans="1:83">
      <c r="B280" s="40" t="s">
        <v>98</v>
      </c>
      <c r="AZ280" s="523"/>
    </row>
    <row r="281" spans="1:83">
      <c r="B281" s="257" t="s">
        <v>99</v>
      </c>
      <c r="AD281" s="151">
        <v>549.351493</v>
      </c>
      <c r="AE281" s="458">
        <f>+AD284</f>
        <v>552.48853699999995</v>
      </c>
      <c r="AF281" s="458">
        <f>AE284</f>
        <v>627.47120199999995</v>
      </c>
      <c r="AG281" s="458">
        <f>AD284</f>
        <v>552.48853699999995</v>
      </c>
      <c r="AH281" s="458">
        <f>AG284</f>
        <v>634.14496999999994</v>
      </c>
      <c r="AI281" s="458">
        <f>AH284</f>
        <v>635.13280999999995</v>
      </c>
      <c r="AJ281" s="458">
        <f>AG284</f>
        <v>634.14496999999994</v>
      </c>
      <c r="AK281" s="458">
        <f>AJ284</f>
        <v>635.13280999999995</v>
      </c>
      <c r="AL281" s="458">
        <f>+AK284</f>
        <v>636.27780999999993</v>
      </c>
      <c r="AM281" s="458">
        <f>AJ284</f>
        <v>635.13280999999995</v>
      </c>
      <c r="AN281" s="458">
        <f>AM284</f>
        <v>636.27780999999993</v>
      </c>
      <c r="AO281" s="458">
        <f>AN284</f>
        <v>637.38748799999996</v>
      </c>
      <c r="AP281" s="458">
        <f>AM284</f>
        <v>636.27780999999993</v>
      </c>
      <c r="AQ281" s="458">
        <f>AP284</f>
        <v>637.38748799999996</v>
      </c>
      <c r="AR281" s="458">
        <f>AQ284</f>
        <v>638.45668799999999</v>
      </c>
      <c r="AS281" s="458">
        <f>AP284</f>
        <v>637.38748799999996</v>
      </c>
      <c r="AT281" s="458">
        <f>AS284</f>
        <v>638.45668799999999</v>
      </c>
      <c r="AU281" s="458">
        <f>AT284</f>
        <v>640.53502000000003</v>
      </c>
      <c r="AV281" s="458">
        <f>AS284</f>
        <v>638.45668799999999</v>
      </c>
      <c r="AW281" s="458">
        <f>AV284</f>
        <v>638.45668799999999</v>
      </c>
      <c r="AX281" s="458">
        <f>AW284</f>
        <v>647.88574700000004</v>
      </c>
      <c r="AY281" s="458">
        <f>AV284</f>
        <v>638.45668799999999</v>
      </c>
      <c r="AZ281" s="522">
        <f>AY284</f>
        <v>648.68084899999997</v>
      </c>
      <c r="BA281" s="458">
        <f>AZ284</f>
        <v>649.44920100000002</v>
      </c>
      <c r="BB281" s="458">
        <f>AY284</f>
        <v>648.68084899999997</v>
      </c>
      <c r="BC281" s="458">
        <f>BB284</f>
        <v>649.39588200000003</v>
      </c>
      <c r="BD281" s="458">
        <f>BC284</f>
        <v>650.01427799999999</v>
      </c>
      <c r="BE281" s="13">
        <f>BB284</f>
        <v>649.39588200000003</v>
      </c>
      <c r="BF281" s="458">
        <f>BE284</f>
        <v>650.06749200000002</v>
      </c>
      <c r="BG281" s="458">
        <f>BF284</f>
        <v>650.06749200000002</v>
      </c>
      <c r="BH281" s="458">
        <f>BE284</f>
        <v>650.06749200000002</v>
      </c>
      <c r="BI281" s="458">
        <f>BH284</f>
        <v>650.06749200000002</v>
      </c>
      <c r="BJ281" s="458">
        <f>BI284</f>
        <v>650.06749200000002</v>
      </c>
      <c r="BK281" s="458">
        <f>BH284</f>
        <v>650.06749200000002</v>
      </c>
      <c r="BL281" s="458">
        <f>BK284</f>
        <v>650.06749200000002</v>
      </c>
      <c r="BM281" s="458">
        <f>BL284</f>
        <v>650.06749200000002</v>
      </c>
      <c r="BN281" s="458">
        <f>BK284</f>
        <v>650.06749200000002</v>
      </c>
      <c r="BO281" s="458">
        <f>BN284</f>
        <v>650.06749200000002</v>
      </c>
      <c r="BP281" s="458">
        <f>BO284</f>
        <v>650.06749200000002</v>
      </c>
      <c r="BQ281" s="458">
        <f>BN284</f>
        <v>650.06749200000002</v>
      </c>
      <c r="BR281" s="458">
        <f>BQ284</f>
        <v>650.06749200000002</v>
      </c>
      <c r="BS281" s="458">
        <f>BR284</f>
        <v>650.06749200000002</v>
      </c>
      <c r="BT281" s="458">
        <f>BQ284</f>
        <v>650.06749200000002</v>
      </c>
      <c r="BU281" s="458">
        <f>BT284</f>
        <v>650.06749200000002</v>
      </c>
      <c r="BV281" s="458">
        <f>BU284</f>
        <v>650.06749200000002</v>
      </c>
      <c r="BW281" s="458">
        <f>BT284</f>
        <v>650.06749200000002</v>
      </c>
      <c r="BX281" s="458">
        <f>BW284</f>
        <v>650.06749200000002</v>
      </c>
      <c r="BY281" s="458">
        <f>BX284</f>
        <v>650.06749200000002</v>
      </c>
      <c r="BZ281" s="458">
        <f>BW284</f>
        <v>650.06749200000002</v>
      </c>
      <c r="CA281" s="458">
        <f>BZ284</f>
        <v>650.06749200000002</v>
      </c>
      <c r="CB281" s="458">
        <f>CA284</f>
        <v>650.06749200000002</v>
      </c>
      <c r="CC281" s="458">
        <f>BZ284</f>
        <v>650.06749200000002</v>
      </c>
    </row>
    <row r="282" spans="1:83">
      <c r="B282" s="257" t="s">
        <v>100</v>
      </c>
      <c r="AE282" s="151">
        <v>74.982664999999997</v>
      </c>
      <c r="AG282" s="458">
        <f>SUM(AE282:AF282)</f>
        <v>74.982664999999997</v>
      </c>
      <c r="AH282" s="151">
        <v>0.98784000000000005</v>
      </c>
      <c r="AI282" s="458"/>
      <c r="AJ282" s="458">
        <f>AI282+AH282</f>
        <v>0.98784000000000005</v>
      </c>
      <c r="AK282" s="151">
        <v>1.145</v>
      </c>
      <c r="AL282" s="151">
        <v>0</v>
      </c>
      <c r="AM282" s="458">
        <f>+AL282+AK282</f>
        <v>1.145</v>
      </c>
      <c r="AN282" s="151">
        <v>1.1096779999999999</v>
      </c>
      <c r="AO282" s="458">
        <f>+AP282-AN282</f>
        <v>3.0864200084579352E-14</v>
      </c>
      <c r="AP282" s="458">
        <f>+AP284-AP281</f>
        <v>1.1096780000000308</v>
      </c>
      <c r="AQ282" s="151">
        <v>1.0691999999999999</v>
      </c>
      <c r="AR282" s="458"/>
      <c r="AS282" s="458">
        <f>+AR282+AQ282</f>
        <v>1.0691999999999999</v>
      </c>
      <c r="AT282" s="151">
        <v>2.0783320000000001</v>
      </c>
      <c r="AU282" s="458"/>
      <c r="AV282" s="458"/>
      <c r="AW282" s="151">
        <f>0.61808</f>
        <v>0.61807999999999996</v>
      </c>
      <c r="AX282" s="458">
        <f>AY282-AW282</f>
        <v>0</v>
      </c>
      <c r="AY282" s="151">
        <v>0.61807999999999996</v>
      </c>
      <c r="AZ282" s="531">
        <v>0.76835200000000003</v>
      </c>
      <c r="BC282" s="518">
        <v>0.61839599999999995</v>
      </c>
      <c r="BE282" s="527">
        <f>SUM(BC282:BD282)</f>
        <v>0.61839599999999995</v>
      </c>
      <c r="BH282" s="527">
        <f>SUM(BF282:BG282)</f>
        <v>0</v>
      </c>
      <c r="BK282" s="527">
        <f>SUM(BI282:BJ282)</f>
        <v>0</v>
      </c>
      <c r="BN282" s="527">
        <f>SUM(BL282:BM282)</f>
        <v>0</v>
      </c>
      <c r="BQ282" s="527">
        <f>SUM(BO282:BP282)</f>
        <v>0</v>
      </c>
      <c r="BT282" s="527">
        <f>SUM(BR282:BS282)</f>
        <v>0</v>
      </c>
      <c r="BW282" s="527">
        <f>SUM(BU282:BV282)</f>
        <v>0</v>
      </c>
      <c r="BZ282" s="527">
        <f>SUM(BX282:BY282)</f>
        <v>0</v>
      </c>
      <c r="CC282" s="527">
        <f>SUM(CA282:CB282)</f>
        <v>0</v>
      </c>
    </row>
    <row r="283" spans="1:83">
      <c r="B283" s="257" t="s">
        <v>498</v>
      </c>
      <c r="AD283" s="458"/>
      <c r="AT283" s="458"/>
      <c r="AU283" s="458"/>
      <c r="AV283" s="458"/>
      <c r="AW283" s="458">
        <f>AW284-AW281-AW282</f>
        <v>8.810979000000053</v>
      </c>
      <c r="AX283" s="458">
        <f>AY283-AW283</f>
        <v>0.79510199999992892</v>
      </c>
      <c r="AY283" s="458">
        <f>AY284-AY281-AY282</f>
        <v>9.6060809999999819</v>
      </c>
      <c r="AZ283" s="531">
        <v>0</v>
      </c>
    </row>
    <row r="284" spans="1:83">
      <c r="B284" s="257" t="s">
        <v>499</v>
      </c>
      <c r="AD284" s="151">
        <v>552.48853699999995</v>
      </c>
      <c r="AE284" s="458">
        <f>SUM(AE281:AE283)</f>
        <v>627.47120199999995</v>
      </c>
      <c r="AF284" s="458">
        <f>AG284</f>
        <v>634.14496999999994</v>
      </c>
      <c r="AG284" s="151">
        <v>634.14496999999994</v>
      </c>
      <c r="AH284" s="458">
        <f>SUM(AH281:AH283)</f>
        <v>635.13280999999995</v>
      </c>
      <c r="AI284" s="458">
        <f>SUM(AI281:AI283)</f>
        <v>635.13280999999995</v>
      </c>
      <c r="AJ284" s="458">
        <f>SUM(AJ281:AJ283)</f>
        <v>635.13280999999995</v>
      </c>
      <c r="AK284" s="458">
        <f>SUM(AK281:AK283)</f>
        <v>636.27780999999993</v>
      </c>
      <c r="AL284" s="458">
        <f>+AL282+AL281</f>
        <v>636.27780999999993</v>
      </c>
      <c r="AM284" s="458">
        <f>SUM(AM281:AM283)</f>
        <v>636.27780999999993</v>
      </c>
      <c r="AN284" s="458">
        <f>SUM(AN281:AN283)</f>
        <v>637.38748799999996</v>
      </c>
      <c r="AO284" s="458">
        <f>AP284</f>
        <v>637.38748799999996</v>
      </c>
      <c r="AP284" s="151">
        <v>637.38748799999996</v>
      </c>
      <c r="AQ284" s="458">
        <f>SUM(AQ281:AQ283)</f>
        <v>638.45668799999999</v>
      </c>
      <c r="AR284" s="458">
        <f>AS284</f>
        <v>638.45668799999999</v>
      </c>
      <c r="AS284" s="458">
        <f>SUM(AS281:AS283)</f>
        <v>638.45668799999999</v>
      </c>
      <c r="AT284" s="458">
        <f>SUM(AT281:AT283)</f>
        <v>640.53502000000003</v>
      </c>
      <c r="AU284" s="458">
        <f>AV284</f>
        <v>638.45668799999999</v>
      </c>
      <c r="AV284" s="458">
        <f>SUM(AV281:AV283)</f>
        <v>638.45668799999999</v>
      </c>
      <c r="AW284" s="151">
        <v>647.88574700000004</v>
      </c>
      <c r="AX284" s="458">
        <f>AY284</f>
        <v>648.68084899999997</v>
      </c>
      <c r="AY284" s="458">
        <f>AY286</f>
        <v>648.68084899999997</v>
      </c>
      <c r="AZ284" s="522">
        <f>SUM(AZ281:AZ283)</f>
        <v>649.44920100000002</v>
      </c>
      <c r="BA284" s="458">
        <f>BB284</f>
        <v>649.39588200000003</v>
      </c>
      <c r="BB284" s="458">
        <f>BB286</f>
        <v>649.39588200000003</v>
      </c>
      <c r="BC284" s="458">
        <f>SUM(BC281:BC283)</f>
        <v>650.01427799999999</v>
      </c>
      <c r="BD284" s="458">
        <f>BE284</f>
        <v>650.06749200000002</v>
      </c>
      <c r="BE284" s="458">
        <f>BE286</f>
        <v>650.06749200000002</v>
      </c>
      <c r="BF284" s="458">
        <f>SUM(BF281:BF283)</f>
        <v>650.06749200000002</v>
      </c>
      <c r="BG284" s="458">
        <f>BH284</f>
        <v>650.06749200000002</v>
      </c>
      <c r="BH284" s="458">
        <f>SUM(BH281:BH283)</f>
        <v>650.06749200000002</v>
      </c>
      <c r="BI284" s="458">
        <f>SUM(BI281:BI283)</f>
        <v>650.06749200000002</v>
      </c>
      <c r="BJ284" s="458">
        <f>BK284</f>
        <v>650.06749200000002</v>
      </c>
      <c r="BK284" s="458">
        <f>SUM(BK281:BK283)</f>
        <v>650.06749200000002</v>
      </c>
      <c r="BL284" s="458">
        <f>SUM(BL281:BL283)</f>
        <v>650.06749200000002</v>
      </c>
      <c r="BM284" s="458">
        <f>BN284</f>
        <v>650.06749200000002</v>
      </c>
      <c r="BN284" s="458">
        <f>SUM(BN281:BN283)</f>
        <v>650.06749200000002</v>
      </c>
      <c r="BO284" s="458">
        <f>SUM(BO281:BO283)</f>
        <v>650.06749200000002</v>
      </c>
      <c r="BP284" s="458">
        <f>BQ284</f>
        <v>650.06749200000002</v>
      </c>
      <c r="BQ284" s="458">
        <f>SUM(BQ281:BQ283)</f>
        <v>650.06749200000002</v>
      </c>
      <c r="BR284" s="458">
        <f>SUM(BR281:BR283)</f>
        <v>650.06749200000002</v>
      </c>
      <c r="BS284" s="458">
        <f>BT284</f>
        <v>650.06749200000002</v>
      </c>
      <c r="BT284" s="458">
        <f>SUM(BT281:BT283)</f>
        <v>650.06749200000002</v>
      </c>
      <c r="BU284" s="458">
        <f>SUM(BU281:BU283)</f>
        <v>650.06749200000002</v>
      </c>
      <c r="BV284" s="458">
        <f>BW284</f>
        <v>650.06749200000002</v>
      </c>
      <c r="BW284" s="458">
        <f>SUM(BW281:BW283)</f>
        <v>650.06749200000002</v>
      </c>
      <c r="BX284" s="458">
        <f>SUM(BX281:BX283)</f>
        <v>650.06749200000002</v>
      </c>
      <c r="BY284" s="458">
        <f>BZ284</f>
        <v>650.06749200000002</v>
      </c>
      <c r="BZ284" s="458">
        <f>SUM(BZ281:BZ283)</f>
        <v>650.06749200000002</v>
      </c>
      <c r="CA284" s="458">
        <f>SUM(CA281:CA283)</f>
        <v>650.06749200000002</v>
      </c>
      <c r="CB284" s="458">
        <f>CC284</f>
        <v>650.06749200000002</v>
      </c>
      <c r="CC284" s="458">
        <f>SUM(CC281:CC283)</f>
        <v>650.06749200000002</v>
      </c>
    </row>
    <row r="285" spans="1:83">
      <c r="AD285" s="151"/>
      <c r="AE285" s="458"/>
      <c r="AF285" s="458"/>
      <c r="AG285" s="151"/>
      <c r="AH285" s="458"/>
      <c r="AI285" s="458"/>
      <c r="AJ285" s="458"/>
      <c r="AK285" s="458"/>
      <c r="AL285" s="458"/>
      <c r="AM285" s="458"/>
      <c r="AN285" s="458"/>
      <c r="AO285" s="458"/>
      <c r="AP285" s="151"/>
      <c r="AQ285" s="458"/>
      <c r="AR285" s="458"/>
      <c r="AS285" s="458"/>
      <c r="AT285" s="458"/>
      <c r="AU285" s="458"/>
      <c r="AV285" s="458"/>
      <c r="AW285" s="151"/>
      <c r="AX285" s="458"/>
      <c r="AY285" s="458"/>
      <c r="AZ285" s="522"/>
      <c r="BA285" s="458"/>
      <c r="BB285" s="458"/>
      <c r="BC285" s="458"/>
      <c r="BD285" s="458"/>
      <c r="BE285" s="458"/>
      <c r="BF285" s="458"/>
      <c r="BG285" s="458"/>
      <c r="BH285" s="458"/>
      <c r="BI285" s="458"/>
      <c r="BJ285" s="458"/>
      <c r="BK285" s="458"/>
      <c r="BL285" s="458"/>
      <c r="BM285" s="458"/>
      <c r="BN285" s="458"/>
      <c r="BO285" s="458"/>
      <c r="BP285" s="458"/>
      <c r="BQ285" s="458"/>
      <c r="BR285" s="458"/>
      <c r="BS285" s="458"/>
      <c r="BT285" s="458"/>
      <c r="BU285" s="458"/>
      <c r="BV285" s="458"/>
      <c r="BW285" s="458"/>
      <c r="BX285" s="458"/>
      <c r="BY285" s="458"/>
      <c r="BZ285" s="458"/>
      <c r="CA285" s="458"/>
      <c r="CB285" s="458"/>
      <c r="CC285" s="458"/>
    </row>
    <row r="286" spans="1:83">
      <c r="B286" s="257" t="s">
        <v>500</v>
      </c>
      <c r="AD286" s="151">
        <v>552.94114100000002</v>
      </c>
      <c r="AE286" s="458">
        <f>+(AE281+AE284)/2</f>
        <v>589.97986949999995</v>
      </c>
      <c r="AF286" s="458">
        <f>AG286</f>
        <v>606.21077000000002</v>
      </c>
      <c r="AG286" s="151">
        <v>606.21077000000002</v>
      </c>
      <c r="AH286" s="458">
        <f>+(AH281+AH284)/2</f>
        <v>634.63888999999995</v>
      </c>
      <c r="AI286" s="458">
        <f>+(AI281+AI284)/2</f>
        <v>635.13280999999995</v>
      </c>
      <c r="AJ286" s="151">
        <v>634.851</v>
      </c>
      <c r="AK286" s="458">
        <f>+(AK281+AK284)/2</f>
        <v>635.70530999999994</v>
      </c>
      <c r="AL286" s="458">
        <f>AM286</f>
        <v>635.89509799999996</v>
      </c>
      <c r="AM286" s="151">
        <v>635.89509799999996</v>
      </c>
      <c r="AN286" s="458">
        <f>+(AN281+AN284)/2</f>
        <v>636.83264899999995</v>
      </c>
      <c r="AO286" s="458">
        <f>AP286</f>
        <v>637.01456299999995</v>
      </c>
      <c r="AP286" s="151">
        <v>637.01456299999995</v>
      </c>
      <c r="AQ286" s="458">
        <f>+AQ295/AQ299*100</f>
        <v>634.375</v>
      </c>
      <c r="AR286" s="458">
        <f>AS286</f>
        <v>638.09931200000005</v>
      </c>
      <c r="AS286" s="151">
        <v>638.09931200000005</v>
      </c>
      <c r="AT286" s="458">
        <f>+(AT281+AT284)/2</f>
        <v>639.49585400000001</v>
      </c>
      <c r="AU286" s="458">
        <f>AV286</f>
        <v>641.36568899999997</v>
      </c>
      <c r="AV286" s="151">
        <f>641.365689</f>
        <v>641.36568899999997</v>
      </c>
      <c r="AW286" s="151">
        <v>639.1</v>
      </c>
      <c r="AX286" s="458">
        <f>AY286</f>
        <v>648.68084899999997</v>
      </c>
      <c r="AY286" s="151">
        <v>648.68084899999997</v>
      </c>
      <c r="AZ286" s="531">
        <v>649.44920100000002</v>
      </c>
      <c r="BA286" s="458">
        <f>BB286</f>
        <v>649.39588200000003</v>
      </c>
      <c r="BB286" s="151">
        <v>649.39588200000003</v>
      </c>
      <c r="BC286" s="458">
        <f>+(BC281+BC284)/2</f>
        <v>649.70507999999995</v>
      </c>
      <c r="BD286" s="458">
        <f>BE286</f>
        <v>650.06749200000002</v>
      </c>
      <c r="BE286" s="151">
        <v>650.06749200000002</v>
      </c>
      <c r="BF286" s="458">
        <f>+(BF281+BF284)/2</f>
        <v>650.06749200000002</v>
      </c>
      <c r="BG286" s="458">
        <f>BH286</f>
        <v>650.06749200000002</v>
      </c>
      <c r="BH286" s="458">
        <f>+(BH281+BH284)/2</f>
        <v>650.06749200000002</v>
      </c>
      <c r="BI286" s="458">
        <f>+(BI281+BI284)/2</f>
        <v>650.06749200000002</v>
      </c>
      <c r="BJ286" s="458">
        <f>BK286</f>
        <v>650.06749200000002</v>
      </c>
      <c r="BK286" s="458">
        <f>+(BK281+BK284)/2</f>
        <v>650.06749200000002</v>
      </c>
      <c r="BL286" s="458">
        <f>+(BL281+BL284)/2</f>
        <v>650.06749200000002</v>
      </c>
      <c r="BM286" s="458">
        <f>BN286</f>
        <v>650.06749200000002</v>
      </c>
      <c r="BN286" s="458">
        <f>+(BN281+BN284)/2</f>
        <v>650.06749200000002</v>
      </c>
      <c r="BO286" s="458">
        <f>+(BO281+BO284)/2</f>
        <v>650.06749200000002</v>
      </c>
      <c r="BP286" s="458">
        <f>BQ286</f>
        <v>650.06749200000002</v>
      </c>
      <c r="BQ286" s="458">
        <f>+(BQ281+BQ284)/2</f>
        <v>650.06749200000002</v>
      </c>
      <c r="BR286" s="458">
        <f>+(BR281+BR284)/2</f>
        <v>650.06749200000002</v>
      </c>
      <c r="BS286" s="458">
        <f>BT286</f>
        <v>650.06749200000002</v>
      </c>
      <c r="BT286" s="458">
        <f>+(BT281+BT284)/2</f>
        <v>650.06749200000002</v>
      </c>
      <c r="BU286" s="458">
        <f>+(BU281+BU284)/2</f>
        <v>650.06749200000002</v>
      </c>
      <c r="BV286" s="458">
        <f>BW286</f>
        <v>650.06749200000002</v>
      </c>
      <c r="BW286" s="458">
        <f>+(BW281+BW284)/2</f>
        <v>650.06749200000002</v>
      </c>
      <c r="BX286" s="458">
        <f>+(BX281+BX284)/2</f>
        <v>650.06749200000002</v>
      </c>
      <c r="BY286" s="458">
        <f>BZ286</f>
        <v>650.06749200000002</v>
      </c>
      <c r="BZ286" s="458">
        <f>+(BZ281+BZ284)/2</f>
        <v>650.06749200000002</v>
      </c>
      <c r="CA286" s="458">
        <f>+(CA281+CA284)/2</f>
        <v>650.06749200000002</v>
      </c>
      <c r="CB286" s="458">
        <f>CC286</f>
        <v>650.06749200000002</v>
      </c>
      <c r="CC286" s="458">
        <f>+(CC281+CC284)/2</f>
        <v>650.06749200000002</v>
      </c>
    </row>
    <row r="287" spans="1:83">
      <c r="B287" s="11" t="s">
        <v>588</v>
      </c>
      <c r="C287" s="11"/>
      <c r="D287" s="11"/>
      <c r="E287" s="11"/>
      <c r="F287" s="11"/>
      <c r="G287" s="11"/>
      <c r="H287" s="11"/>
      <c r="I287" s="11"/>
      <c r="J287" s="11"/>
      <c r="K287" s="11"/>
      <c r="L287" s="11"/>
      <c r="M287" s="11"/>
      <c r="N287" s="11"/>
      <c r="O287" s="11"/>
      <c r="P287" s="11"/>
      <c r="Q287" s="11"/>
      <c r="R287" s="11"/>
      <c r="S287" s="11"/>
      <c r="T287" s="11"/>
      <c r="U287" s="11"/>
      <c r="V287" s="11"/>
      <c r="W287" s="11"/>
      <c r="X287" s="11"/>
      <c r="Y287" s="11"/>
      <c r="Z287" s="11"/>
      <c r="AA287" s="11"/>
      <c r="AB287" s="11"/>
      <c r="AC287" s="11"/>
      <c r="AD287" s="13">
        <f>+AD286</f>
        <v>552.94114100000002</v>
      </c>
      <c r="AE287" s="13">
        <f t="shared" ref="AE287:BQ287" si="256">+AE286</f>
        <v>589.97986949999995</v>
      </c>
      <c r="AF287" s="13">
        <f t="shared" si="256"/>
        <v>606.21077000000002</v>
      </c>
      <c r="AG287" s="13">
        <f t="shared" si="256"/>
        <v>606.21077000000002</v>
      </c>
      <c r="AH287" s="13">
        <f t="shared" si="256"/>
        <v>634.63888999999995</v>
      </c>
      <c r="AI287" s="13">
        <f t="shared" si="256"/>
        <v>635.13280999999995</v>
      </c>
      <c r="AJ287" s="13">
        <f t="shared" si="256"/>
        <v>634.851</v>
      </c>
      <c r="AK287" s="13">
        <f t="shared" si="256"/>
        <v>635.70530999999994</v>
      </c>
      <c r="AL287" s="13">
        <f t="shared" si="256"/>
        <v>635.89509799999996</v>
      </c>
      <c r="AM287" s="13">
        <f t="shared" si="256"/>
        <v>635.89509799999996</v>
      </c>
      <c r="AN287" s="13">
        <f t="shared" si="256"/>
        <v>636.83264899999995</v>
      </c>
      <c r="AO287" s="13">
        <f t="shared" si="256"/>
        <v>637.01456299999995</v>
      </c>
      <c r="AP287" s="13">
        <f t="shared" si="256"/>
        <v>637.01456299999995</v>
      </c>
      <c r="AQ287" s="13">
        <f t="shared" si="256"/>
        <v>634.375</v>
      </c>
      <c r="AR287" s="13">
        <f t="shared" si="256"/>
        <v>638.09931200000005</v>
      </c>
      <c r="AS287" s="13">
        <f t="shared" si="256"/>
        <v>638.09931200000005</v>
      </c>
      <c r="AT287" s="13">
        <f t="shared" si="256"/>
        <v>639.49585400000001</v>
      </c>
      <c r="AU287" s="13">
        <f t="shared" si="256"/>
        <v>641.36568899999997</v>
      </c>
      <c r="AV287" s="13">
        <f t="shared" si="256"/>
        <v>641.36568899999997</v>
      </c>
      <c r="AW287" s="13">
        <f t="shared" si="256"/>
        <v>639.1</v>
      </c>
      <c r="AX287" s="13">
        <f t="shared" si="256"/>
        <v>648.68084899999997</v>
      </c>
      <c r="AY287" s="13">
        <f t="shared" si="256"/>
        <v>648.68084899999997</v>
      </c>
      <c r="AZ287" s="532">
        <f t="shared" si="256"/>
        <v>649.44920100000002</v>
      </c>
      <c r="BA287" s="13">
        <f t="shared" si="256"/>
        <v>649.39588200000003</v>
      </c>
      <c r="BB287" s="13">
        <f t="shared" si="256"/>
        <v>649.39588200000003</v>
      </c>
      <c r="BC287" s="13">
        <f t="shared" si="256"/>
        <v>649.70507999999995</v>
      </c>
      <c r="BD287" s="13">
        <f t="shared" ref="BD287" si="257">+BD286</f>
        <v>650.06749200000002</v>
      </c>
      <c r="BE287" s="13">
        <f t="shared" si="256"/>
        <v>650.06749200000002</v>
      </c>
      <c r="BF287" s="13">
        <f t="shared" si="256"/>
        <v>650.06749200000002</v>
      </c>
      <c r="BG287" s="13">
        <f t="shared" si="256"/>
        <v>650.06749200000002</v>
      </c>
      <c r="BH287" s="13">
        <f t="shared" si="256"/>
        <v>650.06749200000002</v>
      </c>
      <c r="BI287" s="13">
        <f t="shared" si="256"/>
        <v>650.06749200000002</v>
      </c>
      <c r="BJ287" s="13">
        <f t="shared" si="256"/>
        <v>650.06749200000002</v>
      </c>
      <c r="BK287" s="13">
        <f t="shared" si="256"/>
        <v>650.06749200000002</v>
      </c>
      <c r="BL287" s="13">
        <f t="shared" si="256"/>
        <v>650.06749200000002</v>
      </c>
      <c r="BM287" s="13">
        <f t="shared" si="256"/>
        <v>650.06749200000002</v>
      </c>
      <c r="BN287" s="13">
        <f t="shared" si="256"/>
        <v>650.06749200000002</v>
      </c>
      <c r="BO287" s="13">
        <f t="shared" si="256"/>
        <v>650.06749200000002</v>
      </c>
      <c r="BP287" s="13">
        <f t="shared" si="256"/>
        <v>650.06749200000002</v>
      </c>
      <c r="BQ287" s="13">
        <f t="shared" si="256"/>
        <v>650.06749200000002</v>
      </c>
      <c r="BR287" s="13">
        <f t="shared" ref="BR287:CC287" si="258">+BR286</f>
        <v>650.06749200000002</v>
      </c>
      <c r="BS287" s="13">
        <f t="shared" si="258"/>
        <v>650.06749200000002</v>
      </c>
      <c r="BT287" s="13">
        <f t="shared" si="258"/>
        <v>650.06749200000002</v>
      </c>
      <c r="BU287" s="13">
        <f t="shared" si="258"/>
        <v>650.06749200000002</v>
      </c>
      <c r="BV287" s="13">
        <f t="shared" si="258"/>
        <v>650.06749200000002</v>
      </c>
      <c r="BW287" s="13">
        <f t="shared" si="258"/>
        <v>650.06749200000002</v>
      </c>
      <c r="BX287" s="13">
        <f t="shared" si="258"/>
        <v>650.06749200000002</v>
      </c>
      <c r="BY287" s="13">
        <f t="shared" si="258"/>
        <v>650.06749200000002</v>
      </c>
      <c r="BZ287" s="13">
        <f t="shared" si="258"/>
        <v>650.06749200000002</v>
      </c>
      <c r="CA287" s="13">
        <f t="shared" si="258"/>
        <v>650.06749200000002</v>
      </c>
      <c r="CB287" s="13">
        <f t="shared" si="258"/>
        <v>650.06749200000002</v>
      </c>
      <c r="CC287" s="13">
        <f t="shared" si="258"/>
        <v>650.06749200000002</v>
      </c>
    </row>
    <row r="288" spans="1:83">
      <c r="B288" s="11"/>
      <c r="C288" s="11"/>
      <c r="D288" s="11"/>
      <c r="E288" s="11"/>
      <c r="F288" s="11"/>
      <c r="G288" s="11"/>
      <c r="H288" s="11"/>
      <c r="I288" s="11"/>
      <c r="J288" s="11"/>
      <c r="K288" s="11"/>
      <c r="L288" s="11"/>
      <c r="M288" s="11"/>
      <c r="N288" s="11"/>
      <c r="O288" s="11"/>
      <c r="P288" s="11"/>
      <c r="Q288" s="11"/>
      <c r="R288" s="11"/>
      <c r="S288" s="11"/>
      <c r="T288" s="11"/>
      <c r="U288" s="11"/>
      <c r="V288" s="11"/>
      <c r="W288" s="11"/>
      <c r="X288" s="11"/>
      <c r="Y288" s="11"/>
      <c r="Z288" s="11"/>
      <c r="AA288" s="11"/>
      <c r="AB288" s="11"/>
      <c r="AC288" s="11"/>
      <c r="AD288" s="13"/>
      <c r="AE288" s="13"/>
      <c r="AF288" s="13"/>
      <c r="AG288" s="13"/>
      <c r="AH288" s="13"/>
      <c r="AI288" s="13"/>
      <c r="AJ288" s="13"/>
      <c r="AK288" s="13"/>
      <c r="AL288" s="13"/>
      <c r="AM288" s="13"/>
      <c r="AN288" s="13"/>
      <c r="AO288" s="13"/>
      <c r="AP288" s="13"/>
      <c r="AQ288" s="13"/>
      <c r="AR288" s="13"/>
      <c r="AS288" s="13"/>
      <c r="AT288" s="13"/>
      <c r="AU288" s="13"/>
      <c r="AV288" s="13"/>
      <c r="AW288" s="13"/>
      <c r="AX288" s="13"/>
      <c r="AY288" s="13"/>
      <c r="AZ288" s="532"/>
      <c r="BA288" s="13"/>
      <c r="BB288" s="13"/>
      <c r="BC288" s="13"/>
      <c r="BD288" s="13"/>
      <c r="BE288" s="13"/>
      <c r="BF288" s="13"/>
      <c r="BG288" s="13"/>
      <c r="BH288" s="13"/>
      <c r="BI288" s="13"/>
      <c r="BJ288" s="13"/>
      <c r="BK288" s="13"/>
      <c r="BL288" s="13"/>
      <c r="BM288" s="13"/>
      <c r="BN288" s="13"/>
      <c r="BO288" s="13"/>
      <c r="BP288" s="13"/>
      <c r="BQ288" s="13"/>
      <c r="BR288" s="13"/>
      <c r="BS288" s="13"/>
      <c r="BT288" s="13"/>
      <c r="BU288" s="13"/>
      <c r="BV288" s="13"/>
      <c r="BW288" s="13"/>
      <c r="BX288" s="13"/>
      <c r="BY288" s="13"/>
      <c r="BZ288" s="13"/>
      <c r="CA288" s="13"/>
      <c r="CB288" s="13"/>
      <c r="CC288" s="13"/>
    </row>
    <row r="289" spans="2:81">
      <c r="B289" s="40" t="s">
        <v>121</v>
      </c>
      <c r="AD289" s="458"/>
      <c r="AE289" s="458"/>
      <c r="AF289" s="458"/>
      <c r="AG289" s="458"/>
      <c r="AH289" s="458"/>
      <c r="AI289" s="458"/>
      <c r="AJ289" s="458"/>
      <c r="AK289" s="458"/>
      <c r="AL289" s="458"/>
      <c r="AM289" s="458"/>
      <c r="AN289" s="458"/>
      <c r="AO289" s="458"/>
      <c r="AP289" s="458"/>
      <c r="AQ289" s="458"/>
      <c r="AR289" s="458"/>
      <c r="AS289" s="458"/>
      <c r="AT289" s="458"/>
      <c r="AU289" s="458"/>
      <c r="AV289" s="458"/>
      <c r="AW289" s="458"/>
      <c r="AX289" s="458"/>
      <c r="AY289" s="458"/>
      <c r="AZ289" s="458"/>
      <c r="BA289" s="458"/>
      <c r="BB289" s="458"/>
      <c r="BC289" s="458"/>
      <c r="BD289" s="458"/>
      <c r="BE289" s="458"/>
      <c r="BF289" s="458"/>
      <c r="BG289" s="458"/>
      <c r="BH289" s="458"/>
      <c r="BI289" s="458"/>
      <c r="BJ289" s="458"/>
      <c r="BK289" s="458"/>
      <c r="BL289" s="458"/>
      <c r="BM289" s="458"/>
      <c r="BN289" s="458"/>
      <c r="BO289" s="458"/>
      <c r="BP289" s="458"/>
      <c r="BQ289" s="458"/>
      <c r="BR289" s="458"/>
      <c r="BS289" s="458"/>
      <c r="BT289" s="458"/>
      <c r="BU289" s="458"/>
      <c r="BV289" s="458"/>
      <c r="BW289" s="458"/>
      <c r="BX289" s="458"/>
      <c r="BY289" s="458"/>
      <c r="BZ289" s="458"/>
      <c r="CA289" s="458"/>
      <c r="CB289" s="458"/>
      <c r="CC289" s="458"/>
    </row>
    <row r="290" spans="2:81">
      <c r="B290" s="257" t="s">
        <v>489</v>
      </c>
      <c r="AD290" s="458"/>
      <c r="AE290" s="458"/>
      <c r="AF290" s="458"/>
      <c r="AG290" s="458"/>
      <c r="AH290" s="458"/>
      <c r="AI290" s="496"/>
      <c r="AJ290" s="496"/>
      <c r="AK290" s="496"/>
      <c r="AL290" s="496"/>
      <c r="AM290" s="496"/>
      <c r="AN290" s="496"/>
      <c r="AO290" s="496"/>
      <c r="AP290" s="496"/>
      <c r="AQ290" s="496"/>
      <c r="AR290" s="496"/>
      <c r="AS290" s="496"/>
      <c r="AT290" s="496"/>
      <c r="AU290" s="496"/>
      <c r="AV290" s="496"/>
      <c r="AW290" s="496"/>
      <c r="AX290" s="496"/>
      <c r="AY290" s="496"/>
      <c r="AZ290" s="496"/>
      <c r="BA290" s="496"/>
      <c r="BB290" s="496"/>
      <c r="BC290" s="496"/>
      <c r="BD290" s="496"/>
      <c r="BE290" s="496"/>
      <c r="BF290" s="496"/>
      <c r="BG290" s="496"/>
      <c r="BH290" s="496"/>
      <c r="BI290" s="496"/>
      <c r="BJ290" s="496"/>
      <c r="BK290" s="496"/>
      <c r="BL290" s="496"/>
      <c r="BM290" s="496"/>
      <c r="BN290" s="496"/>
      <c r="BO290" s="496"/>
      <c r="BP290" s="496"/>
      <c r="BQ290" s="496"/>
      <c r="BR290" s="496"/>
      <c r="BS290" s="496"/>
      <c r="BT290" s="496"/>
      <c r="BU290" s="496"/>
      <c r="BV290" s="496"/>
      <c r="BW290" s="496"/>
      <c r="BX290" s="496"/>
      <c r="BY290" s="496"/>
      <c r="BZ290" s="496"/>
      <c r="CA290" s="496"/>
      <c r="CB290" s="496"/>
      <c r="CC290" s="496"/>
    </row>
    <row r="291" spans="2:81">
      <c r="B291" s="257" t="s">
        <v>488</v>
      </c>
      <c r="AD291" s="458"/>
      <c r="AE291" s="458"/>
      <c r="AF291" s="458"/>
      <c r="AG291" s="458"/>
      <c r="AH291" s="458"/>
      <c r="AI291" s="496"/>
      <c r="AJ291" s="496"/>
      <c r="AK291" s="496"/>
      <c r="AL291" s="496"/>
      <c r="AM291" s="496"/>
      <c r="AN291" s="496"/>
      <c r="AO291" s="496"/>
      <c r="AP291" s="496"/>
      <c r="AQ291" s="496"/>
      <c r="AR291" s="496"/>
      <c r="AS291" s="496"/>
      <c r="AT291" s="496"/>
      <c r="AU291" s="496"/>
      <c r="AV291" s="496"/>
      <c r="AW291" s="496"/>
      <c r="AX291" s="496"/>
      <c r="AY291" s="496"/>
      <c r="AZ291" s="496"/>
      <c r="BA291" s="496"/>
      <c r="BB291" s="496"/>
      <c r="BC291" s="496"/>
      <c r="BD291" s="496"/>
      <c r="BE291" s="496"/>
      <c r="BF291" s="496"/>
      <c r="BG291" s="496"/>
      <c r="BH291" s="496"/>
      <c r="BI291" s="496"/>
      <c r="BJ291" s="496"/>
      <c r="BK291" s="496"/>
      <c r="BL291" s="496"/>
      <c r="BM291" s="496"/>
      <c r="BN291" s="496"/>
      <c r="BO291" s="496"/>
      <c r="BP291" s="496"/>
      <c r="BQ291" s="496"/>
      <c r="BR291" s="496"/>
      <c r="BS291" s="496"/>
      <c r="BT291" s="496"/>
      <c r="BU291" s="496"/>
      <c r="BV291" s="496"/>
      <c r="BW291" s="496"/>
      <c r="BX291" s="496"/>
      <c r="BY291" s="496"/>
      <c r="BZ291" s="496"/>
      <c r="CA291" s="496"/>
      <c r="CB291" s="496"/>
      <c r="CC291" s="496"/>
    </row>
    <row r="292" spans="2:81">
      <c r="B292" s="40" t="s">
        <v>330</v>
      </c>
      <c r="AD292" s="458"/>
      <c r="AE292" s="458"/>
      <c r="AF292" s="458"/>
      <c r="AG292" s="458"/>
      <c r="AH292" s="458"/>
      <c r="AI292" s="458">
        <f>AI291*AI290</f>
        <v>0</v>
      </c>
      <c r="AJ292" s="458">
        <f t="shared" ref="AJ292:BN292" si="259">AJ291*AJ290</f>
        <v>0</v>
      </c>
      <c r="AK292" s="458">
        <f t="shared" si="259"/>
        <v>0</v>
      </c>
      <c r="AL292" s="458">
        <f t="shared" si="259"/>
        <v>0</v>
      </c>
      <c r="AM292" s="458">
        <f t="shared" si="259"/>
        <v>0</v>
      </c>
      <c r="AN292" s="458">
        <f t="shared" si="259"/>
        <v>0</v>
      </c>
      <c r="AO292" s="458">
        <f t="shared" si="259"/>
        <v>0</v>
      </c>
      <c r="AP292" s="458">
        <f t="shared" si="259"/>
        <v>0</v>
      </c>
      <c r="AQ292" s="458">
        <f t="shared" si="259"/>
        <v>0</v>
      </c>
      <c r="AR292" s="458">
        <f t="shared" si="259"/>
        <v>0</v>
      </c>
      <c r="AS292" s="458">
        <f t="shared" si="259"/>
        <v>0</v>
      </c>
      <c r="AT292" s="458">
        <f t="shared" si="259"/>
        <v>0</v>
      </c>
      <c r="AU292" s="458">
        <f t="shared" si="259"/>
        <v>0</v>
      </c>
      <c r="AV292" s="458">
        <f t="shared" si="259"/>
        <v>0</v>
      </c>
      <c r="AW292" s="458">
        <f t="shared" si="259"/>
        <v>0</v>
      </c>
      <c r="AX292" s="458">
        <f t="shared" si="259"/>
        <v>0</v>
      </c>
      <c r="AY292" s="458">
        <f t="shared" si="259"/>
        <v>0</v>
      </c>
      <c r="AZ292" s="458">
        <f t="shared" si="259"/>
        <v>0</v>
      </c>
      <c r="BA292" s="458">
        <f t="shared" si="259"/>
        <v>0</v>
      </c>
      <c r="BB292" s="458">
        <f t="shared" si="259"/>
        <v>0</v>
      </c>
      <c r="BC292" s="458">
        <f t="shared" si="259"/>
        <v>0</v>
      </c>
      <c r="BD292" s="458">
        <f t="shared" ref="BD292:BE292" si="260">BD291*BD290</f>
        <v>0</v>
      </c>
      <c r="BE292" s="458">
        <f t="shared" si="260"/>
        <v>0</v>
      </c>
      <c r="BF292" s="458">
        <f t="shared" si="259"/>
        <v>0</v>
      </c>
      <c r="BG292" s="458">
        <f t="shared" si="259"/>
        <v>0</v>
      </c>
      <c r="BH292" s="458">
        <f t="shared" si="259"/>
        <v>0</v>
      </c>
      <c r="BI292" s="458">
        <f t="shared" si="259"/>
        <v>0</v>
      </c>
      <c r="BJ292" s="458">
        <f t="shared" si="259"/>
        <v>0</v>
      </c>
      <c r="BK292" s="458">
        <f t="shared" si="259"/>
        <v>0</v>
      </c>
      <c r="BL292" s="458">
        <f t="shared" si="259"/>
        <v>0</v>
      </c>
      <c r="BM292" s="458">
        <f t="shared" si="259"/>
        <v>0</v>
      </c>
      <c r="BN292" s="458">
        <f t="shared" si="259"/>
        <v>0</v>
      </c>
      <c r="BO292" s="458">
        <f>BO291*BO290</f>
        <v>0</v>
      </c>
      <c r="BP292" s="458">
        <f>BP291*BP290</f>
        <v>0</v>
      </c>
      <c r="BQ292" s="458">
        <f>BQ291*BQ290</f>
        <v>0</v>
      </c>
      <c r="BR292" s="458">
        <f t="shared" ref="BR292:CC292" si="261">BR291*BR290</f>
        <v>0</v>
      </c>
      <c r="BS292" s="458">
        <f t="shared" si="261"/>
        <v>0</v>
      </c>
      <c r="BT292" s="458">
        <f t="shared" si="261"/>
        <v>0</v>
      </c>
      <c r="BU292" s="458">
        <f t="shared" si="261"/>
        <v>0</v>
      </c>
      <c r="BV292" s="458">
        <f t="shared" si="261"/>
        <v>0</v>
      </c>
      <c r="BW292" s="458">
        <f t="shared" si="261"/>
        <v>0</v>
      </c>
      <c r="BX292" s="458">
        <f t="shared" si="261"/>
        <v>0</v>
      </c>
      <c r="BY292" s="458">
        <f t="shared" si="261"/>
        <v>0</v>
      </c>
      <c r="BZ292" s="458">
        <f t="shared" si="261"/>
        <v>0</v>
      </c>
      <c r="CA292" s="458">
        <f t="shared" si="261"/>
        <v>0</v>
      </c>
      <c r="CB292" s="458">
        <f t="shared" si="261"/>
        <v>0</v>
      </c>
      <c r="CC292" s="458">
        <f t="shared" si="261"/>
        <v>0</v>
      </c>
    </row>
    <row r="294" spans="2:81">
      <c r="B294" s="40" t="s">
        <v>4</v>
      </c>
    </row>
    <row r="295" spans="2:81">
      <c r="B295" s="257" t="s">
        <v>5</v>
      </c>
      <c r="AD295" s="458">
        <f t="shared" ref="AD295:BI295" si="262">AD81</f>
        <v>120.80000000000001</v>
      </c>
      <c r="AE295" s="458">
        <f t="shared" si="262"/>
        <v>43.900000000000013</v>
      </c>
      <c r="AF295" s="458">
        <f t="shared" si="262"/>
        <v>79.200000000000017</v>
      </c>
      <c r="AG295" s="458">
        <f t="shared" si="262"/>
        <v>123.10000000000002</v>
      </c>
      <c r="AH295" s="458">
        <f t="shared" si="262"/>
        <v>68.800000000000011</v>
      </c>
      <c r="AI295" s="458">
        <f t="shared" si="262"/>
        <v>82.699999999999974</v>
      </c>
      <c r="AJ295" s="458">
        <f t="shared" si="262"/>
        <v>151.49999999999997</v>
      </c>
      <c r="AK295" s="458">
        <f t="shared" si="262"/>
        <v>61.499999999999986</v>
      </c>
      <c r="AL295" s="458">
        <f t="shared" si="262"/>
        <v>86.9</v>
      </c>
      <c r="AM295" s="458">
        <f t="shared" si="262"/>
        <v>148.4</v>
      </c>
      <c r="AN295" s="458">
        <f t="shared" si="262"/>
        <v>67.5</v>
      </c>
      <c r="AO295" s="458">
        <f t="shared" si="262"/>
        <v>85.48</v>
      </c>
      <c r="AP295" s="458">
        <f t="shared" si="262"/>
        <v>152.98000000000002</v>
      </c>
      <c r="AQ295" s="458">
        <f t="shared" si="262"/>
        <v>60.9</v>
      </c>
      <c r="AR295" s="458">
        <f t="shared" si="262"/>
        <v>90.199999999999989</v>
      </c>
      <c r="AS295" s="458">
        <f t="shared" si="262"/>
        <v>151.1</v>
      </c>
      <c r="AT295" s="458">
        <f t="shared" si="262"/>
        <v>51.200000000000017</v>
      </c>
      <c r="AU295" s="458">
        <f t="shared" si="262"/>
        <v>121.39999999999993</v>
      </c>
      <c r="AV295" s="458">
        <f t="shared" si="262"/>
        <v>172.6</v>
      </c>
      <c r="AW295" s="458">
        <f t="shared" si="262"/>
        <v>82.6</v>
      </c>
      <c r="AX295" s="458">
        <f t="shared" si="262"/>
        <v>125.19999999999996</v>
      </c>
      <c r="AY295" s="458">
        <f t="shared" si="262"/>
        <v>207.79999999999998</v>
      </c>
      <c r="AZ295" s="458">
        <f t="shared" si="262"/>
        <v>77.600000000000023</v>
      </c>
      <c r="BA295" s="458">
        <f t="shared" si="262"/>
        <v>108.6</v>
      </c>
      <c r="BB295" s="458">
        <f t="shared" si="262"/>
        <v>186.19999999999996</v>
      </c>
      <c r="BC295" s="458">
        <f t="shared" si="262"/>
        <v>68.7</v>
      </c>
      <c r="BD295" s="458">
        <f t="shared" ref="BD295:BE295" si="263">BD81</f>
        <v>123.20000000000007</v>
      </c>
      <c r="BE295" s="458">
        <f t="shared" si="263"/>
        <v>191.90000000000006</v>
      </c>
      <c r="BF295" s="458">
        <f t="shared" si="262"/>
        <v>77.103659356693413</v>
      </c>
      <c r="BG295" s="458">
        <f t="shared" si="262"/>
        <v>133.63317827146966</v>
      </c>
      <c r="BH295" s="458">
        <f t="shared" si="262"/>
        <v>210.73683762816307</v>
      </c>
      <c r="BI295" s="458">
        <f t="shared" si="262"/>
        <v>91.803550364981689</v>
      </c>
      <c r="BJ295" s="458">
        <f t="shared" ref="BJ295:CC295" si="264">BJ81</f>
        <v>135.00421765740361</v>
      </c>
      <c r="BK295" s="458">
        <f t="shared" si="264"/>
        <v>226.80776802238529</v>
      </c>
      <c r="BL295" s="458">
        <f t="shared" si="264"/>
        <v>97.566102245346386</v>
      </c>
      <c r="BM295" s="458">
        <f t="shared" si="264"/>
        <v>142.1698228411133</v>
      </c>
      <c r="BN295" s="458">
        <f t="shared" si="264"/>
        <v>239.7359250864597</v>
      </c>
      <c r="BO295" s="458">
        <f t="shared" si="264"/>
        <v>106.49703952110627</v>
      </c>
      <c r="BP295" s="458">
        <f t="shared" si="264"/>
        <v>147.47237603024735</v>
      </c>
      <c r="BQ295" s="458">
        <f t="shared" si="264"/>
        <v>253.96941555135362</v>
      </c>
      <c r="BR295" s="458">
        <f t="shared" si="264"/>
        <v>105.37238444769821</v>
      </c>
      <c r="BS295" s="458">
        <f t="shared" si="264"/>
        <v>156.43617779009352</v>
      </c>
      <c r="BT295" s="458">
        <f t="shared" si="264"/>
        <v>261.80856223779176</v>
      </c>
      <c r="BU295" s="458">
        <f t="shared" si="264"/>
        <v>115.64072815571132</v>
      </c>
      <c r="BV295" s="458">
        <f t="shared" si="264"/>
        <v>169.57630016964504</v>
      </c>
      <c r="BW295" s="458">
        <f t="shared" si="264"/>
        <v>285.21702832535635</v>
      </c>
      <c r="BX295" s="458">
        <f t="shared" si="264"/>
        <v>126.19661923400011</v>
      </c>
      <c r="BY295" s="458">
        <f t="shared" si="264"/>
        <v>173.56731305434135</v>
      </c>
      <c r="BZ295" s="458">
        <f t="shared" si="264"/>
        <v>299.76393228834149</v>
      </c>
      <c r="CA295" s="458">
        <f t="shared" si="264"/>
        <v>129.00017387955728</v>
      </c>
      <c r="CB295" s="458">
        <f t="shared" si="264"/>
        <v>177.9549223616167</v>
      </c>
      <c r="CC295" s="458">
        <f t="shared" si="264"/>
        <v>306.95509624117398</v>
      </c>
    </row>
    <row r="296" spans="2:81">
      <c r="B296" s="257" t="s">
        <v>158</v>
      </c>
      <c r="AD296" s="458">
        <f t="shared" ref="AD296:BI296" si="265">AD77</f>
        <v>120.80000000000001</v>
      </c>
      <c r="AE296" s="458">
        <f t="shared" si="265"/>
        <v>43.900000000000013</v>
      </c>
      <c r="AF296" s="458">
        <f t="shared" si="265"/>
        <v>79.200000000000017</v>
      </c>
      <c r="AG296" s="458">
        <f t="shared" si="265"/>
        <v>123.10000000000002</v>
      </c>
      <c r="AH296" s="458">
        <f t="shared" si="265"/>
        <v>68.800000000000011</v>
      </c>
      <c r="AI296" s="458">
        <f t="shared" si="265"/>
        <v>82.699999999999974</v>
      </c>
      <c r="AJ296" s="458">
        <f t="shared" si="265"/>
        <v>151.49999999999997</v>
      </c>
      <c r="AK296" s="458">
        <f t="shared" si="265"/>
        <v>61.499999999999986</v>
      </c>
      <c r="AL296" s="458">
        <f t="shared" si="265"/>
        <v>86.90000000000002</v>
      </c>
      <c r="AM296" s="458">
        <f t="shared" si="265"/>
        <v>148.4</v>
      </c>
      <c r="AN296" s="458">
        <f t="shared" si="265"/>
        <v>67.5</v>
      </c>
      <c r="AO296" s="458">
        <f t="shared" si="265"/>
        <v>85.480000000000018</v>
      </c>
      <c r="AP296" s="458">
        <f t="shared" si="265"/>
        <v>152.98000000000002</v>
      </c>
      <c r="AQ296" s="458">
        <f t="shared" si="265"/>
        <v>63</v>
      </c>
      <c r="AR296" s="458">
        <f t="shared" si="265"/>
        <v>88.1</v>
      </c>
      <c r="AS296" s="458">
        <f t="shared" si="265"/>
        <v>151.1</v>
      </c>
      <c r="AT296" s="458">
        <f t="shared" si="265"/>
        <v>61.20000000000001</v>
      </c>
      <c r="AU296" s="458">
        <f t="shared" si="265"/>
        <v>105.19999999999996</v>
      </c>
      <c r="AV296" s="458">
        <f t="shared" si="265"/>
        <v>166.39999999999998</v>
      </c>
      <c r="AW296" s="458">
        <f t="shared" si="265"/>
        <v>83</v>
      </c>
      <c r="AX296" s="458">
        <f t="shared" si="265"/>
        <v>126.09999999999997</v>
      </c>
      <c r="AY296" s="458">
        <f t="shared" si="265"/>
        <v>209.09999999999997</v>
      </c>
      <c r="AZ296" s="458">
        <f t="shared" si="265"/>
        <v>77.100000000000023</v>
      </c>
      <c r="BA296" s="458">
        <f t="shared" si="265"/>
        <v>109.09999999999994</v>
      </c>
      <c r="BB296" s="458">
        <f t="shared" si="265"/>
        <v>186.19999999999996</v>
      </c>
      <c r="BC296" s="458">
        <f t="shared" si="265"/>
        <v>74.5</v>
      </c>
      <c r="BD296" s="458">
        <f t="shared" ref="BD296:BE296" si="266">BD77</f>
        <v>123.20000000000007</v>
      </c>
      <c r="BE296" s="458">
        <f t="shared" si="266"/>
        <v>197.70000000000007</v>
      </c>
      <c r="BF296" s="458">
        <f t="shared" si="265"/>
        <v>77.103659356693413</v>
      </c>
      <c r="BG296" s="458">
        <f t="shared" si="265"/>
        <v>133.63317827146966</v>
      </c>
      <c r="BH296" s="458">
        <f t="shared" si="265"/>
        <v>210.73683762816307</v>
      </c>
      <c r="BI296" s="458">
        <f t="shared" si="265"/>
        <v>91.803550364981689</v>
      </c>
      <c r="BJ296" s="458">
        <f t="shared" ref="BJ296:CC296" si="267">BJ77</f>
        <v>135.00421765740361</v>
      </c>
      <c r="BK296" s="458">
        <f t="shared" si="267"/>
        <v>226.80776802238529</v>
      </c>
      <c r="BL296" s="458">
        <f t="shared" si="267"/>
        <v>97.566102245346386</v>
      </c>
      <c r="BM296" s="458">
        <f t="shared" si="267"/>
        <v>142.1698228411133</v>
      </c>
      <c r="BN296" s="458">
        <f t="shared" si="267"/>
        <v>239.7359250864597</v>
      </c>
      <c r="BO296" s="458">
        <f t="shared" si="267"/>
        <v>106.49703952110627</v>
      </c>
      <c r="BP296" s="458">
        <f t="shared" si="267"/>
        <v>147.47237603024735</v>
      </c>
      <c r="BQ296" s="458">
        <f t="shared" si="267"/>
        <v>253.96941555135362</v>
      </c>
      <c r="BR296" s="458">
        <f t="shared" si="267"/>
        <v>105.37238444769821</v>
      </c>
      <c r="BS296" s="458">
        <f t="shared" si="267"/>
        <v>156.43617779009352</v>
      </c>
      <c r="BT296" s="458">
        <f t="shared" si="267"/>
        <v>261.80856223779176</v>
      </c>
      <c r="BU296" s="458">
        <f t="shared" si="267"/>
        <v>115.64072815571132</v>
      </c>
      <c r="BV296" s="458">
        <f t="shared" si="267"/>
        <v>169.57630016964504</v>
      </c>
      <c r="BW296" s="458">
        <f t="shared" si="267"/>
        <v>285.21702832535635</v>
      </c>
      <c r="BX296" s="458">
        <f t="shared" si="267"/>
        <v>126.19661923400011</v>
      </c>
      <c r="BY296" s="458">
        <f t="shared" si="267"/>
        <v>173.56731305434135</v>
      </c>
      <c r="BZ296" s="458">
        <f t="shared" si="267"/>
        <v>299.76393228834149</v>
      </c>
      <c r="CA296" s="458">
        <f t="shared" si="267"/>
        <v>129.00017387955728</v>
      </c>
      <c r="CB296" s="458">
        <f t="shared" si="267"/>
        <v>177.9549223616167</v>
      </c>
      <c r="CC296" s="458">
        <f t="shared" si="267"/>
        <v>306.95509624117398</v>
      </c>
    </row>
    <row r="298" spans="2:81">
      <c r="B298" s="40" t="s">
        <v>6</v>
      </c>
    </row>
    <row r="299" spans="2:81">
      <c r="B299" s="257" t="s">
        <v>5</v>
      </c>
      <c r="AD299" s="458">
        <f>+AD295/AD286*100</f>
        <v>21.846809912087913</v>
      </c>
      <c r="AE299" s="458">
        <f>+AE295/AE284*100</f>
        <v>6.9963370207386859</v>
      </c>
      <c r="AF299" s="458">
        <f>+AG299-AE299</f>
        <v>13.31013163536916</v>
      </c>
      <c r="AG299" s="458">
        <f>+AG295/AG286*100</f>
        <v>20.306468656107846</v>
      </c>
      <c r="AH299" s="458">
        <f>+AH295/AH286*100</f>
        <v>10.84081059072822</v>
      </c>
      <c r="AI299" s="458">
        <f t="shared" ref="AI299:BN299" si="268">+AI295/AI286*100</f>
        <v>13.020898731400758</v>
      </c>
      <c r="AJ299" s="458">
        <f t="shared" si="268"/>
        <v>23.863867269642792</v>
      </c>
      <c r="AK299" s="458">
        <f t="shared" si="268"/>
        <v>9.674293895704599</v>
      </c>
      <c r="AL299" s="458">
        <f t="shared" si="268"/>
        <v>13.665776049118092</v>
      </c>
      <c r="AM299" s="458">
        <f t="shared" si="268"/>
        <v>23.337182574098097</v>
      </c>
      <c r="AN299" s="458">
        <f t="shared" si="268"/>
        <v>10.599330939767821</v>
      </c>
      <c r="AO299" s="458">
        <f t="shared" si="268"/>
        <v>13.418845496629567</v>
      </c>
      <c r="AP299" s="458">
        <f t="shared" si="268"/>
        <v>24.015149556321845</v>
      </c>
      <c r="AQ299" s="151">
        <v>9.6</v>
      </c>
      <c r="AR299" s="458">
        <f t="shared" si="268"/>
        <v>14.135730646266545</v>
      </c>
      <c r="AS299" s="458">
        <f t="shared" si="268"/>
        <v>23.67969956375693</v>
      </c>
      <c r="AT299" s="458">
        <f t="shared" si="268"/>
        <v>8.0063067930382577</v>
      </c>
      <c r="AU299" s="458">
        <f t="shared" si="268"/>
        <v>18.928358981797658</v>
      </c>
      <c r="AV299" s="458">
        <f t="shared" si="268"/>
        <v>26.911324219590426</v>
      </c>
      <c r="AW299" s="458">
        <f t="shared" si="268"/>
        <v>12.924424972617743</v>
      </c>
      <c r="AX299" s="458">
        <f t="shared" si="268"/>
        <v>19.300708536872495</v>
      </c>
      <c r="AY299" s="458">
        <f t="shared" si="268"/>
        <v>32.034243082764419</v>
      </c>
      <c r="AZ299" s="458">
        <f t="shared" si="268"/>
        <v>11.94858656851285</v>
      </c>
      <c r="BA299" s="458">
        <f t="shared" si="268"/>
        <v>16.723235088207719</v>
      </c>
      <c r="BB299" s="458">
        <f t="shared" si="268"/>
        <v>28.672802701881</v>
      </c>
      <c r="BC299" s="458">
        <f t="shared" si="268"/>
        <v>10.574028449954556</v>
      </c>
      <c r="BD299" s="458">
        <f t="shared" ref="BD299:BE299" si="269">+BD295/BD286*100</f>
        <v>18.951878307429666</v>
      </c>
      <c r="BE299" s="458">
        <f t="shared" si="269"/>
        <v>29.520011746718765</v>
      </c>
      <c r="BF299" s="458">
        <f t="shared" si="268"/>
        <v>11.860869879752949</v>
      </c>
      <c r="BG299" s="458">
        <f t="shared" si="268"/>
        <v>20.556816010032026</v>
      </c>
      <c r="BH299" s="458">
        <f t="shared" si="268"/>
        <v>32.417685889784977</v>
      </c>
      <c r="BI299" s="458">
        <f t="shared" si="268"/>
        <v>14.122156775220146</v>
      </c>
      <c r="BJ299" s="458">
        <f t="shared" si="268"/>
        <v>20.767723247019958</v>
      </c>
      <c r="BK299" s="458">
        <f t="shared" si="268"/>
        <v>34.889880022240106</v>
      </c>
      <c r="BL299" s="458">
        <f t="shared" si="268"/>
        <v>15.008611174383471</v>
      </c>
      <c r="BM299" s="458">
        <f t="shared" si="268"/>
        <v>21.870009589883217</v>
      </c>
      <c r="BN299" s="458">
        <f t="shared" si="268"/>
        <v>36.878620764266692</v>
      </c>
      <c r="BO299" s="458">
        <f>+BO295/BO286*100</f>
        <v>16.382458872609842</v>
      </c>
      <c r="BP299" s="458">
        <f>+BP295/BP286*100</f>
        <v>22.685702307084039</v>
      </c>
      <c r="BQ299" s="458">
        <f>+BQ295/BQ286*100</f>
        <v>39.068161179693881</v>
      </c>
      <c r="BR299" s="458">
        <f t="shared" ref="BR299:CC299" si="270">+BR295/BR286*100</f>
        <v>16.209452979029784</v>
      </c>
      <c r="BS299" s="458">
        <f t="shared" si="270"/>
        <v>24.064605554848068</v>
      </c>
      <c r="BT299" s="458">
        <f t="shared" si="270"/>
        <v>40.274058533877856</v>
      </c>
      <c r="BU299" s="458">
        <f t="shared" si="270"/>
        <v>17.789034150889567</v>
      </c>
      <c r="BV299" s="458">
        <f t="shared" si="270"/>
        <v>26.085952959734378</v>
      </c>
      <c r="BW299" s="458">
        <f t="shared" si="270"/>
        <v>43.874987110623948</v>
      </c>
      <c r="BX299" s="458">
        <f t="shared" si="270"/>
        <v>19.412848786784142</v>
      </c>
      <c r="BY299" s="458">
        <f t="shared" si="270"/>
        <v>26.699891194427138</v>
      </c>
      <c r="BZ299" s="458">
        <f t="shared" si="270"/>
        <v>46.112739981211284</v>
      </c>
      <c r="CA299" s="458">
        <f t="shared" si="270"/>
        <v>19.84412010554087</v>
      </c>
      <c r="CB299" s="458">
        <f t="shared" si="270"/>
        <v>27.37483792861568</v>
      </c>
      <c r="CC299" s="458">
        <f t="shared" si="270"/>
        <v>47.21895803415655</v>
      </c>
    </row>
    <row r="300" spans="2:81">
      <c r="B300" s="257" t="s">
        <v>168</v>
      </c>
      <c r="AD300" s="458">
        <f>+AD296/AD286*100</f>
        <v>21.846809912087913</v>
      </c>
      <c r="AE300" s="458">
        <f>+AE296/AE286*100</f>
        <v>7.4409318469127887</v>
      </c>
      <c r="AF300" s="458">
        <f>+AF296/AF286*100</f>
        <v>13.064762937154681</v>
      </c>
      <c r="AG300" s="458">
        <f>+AG296/AG286*100</f>
        <v>20.306468656107846</v>
      </c>
      <c r="AH300" s="458">
        <f>+AH296/AH286*100</f>
        <v>10.84081059072822</v>
      </c>
      <c r="AI300" s="458">
        <f t="shared" ref="AI300:BN300" si="271">+AI296/AI286*100</f>
        <v>13.020898731400758</v>
      </c>
      <c r="AJ300" s="458">
        <f t="shared" si="271"/>
        <v>23.863867269642792</v>
      </c>
      <c r="AK300" s="458">
        <f>+AK296/AK286*100</f>
        <v>9.674293895704599</v>
      </c>
      <c r="AL300" s="458">
        <f t="shared" si="271"/>
        <v>13.665776049118092</v>
      </c>
      <c r="AM300" s="458">
        <f t="shared" si="271"/>
        <v>23.337182574098097</v>
      </c>
      <c r="AN300" s="458">
        <f t="shared" si="271"/>
        <v>10.599330939767821</v>
      </c>
      <c r="AO300" s="458">
        <f t="shared" si="271"/>
        <v>13.418845496629569</v>
      </c>
      <c r="AP300" s="458">
        <f t="shared" si="271"/>
        <v>24.015149556321845</v>
      </c>
      <c r="AQ300" s="458">
        <f t="shared" si="271"/>
        <v>9.931034482758621</v>
      </c>
      <c r="AR300" s="458">
        <f t="shared" si="271"/>
        <v>13.80662826980136</v>
      </c>
      <c r="AS300" s="458">
        <f t="shared" si="271"/>
        <v>23.67969956375693</v>
      </c>
      <c r="AT300" s="458">
        <f t="shared" si="271"/>
        <v>9.5700385885535404</v>
      </c>
      <c r="AU300" s="458">
        <f t="shared" si="271"/>
        <v>16.402498887027299</v>
      </c>
      <c r="AV300" s="458">
        <f t="shared" si="271"/>
        <v>25.944637022826456</v>
      </c>
      <c r="AW300" s="458">
        <f t="shared" si="271"/>
        <v>12.987012987012985</v>
      </c>
      <c r="AX300" s="458">
        <f t="shared" si="271"/>
        <v>19.439451649357999</v>
      </c>
      <c r="AY300" s="458">
        <f t="shared" si="271"/>
        <v>32.234649800799033</v>
      </c>
      <c r="AZ300" s="458">
        <f t="shared" si="271"/>
        <v>11.871598252994081</v>
      </c>
      <c r="BA300" s="458">
        <f t="shared" si="271"/>
        <v>16.800229724893747</v>
      </c>
      <c r="BB300" s="458">
        <f t="shared" si="271"/>
        <v>28.672802701881</v>
      </c>
      <c r="BC300" s="458">
        <f t="shared" si="271"/>
        <v>11.466741186631941</v>
      </c>
      <c r="BD300" s="458">
        <f t="shared" ref="BD300:BE300" si="272">+BD296/BD286*100</f>
        <v>18.951878307429666</v>
      </c>
      <c r="BE300" s="458">
        <f t="shared" si="272"/>
        <v>30.4122267969062</v>
      </c>
      <c r="BF300" s="458">
        <f t="shared" si="271"/>
        <v>11.860869879752949</v>
      </c>
      <c r="BG300" s="458">
        <f t="shared" si="271"/>
        <v>20.556816010032026</v>
      </c>
      <c r="BH300" s="458">
        <f t="shared" si="271"/>
        <v>32.417685889784977</v>
      </c>
      <c r="BI300" s="458">
        <f t="shared" si="271"/>
        <v>14.122156775220146</v>
      </c>
      <c r="BJ300" s="458">
        <f t="shared" si="271"/>
        <v>20.767723247019958</v>
      </c>
      <c r="BK300" s="458">
        <f t="shared" si="271"/>
        <v>34.889880022240106</v>
      </c>
      <c r="BL300" s="458">
        <f t="shared" si="271"/>
        <v>15.008611174383471</v>
      </c>
      <c r="BM300" s="458">
        <f t="shared" si="271"/>
        <v>21.870009589883217</v>
      </c>
      <c r="BN300" s="458">
        <f t="shared" si="271"/>
        <v>36.878620764266692</v>
      </c>
      <c r="BO300" s="458">
        <f>+BO296/BO286*100</f>
        <v>16.382458872609842</v>
      </c>
      <c r="BP300" s="458">
        <f>+BP296/BP286*100</f>
        <v>22.685702307084039</v>
      </c>
      <c r="BQ300" s="458">
        <f>+BQ296/BQ286*100</f>
        <v>39.068161179693881</v>
      </c>
      <c r="BR300" s="458">
        <f t="shared" ref="BR300:CC300" si="273">+BR296/BR286*100</f>
        <v>16.209452979029784</v>
      </c>
      <c r="BS300" s="458">
        <f t="shared" si="273"/>
        <v>24.064605554848068</v>
      </c>
      <c r="BT300" s="458">
        <f t="shared" si="273"/>
        <v>40.274058533877856</v>
      </c>
      <c r="BU300" s="458">
        <f t="shared" si="273"/>
        <v>17.789034150889567</v>
      </c>
      <c r="BV300" s="458">
        <f t="shared" si="273"/>
        <v>26.085952959734378</v>
      </c>
      <c r="BW300" s="458">
        <f t="shared" si="273"/>
        <v>43.874987110623948</v>
      </c>
      <c r="BX300" s="458">
        <f t="shared" si="273"/>
        <v>19.412848786784142</v>
      </c>
      <c r="BY300" s="458">
        <f t="shared" si="273"/>
        <v>26.699891194427138</v>
      </c>
      <c r="BZ300" s="458">
        <f t="shared" si="273"/>
        <v>46.112739981211284</v>
      </c>
      <c r="CA300" s="458">
        <f t="shared" si="273"/>
        <v>19.84412010554087</v>
      </c>
      <c r="CB300" s="458">
        <f t="shared" si="273"/>
        <v>27.37483792861568</v>
      </c>
      <c r="CC300" s="458">
        <f t="shared" si="273"/>
        <v>47.21895803415655</v>
      </c>
    </row>
    <row r="301" spans="2:81">
      <c r="B301" s="257" t="s">
        <v>7</v>
      </c>
      <c r="AD301" s="470"/>
      <c r="AE301" s="470"/>
      <c r="AF301" s="470"/>
      <c r="AG301" s="470">
        <f t="shared" ref="AG301:BL302" si="274">+AG299/AD299-1</f>
        <v>-7.0506461226075401E-2</v>
      </c>
      <c r="AH301" s="470">
        <f t="shared" si="274"/>
        <v>0.54949805285160869</v>
      </c>
      <c r="AI301" s="470">
        <f t="shared" si="274"/>
        <v>-2.173028125430565E-2</v>
      </c>
      <c r="AJ301" s="470">
        <f t="shared" si="274"/>
        <v>0.17518548762859076</v>
      </c>
      <c r="AK301" s="470">
        <f t="shared" si="274"/>
        <v>-0.10760419483957251</v>
      </c>
      <c r="AL301" s="470">
        <f t="shared" si="274"/>
        <v>4.952632925115763E-2</v>
      </c>
      <c r="AM301" s="470">
        <f t="shared" si="274"/>
        <v>-2.2070383211303279E-2</v>
      </c>
      <c r="AN301" s="470">
        <f t="shared" si="274"/>
        <v>9.5618042415885229E-2</v>
      </c>
      <c r="AO301" s="470">
        <f t="shared" si="274"/>
        <v>-1.8069266728870548E-2</v>
      </c>
      <c r="AP301" s="470">
        <f t="shared" si="274"/>
        <v>2.9050935350534601E-2</v>
      </c>
      <c r="AQ301" s="470">
        <f t="shared" si="274"/>
        <v>-9.4282454755555745E-2</v>
      </c>
      <c r="AR301" s="470">
        <f t="shared" si="274"/>
        <v>5.3423757641224645E-2</v>
      </c>
      <c r="AS301" s="470">
        <f t="shared" si="274"/>
        <v>-1.3968265813968594E-2</v>
      </c>
      <c r="AT301" s="470">
        <f t="shared" si="274"/>
        <v>-0.16600970905851475</v>
      </c>
      <c r="AU301" s="470">
        <f t="shared" si="274"/>
        <v>0.33904355250267293</v>
      </c>
      <c r="AV301" s="470">
        <f t="shared" si="274"/>
        <v>0.13647236727528722</v>
      </c>
      <c r="AW301" s="470">
        <f t="shared" si="274"/>
        <v>0.61428050494591946</v>
      </c>
      <c r="AX301" s="470">
        <f t="shared" si="274"/>
        <v>1.9671518034548363E-2</v>
      </c>
      <c r="AY301" s="470">
        <f t="shared" si="274"/>
        <v>0.19036294243167351</v>
      </c>
      <c r="AZ301" s="470">
        <f t="shared" si="274"/>
        <v>-7.5503429063370153E-2</v>
      </c>
      <c r="BA301" s="470">
        <f t="shared" si="274"/>
        <v>-0.13354294448520965</v>
      </c>
      <c r="BB301" s="470">
        <f t="shared" si="274"/>
        <v>-0.10493272377932339</v>
      </c>
      <c r="BC301" s="470">
        <f t="shared" si="274"/>
        <v>-0.11503939069919422</v>
      </c>
      <c r="BD301" s="470">
        <f t="shared" ref="BD301:BD302" si="275">+BD299/BA299-1</f>
        <v>0.1332662733894987</v>
      </c>
      <c r="BE301" s="470">
        <f t="shared" ref="BE301:BE302" si="276">+BE299/BB299-1</f>
        <v>2.9547479318517533E-2</v>
      </c>
      <c r="BF301" s="470">
        <f t="shared" ref="BF301:BH302" si="277">+BF299/BC299-1</f>
        <v>0.12169831355087046</v>
      </c>
      <c r="BG301" s="470">
        <f t="shared" si="277"/>
        <v>8.4684888567123195E-2</v>
      </c>
      <c r="BH301" s="470">
        <f t="shared" si="277"/>
        <v>9.815965413321015E-2</v>
      </c>
      <c r="BI301" s="470">
        <f t="shared" si="274"/>
        <v>0.19065101618957292</v>
      </c>
      <c r="BJ301" s="470">
        <f t="shared" si="274"/>
        <v>1.0259722949556238E-2</v>
      </c>
      <c r="BK301" s="470">
        <f t="shared" si="274"/>
        <v>7.6260660333997921E-2</v>
      </c>
      <c r="BL301" s="470">
        <f t="shared" si="274"/>
        <v>6.277046865240643E-2</v>
      </c>
      <c r="BM301" s="470">
        <f t="shared" ref="BM301:BO302" si="278">+BM299/BJ299-1</f>
        <v>5.3076898692851593E-2</v>
      </c>
      <c r="BN301" s="470">
        <f t="shared" si="278"/>
        <v>5.7000503892787435E-2</v>
      </c>
      <c r="BO301" s="470">
        <f t="shared" si="278"/>
        <v>9.1537296973302817E-2</v>
      </c>
      <c r="BP301" s="470">
        <f>+BP299/BM299-1</f>
        <v>3.7297318679647473E-2</v>
      </c>
      <c r="BQ301" s="470">
        <f>+BQ299/BN299-1</f>
        <v>5.9371537493851489E-2</v>
      </c>
      <c r="BR301" s="470">
        <f t="shared" ref="BR301:CC302" si="279">+BR299/BO299-1</f>
        <v>-1.0560435092519027E-2</v>
      </c>
      <c r="BS301" s="470">
        <f t="shared" si="279"/>
        <v>6.0782920850259048E-2</v>
      </c>
      <c r="BT301" s="470">
        <f t="shared" si="279"/>
        <v>3.0866498902711426E-2</v>
      </c>
      <c r="BU301" s="470">
        <f t="shared" si="279"/>
        <v>9.7448147935855101E-2</v>
      </c>
      <c r="BV301" s="470">
        <f t="shared" si="279"/>
        <v>8.3996697983652835E-2</v>
      </c>
      <c r="BW301" s="470">
        <f t="shared" si="279"/>
        <v>8.941062082722695E-2</v>
      </c>
      <c r="BX301" s="470">
        <f t="shared" si="279"/>
        <v>9.1281776296627815E-2</v>
      </c>
      <c r="BY301" s="470">
        <f t="shared" si="279"/>
        <v>2.353520439297041E-2</v>
      </c>
      <c r="BZ301" s="470">
        <f t="shared" si="279"/>
        <v>5.1002929412724107E-2</v>
      </c>
      <c r="CA301" s="470">
        <f t="shared" si="279"/>
        <v>2.2215766655037772E-2</v>
      </c>
      <c r="CB301" s="470">
        <f t="shared" si="279"/>
        <v>2.527900691705498E-2</v>
      </c>
      <c r="CC301" s="470">
        <f t="shared" si="279"/>
        <v>2.3989423603888893E-2</v>
      </c>
    </row>
    <row r="302" spans="2:81">
      <c r="B302" s="257" t="s">
        <v>257</v>
      </c>
      <c r="AD302" s="458"/>
      <c r="AE302" s="458"/>
      <c r="AG302" s="470">
        <f t="shared" si="274"/>
        <v>-7.0506461226075401E-2</v>
      </c>
      <c r="AH302" s="458">
        <f t="shared" ref="AH302:AW302" si="280">+AH300/AE300-1</f>
        <v>0.4569157215471642</v>
      </c>
      <c r="AI302" s="470">
        <f t="shared" si="280"/>
        <v>-3.3574436799904683E-3</v>
      </c>
      <c r="AJ302" s="470">
        <f t="shared" si="280"/>
        <v>0.17518548762859076</v>
      </c>
      <c r="AK302" s="470">
        <f t="shared" si="280"/>
        <v>-0.10760419483957251</v>
      </c>
      <c r="AL302" s="470">
        <f t="shared" si="280"/>
        <v>4.952632925115763E-2</v>
      </c>
      <c r="AM302" s="470">
        <f t="shared" si="280"/>
        <v>-2.2070383211303279E-2</v>
      </c>
      <c r="AN302" s="470">
        <f t="shared" si="280"/>
        <v>9.5618042415885229E-2</v>
      </c>
      <c r="AO302" s="470">
        <f t="shared" si="280"/>
        <v>-1.8069266728870326E-2</v>
      </c>
      <c r="AP302" s="470">
        <f t="shared" si="280"/>
        <v>2.9050935350534601E-2</v>
      </c>
      <c r="AQ302" s="470">
        <f t="shared" si="280"/>
        <v>-6.3050815264367954E-2</v>
      </c>
      <c r="AR302" s="470">
        <f t="shared" si="280"/>
        <v>2.8898370822526553E-2</v>
      </c>
      <c r="AS302" s="470">
        <f t="shared" si="280"/>
        <v>-1.3968265813968594E-2</v>
      </c>
      <c r="AT302" s="470">
        <f t="shared" si="280"/>
        <v>-3.6350281013706076E-2</v>
      </c>
      <c r="AU302" s="470">
        <f t="shared" si="280"/>
        <v>0.18801626048727438</v>
      </c>
      <c r="AV302" s="470">
        <f t="shared" si="280"/>
        <v>9.5648910281620925E-2</v>
      </c>
      <c r="AW302" s="470">
        <f t="shared" si="280"/>
        <v>0.35704917664035274</v>
      </c>
      <c r="AX302" s="470">
        <f t="shared" si="274"/>
        <v>0.1851518346837151</v>
      </c>
      <c r="AY302" s="470">
        <f t="shared" si="274"/>
        <v>0.24243980644009544</v>
      </c>
      <c r="AZ302" s="470">
        <f t="shared" si="274"/>
        <v>-8.5886934519455616E-2</v>
      </c>
      <c r="BA302" s="470">
        <f t="shared" si="274"/>
        <v>-0.13576627427921373</v>
      </c>
      <c r="BB302" s="470">
        <f t="shared" si="274"/>
        <v>-0.11049746533401894</v>
      </c>
      <c r="BC302" s="470">
        <f t="shared" si="274"/>
        <v>-3.4102995884318532E-2</v>
      </c>
      <c r="BD302" s="470">
        <f t="shared" si="275"/>
        <v>0.12807256911182074</v>
      </c>
      <c r="BE302" s="470">
        <f t="shared" si="276"/>
        <v>6.0664599589739021E-2</v>
      </c>
      <c r="BF302" s="470">
        <f t="shared" si="277"/>
        <v>3.437146497912491E-2</v>
      </c>
      <c r="BG302" s="470">
        <f t="shared" si="277"/>
        <v>8.4684888567123195E-2</v>
      </c>
      <c r="BH302" s="470">
        <f t="shared" si="277"/>
        <v>6.594252720365712E-2</v>
      </c>
      <c r="BI302" s="470">
        <f t="shared" si="274"/>
        <v>0.19065101618957292</v>
      </c>
      <c r="BJ302" s="470">
        <f t="shared" si="274"/>
        <v>1.0259722949556238E-2</v>
      </c>
      <c r="BK302" s="470">
        <f t="shared" si="274"/>
        <v>7.6260660333997921E-2</v>
      </c>
      <c r="BL302" s="470">
        <f t="shared" si="274"/>
        <v>6.277046865240643E-2</v>
      </c>
      <c r="BM302" s="470">
        <f t="shared" si="278"/>
        <v>5.3076898692851593E-2</v>
      </c>
      <c r="BN302" s="470">
        <f t="shared" si="278"/>
        <v>5.7000503892787435E-2</v>
      </c>
      <c r="BO302" s="470">
        <f t="shared" si="278"/>
        <v>9.1537296973302817E-2</v>
      </c>
      <c r="BP302" s="470">
        <f>+BP300/BM300-1</f>
        <v>3.7297318679647473E-2</v>
      </c>
      <c r="BQ302" s="470">
        <f>+BQ300/BN300-1</f>
        <v>5.9371537493851489E-2</v>
      </c>
      <c r="BR302" s="470">
        <f t="shared" si="279"/>
        <v>-1.0560435092519027E-2</v>
      </c>
      <c r="BS302" s="470">
        <f t="shared" si="279"/>
        <v>6.0782920850259048E-2</v>
      </c>
      <c r="BT302" s="470">
        <f t="shared" si="279"/>
        <v>3.0866498902711426E-2</v>
      </c>
      <c r="BU302" s="470">
        <f t="shared" si="279"/>
        <v>9.7448147935855101E-2</v>
      </c>
      <c r="BV302" s="470">
        <f t="shared" si="279"/>
        <v>8.3996697983652835E-2</v>
      </c>
      <c r="BW302" s="470">
        <f t="shared" si="279"/>
        <v>8.941062082722695E-2</v>
      </c>
      <c r="BX302" s="470">
        <f t="shared" si="279"/>
        <v>9.1281776296627815E-2</v>
      </c>
      <c r="BY302" s="470">
        <f t="shared" si="279"/>
        <v>2.353520439297041E-2</v>
      </c>
      <c r="BZ302" s="470">
        <f t="shared" si="279"/>
        <v>5.1002929412724107E-2</v>
      </c>
      <c r="CA302" s="470">
        <f t="shared" si="279"/>
        <v>2.2215766655037772E-2</v>
      </c>
      <c r="CB302" s="470">
        <f t="shared" si="279"/>
        <v>2.527900691705498E-2</v>
      </c>
      <c r="CC302" s="470">
        <f t="shared" si="279"/>
        <v>2.3989423603888893E-2</v>
      </c>
    </row>
    <row r="304" spans="2:81">
      <c r="B304" s="40" t="s">
        <v>327</v>
      </c>
      <c r="AS304" s="470"/>
      <c r="AT304" s="458"/>
      <c r="AU304" s="458"/>
      <c r="AV304" s="470"/>
    </row>
    <row r="305" spans="2:81">
      <c r="B305" s="257" t="s">
        <v>328</v>
      </c>
      <c r="AD305" s="151">
        <v>15</v>
      </c>
      <c r="AE305" s="151">
        <v>5.5</v>
      </c>
      <c r="AF305" s="151">
        <v>8</v>
      </c>
      <c r="AG305" s="458">
        <f>AF305+AE305</f>
        <v>13.5</v>
      </c>
      <c r="AH305" s="151">
        <v>7.5</v>
      </c>
      <c r="AI305" s="151">
        <v>9</v>
      </c>
      <c r="AJ305" s="458">
        <f>AI305+AH305</f>
        <v>16.5</v>
      </c>
      <c r="AK305" s="151">
        <v>7.5</v>
      </c>
      <c r="AL305" s="458">
        <f>+AM305-AK305</f>
        <v>9</v>
      </c>
      <c r="AM305" s="151">
        <v>16.5</v>
      </c>
      <c r="AN305" s="151">
        <v>7.5</v>
      </c>
      <c r="AO305" s="151">
        <v>9</v>
      </c>
      <c r="AP305" s="458">
        <f>AO305+AN305</f>
        <v>16.5</v>
      </c>
      <c r="AQ305" s="151">
        <v>7.5</v>
      </c>
      <c r="AR305" s="151">
        <v>9</v>
      </c>
      <c r="AS305" s="458">
        <f>AR305+AQ305</f>
        <v>16.5</v>
      </c>
      <c r="AT305" s="151">
        <v>7.5</v>
      </c>
      <c r="AU305" s="151">
        <v>9.5</v>
      </c>
      <c r="AV305" s="151">
        <f>17</f>
        <v>17</v>
      </c>
      <c r="AW305" s="151">
        <f>8</f>
        <v>8</v>
      </c>
      <c r="AX305" s="151">
        <f>AY305-AW305</f>
        <v>11</v>
      </c>
      <c r="AY305" s="151">
        <v>19</v>
      </c>
      <c r="AZ305" s="151">
        <v>8.5</v>
      </c>
      <c r="BA305" s="151">
        <v>11.5</v>
      </c>
      <c r="BB305" s="458">
        <f>BA305+AZ305</f>
        <v>20</v>
      </c>
      <c r="BC305" s="151">
        <v>8.5</v>
      </c>
      <c r="BD305" s="151">
        <v>12</v>
      </c>
      <c r="BE305" s="458">
        <f>BD305+BC305</f>
        <v>20.5</v>
      </c>
      <c r="BF305" s="458">
        <f>ROUND(BF313*BF300,0)</f>
        <v>9</v>
      </c>
      <c r="BG305" s="458">
        <f>ROUND(BG313*BG300,0)</f>
        <v>13</v>
      </c>
      <c r="BH305" s="458">
        <f>BG305+BF305</f>
        <v>22</v>
      </c>
      <c r="BI305" s="458">
        <f>ROUND(BI313*BI300,0)</f>
        <v>9</v>
      </c>
      <c r="BJ305" s="458">
        <f>ROUND(BJ313*BJ300,0)</f>
        <v>14</v>
      </c>
      <c r="BK305" s="458">
        <f>BJ305+BI305</f>
        <v>23</v>
      </c>
      <c r="BL305" s="458">
        <f>ROUND(BL313*BL300,0)</f>
        <v>10</v>
      </c>
      <c r="BM305" s="458">
        <f>ROUND(BM313*BM300,0)</f>
        <v>14</v>
      </c>
      <c r="BN305" s="458">
        <f>BM305+BL305</f>
        <v>24</v>
      </c>
      <c r="BO305" s="458">
        <f>ROUND(BO313*BO300,0)</f>
        <v>11</v>
      </c>
      <c r="BP305" s="458">
        <f>ROUND(BP313*BP300,0)</f>
        <v>15</v>
      </c>
      <c r="BQ305" s="458">
        <f>BP305+BO305</f>
        <v>26</v>
      </c>
      <c r="BR305" s="458">
        <f>ROUND(BR313*BR300,0)</f>
        <v>11</v>
      </c>
      <c r="BS305" s="458">
        <f>ROUND(BS313*BS300,0)</f>
        <v>16</v>
      </c>
      <c r="BT305" s="458">
        <f>BS305+BR305</f>
        <v>27</v>
      </c>
      <c r="BU305" s="458">
        <f>ROUND(BU313*BU300,0)</f>
        <v>12</v>
      </c>
      <c r="BV305" s="458">
        <f>ROUND(BV313*BV300,0)</f>
        <v>17</v>
      </c>
      <c r="BW305" s="458">
        <f>BV305+BU305</f>
        <v>29</v>
      </c>
      <c r="BX305" s="458">
        <f>ROUND(BX313*BX300,0)</f>
        <v>13</v>
      </c>
      <c r="BY305" s="458">
        <f>ROUND(BY313*BY300,0)</f>
        <v>18</v>
      </c>
      <c r="BZ305" s="458">
        <f>BY305+BX305</f>
        <v>31</v>
      </c>
      <c r="CA305" s="458">
        <f>ROUND(CA313*CA300,0)</f>
        <v>13</v>
      </c>
      <c r="CB305" s="458">
        <f>ROUND(CB313*CB300,0)</f>
        <v>18</v>
      </c>
      <c r="CC305" s="458">
        <f>CB305+CA305</f>
        <v>31</v>
      </c>
    </row>
    <row r="306" spans="2:81">
      <c r="B306" s="257" t="s">
        <v>329</v>
      </c>
      <c r="AH306" s="139">
        <v>2.5</v>
      </c>
      <c r="AI306" s="139">
        <v>2.5</v>
      </c>
      <c r="AJ306" s="458">
        <f>AI306+AH306</f>
        <v>5</v>
      </c>
      <c r="AK306" s="151">
        <v>0</v>
      </c>
      <c r="AL306" s="151">
        <v>0</v>
      </c>
      <c r="AM306" s="458">
        <f>AL306+AK306</f>
        <v>0</v>
      </c>
      <c r="AN306" s="151">
        <v>0</v>
      </c>
      <c r="AO306" s="151">
        <v>0</v>
      </c>
      <c r="AP306" s="458">
        <f>AO306+AN306</f>
        <v>0</v>
      </c>
      <c r="AR306" s="257">
        <f>+AS306</f>
        <v>3</v>
      </c>
      <c r="AS306" s="139">
        <v>3</v>
      </c>
      <c r="AW306" s="139">
        <f>4</f>
        <v>4</v>
      </c>
      <c r="AX306" s="139">
        <v>4</v>
      </c>
      <c r="AY306" s="257">
        <f>AX306+AW306</f>
        <v>8</v>
      </c>
      <c r="AZ306" s="139">
        <v>4</v>
      </c>
      <c r="BA306" s="139">
        <v>4</v>
      </c>
      <c r="BB306" s="257">
        <f>BA306+AZ306</f>
        <v>8</v>
      </c>
      <c r="BC306" s="139">
        <v>0</v>
      </c>
      <c r="BD306" s="139">
        <v>4</v>
      </c>
      <c r="BE306" s="257">
        <f>BC306+BD306</f>
        <v>4</v>
      </c>
      <c r="BF306" s="495">
        <v>4</v>
      </c>
      <c r="BG306" s="495">
        <v>4</v>
      </c>
      <c r="BH306" s="257">
        <f>BG306+BF306</f>
        <v>8</v>
      </c>
      <c r="BI306" s="495">
        <v>5</v>
      </c>
      <c r="BJ306" s="495">
        <v>5</v>
      </c>
      <c r="BK306" s="257">
        <f>BJ306+BI306</f>
        <v>10</v>
      </c>
      <c r="BL306" s="257">
        <f>BI306</f>
        <v>5</v>
      </c>
      <c r="BM306" s="257">
        <f>BJ306</f>
        <v>5</v>
      </c>
      <c r="BN306" s="257">
        <f>BM306+BL306</f>
        <v>10</v>
      </c>
    </row>
    <row r="307" spans="2:81">
      <c r="B307" s="257" t="s">
        <v>330</v>
      </c>
      <c r="AD307" s="458">
        <f t="shared" ref="AD307:BN307" si="281">+AD305+AD306</f>
        <v>15</v>
      </c>
      <c r="AE307" s="458">
        <f t="shared" si="281"/>
        <v>5.5</v>
      </c>
      <c r="AF307" s="458">
        <f t="shared" si="281"/>
        <v>8</v>
      </c>
      <c r="AG307" s="458">
        <f t="shared" si="281"/>
        <v>13.5</v>
      </c>
      <c r="AH307" s="458">
        <f t="shared" si="281"/>
        <v>10</v>
      </c>
      <c r="AI307" s="458">
        <f t="shared" si="281"/>
        <v>11.5</v>
      </c>
      <c r="AJ307" s="458">
        <f t="shared" si="281"/>
        <v>21.5</v>
      </c>
      <c r="AK307" s="458">
        <f t="shared" si="281"/>
        <v>7.5</v>
      </c>
      <c r="AL307" s="458">
        <f t="shared" si="281"/>
        <v>9</v>
      </c>
      <c r="AM307" s="458">
        <f t="shared" si="281"/>
        <v>16.5</v>
      </c>
      <c r="AN307" s="458">
        <f t="shared" si="281"/>
        <v>7.5</v>
      </c>
      <c r="AO307" s="458">
        <f t="shared" si="281"/>
        <v>9</v>
      </c>
      <c r="AP307" s="458">
        <f t="shared" si="281"/>
        <v>16.5</v>
      </c>
      <c r="AQ307" s="458">
        <f t="shared" si="281"/>
        <v>7.5</v>
      </c>
      <c r="AR307" s="458">
        <f t="shared" si="281"/>
        <v>12</v>
      </c>
      <c r="AS307" s="458">
        <f t="shared" si="281"/>
        <v>19.5</v>
      </c>
      <c r="AT307" s="458">
        <f t="shared" si="281"/>
        <v>7.5</v>
      </c>
      <c r="AU307" s="458">
        <f t="shared" si="281"/>
        <v>9.5</v>
      </c>
      <c r="AV307" s="458">
        <f t="shared" si="281"/>
        <v>17</v>
      </c>
      <c r="AW307" s="458">
        <f t="shared" si="281"/>
        <v>12</v>
      </c>
      <c r="AX307" s="458">
        <f t="shared" si="281"/>
        <v>15</v>
      </c>
      <c r="AY307" s="458">
        <f t="shared" si="281"/>
        <v>27</v>
      </c>
      <c r="AZ307" s="458">
        <f t="shared" si="281"/>
        <v>12.5</v>
      </c>
      <c r="BA307" s="458">
        <f t="shared" si="281"/>
        <v>15.5</v>
      </c>
      <c r="BB307" s="458">
        <f t="shared" si="281"/>
        <v>28</v>
      </c>
      <c r="BC307" s="458">
        <f t="shared" si="281"/>
        <v>8.5</v>
      </c>
      <c r="BD307" s="458">
        <f t="shared" si="281"/>
        <v>16</v>
      </c>
      <c r="BE307" s="458">
        <f t="shared" si="281"/>
        <v>24.5</v>
      </c>
      <c r="BF307" s="458">
        <f t="shared" si="281"/>
        <v>13</v>
      </c>
      <c r="BG307" s="458">
        <f t="shared" si="281"/>
        <v>17</v>
      </c>
      <c r="BH307" s="458">
        <f t="shared" si="281"/>
        <v>30</v>
      </c>
      <c r="BI307" s="458">
        <f t="shared" si="281"/>
        <v>14</v>
      </c>
      <c r="BJ307" s="458">
        <f t="shared" si="281"/>
        <v>19</v>
      </c>
      <c r="BK307" s="458">
        <f t="shared" si="281"/>
        <v>33</v>
      </c>
      <c r="BL307" s="458">
        <f t="shared" si="281"/>
        <v>15</v>
      </c>
      <c r="BM307" s="458">
        <f t="shared" si="281"/>
        <v>19</v>
      </c>
      <c r="BN307" s="458">
        <f t="shared" si="281"/>
        <v>34</v>
      </c>
      <c r="BO307" s="458">
        <f>+BO305+BO306</f>
        <v>11</v>
      </c>
      <c r="BP307" s="458">
        <f>+BP305+BP306</f>
        <v>15</v>
      </c>
      <c r="BQ307" s="458">
        <f>+BQ305+BQ306</f>
        <v>26</v>
      </c>
      <c r="BR307" s="458">
        <f t="shared" ref="BR307:CC307" si="282">+BR305+BR306</f>
        <v>11</v>
      </c>
      <c r="BS307" s="458">
        <f t="shared" si="282"/>
        <v>16</v>
      </c>
      <c r="BT307" s="458">
        <f t="shared" si="282"/>
        <v>27</v>
      </c>
      <c r="BU307" s="458">
        <f t="shared" si="282"/>
        <v>12</v>
      </c>
      <c r="BV307" s="458">
        <f t="shared" si="282"/>
        <v>17</v>
      </c>
      <c r="BW307" s="458">
        <f t="shared" si="282"/>
        <v>29</v>
      </c>
      <c r="BX307" s="458">
        <f t="shared" si="282"/>
        <v>13</v>
      </c>
      <c r="BY307" s="458">
        <f t="shared" si="282"/>
        <v>18</v>
      </c>
      <c r="BZ307" s="458">
        <f t="shared" si="282"/>
        <v>31</v>
      </c>
      <c r="CA307" s="458">
        <f t="shared" si="282"/>
        <v>13</v>
      </c>
      <c r="CB307" s="458">
        <f t="shared" si="282"/>
        <v>18</v>
      </c>
      <c r="CC307" s="458">
        <f t="shared" si="282"/>
        <v>31</v>
      </c>
    </row>
    <row r="308" spans="2:81">
      <c r="AD308" s="458"/>
      <c r="AE308" s="458"/>
      <c r="AF308" s="458"/>
      <c r="AG308" s="458"/>
      <c r="AH308" s="458"/>
    </row>
    <row r="309" spans="2:81">
      <c r="B309" s="257" t="s">
        <v>430</v>
      </c>
      <c r="AD309" s="533"/>
      <c r="AE309" s="533"/>
      <c r="AF309" s="533"/>
      <c r="AG309" s="470">
        <f t="shared" ref="AG309:BL309" si="283">+AG307/AD307-1</f>
        <v>-9.9999999999999978E-2</v>
      </c>
      <c r="AH309" s="470">
        <f t="shared" si="283"/>
        <v>0.81818181818181812</v>
      </c>
      <c r="AI309" s="470">
        <f t="shared" si="283"/>
        <v>0.4375</v>
      </c>
      <c r="AJ309" s="470">
        <f t="shared" si="283"/>
        <v>0.59259259259259256</v>
      </c>
      <c r="AK309" s="470">
        <f t="shared" si="283"/>
        <v>-0.25</v>
      </c>
      <c r="AL309" s="470">
        <f t="shared" si="283"/>
        <v>-0.21739130434782605</v>
      </c>
      <c r="AM309" s="470">
        <f t="shared" si="283"/>
        <v>-0.23255813953488369</v>
      </c>
      <c r="AN309" s="470">
        <f t="shared" si="283"/>
        <v>0</v>
      </c>
      <c r="AO309" s="470">
        <f t="shared" si="283"/>
        <v>0</v>
      </c>
      <c r="AP309" s="470">
        <f t="shared" si="283"/>
        <v>0</v>
      </c>
      <c r="AQ309" s="470">
        <f t="shared" si="283"/>
        <v>0</v>
      </c>
      <c r="AR309" s="470">
        <f t="shared" si="283"/>
        <v>0.33333333333333326</v>
      </c>
      <c r="AS309" s="470">
        <f t="shared" si="283"/>
        <v>0.18181818181818188</v>
      </c>
      <c r="AT309" s="470">
        <f t="shared" si="283"/>
        <v>0</v>
      </c>
      <c r="AU309" s="470">
        <f t="shared" si="283"/>
        <v>-0.20833333333333337</v>
      </c>
      <c r="AV309" s="470">
        <f t="shared" si="283"/>
        <v>-0.12820512820512819</v>
      </c>
      <c r="AW309" s="470">
        <f t="shared" si="283"/>
        <v>0.60000000000000009</v>
      </c>
      <c r="AX309" s="470">
        <f t="shared" si="283"/>
        <v>0.57894736842105265</v>
      </c>
      <c r="AY309" s="470">
        <f t="shared" si="283"/>
        <v>0.58823529411764697</v>
      </c>
      <c r="AZ309" s="470">
        <f t="shared" si="283"/>
        <v>4.1666666666666741E-2</v>
      </c>
      <c r="BA309" s="470">
        <f t="shared" si="283"/>
        <v>3.3333333333333437E-2</v>
      </c>
      <c r="BB309" s="470">
        <f t="shared" si="283"/>
        <v>3.7037037037036979E-2</v>
      </c>
      <c r="BC309" s="470">
        <f t="shared" si="283"/>
        <v>-0.31999999999999995</v>
      </c>
      <c r="BD309" s="470">
        <f t="shared" ref="BD309" si="284">+BD307/BA307-1</f>
        <v>3.2258064516129004E-2</v>
      </c>
      <c r="BE309" s="470">
        <f t="shared" ref="BE309" si="285">+BE307/BB307-1</f>
        <v>-0.125</v>
      </c>
      <c r="BF309" s="470">
        <f>+BF307/BC307-1</f>
        <v>0.52941176470588225</v>
      </c>
      <c r="BG309" s="470">
        <f>+BG307/BD307-1</f>
        <v>6.25E-2</v>
      </c>
      <c r="BH309" s="470">
        <f>+BH307/BE307-1</f>
        <v>0.22448979591836737</v>
      </c>
      <c r="BI309" s="470">
        <f t="shared" si="283"/>
        <v>7.6923076923076872E-2</v>
      </c>
      <c r="BJ309" s="470">
        <f t="shared" si="283"/>
        <v>0.11764705882352944</v>
      </c>
      <c r="BK309" s="470">
        <f t="shared" si="283"/>
        <v>0.10000000000000009</v>
      </c>
      <c r="BL309" s="470">
        <f t="shared" si="283"/>
        <v>7.1428571428571397E-2</v>
      </c>
      <c r="BM309" s="470">
        <f>+BM307/BJ307-1</f>
        <v>0</v>
      </c>
      <c r="BN309" s="470">
        <f>+BN307/BK307-1</f>
        <v>3.0303030303030276E-2</v>
      </c>
      <c r="BO309" s="470">
        <f>+BO307/BL307-1</f>
        <v>-0.26666666666666672</v>
      </c>
      <c r="BP309" s="470">
        <f>+BP307/BM307-1</f>
        <v>-0.21052631578947367</v>
      </c>
      <c r="BQ309" s="470">
        <f>+BQ307/BN307-1</f>
        <v>-0.23529411764705888</v>
      </c>
      <c r="BR309" s="470">
        <f t="shared" ref="BR309:CC309" si="286">+BR307/BO307-1</f>
        <v>0</v>
      </c>
      <c r="BS309" s="470">
        <f t="shared" si="286"/>
        <v>6.6666666666666652E-2</v>
      </c>
      <c r="BT309" s="470">
        <f t="shared" si="286"/>
        <v>3.8461538461538547E-2</v>
      </c>
      <c r="BU309" s="470">
        <f t="shared" si="286"/>
        <v>9.0909090909090828E-2</v>
      </c>
      <c r="BV309" s="470">
        <f t="shared" si="286"/>
        <v>6.25E-2</v>
      </c>
      <c r="BW309" s="470">
        <f t="shared" si="286"/>
        <v>7.4074074074074181E-2</v>
      </c>
      <c r="BX309" s="470">
        <f t="shared" si="286"/>
        <v>8.3333333333333259E-2</v>
      </c>
      <c r="BY309" s="470">
        <f t="shared" si="286"/>
        <v>5.8823529411764719E-2</v>
      </c>
      <c r="BZ309" s="470">
        <f t="shared" si="286"/>
        <v>6.8965517241379226E-2</v>
      </c>
      <c r="CA309" s="470">
        <f t="shared" si="286"/>
        <v>0</v>
      </c>
      <c r="CB309" s="470">
        <f t="shared" si="286"/>
        <v>0</v>
      </c>
      <c r="CC309" s="470">
        <f t="shared" si="286"/>
        <v>0</v>
      </c>
    </row>
    <row r="310" spans="2:81">
      <c r="B310" s="257" t="s">
        <v>468</v>
      </c>
      <c r="C310" s="403">
        <f>'Fin Sum'!U7</f>
        <v>6.58</v>
      </c>
      <c r="AD310" s="470">
        <f>+(AD307/100)/$C$310</f>
        <v>2.2796352583586626E-2</v>
      </c>
      <c r="AE310" s="470">
        <f t="shared" ref="AE310:BN310" si="287">+(AE307/100)/$C$310</f>
        <v>8.3586626139817623E-3</v>
      </c>
      <c r="AF310" s="470">
        <f t="shared" si="287"/>
        <v>1.2158054711246201E-2</v>
      </c>
      <c r="AG310" s="470">
        <f t="shared" si="287"/>
        <v>2.0516717325227966E-2</v>
      </c>
      <c r="AH310" s="470">
        <f t="shared" si="287"/>
        <v>1.5197568389057751E-2</v>
      </c>
      <c r="AI310" s="470">
        <f t="shared" si="287"/>
        <v>1.7477203647416412E-2</v>
      </c>
      <c r="AJ310" s="470">
        <f t="shared" si="287"/>
        <v>3.2674772036474162E-2</v>
      </c>
      <c r="AK310" s="470">
        <f t="shared" si="287"/>
        <v>1.1398176291793313E-2</v>
      </c>
      <c r="AL310" s="470">
        <f t="shared" si="287"/>
        <v>1.3677811550151976E-2</v>
      </c>
      <c r="AM310" s="470">
        <f t="shared" si="287"/>
        <v>2.5075987841945289E-2</v>
      </c>
      <c r="AN310" s="470">
        <f t="shared" si="287"/>
        <v>1.1398176291793313E-2</v>
      </c>
      <c r="AO310" s="470">
        <f t="shared" si="287"/>
        <v>1.3677811550151976E-2</v>
      </c>
      <c r="AP310" s="470">
        <f t="shared" si="287"/>
        <v>2.5075987841945289E-2</v>
      </c>
      <c r="AQ310" s="470">
        <f t="shared" si="287"/>
        <v>1.1398176291793313E-2</v>
      </c>
      <c r="AR310" s="470">
        <f t="shared" si="287"/>
        <v>1.82370820668693E-2</v>
      </c>
      <c r="AS310" s="470">
        <f t="shared" si="287"/>
        <v>2.9635258358662615E-2</v>
      </c>
      <c r="AT310" s="470">
        <f t="shared" si="287"/>
        <v>1.1398176291793313E-2</v>
      </c>
      <c r="AU310" s="470">
        <f t="shared" si="287"/>
        <v>1.4437689969604863E-2</v>
      </c>
      <c r="AV310" s="470">
        <f t="shared" si="287"/>
        <v>2.5835866261398176E-2</v>
      </c>
      <c r="AW310" s="470">
        <f t="shared" si="287"/>
        <v>1.82370820668693E-2</v>
      </c>
      <c r="AX310" s="470">
        <f t="shared" si="287"/>
        <v>2.2796352583586626E-2</v>
      </c>
      <c r="AY310" s="470">
        <f t="shared" si="287"/>
        <v>4.1033434650455933E-2</v>
      </c>
      <c r="AZ310" s="470">
        <f t="shared" si="287"/>
        <v>1.8996960486322188E-2</v>
      </c>
      <c r="BA310" s="470">
        <f t="shared" si="287"/>
        <v>2.3556231003039513E-2</v>
      </c>
      <c r="BB310" s="470">
        <f t="shared" si="287"/>
        <v>4.2553191489361708E-2</v>
      </c>
      <c r="BC310" s="470">
        <f t="shared" si="287"/>
        <v>1.2917933130699088E-2</v>
      </c>
      <c r="BD310" s="470">
        <f t="shared" ref="BD310:BE310" si="288">+(BD307/100)/$C$310</f>
        <v>2.4316109422492401E-2</v>
      </c>
      <c r="BE310" s="470">
        <f t="shared" si="288"/>
        <v>3.7234042553191488E-2</v>
      </c>
      <c r="BF310" s="470">
        <f t="shared" si="287"/>
        <v>1.9756838905775075E-2</v>
      </c>
      <c r="BG310" s="470">
        <f t="shared" si="287"/>
        <v>2.5835866261398176E-2</v>
      </c>
      <c r="BH310" s="470">
        <f t="shared" si="287"/>
        <v>4.5592705167173252E-2</v>
      </c>
      <c r="BI310" s="470">
        <f t="shared" si="287"/>
        <v>2.1276595744680854E-2</v>
      </c>
      <c r="BJ310" s="470">
        <f t="shared" si="287"/>
        <v>2.8875379939209727E-2</v>
      </c>
      <c r="BK310" s="470">
        <f t="shared" si="287"/>
        <v>5.0151975683890578E-2</v>
      </c>
      <c r="BL310" s="470">
        <f t="shared" si="287"/>
        <v>2.2796352583586626E-2</v>
      </c>
      <c r="BM310" s="470">
        <f t="shared" si="287"/>
        <v>2.8875379939209727E-2</v>
      </c>
      <c r="BN310" s="470">
        <f t="shared" si="287"/>
        <v>5.1671732522796353E-2</v>
      </c>
      <c r="BO310" s="470">
        <f>+(BO307/100)/$C$310</f>
        <v>1.6717325227963525E-2</v>
      </c>
      <c r="BP310" s="470">
        <f>+(BP307/100)/$C$310</f>
        <v>2.2796352583586626E-2</v>
      </c>
      <c r="BQ310" s="470">
        <f>+(BQ307/100)/$C$310</f>
        <v>3.9513677811550151E-2</v>
      </c>
      <c r="BR310" s="470">
        <f t="shared" ref="BR310:CC310" si="289">+(BR307/100)/$C$310</f>
        <v>1.6717325227963525E-2</v>
      </c>
      <c r="BS310" s="470">
        <f t="shared" si="289"/>
        <v>2.4316109422492401E-2</v>
      </c>
      <c r="BT310" s="470">
        <f t="shared" si="289"/>
        <v>4.1033434650455933E-2</v>
      </c>
      <c r="BU310" s="470">
        <f t="shared" si="289"/>
        <v>1.82370820668693E-2</v>
      </c>
      <c r="BV310" s="470">
        <f t="shared" si="289"/>
        <v>2.5835866261398176E-2</v>
      </c>
      <c r="BW310" s="470">
        <f t="shared" si="289"/>
        <v>4.4072948328267476E-2</v>
      </c>
      <c r="BX310" s="470">
        <f t="shared" si="289"/>
        <v>1.9756838905775075E-2</v>
      </c>
      <c r="BY310" s="470">
        <f t="shared" si="289"/>
        <v>2.7355623100303952E-2</v>
      </c>
      <c r="BZ310" s="470">
        <f t="shared" si="289"/>
        <v>4.7112462006079027E-2</v>
      </c>
      <c r="CA310" s="470">
        <f t="shared" si="289"/>
        <v>1.9756838905775075E-2</v>
      </c>
      <c r="CB310" s="470">
        <f t="shared" si="289"/>
        <v>2.7355623100303952E-2</v>
      </c>
      <c r="CC310" s="470">
        <f t="shared" si="289"/>
        <v>4.7112462006079027E-2</v>
      </c>
    </row>
    <row r="311" spans="2:81">
      <c r="B311" s="257" t="s">
        <v>469</v>
      </c>
      <c r="AD311" s="470"/>
      <c r="AE311" s="470"/>
      <c r="AF311" s="470"/>
      <c r="AG311" s="470"/>
      <c r="AH311" s="470"/>
      <c r="AI311" s="470"/>
      <c r="AJ311" s="470">
        <f>(AJ305/100)/$C$310</f>
        <v>2.5075987841945289E-2</v>
      </c>
      <c r="AK311" s="470">
        <f t="shared" ref="AK311:BN311" si="290">(AK305/100)/$C$310</f>
        <v>1.1398176291793313E-2</v>
      </c>
      <c r="AL311" s="470">
        <f t="shared" si="290"/>
        <v>1.3677811550151976E-2</v>
      </c>
      <c r="AM311" s="470">
        <f t="shared" si="290"/>
        <v>2.5075987841945289E-2</v>
      </c>
      <c r="AN311" s="470">
        <f t="shared" si="290"/>
        <v>1.1398176291793313E-2</v>
      </c>
      <c r="AO311" s="470">
        <f t="shared" si="290"/>
        <v>1.3677811550151976E-2</v>
      </c>
      <c r="AP311" s="470">
        <f t="shared" si="290"/>
        <v>2.5075987841945289E-2</v>
      </c>
      <c r="AQ311" s="470">
        <f t="shared" si="290"/>
        <v>1.1398176291793313E-2</v>
      </c>
      <c r="AR311" s="470">
        <f t="shared" si="290"/>
        <v>1.3677811550151976E-2</v>
      </c>
      <c r="AS311" s="470">
        <f t="shared" si="290"/>
        <v>2.5075987841945289E-2</v>
      </c>
      <c r="AT311" s="470">
        <f t="shared" si="290"/>
        <v>1.1398176291793313E-2</v>
      </c>
      <c r="AU311" s="470">
        <f t="shared" si="290"/>
        <v>1.4437689969604863E-2</v>
      </c>
      <c r="AV311" s="470">
        <f t="shared" si="290"/>
        <v>2.5835866261398176E-2</v>
      </c>
      <c r="AW311" s="470">
        <f t="shared" si="290"/>
        <v>1.2158054711246201E-2</v>
      </c>
      <c r="AX311" s="470">
        <f t="shared" si="290"/>
        <v>1.6717325227963525E-2</v>
      </c>
      <c r="AY311" s="470">
        <f t="shared" si="290"/>
        <v>2.8875379939209727E-2</v>
      </c>
      <c r="AZ311" s="470">
        <f t="shared" si="290"/>
        <v>1.2917933130699088E-2</v>
      </c>
      <c r="BA311" s="470">
        <f t="shared" si="290"/>
        <v>1.7477203647416412E-2</v>
      </c>
      <c r="BB311" s="470">
        <f t="shared" si="290"/>
        <v>3.0395136778115502E-2</v>
      </c>
      <c r="BC311" s="470">
        <f t="shared" si="290"/>
        <v>1.2917933130699088E-2</v>
      </c>
      <c r="BD311" s="470">
        <f t="shared" ref="BD311:BE311" si="291">(BD305/100)/$C$310</f>
        <v>1.82370820668693E-2</v>
      </c>
      <c r="BE311" s="470">
        <f t="shared" si="291"/>
        <v>3.1155015197568386E-2</v>
      </c>
      <c r="BF311" s="470">
        <f t="shared" si="290"/>
        <v>1.3677811550151976E-2</v>
      </c>
      <c r="BG311" s="470">
        <f t="shared" si="290"/>
        <v>1.9756838905775075E-2</v>
      </c>
      <c r="BH311" s="470">
        <f t="shared" si="290"/>
        <v>3.3434650455927049E-2</v>
      </c>
      <c r="BI311" s="470">
        <f t="shared" si="290"/>
        <v>1.3677811550151976E-2</v>
      </c>
      <c r="BJ311" s="470">
        <f t="shared" si="290"/>
        <v>2.1276595744680854E-2</v>
      </c>
      <c r="BK311" s="470">
        <f t="shared" si="290"/>
        <v>3.4954407294832825E-2</v>
      </c>
      <c r="BL311" s="470">
        <f t="shared" si="290"/>
        <v>1.5197568389057751E-2</v>
      </c>
      <c r="BM311" s="470">
        <f t="shared" si="290"/>
        <v>2.1276595744680854E-2</v>
      </c>
      <c r="BN311" s="470">
        <f t="shared" si="290"/>
        <v>3.64741641337386E-2</v>
      </c>
      <c r="BO311" s="470">
        <f>(BO305/100)/$C$310</f>
        <v>1.6717325227963525E-2</v>
      </c>
      <c r="BP311" s="470">
        <f>(BP305/100)/$C$310</f>
        <v>2.2796352583586626E-2</v>
      </c>
      <c r="BQ311" s="470">
        <f>(BQ305/100)/$C$310</f>
        <v>3.9513677811550151E-2</v>
      </c>
      <c r="BR311" s="470">
        <f t="shared" ref="BR311:CC311" si="292">(BR305/100)/$C$310</f>
        <v>1.6717325227963525E-2</v>
      </c>
      <c r="BS311" s="470">
        <f t="shared" si="292"/>
        <v>2.4316109422492401E-2</v>
      </c>
      <c r="BT311" s="470">
        <f t="shared" si="292"/>
        <v>4.1033434650455933E-2</v>
      </c>
      <c r="BU311" s="470">
        <f t="shared" si="292"/>
        <v>1.82370820668693E-2</v>
      </c>
      <c r="BV311" s="470">
        <f t="shared" si="292"/>
        <v>2.5835866261398176E-2</v>
      </c>
      <c r="BW311" s="470">
        <f t="shared" si="292"/>
        <v>4.4072948328267476E-2</v>
      </c>
      <c r="BX311" s="470">
        <f t="shared" si="292"/>
        <v>1.9756838905775075E-2</v>
      </c>
      <c r="BY311" s="470">
        <f t="shared" si="292"/>
        <v>2.7355623100303952E-2</v>
      </c>
      <c r="BZ311" s="470">
        <f t="shared" si="292"/>
        <v>4.7112462006079027E-2</v>
      </c>
      <c r="CA311" s="470">
        <f t="shared" si="292"/>
        <v>1.9756838905775075E-2</v>
      </c>
      <c r="CB311" s="470">
        <f t="shared" si="292"/>
        <v>2.7355623100303952E-2</v>
      </c>
      <c r="CC311" s="470">
        <f t="shared" si="292"/>
        <v>4.7112462006079027E-2</v>
      </c>
    </row>
    <row r="312" spans="2:81">
      <c r="B312" s="40" t="s">
        <v>331</v>
      </c>
    </row>
    <row r="313" spans="2:81">
      <c r="B313" s="121" t="s">
        <v>328</v>
      </c>
      <c r="AD313" s="534">
        <f t="shared" ref="AD313:AI313" si="293">AD305/AD299</f>
        <v>0.68659909892384108</v>
      </c>
      <c r="AE313" s="534">
        <f t="shared" si="293"/>
        <v>0.78612565170842785</v>
      </c>
      <c r="AF313" s="534">
        <f t="shared" si="293"/>
        <v>0.60104589640131822</v>
      </c>
      <c r="AG313" s="534">
        <f t="shared" si="293"/>
        <v>0.66481278594638493</v>
      </c>
      <c r="AH313" s="534">
        <f t="shared" si="293"/>
        <v>0.69183018531976725</v>
      </c>
      <c r="AI313" s="534">
        <f t="shared" si="293"/>
        <v>0.69119652841596146</v>
      </c>
      <c r="AJ313" s="534">
        <f>AI313</f>
        <v>0.69119652841596146</v>
      </c>
      <c r="AK313" s="534">
        <f>AK305/AK300</f>
        <v>0.7752503780487805</v>
      </c>
      <c r="AL313" s="534">
        <f>AL305/AL300</f>
        <v>0.6585795031070194</v>
      </c>
      <c r="AM313" s="534">
        <f>AM305/AM300</f>
        <v>0.70702622082210231</v>
      </c>
      <c r="AN313" s="534">
        <f t="shared" ref="AN313:AV313" si="294">AN305/AN300</f>
        <v>0.70759183222222211</v>
      </c>
      <c r="AO313" s="534">
        <f t="shared" si="294"/>
        <v>0.67069853380907796</v>
      </c>
      <c r="AP313" s="534">
        <f t="shared" si="294"/>
        <v>0.68706630209831332</v>
      </c>
      <c r="AQ313" s="534">
        <f t="shared" si="294"/>
        <v>0.75520833333333326</v>
      </c>
      <c r="AR313" s="534">
        <f t="shared" si="294"/>
        <v>0.65186081816118058</v>
      </c>
      <c r="AS313" s="534">
        <f t="shared" si="294"/>
        <v>0.69679938107213779</v>
      </c>
      <c r="AT313" s="534">
        <f t="shared" si="294"/>
        <v>0.78369589950980378</v>
      </c>
      <c r="AU313" s="534">
        <f t="shared" si="294"/>
        <v>0.57918004234790887</v>
      </c>
      <c r="AV313" s="534">
        <f t="shared" si="294"/>
        <v>0.65524138900240392</v>
      </c>
      <c r="AW313" s="534">
        <f t="shared" ref="AW313:BC313" si="295">AW305/AW300</f>
        <v>0.6160000000000001</v>
      </c>
      <c r="AX313" s="534">
        <f t="shared" si="295"/>
        <v>0.56585958279143556</v>
      </c>
      <c r="AY313" s="534">
        <f t="shared" si="295"/>
        <v>0.58942783983739844</v>
      </c>
      <c r="AZ313" s="534">
        <f t="shared" si="295"/>
        <v>0.7159945795719842</v>
      </c>
      <c r="BA313" s="534">
        <f t="shared" si="295"/>
        <v>0.6845144494042168</v>
      </c>
      <c r="BB313" s="534">
        <f t="shared" si="295"/>
        <v>0.69752511493018277</v>
      </c>
      <c r="BC313" s="534">
        <f t="shared" si="295"/>
        <v>0.74127425234899325</v>
      </c>
      <c r="BD313" s="534">
        <f t="shared" ref="BD313:BE313" si="296">BD305/BD300</f>
        <v>0.63318262207792164</v>
      </c>
      <c r="BE313" s="534">
        <f t="shared" si="296"/>
        <v>0.67407099575113782</v>
      </c>
      <c r="BF313" s="534">
        <v>0.72</v>
      </c>
      <c r="BG313" s="534">
        <v>0.63</v>
      </c>
      <c r="BH313" s="534">
        <f>BH305/BH300</f>
        <v>0.67864190167048111</v>
      </c>
      <c r="BI313" s="534">
        <f>BG313</f>
        <v>0.63</v>
      </c>
      <c r="BJ313" s="534">
        <f>BH313</f>
        <v>0.67864190167048111</v>
      </c>
      <c r="BK313" s="534">
        <f>BK305/BK300</f>
        <v>0.65921694156984623</v>
      </c>
      <c r="BL313" s="534">
        <f>BJ313</f>
        <v>0.67864190167048111</v>
      </c>
      <c r="BM313" s="534">
        <f>BK313</f>
        <v>0.65921694156984623</v>
      </c>
      <c r="BN313" s="534">
        <f>BN305/BN300</f>
        <v>0.65078355704817059</v>
      </c>
      <c r="BO313" s="534">
        <f>BM313</f>
        <v>0.65921694156984623</v>
      </c>
      <c r="BP313" s="534">
        <f>BN313</f>
        <v>0.65078355704817059</v>
      </c>
      <c r="BQ313" s="534">
        <f>BQ305/BQ300</f>
        <v>0.66550355109914394</v>
      </c>
      <c r="BR313" s="534">
        <f>BP313</f>
        <v>0.65078355704817059</v>
      </c>
      <c r="BS313" s="534">
        <f>BQ313</f>
        <v>0.66550355109914394</v>
      </c>
      <c r="BT313" s="534">
        <f>BT305/BT300</f>
        <v>0.67040673284238428</v>
      </c>
      <c r="BU313" s="534">
        <f>BS313</f>
        <v>0.66550355109914394</v>
      </c>
      <c r="BV313" s="534">
        <f>BT313</f>
        <v>0.67040673284238428</v>
      </c>
      <c r="BW313" s="534">
        <f>BW305/BW300</f>
        <v>0.66096885514475512</v>
      </c>
      <c r="BX313" s="534">
        <f>BV313</f>
        <v>0.67040673284238428</v>
      </c>
      <c r="BY313" s="534">
        <f>BW313</f>
        <v>0.66096885514475512</v>
      </c>
      <c r="BZ313" s="534">
        <f>BZ305/BZ300</f>
        <v>0.67226540892237163</v>
      </c>
      <c r="CA313" s="534">
        <f>BY313</f>
        <v>0.66096885514475512</v>
      </c>
      <c r="CB313" s="534">
        <f>BZ313</f>
        <v>0.67226540892237163</v>
      </c>
      <c r="CC313" s="534">
        <f>CC305/CC300</f>
        <v>0.65651596923370648</v>
      </c>
    </row>
    <row r="314" spans="2:81">
      <c r="B314" s="257" t="s">
        <v>329</v>
      </c>
      <c r="AD314" s="501">
        <f>+AD306/AD300</f>
        <v>0</v>
      </c>
      <c r="AE314" s="501">
        <f>+AE306/AE300</f>
        <v>0</v>
      </c>
      <c r="AF314" s="501">
        <f>+AF306/AF300</f>
        <v>0</v>
      </c>
      <c r="AG314" s="501">
        <f>+AG306/AG300</f>
        <v>0</v>
      </c>
      <c r="AH314" s="501">
        <f>+AH306/AH300</f>
        <v>0.23061006177325577</v>
      </c>
      <c r="AI314" s="501">
        <f t="shared" ref="AI314:BN314" si="297">+AI306/AI300</f>
        <v>0.19199903567110041</v>
      </c>
      <c r="AJ314" s="501">
        <f t="shared" si="297"/>
        <v>0.20952178217821787</v>
      </c>
      <c r="AK314" s="501">
        <f t="shared" si="297"/>
        <v>0</v>
      </c>
      <c r="AL314" s="501">
        <f t="shared" si="297"/>
        <v>0</v>
      </c>
      <c r="AM314" s="501">
        <f t="shared" si="297"/>
        <v>0</v>
      </c>
      <c r="AN314" s="501">
        <f t="shared" si="297"/>
        <v>0</v>
      </c>
      <c r="AO314" s="501">
        <f t="shared" si="297"/>
        <v>0</v>
      </c>
      <c r="AP314" s="501">
        <f t="shared" si="297"/>
        <v>0</v>
      </c>
      <c r="AQ314" s="501">
        <f t="shared" si="297"/>
        <v>0</v>
      </c>
      <c r="AR314" s="501">
        <f t="shared" si="297"/>
        <v>0.2172869393870602</v>
      </c>
      <c r="AS314" s="501">
        <f t="shared" si="297"/>
        <v>0.12669079655857052</v>
      </c>
      <c r="AT314" s="501">
        <f t="shared" si="297"/>
        <v>0</v>
      </c>
      <c r="AU314" s="501">
        <f t="shared" si="297"/>
        <v>0</v>
      </c>
      <c r="AV314" s="501">
        <f t="shared" si="297"/>
        <v>0</v>
      </c>
      <c r="AW314" s="501">
        <f>+AW306/AW300</f>
        <v>0.30800000000000005</v>
      </c>
      <c r="AX314" s="501">
        <f>+AX306/AX300</f>
        <v>0.20576712101506747</v>
      </c>
      <c r="AY314" s="501">
        <f>+AY306/AY300</f>
        <v>0.24818014308943093</v>
      </c>
      <c r="AZ314" s="501">
        <f t="shared" si="297"/>
        <v>0.33693862568093375</v>
      </c>
      <c r="BA314" s="501">
        <f>+BA306/BA300</f>
        <v>0.23809198240146673</v>
      </c>
      <c r="BB314" s="501">
        <f>+BB306/BB300</f>
        <v>0.27901004597207313</v>
      </c>
      <c r="BC314" s="501">
        <f>+BC306/BC300</f>
        <v>0</v>
      </c>
      <c r="BD314" s="501">
        <f>+BD306/BD300</f>
        <v>0.2110608740259739</v>
      </c>
      <c r="BE314" s="501">
        <f>+BE306/BE300</f>
        <v>0.13152604795144154</v>
      </c>
      <c r="BF314" s="501">
        <f t="shared" si="297"/>
        <v>0.3372433928162541</v>
      </c>
      <c r="BG314" s="501">
        <f t="shared" si="297"/>
        <v>0.19458266290110013</v>
      </c>
      <c r="BH314" s="501">
        <f t="shared" si="297"/>
        <v>0.2467788733347204</v>
      </c>
      <c r="BI314" s="501">
        <f t="shared" si="297"/>
        <v>0.35405356841622065</v>
      </c>
      <c r="BJ314" s="501">
        <f t="shared" si="297"/>
        <v>0.24075821603205683</v>
      </c>
      <c r="BK314" s="501">
        <f t="shared" si="297"/>
        <v>0.28661606155210706</v>
      </c>
      <c r="BL314" s="501">
        <f t="shared" si="297"/>
        <v>0.33314208369485537</v>
      </c>
      <c r="BM314" s="501">
        <f t="shared" si="297"/>
        <v>0.22862358516353531</v>
      </c>
      <c r="BN314" s="501">
        <f t="shared" si="297"/>
        <v>0.27115981543673773</v>
      </c>
      <c r="BO314" s="501">
        <f>+BO306/BO300</f>
        <v>0</v>
      </c>
      <c r="BP314" s="501">
        <f>+BP306/BP300</f>
        <v>0</v>
      </c>
      <c r="BQ314" s="501">
        <f>+BQ306/BQ300</f>
        <v>0</v>
      </c>
      <c r="BR314" s="501">
        <f t="shared" ref="BR314:CC314" si="298">+BR306/BR300</f>
        <v>0</v>
      </c>
      <c r="BS314" s="501">
        <f t="shared" si="298"/>
        <v>0</v>
      </c>
      <c r="BT314" s="501">
        <f t="shared" si="298"/>
        <v>0</v>
      </c>
      <c r="BU314" s="501">
        <f t="shared" si="298"/>
        <v>0</v>
      </c>
      <c r="BV314" s="501">
        <f t="shared" si="298"/>
        <v>0</v>
      </c>
      <c r="BW314" s="501">
        <f t="shared" si="298"/>
        <v>0</v>
      </c>
      <c r="BX314" s="501">
        <f t="shared" si="298"/>
        <v>0</v>
      </c>
      <c r="BY314" s="501">
        <f t="shared" si="298"/>
        <v>0</v>
      </c>
      <c r="BZ314" s="501">
        <f t="shared" si="298"/>
        <v>0</v>
      </c>
      <c r="CA314" s="501">
        <f t="shared" si="298"/>
        <v>0</v>
      </c>
      <c r="CB314" s="501">
        <f t="shared" si="298"/>
        <v>0</v>
      </c>
      <c r="CC314" s="501">
        <f t="shared" si="298"/>
        <v>0</v>
      </c>
    </row>
    <row r="315" spans="2:81">
      <c r="B315" s="257" t="s">
        <v>330</v>
      </c>
      <c r="AD315" s="501">
        <f>+AD307/AD300</f>
        <v>0.68659909892384108</v>
      </c>
      <c r="AE315" s="501">
        <f>+AE307/AE300</f>
        <v>0.73915473399772191</v>
      </c>
      <c r="AF315" s="501">
        <f>+AF307/AF300</f>
        <v>0.61233411111111102</v>
      </c>
      <c r="AG315" s="501">
        <f>+AG307/AG300</f>
        <v>0.66481278594638493</v>
      </c>
      <c r="AH315" s="501">
        <f>+AH307/AH300</f>
        <v>0.92244024709302308</v>
      </c>
      <c r="AI315" s="501">
        <f t="shared" ref="AI315:BN315" si="299">+AI307/AI300</f>
        <v>0.88319556408706179</v>
      </c>
      <c r="AJ315" s="501">
        <f t="shared" si="299"/>
        <v>0.9009436633663368</v>
      </c>
      <c r="AK315" s="501">
        <f t="shared" si="299"/>
        <v>0.7752503780487805</v>
      </c>
      <c r="AL315" s="501">
        <f t="shared" si="299"/>
        <v>0.6585795031070194</v>
      </c>
      <c r="AM315" s="501">
        <f t="shared" si="299"/>
        <v>0.70702622082210231</v>
      </c>
      <c r="AN315" s="501">
        <f t="shared" si="299"/>
        <v>0.70759183222222211</v>
      </c>
      <c r="AO315" s="501">
        <f t="shared" si="299"/>
        <v>0.67069853380907796</v>
      </c>
      <c r="AP315" s="501">
        <f t="shared" si="299"/>
        <v>0.68706630209831332</v>
      </c>
      <c r="AQ315" s="501">
        <f t="shared" si="299"/>
        <v>0.75520833333333326</v>
      </c>
      <c r="AR315" s="501">
        <f t="shared" si="299"/>
        <v>0.86914775754824081</v>
      </c>
      <c r="AS315" s="501">
        <f t="shared" si="299"/>
        <v>0.82349017763070831</v>
      </c>
      <c r="AT315" s="501">
        <f t="shared" si="299"/>
        <v>0.78369589950980378</v>
      </c>
      <c r="AU315" s="501">
        <f t="shared" si="299"/>
        <v>0.57918004234790887</v>
      </c>
      <c r="AV315" s="501">
        <f t="shared" si="299"/>
        <v>0.65524138900240392</v>
      </c>
      <c r="AW315" s="501">
        <f>+AW307/AW300</f>
        <v>0.92400000000000015</v>
      </c>
      <c r="AX315" s="501">
        <f>+AX307/AX300</f>
        <v>0.771626703806503</v>
      </c>
      <c r="AY315" s="501">
        <f>+AY307/AY300</f>
        <v>0.83760798292682936</v>
      </c>
      <c r="AZ315" s="501">
        <f t="shared" si="299"/>
        <v>1.0529332052529181</v>
      </c>
      <c r="BA315" s="501">
        <f>+BA307/BA300</f>
        <v>0.92260643180568358</v>
      </c>
      <c r="BB315" s="501">
        <f>+BB307/BB300</f>
        <v>0.97653516090225589</v>
      </c>
      <c r="BC315" s="501">
        <f>+BC307/BC300</f>
        <v>0.74127425234899325</v>
      </c>
      <c r="BD315" s="501">
        <f>+BD307/BD300</f>
        <v>0.8442434961038956</v>
      </c>
      <c r="BE315" s="501">
        <f>+BE307/BE300</f>
        <v>0.80559704370257934</v>
      </c>
      <c r="BF315" s="501">
        <f t="shared" si="299"/>
        <v>1.0960410266528258</v>
      </c>
      <c r="BG315" s="501">
        <f t="shared" si="299"/>
        <v>0.82697631732967558</v>
      </c>
      <c r="BH315" s="501">
        <f t="shared" si="299"/>
        <v>0.92542077500520159</v>
      </c>
      <c r="BI315" s="501">
        <f t="shared" si="299"/>
        <v>0.99134999156541781</v>
      </c>
      <c r="BJ315" s="501">
        <f t="shared" si="299"/>
        <v>0.91488122092181601</v>
      </c>
      <c r="BK315" s="501">
        <f t="shared" si="299"/>
        <v>0.94583300312195318</v>
      </c>
      <c r="BL315" s="501">
        <f t="shared" si="299"/>
        <v>0.99942625108456606</v>
      </c>
      <c r="BM315" s="501">
        <f t="shared" si="299"/>
        <v>0.86876962362143428</v>
      </c>
      <c r="BN315" s="501">
        <f t="shared" si="299"/>
        <v>0.92194337248490832</v>
      </c>
      <c r="BO315" s="501">
        <f>+BO307/BO300</f>
        <v>0.67144987730694805</v>
      </c>
      <c r="BP315" s="501">
        <f>+BP307/BP300</f>
        <v>0.66120941714535175</v>
      </c>
      <c r="BQ315" s="501">
        <f>+BQ307/BQ300</f>
        <v>0.66550355109914394</v>
      </c>
      <c r="BR315" s="501">
        <f t="shared" ref="BR315:CC315" si="300">+BR307/BR300</f>
        <v>0.6786163613436389</v>
      </c>
      <c r="BS315" s="501">
        <f t="shared" si="300"/>
        <v>0.66487688582855797</v>
      </c>
      <c r="BT315" s="501">
        <f t="shared" si="300"/>
        <v>0.67040673284238428</v>
      </c>
      <c r="BU315" s="501">
        <f t="shared" si="300"/>
        <v>0.67457288002338911</v>
      </c>
      <c r="BV315" s="501">
        <f t="shared" si="300"/>
        <v>0.65169173716753892</v>
      </c>
      <c r="BW315" s="501">
        <f t="shared" si="300"/>
        <v>0.66096885514475512</v>
      </c>
      <c r="BX315" s="501">
        <f t="shared" si="300"/>
        <v>0.66965957149216171</v>
      </c>
      <c r="BY315" s="501">
        <f t="shared" si="300"/>
        <v>0.67416005065058093</v>
      </c>
      <c r="BZ315" s="501">
        <f t="shared" si="300"/>
        <v>0.67226540892237163</v>
      </c>
      <c r="CA315" s="501">
        <f t="shared" si="300"/>
        <v>0.65510589186416701</v>
      </c>
      <c r="CB315" s="501">
        <f t="shared" si="300"/>
        <v>0.65753813947457562</v>
      </c>
      <c r="CC315" s="501">
        <f t="shared" si="300"/>
        <v>0.65651596923370648</v>
      </c>
    </row>
    <row r="317" spans="2:81">
      <c r="B317" s="40" t="s">
        <v>332</v>
      </c>
    </row>
    <row r="318" spans="2:81">
      <c r="B318" s="257" t="s">
        <v>403</v>
      </c>
      <c r="AD318" s="536">
        <v>1</v>
      </c>
      <c r="AE318" s="501">
        <f>AD318</f>
        <v>1</v>
      </c>
      <c r="AF318" s="501">
        <f>AE318</f>
        <v>1</v>
      </c>
      <c r="AG318" s="501">
        <f>AF318</f>
        <v>1</v>
      </c>
      <c r="AH318" s="501">
        <f>AG318</f>
        <v>1</v>
      </c>
      <c r="AI318" s="501">
        <f>AH318</f>
        <v>1</v>
      </c>
      <c r="AJ318" s="501">
        <f t="shared" ref="AJ318:BN318" si="301">AI318</f>
        <v>1</v>
      </c>
      <c r="AK318" s="501">
        <f t="shared" si="301"/>
        <v>1</v>
      </c>
      <c r="AL318" s="501">
        <f t="shared" si="301"/>
        <v>1</v>
      </c>
      <c r="AM318" s="501">
        <f t="shared" si="301"/>
        <v>1</v>
      </c>
      <c r="AN318" s="501">
        <f t="shared" si="301"/>
        <v>1</v>
      </c>
      <c r="AO318" s="501">
        <f t="shared" si="301"/>
        <v>1</v>
      </c>
      <c r="AP318" s="501">
        <f t="shared" si="301"/>
        <v>1</v>
      </c>
      <c r="AQ318" s="501">
        <f t="shared" si="301"/>
        <v>1</v>
      </c>
      <c r="AR318" s="501">
        <f t="shared" si="301"/>
        <v>1</v>
      </c>
      <c r="AS318" s="501">
        <f t="shared" si="301"/>
        <v>1</v>
      </c>
      <c r="AT318" s="501">
        <f t="shared" si="301"/>
        <v>1</v>
      </c>
      <c r="AU318" s="501">
        <f t="shared" si="301"/>
        <v>1</v>
      </c>
      <c r="AV318" s="501">
        <f t="shared" si="301"/>
        <v>1</v>
      </c>
      <c r="AW318" s="501">
        <f t="shared" si="301"/>
        <v>1</v>
      </c>
      <c r="AX318" s="501">
        <f t="shared" si="301"/>
        <v>1</v>
      </c>
      <c r="AY318" s="501">
        <f t="shared" si="301"/>
        <v>1</v>
      </c>
      <c r="AZ318" s="501">
        <f t="shared" si="301"/>
        <v>1</v>
      </c>
      <c r="BA318" s="501">
        <f t="shared" si="301"/>
        <v>1</v>
      </c>
      <c r="BB318" s="501">
        <f t="shared" si="301"/>
        <v>1</v>
      </c>
      <c r="BC318" s="501">
        <f t="shared" si="301"/>
        <v>1</v>
      </c>
      <c r="BD318" s="501">
        <f t="shared" si="301"/>
        <v>1</v>
      </c>
      <c r="BE318" s="501">
        <f>BD318</f>
        <v>1</v>
      </c>
      <c r="BF318" s="501">
        <f>BE318</f>
        <v>1</v>
      </c>
      <c r="BG318" s="501">
        <f t="shared" si="301"/>
        <v>1</v>
      </c>
      <c r="BH318" s="501">
        <f t="shared" si="301"/>
        <v>1</v>
      </c>
      <c r="BI318" s="501">
        <f t="shared" si="301"/>
        <v>1</v>
      </c>
      <c r="BJ318" s="501">
        <f t="shared" si="301"/>
        <v>1</v>
      </c>
      <c r="BK318" s="501">
        <f t="shared" si="301"/>
        <v>1</v>
      </c>
      <c r="BL318" s="501">
        <f t="shared" si="301"/>
        <v>1</v>
      </c>
      <c r="BM318" s="501">
        <f>BL318</f>
        <v>1</v>
      </c>
      <c r="BN318" s="501">
        <f t="shared" si="301"/>
        <v>1</v>
      </c>
      <c r="BO318" s="501">
        <f>BN318</f>
        <v>1</v>
      </c>
      <c r="BP318" s="501">
        <f>BO318</f>
        <v>1</v>
      </c>
      <c r="BQ318" s="501">
        <f>BP318</f>
        <v>1</v>
      </c>
      <c r="BR318" s="501">
        <f t="shared" ref="BR318:CC318" si="302">BQ318</f>
        <v>1</v>
      </c>
      <c r="BS318" s="501">
        <f t="shared" si="302"/>
        <v>1</v>
      </c>
      <c r="BT318" s="501">
        <f t="shared" si="302"/>
        <v>1</v>
      </c>
      <c r="BU318" s="501">
        <f t="shared" si="302"/>
        <v>1</v>
      </c>
      <c r="BV318" s="501">
        <f t="shared" si="302"/>
        <v>1</v>
      </c>
      <c r="BW318" s="501">
        <f t="shared" si="302"/>
        <v>1</v>
      </c>
      <c r="BX318" s="501">
        <f t="shared" si="302"/>
        <v>1</v>
      </c>
      <c r="BY318" s="501">
        <f t="shared" si="302"/>
        <v>1</v>
      </c>
      <c r="BZ318" s="501">
        <f t="shared" si="302"/>
        <v>1</v>
      </c>
      <c r="CA318" s="501">
        <f t="shared" si="302"/>
        <v>1</v>
      </c>
      <c r="CB318" s="501">
        <f t="shared" si="302"/>
        <v>1</v>
      </c>
      <c r="CC318" s="501">
        <f t="shared" si="302"/>
        <v>1</v>
      </c>
    </row>
    <row r="319" spans="2:81">
      <c r="B319" s="257" t="s">
        <v>404</v>
      </c>
      <c r="AI319" s="537">
        <v>1</v>
      </c>
      <c r="AJ319" s="537">
        <v>1</v>
      </c>
      <c r="AK319" s="537">
        <v>1</v>
      </c>
      <c r="AL319" s="537">
        <v>1</v>
      </c>
      <c r="AM319" s="537">
        <v>1</v>
      </c>
      <c r="AN319" s="537">
        <v>1</v>
      </c>
      <c r="AO319" s="537">
        <v>1</v>
      </c>
      <c r="AP319" s="537">
        <v>1</v>
      </c>
      <c r="AQ319" s="537">
        <v>1</v>
      </c>
      <c r="AR319" s="537">
        <v>1</v>
      </c>
      <c r="AS319" s="537">
        <v>1</v>
      </c>
      <c r="AT319" s="537">
        <v>1</v>
      </c>
      <c r="AU319" s="537">
        <v>1</v>
      </c>
      <c r="AV319" s="537">
        <v>1</v>
      </c>
      <c r="AW319" s="537">
        <v>1</v>
      </c>
      <c r="AX319" s="537">
        <v>1</v>
      </c>
      <c r="AY319" s="537">
        <v>1</v>
      </c>
      <c r="AZ319" s="537">
        <v>1</v>
      </c>
      <c r="BA319" s="537">
        <v>1</v>
      </c>
      <c r="BB319" s="537">
        <v>1</v>
      </c>
      <c r="BC319" s="537">
        <v>1</v>
      </c>
      <c r="BD319" s="537">
        <v>1</v>
      </c>
      <c r="BE319" s="537">
        <v>1</v>
      </c>
      <c r="BF319" s="535">
        <v>1</v>
      </c>
      <c r="BG319" s="535">
        <v>1</v>
      </c>
      <c r="BH319" s="535">
        <v>1</v>
      </c>
      <c r="BI319" s="535">
        <v>1</v>
      </c>
      <c r="BJ319" s="535">
        <v>1</v>
      </c>
      <c r="BK319" s="535">
        <v>1</v>
      </c>
      <c r="BL319" s="535">
        <v>1</v>
      </c>
      <c r="BM319" s="535">
        <v>1</v>
      </c>
      <c r="BN319" s="535">
        <v>1</v>
      </c>
      <c r="BO319" s="535">
        <v>1</v>
      </c>
      <c r="BP319" s="535">
        <v>1</v>
      </c>
      <c r="BQ319" s="535">
        <v>1</v>
      </c>
      <c r="BR319" s="535">
        <v>1</v>
      </c>
      <c r="BS319" s="535">
        <v>1</v>
      </c>
      <c r="BT319" s="535">
        <v>1</v>
      </c>
      <c r="BU319" s="535">
        <v>1</v>
      </c>
      <c r="BV319" s="535">
        <v>1</v>
      </c>
      <c r="BW319" s="535">
        <v>1</v>
      </c>
      <c r="BX319" s="535">
        <v>1</v>
      </c>
      <c r="BY319" s="535">
        <v>1</v>
      </c>
      <c r="BZ319" s="535">
        <v>1</v>
      </c>
      <c r="CA319" s="535">
        <v>1</v>
      </c>
      <c r="CB319" s="535">
        <v>1</v>
      </c>
      <c r="CC319" s="535">
        <v>1</v>
      </c>
    </row>
    <row r="320" spans="2:81">
      <c r="B320" s="257" t="s">
        <v>405</v>
      </c>
      <c r="AD320" s="534">
        <f>+AD318</f>
        <v>1</v>
      </c>
      <c r="AE320" s="534">
        <f>+AE318</f>
        <v>1</v>
      </c>
      <c r="AF320" s="534">
        <f>+AF318</f>
        <v>1</v>
      </c>
      <c r="AG320" s="534">
        <f>+AG318</f>
        <v>1</v>
      </c>
      <c r="AH320" s="534">
        <f>+AH318</f>
        <v>1</v>
      </c>
      <c r="AI320" s="534">
        <f t="shared" ref="AI320:BN320" si="303">+AI318</f>
        <v>1</v>
      </c>
      <c r="AJ320" s="534">
        <f t="shared" si="303"/>
        <v>1</v>
      </c>
      <c r="AK320" s="534">
        <f t="shared" si="303"/>
        <v>1</v>
      </c>
      <c r="AL320" s="534">
        <f t="shared" si="303"/>
        <v>1</v>
      </c>
      <c r="AM320" s="534">
        <f t="shared" si="303"/>
        <v>1</v>
      </c>
      <c r="AN320" s="534">
        <f t="shared" si="303"/>
        <v>1</v>
      </c>
      <c r="AO320" s="534">
        <f t="shared" si="303"/>
        <v>1</v>
      </c>
      <c r="AP320" s="534">
        <f t="shared" si="303"/>
        <v>1</v>
      </c>
      <c r="AQ320" s="534">
        <f t="shared" si="303"/>
        <v>1</v>
      </c>
      <c r="AR320" s="534">
        <f t="shared" si="303"/>
        <v>1</v>
      </c>
      <c r="AS320" s="534">
        <f t="shared" si="303"/>
        <v>1</v>
      </c>
      <c r="AT320" s="534">
        <f t="shared" si="303"/>
        <v>1</v>
      </c>
      <c r="AU320" s="534">
        <f t="shared" si="303"/>
        <v>1</v>
      </c>
      <c r="AV320" s="534">
        <f t="shared" si="303"/>
        <v>1</v>
      </c>
      <c r="AW320" s="534">
        <f t="shared" si="303"/>
        <v>1</v>
      </c>
      <c r="AX320" s="534">
        <f t="shared" si="303"/>
        <v>1</v>
      </c>
      <c r="AY320" s="534">
        <f t="shared" si="303"/>
        <v>1</v>
      </c>
      <c r="AZ320" s="534">
        <f t="shared" si="303"/>
        <v>1</v>
      </c>
      <c r="BA320" s="534">
        <f t="shared" si="303"/>
        <v>1</v>
      </c>
      <c r="BB320" s="534">
        <f t="shared" si="303"/>
        <v>1</v>
      </c>
      <c r="BC320" s="534">
        <f t="shared" si="303"/>
        <v>1</v>
      </c>
      <c r="BD320" s="534">
        <f t="shared" si="303"/>
        <v>1</v>
      </c>
      <c r="BE320" s="534">
        <f t="shared" si="303"/>
        <v>1</v>
      </c>
      <c r="BF320" s="534">
        <f t="shared" si="303"/>
        <v>1</v>
      </c>
      <c r="BG320" s="534">
        <f t="shared" si="303"/>
        <v>1</v>
      </c>
      <c r="BH320" s="534">
        <f t="shared" si="303"/>
        <v>1</v>
      </c>
      <c r="BI320" s="534">
        <f t="shared" si="303"/>
        <v>1</v>
      </c>
      <c r="BJ320" s="534">
        <f t="shared" si="303"/>
        <v>1</v>
      </c>
      <c r="BK320" s="534">
        <f t="shared" si="303"/>
        <v>1</v>
      </c>
      <c r="BL320" s="534">
        <f t="shared" si="303"/>
        <v>1</v>
      </c>
      <c r="BM320" s="534">
        <f t="shared" si="303"/>
        <v>1</v>
      </c>
      <c r="BN320" s="534">
        <f t="shared" si="303"/>
        <v>1</v>
      </c>
      <c r="BO320" s="534">
        <f>+BO318</f>
        <v>1</v>
      </c>
      <c r="BP320" s="534">
        <f>+BP318</f>
        <v>1</v>
      </c>
      <c r="BQ320" s="534">
        <f>+BQ318</f>
        <v>1</v>
      </c>
      <c r="BR320" s="534">
        <f t="shared" ref="BR320:CC320" si="304">+BR318</f>
        <v>1</v>
      </c>
      <c r="BS320" s="534">
        <f t="shared" si="304"/>
        <v>1</v>
      </c>
      <c r="BT320" s="534">
        <f t="shared" si="304"/>
        <v>1</v>
      </c>
      <c r="BU320" s="534">
        <f t="shared" si="304"/>
        <v>1</v>
      </c>
      <c r="BV320" s="534">
        <f t="shared" si="304"/>
        <v>1</v>
      </c>
      <c r="BW320" s="534">
        <f t="shared" si="304"/>
        <v>1</v>
      </c>
      <c r="BX320" s="534">
        <f t="shared" si="304"/>
        <v>1</v>
      </c>
      <c r="BY320" s="534">
        <f t="shared" si="304"/>
        <v>1</v>
      </c>
      <c r="BZ320" s="534">
        <f t="shared" si="304"/>
        <v>1</v>
      </c>
      <c r="CA320" s="534">
        <f t="shared" si="304"/>
        <v>1</v>
      </c>
      <c r="CB320" s="534">
        <f t="shared" si="304"/>
        <v>1</v>
      </c>
      <c r="CC320" s="534">
        <f t="shared" si="304"/>
        <v>1</v>
      </c>
    </row>
    <row r="322" spans="2:81">
      <c r="B322" s="40" t="s">
        <v>156</v>
      </c>
    </row>
    <row r="323" spans="2:81">
      <c r="B323" s="257" t="s">
        <v>403</v>
      </c>
      <c r="AD323" s="458">
        <f>AD307*AD284/100</f>
        <v>82.873280550000004</v>
      </c>
      <c r="AE323" s="458">
        <f>AE307*AE284/100</f>
        <v>34.510916109999997</v>
      </c>
      <c r="AF323" s="458">
        <f>AF307*AF284/100</f>
        <v>50.731597599999994</v>
      </c>
      <c r="AG323" s="458">
        <f>AG307*AG284/100</f>
        <v>85.609570949999991</v>
      </c>
      <c r="AH323" s="458">
        <f>AH307*AH284/100</f>
        <v>63.513280999999999</v>
      </c>
      <c r="AI323" s="458">
        <f>AI305*AH284/100</f>
        <v>57.161952899999996</v>
      </c>
      <c r="AJ323" s="458">
        <f>SUM(AH323:AI323)</f>
        <v>120.67523389999999</v>
      </c>
      <c r="AK323" s="458">
        <f>AK305*AI284/100</f>
        <v>47.634960749999998</v>
      </c>
      <c r="AL323" s="458">
        <f>AL305*AK284/100</f>
        <v>57.265002899999992</v>
      </c>
      <c r="AM323" s="458">
        <f>SUM(AK323:AL323)</f>
        <v>104.89996364999999</v>
      </c>
      <c r="AN323" s="458">
        <f>AN305*AL284/100</f>
        <v>47.720835749999999</v>
      </c>
      <c r="AO323" s="458">
        <f>AO305*AN284/100</f>
        <v>57.364873920000001</v>
      </c>
      <c r="AP323" s="458">
        <f>SUM(AN323:AO323)</f>
        <v>105.08570967</v>
      </c>
      <c r="AQ323" s="458">
        <f>AQ305*AO284/100</f>
        <v>47.804061599999997</v>
      </c>
      <c r="AR323" s="458">
        <f>AR305*AQ284/100</f>
        <v>57.461101920000004</v>
      </c>
      <c r="AS323" s="458">
        <f>SUM(AQ323:AR323)</f>
        <v>105.26516352</v>
      </c>
      <c r="AT323" s="458">
        <f>AT305*AR284/100</f>
        <v>47.884251599999999</v>
      </c>
      <c r="AU323" s="458">
        <f>AU305*AT284/100</f>
        <v>60.850826900000001</v>
      </c>
      <c r="AV323" s="458">
        <f>SUM(AT323:AU323)</f>
        <v>108.7350785</v>
      </c>
      <c r="AW323" s="458">
        <f>AW305*AU284/100</f>
        <v>51.076535039999996</v>
      </c>
      <c r="AX323" s="458">
        <f>AX305*AW284/100</f>
        <v>71.267432170000006</v>
      </c>
      <c r="AY323" s="458">
        <f>SUM(AW323:AX323)</f>
        <v>122.34396721</v>
      </c>
      <c r="AZ323" s="458">
        <f>AZ305*AX284/100</f>
        <v>55.137872164999997</v>
      </c>
      <c r="BA323" s="458">
        <f>BA305*AZ284/100</f>
        <v>74.686658115</v>
      </c>
      <c r="BB323" s="458">
        <f>SUM(AZ323:BA323)</f>
        <v>129.82453028</v>
      </c>
      <c r="BC323" s="458">
        <f>BC305*BA284/100</f>
        <v>55.198649970000005</v>
      </c>
      <c r="BD323" s="458">
        <f>BD305*BC284/100</f>
        <v>78.001713359999997</v>
      </c>
      <c r="BE323" s="458">
        <f>SUM(BC323:BD323)</f>
        <v>133.20036333000002</v>
      </c>
      <c r="BF323" s="458">
        <f>BF305*BD284/100</f>
        <v>58.50607428</v>
      </c>
      <c r="BG323" s="458">
        <f>BG305*BF284/100</f>
        <v>84.508773959999999</v>
      </c>
      <c r="BH323" s="458">
        <f>SUM(BF323:BG323)</f>
        <v>143.01484823999999</v>
      </c>
      <c r="BI323" s="458">
        <f>BI305*BG284/100</f>
        <v>58.50607428</v>
      </c>
      <c r="BJ323" s="458">
        <f>BJ305*BI284/100</f>
        <v>91.009448879999994</v>
      </c>
      <c r="BK323" s="458">
        <f>SUM(BI323:BJ323)</f>
        <v>149.51552315999999</v>
      </c>
      <c r="BL323" s="458">
        <f>BL305*BJ284/100</f>
        <v>65.006749200000002</v>
      </c>
      <c r="BM323" s="458">
        <f>BM305*BL284/100</f>
        <v>91.009448879999994</v>
      </c>
      <c r="BN323" s="458">
        <f>SUM(BL323:BM323)</f>
        <v>156.01619807999998</v>
      </c>
      <c r="BO323" s="458">
        <f>BO305*BM284/100</f>
        <v>71.50742412000001</v>
      </c>
      <c r="BP323" s="458">
        <f>BP305*BO284/100</f>
        <v>97.510123800000002</v>
      </c>
      <c r="BQ323" s="458">
        <f>SUM(BO323:BP323)</f>
        <v>169.01754792000003</v>
      </c>
      <c r="BR323" s="458">
        <f>BR305*BP284/100</f>
        <v>71.50742412000001</v>
      </c>
      <c r="BS323" s="458">
        <f>BS305*BR284/100</f>
        <v>104.01079872</v>
      </c>
      <c r="BT323" s="458">
        <f>SUM(BR323:BS323)</f>
        <v>175.51822284000002</v>
      </c>
      <c r="BU323" s="458">
        <f>BU305*BS284/100</f>
        <v>78.008099039999991</v>
      </c>
      <c r="BV323" s="458">
        <f>BV305*BU284/100</f>
        <v>110.51147364000001</v>
      </c>
      <c r="BW323" s="458">
        <f>SUM(BU323:BV323)</f>
        <v>188.51957268000001</v>
      </c>
      <c r="BX323" s="458">
        <f>BX305*BV284/100</f>
        <v>84.508773959999999</v>
      </c>
      <c r="BY323" s="458">
        <f>BY305*BX284/100</f>
        <v>117.01214856</v>
      </c>
      <c r="BZ323" s="458">
        <f>SUM(BX323:BY323)</f>
        <v>201.52092252</v>
      </c>
      <c r="CA323" s="458">
        <f>CA305*BY284/100</f>
        <v>84.508773959999999</v>
      </c>
      <c r="CB323" s="458">
        <f>CB305*CA284/100</f>
        <v>117.01214856</v>
      </c>
      <c r="CC323" s="458">
        <f>SUM(CA323:CB323)</f>
        <v>201.52092252</v>
      </c>
    </row>
    <row r="324" spans="2:81">
      <c r="B324" s="257" t="s">
        <v>404</v>
      </c>
      <c r="AD324" s="151">
        <v>0</v>
      </c>
      <c r="AE324" s="458">
        <f>+AE306*AE284/100</f>
        <v>0</v>
      </c>
      <c r="AF324" s="458">
        <f>+AF306*AF284/100</f>
        <v>0</v>
      </c>
      <c r="AG324" s="458">
        <f>+AG306*AG284/100</f>
        <v>0</v>
      </c>
      <c r="AH324" s="458">
        <f>+AH306*AH284/100</f>
        <v>15.87832025</v>
      </c>
      <c r="AI324" s="458">
        <f>+AI306*AH284/100</f>
        <v>15.87832025</v>
      </c>
      <c r="AJ324" s="458">
        <f>SUM(AH324:AI324)</f>
        <v>31.7566405</v>
      </c>
      <c r="AK324" s="458">
        <f>+AK306*AI284/100</f>
        <v>0</v>
      </c>
      <c r="AL324" s="458">
        <f>+AL306*AK284/100</f>
        <v>0</v>
      </c>
      <c r="AM324" s="458">
        <f>SUM(AK324:AL324)</f>
        <v>0</v>
      </c>
      <c r="AN324" s="458">
        <f>+AN306*AL284/100</f>
        <v>0</v>
      </c>
      <c r="AO324" s="458">
        <f>+AO306*AN284/100</f>
        <v>0</v>
      </c>
      <c r="AP324" s="458">
        <f>SUM(AN324:AO324)</f>
        <v>0</v>
      </c>
      <c r="AQ324" s="458">
        <f>+AQ306*AO284/100</f>
        <v>0</v>
      </c>
      <c r="AR324" s="458">
        <f>+AR306*AQ284/100</f>
        <v>19.15370064</v>
      </c>
      <c r="AS324" s="458">
        <f>SUM(AQ324:AR324)</f>
        <v>19.15370064</v>
      </c>
      <c r="AT324" s="458">
        <f>+AT306*AR284/100</f>
        <v>0</v>
      </c>
      <c r="AU324" s="458">
        <f>+AU306*AT284/100</f>
        <v>0</v>
      </c>
      <c r="AV324" s="458">
        <f>SUM(AT324:AU324)</f>
        <v>0</v>
      </c>
      <c r="AW324" s="458">
        <f>+AW306*AU284/100</f>
        <v>25.538267519999998</v>
      </c>
      <c r="AX324" s="458">
        <f>+AX306*AW284/100</f>
        <v>25.915429880000001</v>
      </c>
      <c r="AY324" s="458">
        <f>SUM(AW324:AX324)</f>
        <v>51.453697399999996</v>
      </c>
      <c r="AZ324" s="458">
        <f>+AZ306*AX284/100</f>
        <v>25.947233959999998</v>
      </c>
      <c r="BA324" s="458">
        <f>+BA306*AZ284/100</f>
        <v>25.97796804</v>
      </c>
      <c r="BB324" s="458">
        <f>SUM(AZ324:BA324)</f>
        <v>51.925201999999999</v>
      </c>
      <c r="BC324" s="458">
        <f>+BC306*BA284/100</f>
        <v>0</v>
      </c>
      <c r="BD324" s="458">
        <f>+BD306*BC284/100</f>
        <v>26.00057112</v>
      </c>
      <c r="BE324" s="458">
        <f>SUM(BC324:BD324)</f>
        <v>26.00057112</v>
      </c>
      <c r="BF324" s="458">
        <f>+BF306*BD284/100</f>
        <v>26.002699679999999</v>
      </c>
      <c r="BG324" s="458">
        <f>+BG306*BF284/100</f>
        <v>26.002699679999999</v>
      </c>
      <c r="BH324" s="458">
        <f>SUM(BF324:BG324)</f>
        <v>52.005399359999998</v>
      </c>
      <c r="BI324" s="458">
        <f>+BI306*BG284/100</f>
        <v>32.503374600000001</v>
      </c>
      <c r="BJ324" s="458">
        <f>+BJ306*BI284/100</f>
        <v>32.503374600000001</v>
      </c>
      <c r="BK324" s="458">
        <f>SUM(BI324:BJ324)</f>
        <v>65.006749200000002</v>
      </c>
      <c r="BL324" s="458">
        <f>+BL306*BJ284/100</f>
        <v>32.503374600000001</v>
      </c>
      <c r="BM324" s="458">
        <f>+BM306*BL284/100</f>
        <v>32.503374600000001</v>
      </c>
      <c r="BN324" s="458">
        <f>SUM(BL324:BM324)</f>
        <v>65.006749200000002</v>
      </c>
      <c r="BO324" s="458">
        <f>+BO306*BM284/100</f>
        <v>0</v>
      </c>
      <c r="BP324" s="458">
        <f>+BP306*BO284/100</f>
        <v>0</v>
      </c>
      <c r="BQ324" s="458">
        <f>SUM(BO324:BP324)</f>
        <v>0</v>
      </c>
      <c r="BR324" s="458">
        <f>+BR306*BP284/100</f>
        <v>0</v>
      </c>
      <c r="BS324" s="458">
        <f>+BS306*BR284/100</f>
        <v>0</v>
      </c>
      <c r="BT324" s="458">
        <f>SUM(BR324:BS324)</f>
        <v>0</v>
      </c>
      <c r="BU324" s="458">
        <f>+BU306*BS284/100</f>
        <v>0</v>
      </c>
      <c r="BV324" s="458">
        <f>+BV306*BU284/100</f>
        <v>0</v>
      </c>
      <c r="BW324" s="458">
        <f>SUM(BU324:BV324)</f>
        <v>0</v>
      </c>
      <c r="BX324" s="458">
        <f>+BX306*BV284/100</f>
        <v>0</v>
      </c>
      <c r="BY324" s="458">
        <f>+BY306*BX284/100</f>
        <v>0</v>
      </c>
      <c r="BZ324" s="458">
        <f>SUM(BX324:BY324)</f>
        <v>0</v>
      </c>
      <c r="CA324" s="458">
        <f>+CA306*BY284/100</f>
        <v>0</v>
      </c>
      <c r="CB324" s="458">
        <f>+CB306*CA284/100</f>
        <v>0</v>
      </c>
      <c r="CC324" s="458">
        <f>SUM(CA324:CB324)</f>
        <v>0</v>
      </c>
    </row>
    <row r="325" spans="2:81">
      <c r="B325" s="257" t="s">
        <v>1</v>
      </c>
      <c r="AD325" s="458">
        <f>+AD323+AD324</f>
        <v>82.873280550000004</v>
      </c>
      <c r="AE325" s="458">
        <f>+AE323+AE324</f>
        <v>34.510916109999997</v>
      </c>
      <c r="AF325" s="458">
        <f>+AF323+AF324</f>
        <v>50.731597599999994</v>
      </c>
      <c r="AG325" s="458">
        <f>+AG323+AG324</f>
        <v>85.609570949999991</v>
      </c>
      <c r="AH325" s="458">
        <f>+AH323+AH324</f>
        <v>79.391601249999994</v>
      </c>
      <c r="AI325" s="458">
        <f t="shared" ref="AI325:BN325" si="305">+AI323+AI324</f>
        <v>73.04027314999999</v>
      </c>
      <c r="AJ325" s="458">
        <f t="shared" si="305"/>
        <v>152.4318744</v>
      </c>
      <c r="AK325" s="458">
        <f t="shared" si="305"/>
        <v>47.634960749999998</v>
      </c>
      <c r="AL325" s="458">
        <f t="shared" si="305"/>
        <v>57.265002899999992</v>
      </c>
      <c r="AM325" s="458">
        <f t="shared" si="305"/>
        <v>104.89996364999999</v>
      </c>
      <c r="AN325" s="458">
        <f t="shared" si="305"/>
        <v>47.720835749999999</v>
      </c>
      <c r="AO325" s="458">
        <f t="shared" si="305"/>
        <v>57.364873920000001</v>
      </c>
      <c r="AP325" s="458">
        <f t="shared" si="305"/>
        <v>105.08570967</v>
      </c>
      <c r="AQ325" s="458">
        <f t="shared" si="305"/>
        <v>47.804061599999997</v>
      </c>
      <c r="AR325" s="458">
        <f t="shared" si="305"/>
        <v>76.614802560000001</v>
      </c>
      <c r="AS325" s="458">
        <f t="shared" si="305"/>
        <v>124.41886416</v>
      </c>
      <c r="AT325" s="458">
        <f t="shared" si="305"/>
        <v>47.884251599999999</v>
      </c>
      <c r="AU325" s="458">
        <f t="shared" si="305"/>
        <v>60.850826900000001</v>
      </c>
      <c r="AV325" s="458">
        <f t="shared" si="305"/>
        <v>108.7350785</v>
      </c>
      <c r="AW325" s="458">
        <f t="shared" si="305"/>
        <v>76.614802559999987</v>
      </c>
      <c r="AX325" s="458">
        <f t="shared" si="305"/>
        <v>97.182862050000011</v>
      </c>
      <c r="AY325" s="458">
        <f t="shared" si="305"/>
        <v>173.79766461</v>
      </c>
      <c r="AZ325" s="458">
        <f t="shared" si="305"/>
        <v>81.085106124999996</v>
      </c>
      <c r="BA325" s="458">
        <f t="shared" si="305"/>
        <v>100.66462615500001</v>
      </c>
      <c r="BB325" s="458">
        <f t="shared" si="305"/>
        <v>181.74973227999999</v>
      </c>
      <c r="BC325" s="458">
        <f t="shared" si="305"/>
        <v>55.198649970000005</v>
      </c>
      <c r="BD325" s="458">
        <f t="shared" ref="BD325:BE325" si="306">+BD323+BD324</f>
        <v>104.00228448</v>
      </c>
      <c r="BE325" s="458">
        <f t="shared" si="306"/>
        <v>159.20093445000001</v>
      </c>
      <c r="BF325" s="458">
        <f t="shared" si="305"/>
        <v>84.508773959999999</v>
      </c>
      <c r="BG325" s="458">
        <f t="shared" si="305"/>
        <v>110.51147363999999</v>
      </c>
      <c r="BH325" s="458">
        <f t="shared" si="305"/>
        <v>195.0202476</v>
      </c>
      <c r="BI325" s="458">
        <f t="shared" si="305"/>
        <v>91.009448880000008</v>
      </c>
      <c r="BJ325" s="458">
        <f t="shared" si="305"/>
        <v>123.51282347999999</v>
      </c>
      <c r="BK325" s="458">
        <f t="shared" si="305"/>
        <v>214.52227235999999</v>
      </c>
      <c r="BL325" s="458">
        <f t="shared" si="305"/>
        <v>97.510123800000002</v>
      </c>
      <c r="BM325" s="458">
        <f t="shared" si="305"/>
        <v>123.51282347999999</v>
      </c>
      <c r="BN325" s="458">
        <f t="shared" si="305"/>
        <v>221.02294727999998</v>
      </c>
      <c r="BO325" s="458">
        <f>+BO323+BO324</f>
        <v>71.50742412000001</v>
      </c>
      <c r="BP325" s="458">
        <f>+BP323+BP324</f>
        <v>97.510123800000002</v>
      </c>
      <c r="BQ325" s="458">
        <f>+BQ323+BQ324</f>
        <v>169.01754792000003</v>
      </c>
      <c r="BR325" s="458">
        <f t="shared" ref="BR325:CC325" si="307">+BR323+BR324</f>
        <v>71.50742412000001</v>
      </c>
      <c r="BS325" s="458">
        <f t="shared" si="307"/>
        <v>104.01079872</v>
      </c>
      <c r="BT325" s="458">
        <f t="shared" si="307"/>
        <v>175.51822284000002</v>
      </c>
      <c r="BU325" s="458">
        <f t="shared" si="307"/>
        <v>78.008099039999991</v>
      </c>
      <c r="BV325" s="458">
        <f t="shared" si="307"/>
        <v>110.51147364000001</v>
      </c>
      <c r="BW325" s="458">
        <f t="shared" si="307"/>
        <v>188.51957268000001</v>
      </c>
      <c r="BX325" s="458">
        <f t="shared" si="307"/>
        <v>84.508773959999999</v>
      </c>
      <c r="BY325" s="458">
        <f t="shared" si="307"/>
        <v>117.01214856</v>
      </c>
      <c r="BZ325" s="458">
        <f t="shared" si="307"/>
        <v>201.52092252</v>
      </c>
      <c r="CA325" s="458">
        <f t="shared" si="307"/>
        <v>84.508773959999999</v>
      </c>
      <c r="CB325" s="458">
        <f t="shared" si="307"/>
        <v>117.01214856</v>
      </c>
      <c r="CC325" s="458">
        <f t="shared" si="307"/>
        <v>201.52092252</v>
      </c>
    </row>
    <row r="326" spans="2:81">
      <c r="B326" s="488" t="s">
        <v>313</v>
      </c>
      <c r="AD326" s="458"/>
      <c r="AE326" s="458"/>
      <c r="AF326" s="458"/>
      <c r="AG326" s="458"/>
      <c r="AH326" s="458"/>
      <c r="AI326" s="458"/>
      <c r="AJ326" s="458"/>
      <c r="AK326" s="458"/>
      <c r="AL326" s="458"/>
      <c r="AM326" s="458"/>
      <c r="AN326" s="458"/>
      <c r="AO326" s="458"/>
      <c r="AP326" s="458"/>
      <c r="AQ326" s="458"/>
      <c r="AR326" s="458"/>
      <c r="AS326" s="458"/>
      <c r="AT326" s="458"/>
      <c r="AU326" s="458"/>
      <c r="AV326" s="458"/>
      <c r="AW326" s="458"/>
      <c r="AX326" s="458"/>
      <c r="AY326" s="458"/>
      <c r="AZ326" s="458"/>
      <c r="BA326" s="458"/>
      <c r="BB326" s="458"/>
      <c r="BC326" s="458"/>
      <c r="BD326" s="458"/>
      <c r="BE326" s="458"/>
      <c r="BF326" s="458"/>
      <c r="BG326" s="458"/>
      <c r="BH326" s="458"/>
      <c r="BI326" s="458"/>
      <c r="BJ326" s="458"/>
      <c r="BK326" s="458"/>
      <c r="BL326" s="458"/>
      <c r="BM326" s="458"/>
      <c r="BN326" s="458"/>
      <c r="BO326" s="458"/>
      <c r="BP326" s="458"/>
      <c r="BQ326" s="458"/>
      <c r="BR326" s="458"/>
      <c r="BS326" s="458"/>
      <c r="BT326" s="458"/>
      <c r="BU326" s="458"/>
      <c r="BV326" s="458"/>
      <c r="BW326" s="458"/>
      <c r="BX326" s="458"/>
      <c r="BY326" s="458"/>
      <c r="BZ326" s="458"/>
      <c r="CA326" s="458"/>
      <c r="CB326" s="458"/>
      <c r="CC326" s="458"/>
    </row>
    <row r="327" spans="2:81">
      <c r="B327" s="257" t="s">
        <v>314</v>
      </c>
      <c r="AD327" s="458"/>
      <c r="AE327" s="458">
        <f>8.5*AD284/100</f>
        <v>46.961525644999995</v>
      </c>
      <c r="AF327" s="458">
        <f>AE325</f>
        <v>34.510916109999997</v>
      </c>
      <c r="AG327" s="458">
        <f>AF327+AE327</f>
        <v>81.472441754999991</v>
      </c>
      <c r="AH327" s="458">
        <f>AF325</f>
        <v>50.731597599999994</v>
      </c>
      <c r="AI327" s="458">
        <f>47.6+15.9</f>
        <v>63.5</v>
      </c>
      <c r="AJ327" s="458">
        <f>AI327+AH327</f>
        <v>114.23159759999999</v>
      </c>
      <c r="AK327" s="458">
        <f>AI325</f>
        <v>73.04027314999999</v>
      </c>
      <c r="AL327" s="458">
        <f>AK325</f>
        <v>47.634960749999998</v>
      </c>
      <c r="AM327" s="458">
        <f>AL327+AK327</f>
        <v>120.67523389999999</v>
      </c>
      <c r="AN327" s="458">
        <f>AL325</f>
        <v>57.265002899999992</v>
      </c>
      <c r="AO327" s="458">
        <f>AN325</f>
        <v>47.720835749999999</v>
      </c>
      <c r="AP327" s="458">
        <f>AO327+AN327</f>
        <v>104.98583864999999</v>
      </c>
      <c r="AQ327" s="458">
        <f>AO325</f>
        <v>57.364873920000001</v>
      </c>
      <c r="AR327" s="458">
        <f>AQ325</f>
        <v>47.804061599999997</v>
      </c>
      <c r="AS327" s="458">
        <f>AR327+AQ327</f>
        <v>105.16893551999999</v>
      </c>
      <c r="AT327" s="458">
        <f>AR325</f>
        <v>76.614802560000001</v>
      </c>
      <c r="AU327" s="458">
        <f>AT325</f>
        <v>47.884251599999999</v>
      </c>
      <c r="AV327" s="458">
        <f>AU327+AT327</f>
        <v>124.49905416</v>
      </c>
      <c r="AW327" s="458">
        <f>AU325</f>
        <v>60.850826900000001</v>
      </c>
      <c r="AX327" s="458">
        <f>AW325</f>
        <v>76.614802559999987</v>
      </c>
      <c r="AY327" s="458">
        <f>AX327+AW327</f>
        <v>137.46562946</v>
      </c>
      <c r="AZ327" s="458">
        <f>AX325</f>
        <v>97.182862050000011</v>
      </c>
      <c r="BA327" s="458">
        <f>AZ325</f>
        <v>81.085106124999996</v>
      </c>
      <c r="BB327" s="458">
        <f>BA327+AZ327</f>
        <v>178.26796817500002</v>
      </c>
      <c r="BC327" s="458">
        <f>BA325</f>
        <v>100.66462615500001</v>
      </c>
      <c r="BD327" s="458">
        <f>BC325</f>
        <v>55.198649970000005</v>
      </c>
      <c r="BE327" s="458">
        <f>BD327+BC327</f>
        <v>155.86327612500003</v>
      </c>
      <c r="BF327" s="458">
        <f>BD325</f>
        <v>104.00228448</v>
      </c>
      <c r="BG327" s="458">
        <f>BF325</f>
        <v>84.508773959999999</v>
      </c>
      <c r="BH327" s="458">
        <f>BG327+BF327</f>
        <v>188.51105844</v>
      </c>
      <c r="BI327" s="458">
        <f>BG325</f>
        <v>110.51147363999999</v>
      </c>
      <c r="BJ327" s="458">
        <f>BI325</f>
        <v>91.009448880000008</v>
      </c>
      <c r="BK327" s="458">
        <f>BJ327+BI327</f>
        <v>201.52092252</v>
      </c>
      <c r="BL327" s="458">
        <f>BJ325</f>
        <v>123.51282347999999</v>
      </c>
      <c r="BM327" s="458">
        <f>BL325</f>
        <v>97.510123800000002</v>
      </c>
      <c r="BN327" s="458">
        <f>BM327+BL327</f>
        <v>221.02294727999998</v>
      </c>
      <c r="BO327" s="458">
        <f>BM325</f>
        <v>123.51282347999999</v>
      </c>
      <c r="BP327" s="458">
        <f>BO325</f>
        <v>71.50742412000001</v>
      </c>
      <c r="BQ327" s="458">
        <f>BP327+BO327</f>
        <v>195.0202476</v>
      </c>
      <c r="BR327" s="458">
        <f>BP325</f>
        <v>97.510123800000002</v>
      </c>
      <c r="BS327" s="458">
        <f>BR325</f>
        <v>71.50742412000001</v>
      </c>
      <c r="BT327" s="458">
        <f>BS327+BR327</f>
        <v>169.01754792000003</v>
      </c>
      <c r="BU327" s="458">
        <f>BS325</f>
        <v>104.01079872</v>
      </c>
      <c r="BV327" s="458">
        <f>BU325</f>
        <v>78.008099039999991</v>
      </c>
      <c r="BW327" s="458">
        <f>BV327+BU327</f>
        <v>182.01889775999999</v>
      </c>
      <c r="BX327" s="458">
        <f>BV325</f>
        <v>110.51147364000001</v>
      </c>
      <c r="BY327" s="458">
        <f>BX325</f>
        <v>84.508773959999999</v>
      </c>
      <c r="BZ327" s="458">
        <f>BY327+BX327</f>
        <v>195.0202476</v>
      </c>
      <c r="CA327" s="458">
        <f>BY325</f>
        <v>117.01214856</v>
      </c>
      <c r="CB327" s="458">
        <f>CA325</f>
        <v>84.508773959999999</v>
      </c>
      <c r="CC327" s="458">
        <f>CB327+CA327</f>
        <v>201.52092252</v>
      </c>
    </row>
    <row r="328" spans="2:81">
      <c r="B328" s="257" t="s">
        <v>432</v>
      </c>
      <c r="AD328" s="458"/>
      <c r="AE328" s="458">
        <f>AE327-AE329</f>
        <v>17.861525644999993</v>
      </c>
      <c r="AF328" s="458">
        <f>AF327-AF329</f>
        <v>18.010916109999997</v>
      </c>
      <c r="AG328" s="458">
        <f>AG327-AG329</f>
        <v>35.87244175499999</v>
      </c>
      <c r="AH328" s="458">
        <f>AH327-AH329</f>
        <v>3.1597599999990678E-2</v>
      </c>
      <c r="AI328" s="151">
        <v>0</v>
      </c>
      <c r="AJ328" s="458">
        <f>AI328+AH328</f>
        <v>3.1597599999990678E-2</v>
      </c>
      <c r="AK328" s="151">
        <v>0</v>
      </c>
      <c r="AL328" s="151">
        <v>0</v>
      </c>
      <c r="AM328" s="458">
        <f>AL328+AK328</f>
        <v>0</v>
      </c>
      <c r="AN328" s="151">
        <v>0</v>
      </c>
      <c r="AO328" s="151">
        <v>0</v>
      </c>
      <c r="AP328" s="458">
        <f>AO328+AN328</f>
        <v>0</v>
      </c>
      <c r="AQ328" s="151">
        <v>0</v>
      </c>
      <c r="AR328" s="151">
        <v>0</v>
      </c>
      <c r="AS328" s="458">
        <f>AR328+AQ328</f>
        <v>0</v>
      </c>
      <c r="AT328" s="151">
        <v>0</v>
      </c>
      <c r="AU328" s="151">
        <v>0</v>
      </c>
      <c r="AV328" s="458">
        <f>AU328+AT328</f>
        <v>0</v>
      </c>
      <c r="AW328" s="151">
        <v>0</v>
      </c>
      <c r="AX328" s="151">
        <v>0</v>
      </c>
      <c r="AY328" s="458">
        <f>AX328+AW328</f>
        <v>0</v>
      </c>
      <c r="AZ328" s="151">
        <v>0</v>
      </c>
      <c r="BA328" s="151">
        <v>0</v>
      </c>
      <c r="BB328" s="458">
        <f>BA328+AZ328</f>
        <v>0</v>
      </c>
      <c r="BC328" s="151">
        <v>0</v>
      </c>
      <c r="BD328" s="151">
        <v>0</v>
      </c>
      <c r="BE328" s="458">
        <f>BD328+BC328</f>
        <v>0</v>
      </c>
      <c r="BF328" s="485">
        <v>0</v>
      </c>
      <c r="BG328" s="485">
        <v>0</v>
      </c>
      <c r="BH328" s="458">
        <f>BG328+BF328</f>
        <v>0</v>
      </c>
      <c r="BI328" s="485">
        <v>0</v>
      </c>
      <c r="BJ328" s="485">
        <v>0</v>
      </c>
      <c r="BK328" s="458">
        <f>BJ328+BI328</f>
        <v>0</v>
      </c>
      <c r="BL328" s="485">
        <v>0</v>
      </c>
      <c r="BM328" s="485">
        <v>0</v>
      </c>
      <c r="BN328" s="458">
        <f>BM328+BL328</f>
        <v>0</v>
      </c>
      <c r="BO328" s="485">
        <v>0</v>
      </c>
      <c r="BP328" s="485">
        <v>0</v>
      </c>
      <c r="BQ328" s="458">
        <f>BP328+BO328</f>
        <v>0</v>
      </c>
      <c r="BR328" s="485">
        <v>0</v>
      </c>
      <c r="BS328" s="485">
        <v>0</v>
      </c>
      <c r="BT328" s="458">
        <f>BS328+BR328</f>
        <v>0</v>
      </c>
      <c r="BU328" s="485">
        <v>0</v>
      </c>
      <c r="BV328" s="485">
        <v>0</v>
      </c>
      <c r="BW328" s="458">
        <f>BV328+BU328</f>
        <v>0</v>
      </c>
      <c r="BX328" s="485">
        <v>0</v>
      </c>
      <c r="BY328" s="485">
        <v>0</v>
      </c>
      <c r="BZ328" s="458">
        <f>BY328+BX328</f>
        <v>0</v>
      </c>
      <c r="CA328" s="485">
        <v>0</v>
      </c>
      <c r="CB328" s="485">
        <v>0</v>
      </c>
      <c r="CC328" s="458">
        <f>CB328+CA328</f>
        <v>0</v>
      </c>
    </row>
    <row r="329" spans="2:81">
      <c r="B329" s="257" t="s">
        <v>2</v>
      </c>
      <c r="AD329" s="458"/>
      <c r="AE329" s="458">
        <f>-AE142</f>
        <v>29.1</v>
      </c>
      <c r="AF329" s="458">
        <f>-AF142</f>
        <v>16.5</v>
      </c>
      <c r="AG329" s="458">
        <f>-AG142</f>
        <v>45.6</v>
      </c>
      <c r="AH329" s="458">
        <f>-AH142</f>
        <v>50.7</v>
      </c>
      <c r="AI329" s="458">
        <f t="shared" ref="AI329:BN329" si="308">AI327-AI328</f>
        <v>63.5</v>
      </c>
      <c r="AJ329" s="458">
        <f t="shared" si="308"/>
        <v>114.19999999999999</v>
      </c>
      <c r="AK329" s="458">
        <f t="shared" si="308"/>
        <v>73.04027314999999</v>
      </c>
      <c r="AL329" s="458">
        <f t="shared" si="308"/>
        <v>47.634960749999998</v>
      </c>
      <c r="AM329" s="458">
        <f t="shared" si="308"/>
        <v>120.67523389999999</v>
      </c>
      <c r="AN329" s="458">
        <f t="shared" si="308"/>
        <v>57.265002899999992</v>
      </c>
      <c r="AO329" s="458">
        <f t="shared" si="308"/>
        <v>47.720835749999999</v>
      </c>
      <c r="AP329" s="458">
        <f t="shared" si="308"/>
        <v>104.98583864999999</v>
      </c>
      <c r="AQ329" s="458">
        <f t="shared" si="308"/>
        <v>57.364873920000001</v>
      </c>
      <c r="AR329" s="458">
        <f t="shared" si="308"/>
        <v>47.804061599999997</v>
      </c>
      <c r="AS329" s="458">
        <f t="shared" si="308"/>
        <v>105.16893551999999</v>
      </c>
      <c r="AT329" s="458">
        <f t="shared" si="308"/>
        <v>76.614802560000001</v>
      </c>
      <c r="AU329" s="458">
        <f t="shared" si="308"/>
        <v>47.884251599999999</v>
      </c>
      <c r="AV329" s="458">
        <f t="shared" si="308"/>
        <v>124.49905416</v>
      </c>
      <c r="AW329" s="458">
        <f t="shared" si="308"/>
        <v>60.850826900000001</v>
      </c>
      <c r="AX329" s="458">
        <f t="shared" si="308"/>
        <v>76.614802559999987</v>
      </c>
      <c r="AY329" s="458">
        <f t="shared" si="308"/>
        <v>137.46562946</v>
      </c>
      <c r="AZ329" s="458">
        <f t="shared" si="308"/>
        <v>97.182862050000011</v>
      </c>
      <c r="BA329" s="458">
        <f t="shared" si="308"/>
        <v>81.085106124999996</v>
      </c>
      <c r="BB329" s="458">
        <f t="shared" si="308"/>
        <v>178.26796817500002</v>
      </c>
      <c r="BC329" s="458">
        <f t="shared" si="308"/>
        <v>100.66462615500001</v>
      </c>
      <c r="BD329" s="458">
        <f t="shared" si="308"/>
        <v>55.198649970000005</v>
      </c>
      <c r="BE329" s="458">
        <f t="shared" si="308"/>
        <v>155.86327612500003</v>
      </c>
      <c r="BF329" s="458">
        <f t="shared" si="308"/>
        <v>104.00228448</v>
      </c>
      <c r="BG329" s="458">
        <f t="shared" si="308"/>
        <v>84.508773959999999</v>
      </c>
      <c r="BH329" s="458">
        <f t="shared" si="308"/>
        <v>188.51105844</v>
      </c>
      <c r="BI329" s="458">
        <f t="shared" si="308"/>
        <v>110.51147363999999</v>
      </c>
      <c r="BJ329" s="458">
        <f t="shared" si="308"/>
        <v>91.009448880000008</v>
      </c>
      <c r="BK329" s="458">
        <f t="shared" si="308"/>
        <v>201.52092252</v>
      </c>
      <c r="BL329" s="458">
        <f t="shared" si="308"/>
        <v>123.51282347999999</v>
      </c>
      <c r="BM329" s="458">
        <f t="shared" si="308"/>
        <v>97.510123800000002</v>
      </c>
      <c r="BN329" s="458">
        <f t="shared" si="308"/>
        <v>221.02294727999998</v>
      </c>
      <c r="BO329" s="458">
        <f>BO327-BO328</f>
        <v>123.51282347999999</v>
      </c>
      <c r="BP329" s="458">
        <f>BP327-BP328</f>
        <v>71.50742412000001</v>
      </c>
      <c r="BQ329" s="458">
        <f>BQ327-BQ328</f>
        <v>195.0202476</v>
      </c>
      <c r="BR329" s="458">
        <f t="shared" ref="BR329:CC329" si="309">BR327-BR328</f>
        <v>97.510123800000002</v>
      </c>
      <c r="BS329" s="458">
        <f t="shared" si="309"/>
        <v>71.50742412000001</v>
      </c>
      <c r="BT329" s="458">
        <f t="shared" si="309"/>
        <v>169.01754792000003</v>
      </c>
      <c r="BU329" s="458">
        <f t="shared" si="309"/>
        <v>104.01079872</v>
      </c>
      <c r="BV329" s="458">
        <f t="shared" si="309"/>
        <v>78.008099039999991</v>
      </c>
      <c r="BW329" s="458">
        <f t="shared" si="309"/>
        <v>182.01889775999999</v>
      </c>
      <c r="BX329" s="458">
        <f t="shared" si="309"/>
        <v>110.51147364000001</v>
      </c>
      <c r="BY329" s="458">
        <f t="shared" si="309"/>
        <v>84.508773959999999</v>
      </c>
      <c r="BZ329" s="458">
        <f t="shared" si="309"/>
        <v>195.0202476</v>
      </c>
      <c r="CA329" s="458">
        <f t="shared" si="309"/>
        <v>117.01214856</v>
      </c>
      <c r="CB329" s="458">
        <f t="shared" si="309"/>
        <v>84.508773959999999</v>
      </c>
      <c r="CC329" s="458">
        <f t="shared" si="309"/>
        <v>201.52092252</v>
      </c>
    </row>
    <row r="333" spans="2:81">
      <c r="B333" s="11" t="s">
        <v>589</v>
      </c>
      <c r="C333" s="11"/>
      <c r="D333" s="11"/>
      <c r="E333" s="11"/>
      <c r="F333" s="11"/>
      <c r="G333" s="11"/>
      <c r="H333" s="11"/>
      <c r="I333" s="11"/>
      <c r="J333" s="11"/>
      <c r="K333" s="11"/>
      <c r="L333" s="11"/>
      <c r="M333" s="11"/>
      <c r="N333" s="11"/>
      <c r="O333" s="11"/>
      <c r="P333" s="11"/>
      <c r="Q333" s="11"/>
      <c r="R333" s="11"/>
      <c r="S333" s="11"/>
      <c r="T333" s="11"/>
      <c r="U333" s="11"/>
      <c r="V333" s="11"/>
      <c r="W333" s="11"/>
      <c r="X333" s="11"/>
      <c r="Y333" s="11"/>
      <c r="Z333" s="11"/>
      <c r="AA333" s="11"/>
      <c r="AB333" s="11"/>
      <c r="AC333" s="11"/>
      <c r="AD333" s="13">
        <f t="shared" ref="AD333:BI333" si="310">+AD123-AD334</f>
        <v>189.10000000000002</v>
      </c>
      <c r="AE333" s="13">
        <f t="shared" si="310"/>
        <v>71.300000000000011</v>
      </c>
      <c r="AF333" s="13">
        <f t="shared" si="310"/>
        <v>114.00000000000003</v>
      </c>
      <c r="AG333" s="13">
        <f t="shared" si="310"/>
        <v>185.3</v>
      </c>
      <c r="AH333" s="13">
        <f t="shared" si="310"/>
        <v>98.7</v>
      </c>
      <c r="AI333" s="13">
        <f t="shared" si="310"/>
        <v>117.6</v>
      </c>
      <c r="AJ333" s="13">
        <f t="shared" si="310"/>
        <v>216.29999999999995</v>
      </c>
      <c r="AK333" s="13">
        <f t="shared" si="310"/>
        <v>92.499999999999972</v>
      </c>
      <c r="AL333" s="13">
        <f t="shared" si="310"/>
        <v>130.9</v>
      </c>
      <c r="AM333" s="13">
        <f t="shared" si="310"/>
        <v>223.39999999999998</v>
      </c>
      <c r="AN333" s="13">
        <f t="shared" si="310"/>
        <v>98.5</v>
      </c>
      <c r="AO333" s="13">
        <f t="shared" si="310"/>
        <v>123.7</v>
      </c>
      <c r="AP333" s="13">
        <f t="shared" si="310"/>
        <v>222.20000000000005</v>
      </c>
      <c r="AQ333" s="13">
        <f t="shared" si="310"/>
        <v>90.500000000000014</v>
      </c>
      <c r="AR333" s="13">
        <f t="shared" si="310"/>
        <v>132.19999999999999</v>
      </c>
      <c r="AS333" s="13">
        <f t="shared" si="310"/>
        <v>222.7</v>
      </c>
      <c r="AT333" s="13">
        <f t="shared" si="310"/>
        <v>82.500000000000028</v>
      </c>
      <c r="AU333" s="13">
        <f t="shared" si="310"/>
        <v>168.89999999999992</v>
      </c>
      <c r="AV333" s="13">
        <f t="shared" si="310"/>
        <v>251.39999999999998</v>
      </c>
      <c r="AW333" s="13">
        <f t="shared" si="310"/>
        <v>116.89999999999998</v>
      </c>
      <c r="AX333" s="13">
        <f t="shared" si="310"/>
        <v>182.1</v>
      </c>
      <c r="AY333" s="13">
        <f t="shared" si="310"/>
        <v>298.99999999999994</v>
      </c>
      <c r="AZ333" s="13">
        <f t="shared" si="310"/>
        <v>111.30000000000001</v>
      </c>
      <c r="BA333" s="13">
        <f t="shared" si="310"/>
        <v>154.80000000000001</v>
      </c>
      <c r="BB333" s="13">
        <f t="shared" si="310"/>
        <v>266.09999999999991</v>
      </c>
      <c r="BC333" s="13">
        <f t="shared" si="310"/>
        <v>102.69999999999999</v>
      </c>
      <c r="BD333" s="13">
        <f t="shared" ref="BD333:BE333" si="311">+BD123-BD334</f>
        <v>180.20000000000007</v>
      </c>
      <c r="BE333" s="13">
        <f t="shared" si="311"/>
        <v>282.90000000000003</v>
      </c>
      <c r="BF333" s="13">
        <f t="shared" si="310"/>
        <v>109.16879801954632</v>
      </c>
      <c r="BG333" s="13">
        <f t="shared" si="310"/>
        <v>188.39366577770224</v>
      </c>
      <c r="BH333" s="13">
        <f t="shared" si="310"/>
        <v>297.56246379724854</v>
      </c>
      <c r="BI333" s="13">
        <f t="shared" si="310"/>
        <v>128.84743428252659</v>
      </c>
      <c r="BJ333" s="13">
        <f t="shared" ref="BJ333:CC333" si="312">+BJ123-BJ334</f>
        <v>190.28092570701239</v>
      </c>
      <c r="BK333" s="13">
        <f t="shared" si="312"/>
        <v>319.12835998953898</v>
      </c>
      <c r="BL333" s="13">
        <f t="shared" si="312"/>
        <v>136.05605343772618</v>
      </c>
      <c r="BM333" s="13">
        <f t="shared" si="312"/>
        <v>199.69321567943658</v>
      </c>
      <c r="BN333" s="13">
        <f t="shared" si="312"/>
        <v>335.74926911716273</v>
      </c>
      <c r="BO333" s="13">
        <f t="shared" si="312"/>
        <v>147.72944388094226</v>
      </c>
      <c r="BP333" s="13">
        <f t="shared" si="312"/>
        <v>206.48296883276987</v>
      </c>
      <c r="BQ333" s="13">
        <f t="shared" si="312"/>
        <v>354.21241271371218</v>
      </c>
      <c r="BR333" s="13">
        <f t="shared" si="312"/>
        <v>145.20177554438774</v>
      </c>
      <c r="BS333" s="13">
        <f t="shared" si="312"/>
        <v>217.30170416577499</v>
      </c>
      <c r="BT333" s="13">
        <f t="shared" si="312"/>
        <v>362.50347971016276</v>
      </c>
      <c r="BU333" s="13">
        <f t="shared" si="312"/>
        <v>157.60544992542697</v>
      </c>
      <c r="BV333" s="13">
        <f t="shared" si="312"/>
        <v>233.7998427734195</v>
      </c>
      <c r="BW333" s="13">
        <f t="shared" si="312"/>
        <v>391.40529269884644</v>
      </c>
      <c r="BX333" s="13">
        <f t="shared" si="312"/>
        <v>170.2863568672347</v>
      </c>
      <c r="BY333" s="13">
        <f t="shared" si="312"/>
        <v>237.60205761505244</v>
      </c>
      <c r="BZ333" s="13">
        <f t="shared" si="312"/>
        <v>407.88841448228715</v>
      </c>
      <c r="CA333" s="13">
        <f t="shared" si="312"/>
        <v>171.92608403435463</v>
      </c>
      <c r="CB333" s="13">
        <f t="shared" si="312"/>
        <v>241.49650381731641</v>
      </c>
      <c r="CC333" s="13">
        <f t="shared" si="312"/>
        <v>413.42258785167104</v>
      </c>
    </row>
    <row r="334" spans="2:81">
      <c r="B334" s="11" t="s">
        <v>577</v>
      </c>
      <c r="C334" s="11"/>
      <c r="D334" s="11"/>
      <c r="E334" s="11"/>
      <c r="F334" s="11"/>
      <c r="G334" s="11"/>
      <c r="H334" s="11"/>
      <c r="I334" s="11"/>
      <c r="J334" s="11"/>
      <c r="K334" s="11"/>
      <c r="L334" s="11"/>
      <c r="M334" s="11"/>
      <c r="N334" s="11"/>
      <c r="O334" s="11"/>
      <c r="P334" s="11"/>
      <c r="Q334" s="11"/>
      <c r="R334" s="11"/>
      <c r="S334" s="11"/>
      <c r="T334" s="11"/>
      <c r="U334" s="11"/>
      <c r="V334" s="11"/>
      <c r="W334" s="11"/>
      <c r="X334" s="11"/>
      <c r="Y334" s="11"/>
      <c r="Z334" s="11"/>
      <c r="AA334" s="11"/>
      <c r="AB334" s="11"/>
      <c r="AC334" s="11"/>
      <c r="AD334" s="532">
        <f t="shared" ref="AD334:BI334" si="313">+AD41</f>
        <v>56.8</v>
      </c>
      <c r="AE334" s="532">
        <f t="shared" si="313"/>
        <v>29.2</v>
      </c>
      <c r="AF334" s="532">
        <f t="shared" si="313"/>
        <v>27.6</v>
      </c>
      <c r="AG334" s="532">
        <f t="shared" si="313"/>
        <v>56.800000000000004</v>
      </c>
      <c r="AH334" s="532">
        <f t="shared" si="313"/>
        <v>26.7</v>
      </c>
      <c r="AI334" s="532">
        <f t="shared" si="313"/>
        <v>26.1</v>
      </c>
      <c r="AJ334" s="532">
        <f t="shared" si="313"/>
        <v>52.8</v>
      </c>
      <c r="AK334" s="532">
        <f t="shared" si="313"/>
        <v>26.9</v>
      </c>
      <c r="AL334" s="532">
        <f t="shared" si="313"/>
        <v>30.9</v>
      </c>
      <c r="AM334" s="532">
        <f t="shared" si="313"/>
        <v>57.8</v>
      </c>
      <c r="AN334" s="532">
        <f t="shared" si="313"/>
        <v>30.900000000000002</v>
      </c>
      <c r="AO334" s="532">
        <f t="shared" si="313"/>
        <v>34.299999999999997</v>
      </c>
      <c r="AP334" s="532">
        <f t="shared" si="313"/>
        <v>65.2</v>
      </c>
      <c r="AQ334" s="532">
        <f t="shared" si="313"/>
        <v>34.299999999999997</v>
      </c>
      <c r="AR334" s="532">
        <f t="shared" si="313"/>
        <v>36.4</v>
      </c>
      <c r="AS334" s="532">
        <f t="shared" si="313"/>
        <v>70.7</v>
      </c>
      <c r="AT334" s="532">
        <f t="shared" si="313"/>
        <v>34.699999999999996</v>
      </c>
      <c r="AU334" s="532">
        <f t="shared" si="313"/>
        <v>38.300000000000004</v>
      </c>
      <c r="AV334" s="532">
        <f t="shared" si="313"/>
        <v>73</v>
      </c>
      <c r="AW334" s="532">
        <f t="shared" si="313"/>
        <v>37.9</v>
      </c>
      <c r="AX334" s="532">
        <f t="shared" si="313"/>
        <v>39.9</v>
      </c>
      <c r="AY334" s="532">
        <f t="shared" si="313"/>
        <v>77.8</v>
      </c>
      <c r="AZ334" s="532">
        <f t="shared" si="313"/>
        <v>40.1</v>
      </c>
      <c r="BA334" s="532">
        <f t="shared" si="313"/>
        <v>38</v>
      </c>
      <c r="BB334" s="532">
        <f t="shared" si="313"/>
        <v>78.099999999999994</v>
      </c>
      <c r="BC334" s="532">
        <f t="shared" si="313"/>
        <v>41.5</v>
      </c>
      <c r="BD334" s="532">
        <f t="shared" ref="BD334:BE334" si="314">+BD41</f>
        <v>41.000000000000007</v>
      </c>
      <c r="BE334" s="532">
        <f t="shared" si="314"/>
        <v>82.5</v>
      </c>
      <c r="BF334" s="532">
        <f t="shared" si="313"/>
        <v>43.542500000000004</v>
      </c>
      <c r="BG334" s="532">
        <f t="shared" si="313"/>
        <v>43.317500000000003</v>
      </c>
      <c r="BH334" s="532">
        <f t="shared" si="313"/>
        <v>86.86</v>
      </c>
      <c r="BI334" s="532">
        <f t="shared" si="313"/>
        <v>45.306687500000002</v>
      </c>
      <c r="BJ334" s="532">
        <f t="shared" ref="BJ334:CC334" si="315">+BJ41</f>
        <v>44.206687500000001</v>
      </c>
      <c r="BK334" s="532">
        <f t="shared" si="315"/>
        <v>89.513374999999996</v>
      </c>
      <c r="BL334" s="532">
        <f t="shared" si="315"/>
        <v>46.218104687500002</v>
      </c>
      <c r="BM334" s="532">
        <f t="shared" si="315"/>
        <v>45.118104687500001</v>
      </c>
      <c r="BN334" s="532">
        <f t="shared" si="315"/>
        <v>91.336209374999996</v>
      </c>
      <c r="BO334" s="532">
        <f t="shared" si="315"/>
        <v>47.152307304687497</v>
      </c>
      <c r="BP334" s="532">
        <f t="shared" si="315"/>
        <v>46.052307304687496</v>
      </c>
      <c r="BQ334" s="532">
        <f t="shared" si="315"/>
        <v>93.204614609374985</v>
      </c>
      <c r="BR334" s="532">
        <f t="shared" si="315"/>
        <v>48.109864987304682</v>
      </c>
      <c r="BS334" s="532">
        <f t="shared" si="315"/>
        <v>47.009864987304681</v>
      </c>
      <c r="BT334" s="532">
        <f t="shared" si="315"/>
        <v>95.119729974609356</v>
      </c>
      <c r="BU334" s="532">
        <f t="shared" si="315"/>
        <v>49.091361611987296</v>
      </c>
      <c r="BV334" s="532">
        <f t="shared" si="315"/>
        <v>47.991361611987294</v>
      </c>
      <c r="BW334" s="532">
        <f t="shared" si="315"/>
        <v>97.082723223974583</v>
      </c>
      <c r="BX334" s="532">
        <f t="shared" si="315"/>
        <v>50.097395652286977</v>
      </c>
      <c r="BY334" s="532">
        <f t="shared" si="315"/>
        <v>48.997395652286976</v>
      </c>
      <c r="BZ334" s="532">
        <f t="shared" si="315"/>
        <v>99.094791304573945</v>
      </c>
      <c r="CA334" s="532">
        <f t="shared" si="315"/>
        <v>51.128580543594147</v>
      </c>
      <c r="CB334" s="532">
        <f t="shared" si="315"/>
        <v>50.028580543594146</v>
      </c>
      <c r="CC334" s="532">
        <f t="shared" si="315"/>
        <v>101.15716108718829</v>
      </c>
    </row>
    <row r="335" spans="2:81">
      <c r="B335" s="11" t="s">
        <v>570</v>
      </c>
      <c r="C335" s="11"/>
      <c r="D335" s="11"/>
      <c r="E335" s="11"/>
      <c r="F335" s="11"/>
      <c r="G335" s="11"/>
      <c r="H335" s="11"/>
      <c r="I335" s="11"/>
      <c r="J335" s="11"/>
      <c r="K335" s="11"/>
      <c r="L335" s="11"/>
      <c r="M335" s="11"/>
      <c r="N335" s="11"/>
      <c r="O335" s="11"/>
      <c r="P335" s="11"/>
      <c r="Q335" s="11"/>
      <c r="R335" s="11"/>
      <c r="S335" s="11"/>
      <c r="T335" s="11"/>
      <c r="U335" s="11"/>
      <c r="V335" s="11"/>
      <c r="W335" s="11"/>
      <c r="X335" s="11"/>
      <c r="Y335" s="11"/>
      <c r="Z335" s="11"/>
      <c r="AA335" s="11"/>
      <c r="AB335" s="11"/>
      <c r="AC335" s="11"/>
      <c r="AD335" s="538" t="s">
        <v>411</v>
      </c>
      <c r="AE335" s="538" t="s">
        <v>411</v>
      </c>
      <c r="AF335" s="538" t="s">
        <v>411</v>
      </c>
      <c r="AG335" s="538" t="s">
        <v>411</v>
      </c>
      <c r="AH335" s="538" t="s">
        <v>411</v>
      </c>
      <c r="AI335" s="538" t="s">
        <v>411</v>
      </c>
      <c r="AJ335" s="538" t="s">
        <v>411</v>
      </c>
      <c r="AK335" s="538" t="s">
        <v>411</v>
      </c>
      <c r="AL335" s="538" t="s">
        <v>411</v>
      </c>
      <c r="AM335" s="538" t="s">
        <v>411</v>
      </c>
      <c r="AN335" s="538" t="s">
        <v>411</v>
      </c>
      <c r="AO335" s="538" t="s">
        <v>411</v>
      </c>
      <c r="AP335" s="538" t="s">
        <v>411</v>
      </c>
      <c r="AQ335" s="538" t="s">
        <v>411</v>
      </c>
      <c r="AR335" s="538" t="s">
        <v>411</v>
      </c>
      <c r="AS335" s="538" t="s">
        <v>411</v>
      </c>
      <c r="AT335" s="538" t="s">
        <v>411</v>
      </c>
      <c r="AU335" s="538" t="s">
        <v>411</v>
      </c>
      <c r="AV335" s="538" t="s">
        <v>411</v>
      </c>
      <c r="AW335" s="538" t="s">
        <v>411</v>
      </c>
      <c r="AX335" s="538" t="s">
        <v>411</v>
      </c>
      <c r="AY335" s="538" t="s">
        <v>411</v>
      </c>
      <c r="AZ335" s="538" t="s">
        <v>411</v>
      </c>
      <c r="BA335" s="538" t="s">
        <v>411</v>
      </c>
      <c r="BB335" s="538" t="s">
        <v>411</v>
      </c>
      <c r="BC335" s="538" t="s">
        <v>411</v>
      </c>
      <c r="BD335" s="538" t="s">
        <v>411</v>
      </c>
      <c r="BE335" s="538" t="s">
        <v>411</v>
      </c>
      <c r="BF335" s="539" t="s">
        <v>411</v>
      </c>
      <c r="BG335" s="539" t="s">
        <v>411</v>
      </c>
      <c r="BH335" s="539" t="s">
        <v>411</v>
      </c>
      <c r="BI335" s="539" t="s">
        <v>411</v>
      </c>
      <c r="BJ335" s="539" t="s">
        <v>411</v>
      </c>
      <c r="BK335" s="539" t="s">
        <v>411</v>
      </c>
      <c r="BL335" s="539" t="s">
        <v>411</v>
      </c>
      <c r="BM335" s="539" t="s">
        <v>411</v>
      </c>
      <c r="BN335" s="539" t="s">
        <v>411</v>
      </c>
      <c r="BO335" s="539" t="s">
        <v>411</v>
      </c>
      <c r="BP335" s="539" t="s">
        <v>411</v>
      </c>
      <c r="BQ335" s="539" t="s">
        <v>411</v>
      </c>
      <c r="BR335" s="539" t="s">
        <v>411</v>
      </c>
      <c r="BS335" s="539" t="s">
        <v>411</v>
      </c>
      <c r="BT335" s="539" t="s">
        <v>411</v>
      </c>
      <c r="BU335" s="539" t="s">
        <v>411</v>
      </c>
      <c r="BV335" s="539" t="s">
        <v>411</v>
      </c>
      <c r="BW335" s="539" t="s">
        <v>411</v>
      </c>
      <c r="BX335" s="539" t="s">
        <v>411</v>
      </c>
      <c r="BY335" s="539" t="s">
        <v>411</v>
      </c>
      <c r="BZ335" s="539" t="s">
        <v>411</v>
      </c>
      <c r="CA335" s="539" t="s">
        <v>411</v>
      </c>
      <c r="CB335" s="539" t="s">
        <v>411</v>
      </c>
      <c r="CC335" s="539" t="s">
        <v>411</v>
      </c>
    </row>
    <row r="336" spans="2:81">
      <c r="B336" s="11"/>
      <c r="C336" s="11"/>
      <c r="D336" s="11"/>
      <c r="E336" s="11"/>
      <c r="F336" s="11"/>
      <c r="G336" s="11"/>
      <c r="H336" s="11"/>
      <c r="I336" s="11"/>
      <c r="J336" s="11"/>
      <c r="K336" s="11"/>
      <c r="L336" s="11"/>
      <c r="M336" s="11"/>
      <c r="N336" s="11"/>
      <c r="O336" s="11"/>
      <c r="P336" s="11"/>
      <c r="Q336" s="11"/>
      <c r="R336" s="11"/>
      <c r="S336" s="11"/>
      <c r="T336" s="11"/>
      <c r="U336" s="11"/>
      <c r="V336" s="11"/>
      <c r="W336" s="11"/>
      <c r="X336" s="11"/>
      <c r="Y336" s="11"/>
      <c r="Z336" s="11"/>
      <c r="AA336" s="11"/>
      <c r="AB336" s="11"/>
      <c r="AC336" s="11"/>
      <c r="AD336" s="11"/>
      <c r="AE336" s="11"/>
      <c r="AF336" s="11"/>
      <c r="AG336" s="11"/>
      <c r="AH336" s="11"/>
      <c r="AI336" s="11"/>
      <c r="AJ336" s="11"/>
      <c r="AK336" s="11"/>
      <c r="AL336" s="11"/>
      <c r="AM336" s="11"/>
      <c r="AN336" s="11"/>
      <c r="AO336" s="11"/>
      <c r="AP336" s="11"/>
      <c r="AQ336" s="11"/>
      <c r="AR336" s="11"/>
      <c r="AS336" s="11"/>
      <c r="AT336" s="11"/>
      <c r="AU336" s="11"/>
      <c r="AV336" s="11"/>
      <c r="AW336" s="11"/>
      <c r="AX336" s="11"/>
      <c r="AY336" s="11"/>
      <c r="AZ336" s="11"/>
      <c r="BA336" s="11"/>
      <c r="BB336" s="11"/>
      <c r="BC336" s="11"/>
      <c r="BD336" s="11"/>
      <c r="BE336" s="11"/>
      <c r="BF336" s="11"/>
      <c r="BG336" s="11"/>
      <c r="BH336" s="11"/>
      <c r="BI336" s="11"/>
      <c r="BJ336" s="11"/>
      <c r="BK336" s="11"/>
      <c r="BL336" s="11"/>
      <c r="BM336" s="11"/>
      <c r="BN336" s="11"/>
      <c r="BO336" s="11"/>
      <c r="BP336" s="11"/>
      <c r="BQ336" s="11"/>
      <c r="BR336" s="11"/>
      <c r="BS336" s="11"/>
      <c r="BT336" s="11"/>
      <c r="BU336" s="11"/>
      <c r="BV336" s="11"/>
      <c r="BW336" s="11"/>
      <c r="BX336" s="11"/>
      <c r="BY336" s="11"/>
      <c r="BZ336" s="11"/>
      <c r="CA336" s="11"/>
      <c r="CB336" s="11"/>
      <c r="CC336" s="11"/>
    </row>
    <row r="337" spans="2:81">
      <c r="B337" s="11"/>
      <c r="C337" s="11"/>
      <c r="D337" s="11"/>
      <c r="E337" s="11"/>
      <c r="F337" s="11"/>
      <c r="G337" s="11"/>
      <c r="H337" s="11"/>
      <c r="I337" s="11"/>
      <c r="J337" s="11"/>
      <c r="K337" s="11"/>
      <c r="L337" s="11"/>
      <c r="M337" s="11"/>
      <c r="N337" s="11"/>
      <c r="O337" s="11"/>
      <c r="P337" s="11"/>
      <c r="Q337" s="11"/>
      <c r="R337" s="11"/>
      <c r="S337" s="11"/>
      <c r="T337" s="11"/>
      <c r="U337" s="11"/>
      <c r="V337" s="11"/>
      <c r="W337" s="11"/>
      <c r="X337" s="11"/>
      <c r="Y337" s="11"/>
      <c r="Z337" s="11"/>
      <c r="AA337" s="11"/>
      <c r="AB337" s="11"/>
      <c r="AC337" s="11"/>
      <c r="AD337" s="11"/>
      <c r="AE337" s="11"/>
      <c r="AF337" s="11"/>
      <c r="AG337" s="11"/>
      <c r="AH337" s="11"/>
      <c r="AI337" s="11"/>
      <c r="AJ337" s="11"/>
      <c r="AK337" s="11"/>
      <c r="AL337" s="11"/>
      <c r="AM337" s="11"/>
      <c r="AN337" s="11"/>
      <c r="AO337" s="11"/>
      <c r="AP337" s="11"/>
      <c r="AQ337" s="11"/>
      <c r="AR337" s="11"/>
      <c r="AS337" s="11"/>
      <c r="AT337" s="11"/>
      <c r="AU337" s="11"/>
      <c r="AV337" s="11"/>
      <c r="AW337" s="11"/>
      <c r="AX337" s="11"/>
      <c r="AY337" s="11"/>
      <c r="AZ337" s="11"/>
      <c r="BA337" s="11"/>
      <c r="BB337" s="11"/>
      <c r="BC337" s="11"/>
      <c r="BD337" s="11"/>
      <c r="BE337" s="11"/>
      <c r="BF337" s="11"/>
      <c r="BG337" s="11"/>
      <c r="BH337" s="11"/>
      <c r="BI337" s="11"/>
      <c r="BJ337" s="11"/>
      <c r="BK337" s="11"/>
      <c r="BL337" s="11"/>
      <c r="BM337" s="11"/>
      <c r="BN337" s="11"/>
      <c r="BO337" s="11"/>
      <c r="BP337" s="11"/>
      <c r="BQ337" s="11"/>
      <c r="BR337" s="11"/>
      <c r="BS337" s="11"/>
      <c r="BT337" s="11"/>
      <c r="BU337" s="11"/>
      <c r="BV337" s="11"/>
      <c r="BW337" s="11"/>
      <c r="BX337" s="11"/>
      <c r="BY337" s="11"/>
      <c r="BZ337" s="11"/>
      <c r="CA337" s="11"/>
      <c r="CB337" s="11"/>
      <c r="CC337" s="11"/>
    </row>
    <row r="338" spans="2:81">
      <c r="B338" s="11"/>
      <c r="C338" s="11"/>
      <c r="D338" s="11"/>
      <c r="E338" s="11"/>
      <c r="F338" s="11"/>
      <c r="G338" s="11"/>
      <c r="H338" s="11"/>
      <c r="I338" s="11"/>
      <c r="J338" s="11"/>
      <c r="K338" s="11"/>
      <c r="L338" s="11"/>
      <c r="M338" s="11"/>
      <c r="N338" s="11"/>
      <c r="O338" s="11"/>
      <c r="P338" s="11"/>
      <c r="Q338" s="11"/>
      <c r="R338" s="11"/>
      <c r="S338" s="11"/>
      <c r="T338" s="11"/>
      <c r="U338" s="11"/>
      <c r="V338" s="11"/>
      <c r="W338" s="11"/>
      <c r="X338" s="11"/>
      <c r="Y338" s="11"/>
      <c r="Z338" s="11"/>
      <c r="AA338" s="11"/>
      <c r="AB338" s="11"/>
      <c r="AC338" s="11"/>
      <c r="AD338" s="11"/>
      <c r="AE338" s="11"/>
      <c r="AF338" s="11"/>
      <c r="AG338" s="11"/>
      <c r="AH338" s="11"/>
      <c r="AI338" s="11"/>
      <c r="AJ338" s="11"/>
      <c r="AK338" s="11"/>
      <c r="AL338" s="11"/>
      <c r="AM338" s="11"/>
      <c r="AN338" s="11"/>
      <c r="AO338" s="11"/>
      <c r="AP338" s="11"/>
      <c r="AQ338" s="11"/>
      <c r="AR338" s="11"/>
      <c r="AS338" s="11"/>
      <c r="AT338" s="11"/>
      <c r="AU338" s="11"/>
      <c r="AV338" s="11"/>
      <c r="AW338" s="11"/>
      <c r="AX338" s="11"/>
      <c r="AY338" s="11"/>
      <c r="AZ338" s="11"/>
      <c r="BA338" s="11"/>
      <c r="BB338" s="11"/>
      <c r="BC338" s="11"/>
      <c r="BD338" s="11"/>
      <c r="BE338" s="11"/>
      <c r="BF338" s="11"/>
      <c r="BG338" s="11"/>
      <c r="BH338" s="11"/>
      <c r="BI338" s="11"/>
      <c r="BJ338" s="11"/>
      <c r="BK338" s="11"/>
      <c r="BL338" s="11"/>
      <c r="BM338" s="11"/>
      <c r="BN338" s="11"/>
      <c r="BO338" s="11"/>
      <c r="BP338" s="11"/>
      <c r="BQ338" s="11"/>
      <c r="BR338" s="11"/>
      <c r="BS338" s="11"/>
      <c r="BT338" s="11"/>
      <c r="BU338" s="11"/>
      <c r="BV338" s="11"/>
      <c r="BW338" s="11"/>
      <c r="BX338" s="11"/>
      <c r="BY338" s="11"/>
      <c r="BZ338" s="11"/>
      <c r="CA338" s="11"/>
      <c r="CB338" s="11"/>
      <c r="CC338" s="11"/>
    </row>
    <row r="339" spans="2:81">
      <c r="B339" s="7" t="s">
        <v>571</v>
      </c>
      <c r="C339" s="11"/>
      <c r="D339" s="11"/>
      <c r="E339" s="11"/>
      <c r="F339" s="11"/>
      <c r="G339" s="11"/>
      <c r="H339" s="11"/>
      <c r="I339" s="11"/>
      <c r="J339" s="11"/>
      <c r="K339" s="11"/>
      <c r="L339" s="11"/>
      <c r="M339" s="11"/>
      <c r="N339" s="11"/>
      <c r="O339" s="11"/>
      <c r="P339" s="11"/>
      <c r="Q339" s="11"/>
      <c r="R339" s="11"/>
      <c r="S339" s="11"/>
      <c r="T339" s="11"/>
      <c r="U339" s="11"/>
      <c r="V339" s="11"/>
      <c r="W339" s="11"/>
      <c r="X339" s="11"/>
      <c r="Y339" s="11"/>
      <c r="Z339" s="11"/>
      <c r="AA339" s="11"/>
      <c r="AB339" s="11"/>
      <c r="AC339" s="11"/>
      <c r="AD339" s="11"/>
      <c r="AE339" s="11"/>
      <c r="AF339" s="11"/>
      <c r="AG339" s="11"/>
      <c r="AH339" s="11"/>
      <c r="AI339" s="11"/>
      <c r="AJ339" s="11"/>
      <c r="AK339" s="11"/>
      <c r="AL339" s="11"/>
      <c r="AM339" s="11"/>
      <c r="AN339" s="11"/>
      <c r="AO339" s="11"/>
      <c r="AP339" s="11"/>
      <c r="AQ339" s="11"/>
      <c r="AR339" s="11"/>
      <c r="AS339" s="11"/>
      <c r="AT339" s="11"/>
      <c r="AU339" s="11"/>
      <c r="AV339" s="11"/>
      <c r="AW339" s="11"/>
      <c r="AX339" s="11"/>
      <c r="AY339" s="11"/>
      <c r="AZ339" s="11"/>
      <c r="BA339" s="11"/>
      <c r="BB339" s="11"/>
      <c r="BC339" s="11"/>
      <c r="BD339" s="11"/>
      <c r="BE339" s="11"/>
      <c r="BF339" s="11"/>
      <c r="BG339" s="11"/>
      <c r="BH339" s="11"/>
      <c r="BI339" s="11"/>
      <c r="BJ339" s="11"/>
      <c r="BK339" s="11"/>
      <c r="BL339" s="11"/>
      <c r="BM339" s="11"/>
      <c r="BN339" s="11"/>
      <c r="BO339" s="11"/>
      <c r="BP339" s="11"/>
      <c r="BQ339" s="11"/>
      <c r="BR339" s="11"/>
      <c r="BS339" s="11"/>
      <c r="BT339" s="11"/>
      <c r="BU339" s="11"/>
      <c r="BV339" s="11"/>
      <c r="BW339" s="11"/>
      <c r="BX339" s="11"/>
      <c r="BY339" s="11"/>
      <c r="BZ339" s="11"/>
      <c r="CA339" s="11"/>
      <c r="CB339" s="11"/>
      <c r="CC339" s="11"/>
    </row>
    <row r="340" spans="2:81">
      <c r="B340" s="11"/>
      <c r="C340" s="11"/>
      <c r="D340" s="11"/>
      <c r="E340" s="11"/>
      <c r="F340" s="11"/>
      <c r="G340" s="11"/>
      <c r="H340" s="11"/>
      <c r="I340" s="11"/>
      <c r="J340" s="11"/>
      <c r="K340" s="11"/>
      <c r="L340" s="11"/>
      <c r="M340" s="11"/>
      <c r="N340" s="11"/>
      <c r="O340" s="11"/>
      <c r="P340" s="11"/>
      <c r="Q340" s="11"/>
      <c r="R340" s="11"/>
      <c r="S340" s="11"/>
      <c r="T340" s="11"/>
      <c r="U340" s="11"/>
      <c r="V340" s="11"/>
      <c r="W340" s="11"/>
      <c r="X340" s="11"/>
      <c r="Y340" s="11"/>
      <c r="Z340" s="11"/>
      <c r="AA340" s="11"/>
      <c r="AB340" s="11"/>
      <c r="AC340" s="11"/>
      <c r="AD340" s="11"/>
      <c r="AE340" s="11"/>
      <c r="AF340" s="11"/>
      <c r="AG340" s="11"/>
      <c r="AH340" s="11"/>
      <c r="AI340" s="11"/>
      <c r="AJ340" s="11"/>
      <c r="AK340" s="11"/>
      <c r="AL340" s="11"/>
      <c r="AM340" s="11"/>
      <c r="AN340" s="11"/>
      <c r="AO340" s="11"/>
      <c r="AP340" s="11"/>
      <c r="AQ340" s="11"/>
      <c r="AR340" s="11"/>
      <c r="AS340" s="11"/>
      <c r="AT340" s="11"/>
      <c r="AU340" s="11"/>
      <c r="AV340" s="11"/>
      <c r="AW340" s="11"/>
      <c r="AX340" s="11"/>
      <c r="AY340" s="11"/>
      <c r="AZ340" s="11"/>
      <c r="BA340" s="11"/>
      <c r="BB340" s="11"/>
      <c r="BC340" s="11"/>
      <c r="BD340" s="11"/>
      <c r="BE340" s="11"/>
      <c r="BF340" s="11"/>
      <c r="BG340" s="11"/>
      <c r="BH340" s="11"/>
      <c r="BI340" s="11"/>
      <c r="BJ340" s="11"/>
      <c r="BK340" s="11"/>
      <c r="BL340" s="11"/>
      <c r="BM340" s="11"/>
      <c r="BN340" s="11"/>
      <c r="BO340" s="11"/>
      <c r="BP340" s="11"/>
      <c r="BQ340" s="11"/>
      <c r="BR340" s="11"/>
      <c r="BS340" s="11"/>
      <c r="BT340" s="11"/>
      <c r="BU340" s="11"/>
      <c r="BV340" s="11"/>
      <c r="BW340" s="11"/>
      <c r="BX340" s="11"/>
      <c r="BY340" s="11"/>
      <c r="BZ340" s="11"/>
      <c r="CA340" s="11"/>
      <c r="CB340" s="11"/>
      <c r="CC340" s="11"/>
    </row>
    <row r="341" spans="2:81">
      <c r="B341" s="7" t="s">
        <v>572</v>
      </c>
      <c r="C341" s="11"/>
      <c r="D341" s="11"/>
      <c r="E341" s="11"/>
      <c r="F341" s="11"/>
      <c r="G341" s="11"/>
      <c r="H341" s="11"/>
      <c r="I341" s="11"/>
      <c r="J341" s="11"/>
      <c r="K341" s="11"/>
      <c r="L341" s="11"/>
      <c r="M341" s="11"/>
      <c r="N341" s="11"/>
      <c r="O341" s="11"/>
      <c r="P341" s="11"/>
      <c r="Q341" s="11"/>
      <c r="R341" s="11"/>
      <c r="S341" s="11"/>
      <c r="T341" s="11"/>
      <c r="U341" s="11"/>
      <c r="V341" s="11"/>
      <c r="W341" s="11"/>
      <c r="X341" s="11"/>
      <c r="Y341" s="11"/>
      <c r="Z341" s="11"/>
      <c r="AA341" s="11"/>
      <c r="AB341" s="11"/>
      <c r="AC341" s="11"/>
      <c r="AD341" s="13">
        <f>+AA346</f>
        <v>0</v>
      </c>
      <c r="AE341" s="13">
        <f>+AD346</f>
        <v>698.9</v>
      </c>
      <c r="AF341" s="13">
        <f>+AE346</f>
        <v>829.5</v>
      </c>
      <c r="AG341" s="13">
        <f>+AD346</f>
        <v>698.9</v>
      </c>
      <c r="AH341" s="13">
        <f>+AG346</f>
        <v>893.9</v>
      </c>
      <c r="AI341" s="13">
        <f>+AH346</f>
        <v>909.49999999999989</v>
      </c>
      <c r="AJ341" s="13">
        <f>+AG346</f>
        <v>893.9</v>
      </c>
      <c r="AK341" s="13">
        <f>+AJ346</f>
        <v>931.29999999999973</v>
      </c>
      <c r="AL341" s="13">
        <f>+AK346</f>
        <v>920.09999999999991</v>
      </c>
      <c r="AM341" s="13">
        <f>+AJ346</f>
        <v>931.29999999999973</v>
      </c>
      <c r="AN341" s="13">
        <f>+AM346</f>
        <v>952.19999999999993</v>
      </c>
      <c r="AO341" s="13">
        <f>+AN346</f>
        <v>964.3</v>
      </c>
      <c r="AP341" s="13">
        <f>+AM346</f>
        <v>952.19999999999993</v>
      </c>
      <c r="AQ341" s="13">
        <f>+AP346</f>
        <v>1003.0999999999998</v>
      </c>
      <c r="AR341" s="13">
        <f>+AQ346</f>
        <v>1012.8999999999997</v>
      </c>
      <c r="AS341" s="13">
        <f>+AP346</f>
        <v>1003.0999999999998</v>
      </c>
      <c r="AT341" s="13">
        <f>+AS346</f>
        <v>1058.9999999999998</v>
      </c>
      <c r="AU341" s="13">
        <f>+AT346</f>
        <v>1034</v>
      </c>
      <c r="AV341" s="13">
        <f>+AS346</f>
        <v>1058.9999999999998</v>
      </c>
      <c r="AW341" s="13">
        <f>+AV346</f>
        <v>1133.9999999999998</v>
      </c>
      <c r="AX341" s="13">
        <f>+AW346</f>
        <v>1159.9999999999998</v>
      </c>
      <c r="AY341" s="13">
        <f>+AV346</f>
        <v>1133.9999999999998</v>
      </c>
      <c r="AZ341" s="13">
        <f>+AY346</f>
        <v>1204.6999999999996</v>
      </c>
      <c r="BA341" s="13">
        <f>+AZ346</f>
        <v>1184.9999999999995</v>
      </c>
      <c r="BB341" s="13">
        <f>+AY346</f>
        <v>1204.6999999999996</v>
      </c>
      <c r="BC341" s="13">
        <f>+BB346</f>
        <v>1217.5999999999997</v>
      </c>
      <c r="BD341" s="13">
        <f>+BC346</f>
        <v>1185.3999999999996</v>
      </c>
      <c r="BE341" s="13">
        <f>+BB346</f>
        <v>1217.5999999999997</v>
      </c>
      <c r="BF341" s="13">
        <f>+BE346</f>
        <v>1245.5999999999997</v>
      </c>
      <c r="BG341" s="13">
        <f>+BF346</f>
        <v>1218.7013748766931</v>
      </c>
      <c r="BH341" s="13">
        <f>+BE346</f>
        <v>1245.5999999999997</v>
      </c>
      <c r="BI341" s="13">
        <f>+BH346</f>
        <v>1267.8257791881629</v>
      </c>
      <c r="BJ341" s="13">
        <f>+BI346</f>
        <v>1249.1178559131445</v>
      </c>
      <c r="BK341" s="13">
        <f>+BH346</f>
        <v>1267.8257791881629</v>
      </c>
      <c r="BL341" s="13">
        <f>+BK346</f>
        <v>1293.1126246905483</v>
      </c>
      <c r="BM341" s="13">
        <f>+BL346</f>
        <v>1267.1659034558947</v>
      </c>
      <c r="BN341" s="13">
        <f>+BK346</f>
        <v>1293.1126246905483</v>
      </c>
      <c r="BO341" s="13">
        <f>+BN346</f>
        <v>1311.825602497008</v>
      </c>
      <c r="BP341" s="13">
        <f>+BO346</f>
        <v>1294.8098185381143</v>
      </c>
      <c r="BQ341" s="13">
        <f>+BN346</f>
        <v>1311.825602497008</v>
      </c>
      <c r="BR341" s="13">
        <f>+BQ346</f>
        <v>1370.7747704483618</v>
      </c>
      <c r="BS341" s="13">
        <f>+BR346</f>
        <v>1378.6370310960599</v>
      </c>
      <c r="BT341" s="13">
        <f>+BQ346</f>
        <v>1370.7747704483618</v>
      </c>
      <c r="BU341" s="13">
        <f>+BT346</f>
        <v>1463.5657847661535</v>
      </c>
      <c r="BV341" s="13">
        <f>+BU346</f>
        <v>1475.1957142018648</v>
      </c>
      <c r="BW341" s="13">
        <f>+BT346</f>
        <v>1463.5657847661535</v>
      </c>
      <c r="BX341" s="13">
        <f>+BW346</f>
        <v>1566.7639153315097</v>
      </c>
      <c r="BY341" s="13">
        <f>+BX346</f>
        <v>1582.4490609255097</v>
      </c>
      <c r="BZ341" s="13">
        <f>+BW346</f>
        <v>1566.7639153315097</v>
      </c>
      <c r="CA341" s="13">
        <f>+BZ346</f>
        <v>1671.5076000198512</v>
      </c>
      <c r="CB341" s="13">
        <f>+CA346</f>
        <v>1683.4956253394084</v>
      </c>
      <c r="CC341" s="13">
        <f>+BZ346</f>
        <v>1671.5076000198512</v>
      </c>
    </row>
    <row r="342" spans="2:81">
      <c r="B342" s="11" t="s">
        <v>573</v>
      </c>
      <c r="C342" s="11"/>
      <c r="D342" s="11"/>
      <c r="E342" s="11"/>
      <c r="F342" s="11"/>
      <c r="G342" s="11"/>
      <c r="H342" s="11"/>
      <c r="I342" s="11"/>
      <c r="J342" s="11"/>
      <c r="K342" s="11"/>
      <c r="L342" s="11"/>
      <c r="M342" s="11"/>
      <c r="N342" s="11"/>
      <c r="O342" s="11"/>
      <c r="P342" s="11"/>
      <c r="Q342" s="11"/>
      <c r="R342" s="11"/>
      <c r="S342" s="11"/>
      <c r="T342" s="11"/>
      <c r="U342" s="11"/>
      <c r="V342" s="11"/>
      <c r="W342" s="11"/>
      <c r="X342" s="11"/>
      <c r="Y342" s="11"/>
      <c r="Z342" s="11"/>
      <c r="AA342" s="11"/>
      <c r="AB342" s="11"/>
      <c r="AC342" s="11"/>
      <c r="AD342" s="13">
        <f>+AD239-AA239</f>
        <v>540.4</v>
      </c>
      <c r="AE342" s="13">
        <f>+AE239-AB239</f>
        <v>671.6</v>
      </c>
      <c r="AF342" s="13">
        <f>+AF239-AE239</f>
        <v>18.799999999999955</v>
      </c>
      <c r="AG342" s="13">
        <f>+AG239-AD239</f>
        <v>150</v>
      </c>
      <c r="AH342" s="13">
        <f>+AH239-AG239</f>
        <v>0.10000000000002274</v>
      </c>
      <c r="AI342" s="13">
        <f>+AI239-AH239</f>
        <v>2.1999999999999318</v>
      </c>
      <c r="AJ342" s="13">
        <f>+AJ239-AG239</f>
        <v>2.2999999999999545</v>
      </c>
      <c r="AK342" s="13">
        <f>+AK239-AJ239</f>
        <v>1.7000000000000455</v>
      </c>
      <c r="AL342" s="13">
        <f>+AL239-AK239</f>
        <v>0.20000000000004547</v>
      </c>
      <c r="AM342" s="13">
        <f>+AM239-AJ239</f>
        <v>1.9000000000000909</v>
      </c>
      <c r="AN342" s="13">
        <f>+AN239-AM239</f>
        <v>2</v>
      </c>
      <c r="AO342" s="13">
        <f>+AO239-AN239</f>
        <v>0</v>
      </c>
      <c r="AP342" s="13">
        <f>+AP239-AM239</f>
        <v>2</v>
      </c>
      <c r="AQ342" s="13">
        <f>+AQ239-AP239</f>
        <v>1.7999999999999545</v>
      </c>
      <c r="AR342" s="13">
        <f>+AR239-AQ239</f>
        <v>0.70000000000004547</v>
      </c>
      <c r="AS342" s="13">
        <f>+AS239-AP239</f>
        <v>2.5</v>
      </c>
      <c r="AT342" s="13">
        <f>+AT239-AS239</f>
        <v>4.1999999999999318</v>
      </c>
      <c r="AU342" s="13">
        <f>+AU239-AT239</f>
        <v>24.600000000000023</v>
      </c>
      <c r="AV342" s="13">
        <f>+AV239-AS239</f>
        <v>28.799999999999955</v>
      </c>
      <c r="AW342" s="13">
        <f>+AW239-AV239</f>
        <v>1.2000000000000455</v>
      </c>
      <c r="AX342" s="13">
        <f>+AX239-AW239</f>
        <v>0.10000000000002274</v>
      </c>
      <c r="AY342" s="13">
        <f>+AY239-AV239</f>
        <v>1.3000000000000682</v>
      </c>
      <c r="AZ342" s="13">
        <f>+AZ239-AY239</f>
        <v>1.0999999999999091</v>
      </c>
      <c r="BA342" s="13">
        <f>+BA239-AZ239</f>
        <v>1.1000000000000227</v>
      </c>
      <c r="BB342" s="13">
        <f>+BB239-AY239</f>
        <v>2.1999999999999318</v>
      </c>
      <c r="BC342" s="13">
        <f>+BC239-BB239</f>
        <v>0.89999999999997726</v>
      </c>
      <c r="BD342" s="13">
        <f>+BD239-BC239</f>
        <v>0.80000000000006821</v>
      </c>
      <c r="BE342" s="13">
        <f>+BE239-BB239</f>
        <v>1.7000000000000455</v>
      </c>
      <c r="BF342" s="13">
        <f>+BF239-BE239</f>
        <v>0</v>
      </c>
      <c r="BG342" s="13">
        <f>+BG239-BF239</f>
        <v>0</v>
      </c>
      <c r="BH342" s="13">
        <f>+BH239-BE239</f>
        <v>0</v>
      </c>
      <c r="BI342" s="13">
        <f>+BI239-BH239</f>
        <v>0</v>
      </c>
      <c r="BJ342" s="13">
        <f>+BJ239-BI239</f>
        <v>0</v>
      </c>
      <c r="BK342" s="13">
        <f>+BK239-BH239</f>
        <v>0</v>
      </c>
      <c r="BL342" s="13">
        <f>+BL239-BK239</f>
        <v>0</v>
      </c>
      <c r="BM342" s="13">
        <f>+BM239-BL239</f>
        <v>0</v>
      </c>
      <c r="BN342" s="13">
        <f>+BN239-BK239</f>
        <v>0</v>
      </c>
      <c r="BO342" s="13">
        <f>+BO239-BN239</f>
        <v>0</v>
      </c>
      <c r="BP342" s="13">
        <f>+BP239-BO239</f>
        <v>0</v>
      </c>
      <c r="BQ342" s="13">
        <f>+BQ239-BN239</f>
        <v>0</v>
      </c>
      <c r="BR342" s="13">
        <f>+BR239-BQ239</f>
        <v>0</v>
      </c>
      <c r="BS342" s="13">
        <f>+BS239-BR239</f>
        <v>0</v>
      </c>
      <c r="BT342" s="13">
        <f>+BT239-BQ239</f>
        <v>0</v>
      </c>
      <c r="BU342" s="13">
        <f>+BU239-BT239</f>
        <v>0</v>
      </c>
      <c r="BV342" s="13">
        <f>+BV239-BU239</f>
        <v>0</v>
      </c>
      <c r="BW342" s="13">
        <f>+BW239-BT239</f>
        <v>0</v>
      </c>
      <c r="BX342" s="13">
        <f>+BX239-BW239</f>
        <v>0</v>
      </c>
      <c r="BY342" s="13">
        <f>+BY239-BX239</f>
        <v>0</v>
      </c>
      <c r="BZ342" s="13">
        <f>+BZ239-BW239</f>
        <v>0</v>
      </c>
      <c r="CA342" s="13">
        <f>+CA239-BZ239</f>
        <v>0</v>
      </c>
      <c r="CB342" s="13">
        <f>+CB239-CA239</f>
        <v>0</v>
      </c>
      <c r="CC342" s="13">
        <f>+CC239-BZ239</f>
        <v>0</v>
      </c>
    </row>
    <row r="343" spans="2:81">
      <c r="B343" s="11" t="s">
        <v>574</v>
      </c>
      <c r="C343" s="11"/>
      <c r="D343" s="11"/>
      <c r="E343" s="11"/>
      <c r="F343" s="11"/>
      <c r="G343" s="11"/>
      <c r="H343" s="11"/>
      <c r="I343" s="11"/>
      <c r="J343" s="11"/>
      <c r="K343" s="11"/>
      <c r="L343" s="11"/>
      <c r="M343" s="11"/>
      <c r="N343" s="11"/>
      <c r="O343" s="11"/>
      <c r="P343" s="11"/>
      <c r="Q343" s="11"/>
      <c r="R343" s="11"/>
      <c r="S343" s="11"/>
      <c r="T343" s="11"/>
      <c r="U343" s="11"/>
      <c r="V343" s="11"/>
      <c r="W343" s="11"/>
      <c r="X343" s="11"/>
      <c r="Y343" s="11"/>
      <c r="Z343" s="11"/>
      <c r="AA343" s="11"/>
      <c r="AB343" s="11"/>
      <c r="AC343" s="11"/>
      <c r="AD343" s="13">
        <f t="shared" ref="AD343:BI343" si="316">+AD81</f>
        <v>120.80000000000001</v>
      </c>
      <c r="AE343" s="13">
        <f t="shared" si="316"/>
        <v>43.900000000000013</v>
      </c>
      <c r="AF343" s="13">
        <f t="shared" si="316"/>
        <v>79.200000000000017</v>
      </c>
      <c r="AG343" s="13">
        <f t="shared" si="316"/>
        <v>123.10000000000002</v>
      </c>
      <c r="AH343" s="13">
        <f t="shared" si="316"/>
        <v>68.800000000000011</v>
      </c>
      <c r="AI343" s="13">
        <f t="shared" si="316"/>
        <v>82.699999999999974</v>
      </c>
      <c r="AJ343" s="13">
        <f t="shared" si="316"/>
        <v>151.49999999999997</v>
      </c>
      <c r="AK343" s="13">
        <f t="shared" si="316"/>
        <v>61.499999999999986</v>
      </c>
      <c r="AL343" s="13">
        <f t="shared" si="316"/>
        <v>86.9</v>
      </c>
      <c r="AM343" s="13">
        <f t="shared" si="316"/>
        <v>148.4</v>
      </c>
      <c r="AN343" s="13">
        <f t="shared" si="316"/>
        <v>67.5</v>
      </c>
      <c r="AO343" s="13">
        <f t="shared" si="316"/>
        <v>85.48</v>
      </c>
      <c r="AP343" s="13">
        <f t="shared" si="316"/>
        <v>152.98000000000002</v>
      </c>
      <c r="AQ343" s="13">
        <f t="shared" si="316"/>
        <v>60.9</v>
      </c>
      <c r="AR343" s="13">
        <f t="shared" si="316"/>
        <v>90.199999999999989</v>
      </c>
      <c r="AS343" s="13">
        <f t="shared" si="316"/>
        <v>151.1</v>
      </c>
      <c r="AT343" s="13">
        <f t="shared" si="316"/>
        <v>51.200000000000017</v>
      </c>
      <c r="AU343" s="13">
        <f t="shared" si="316"/>
        <v>121.39999999999993</v>
      </c>
      <c r="AV343" s="13">
        <f t="shared" si="316"/>
        <v>172.6</v>
      </c>
      <c r="AW343" s="13">
        <f t="shared" si="316"/>
        <v>82.6</v>
      </c>
      <c r="AX343" s="13">
        <f t="shared" si="316"/>
        <v>125.19999999999996</v>
      </c>
      <c r="AY343" s="13">
        <f t="shared" si="316"/>
        <v>207.79999999999998</v>
      </c>
      <c r="AZ343" s="13">
        <f t="shared" si="316"/>
        <v>77.600000000000023</v>
      </c>
      <c r="BA343" s="13">
        <f t="shared" si="316"/>
        <v>108.6</v>
      </c>
      <c r="BB343" s="13">
        <f t="shared" si="316"/>
        <v>186.19999999999996</v>
      </c>
      <c r="BC343" s="13">
        <f t="shared" si="316"/>
        <v>68.7</v>
      </c>
      <c r="BD343" s="13">
        <f t="shared" si="316"/>
        <v>123.20000000000007</v>
      </c>
      <c r="BE343" s="13">
        <f t="shared" si="316"/>
        <v>191.90000000000006</v>
      </c>
      <c r="BF343" s="13">
        <f t="shared" si="316"/>
        <v>77.103659356693413</v>
      </c>
      <c r="BG343" s="13">
        <f t="shared" si="316"/>
        <v>133.63317827146966</v>
      </c>
      <c r="BH343" s="13">
        <f t="shared" si="316"/>
        <v>210.73683762816307</v>
      </c>
      <c r="BI343" s="13">
        <f t="shared" si="316"/>
        <v>91.803550364981689</v>
      </c>
      <c r="BJ343" s="13">
        <f t="shared" ref="BJ343:CC343" si="317">+BJ81</f>
        <v>135.00421765740361</v>
      </c>
      <c r="BK343" s="13">
        <f t="shared" si="317"/>
        <v>226.80776802238529</v>
      </c>
      <c r="BL343" s="13">
        <f t="shared" si="317"/>
        <v>97.566102245346386</v>
      </c>
      <c r="BM343" s="13">
        <f t="shared" si="317"/>
        <v>142.1698228411133</v>
      </c>
      <c r="BN343" s="13">
        <f t="shared" si="317"/>
        <v>239.7359250864597</v>
      </c>
      <c r="BO343" s="13">
        <f t="shared" si="317"/>
        <v>106.49703952110627</v>
      </c>
      <c r="BP343" s="13">
        <f t="shared" si="317"/>
        <v>147.47237603024735</v>
      </c>
      <c r="BQ343" s="13">
        <f t="shared" si="317"/>
        <v>253.96941555135362</v>
      </c>
      <c r="BR343" s="13">
        <f t="shared" si="317"/>
        <v>105.37238444769821</v>
      </c>
      <c r="BS343" s="13">
        <f t="shared" si="317"/>
        <v>156.43617779009352</v>
      </c>
      <c r="BT343" s="13">
        <f t="shared" si="317"/>
        <v>261.80856223779176</v>
      </c>
      <c r="BU343" s="13">
        <f t="shared" si="317"/>
        <v>115.64072815571132</v>
      </c>
      <c r="BV343" s="13">
        <f t="shared" si="317"/>
        <v>169.57630016964504</v>
      </c>
      <c r="BW343" s="13">
        <f t="shared" si="317"/>
        <v>285.21702832535635</v>
      </c>
      <c r="BX343" s="13">
        <f t="shared" si="317"/>
        <v>126.19661923400011</v>
      </c>
      <c r="BY343" s="13">
        <f t="shared" si="317"/>
        <v>173.56731305434135</v>
      </c>
      <c r="BZ343" s="13">
        <f t="shared" si="317"/>
        <v>299.76393228834149</v>
      </c>
      <c r="CA343" s="13">
        <f t="shared" si="317"/>
        <v>129.00017387955728</v>
      </c>
      <c r="CB343" s="13">
        <f t="shared" si="317"/>
        <v>177.9549223616167</v>
      </c>
      <c r="CC343" s="13">
        <f t="shared" si="317"/>
        <v>306.95509624117398</v>
      </c>
    </row>
    <row r="344" spans="2:81">
      <c r="B344" s="11" t="s">
        <v>434</v>
      </c>
      <c r="C344" s="11"/>
      <c r="D344" s="11"/>
      <c r="E344" s="11"/>
      <c r="F344" s="11"/>
      <c r="G344" s="11"/>
      <c r="H344" s="11"/>
      <c r="I344" s="11"/>
      <c r="J344" s="11"/>
      <c r="K344" s="11"/>
      <c r="L344" s="11"/>
      <c r="M344" s="11"/>
      <c r="N344" s="11"/>
      <c r="O344" s="11"/>
      <c r="P344" s="11"/>
      <c r="Q344" s="11"/>
      <c r="R344" s="11"/>
      <c r="S344" s="11"/>
      <c r="T344" s="11"/>
      <c r="U344" s="11"/>
      <c r="V344" s="11"/>
      <c r="W344" s="11"/>
      <c r="X344" s="11"/>
      <c r="Y344" s="11"/>
      <c r="Z344" s="11"/>
      <c r="AA344" s="11"/>
      <c r="AB344" s="11"/>
      <c r="AC344" s="11"/>
      <c r="AD344" s="13">
        <f t="shared" ref="AD344:BI344" si="318">AD142</f>
        <v>-76.3</v>
      </c>
      <c r="AE344" s="13">
        <f t="shared" si="318"/>
        <v>-29.1</v>
      </c>
      <c r="AF344" s="13">
        <f t="shared" si="318"/>
        <v>-16.5</v>
      </c>
      <c r="AG344" s="13">
        <f t="shared" si="318"/>
        <v>-45.6</v>
      </c>
      <c r="AH344" s="13">
        <f t="shared" si="318"/>
        <v>-50.7</v>
      </c>
      <c r="AI344" s="13">
        <f t="shared" si="318"/>
        <v>-63.5</v>
      </c>
      <c r="AJ344" s="13">
        <f t="shared" si="318"/>
        <v>-114.19999999999999</v>
      </c>
      <c r="AK344" s="13">
        <f t="shared" si="318"/>
        <v>-73.3</v>
      </c>
      <c r="AL344" s="13">
        <f t="shared" si="318"/>
        <v>-47.599999999999994</v>
      </c>
      <c r="AM344" s="13">
        <f t="shared" si="318"/>
        <v>-120.89999999999999</v>
      </c>
      <c r="AN344" s="13">
        <f t="shared" si="318"/>
        <v>-57.265002899999992</v>
      </c>
      <c r="AO344" s="13">
        <f t="shared" si="318"/>
        <v>-47.834997100000002</v>
      </c>
      <c r="AP344" s="13">
        <f t="shared" si="318"/>
        <v>-105.1</v>
      </c>
      <c r="AQ344" s="13">
        <f t="shared" si="318"/>
        <v>-57.4</v>
      </c>
      <c r="AR344" s="13">
        <f t="shared" si="318"/>
        <v>-47.800000000000004</v>
      </c>
      <c r="AS344" s="13">
        <f t="shared" si="318"/>
        <v>-105.2</v>
      </c>
      <c r="AT344" s="13">
        <f t="shared" si="318"/>
        <v>-76.599999999999994</v>
      </c>
      <c r="AU344" s="13">
        <f t="shared" si="318"/>
        <v>-23.5</v>
      </c>
      <c r="AV344" s="13">
        <f t="shared" si="318"/>
        <v>-100.1</v>
      </c>
      <c r="AW344" s="13">
        <f t="shared" si="318"/>
        <v>-61.6</v>
      </c>
      <c r="AX344" s="13">
        <f t="shared" si="318"/>
        <v>-77.900000000000006</v>
      </c>
      <c r="AY344" s="13">
        <f t="shared" si="318"/>
        <v>-139.5</v>
      </c>
      <c r="AZ344" s="13">
        <f t="shared" si="318"/>
        <v>-97.3</v>
      </c>
      <c r="BA344" s="13">
        <f t="shared" si="318"/>
        <v>-81.2</v>
      </c>
      <c r="BB344" s="13">
        <f t="shared" si="318"/>
        <v>-178.5</v>
      </c>
      <c r="BC344" s="13">
        <f t="shared" si="318"/>
        <v>-100.7</v>
      </c>
      <c r="BD344" s="13">
        <f t="shared" si="318"/>
        <v>-55.3</v>
      </c>
      <c r="BE344" s="13">
        <f t="shared" si="318"/>
        <v>-156</v>
      </c>
      <c r="BF344" s="13">
        <f t="shared" si="318"/>
        <v>-104.00228448</v>
      </c>
      <c r="BG344" s="13">
        <f t="shared" si="318"/>
        <v>-84.508773959999999</v>
      </c>
      <c r="BH344" s="13">
        <f t="shared" si="318"/>
        <v>-188.51105844</v>
      </c>
      <c r="BI344" s="13">
        <f t="shared" si="318"/>
        <v>-110.51147363999999</v>
      </c>
      <c r="BJ344" s="13">
        <f t="shared" ref="BJ344:CC344" si="319">BJ142</f>
        <v>-91.009448880000008</v>
      </c>
      <c r="BK344" s="13">
        <f t="shared" si="319"/>
        <v>-201.52092252</v>
      </c>
      <c r="BL344" s="13">
        <f t="shared" si="319"/>
        <v>-123.51282347999999</v>
      </c>
      <c r="BM344" s="13">
        <f t="shared" si="319"/>
        <v>-97.510123800000002</v>
      </c>
      <c r="BN344" s="13">
        <f t="shared" si="319"/>
        <v>-221.02294727999998</v>
      </c>
      <c r="BO344" s="13">
        <f t="shared" si="319"/>
        <v>-123.51282347999999</v>
      </c>
      <c r="BP344" s="13">
        <f t="shared" si="319"/>
        <v>-71.50742412000001</v>
      </c>
      <c r="BQ344" s="13">
        <f t="shared" si="319"/>
        <v>-195.0202476</v>
      </c>
      <c r="BR344" s="13">
        <f t="shared" si="319"/>
        <v>-97.510123800000002</v>
      </c>
      <c r="BS344" s="13">
        <f t="shared" si="319"/>
        <v>-71.50742412000001</v>
      </c>
      <c r="BT344" s="13">
        <f t="shared" si="319"/>
        <v>-169.01754792000003</v>
      </c>
      <c r="BU344" s="13">
        <f t="shared" si="319"/>
        <v>-104.01079872</v>
      </c>
      <c r="BV344" s="13">
        <f t="shared" si="319"/>
        <v>-78.008099039999991</v>
      </c>
      <c r="BW344" s="13">
        <f t="shared" si="319"/>
        <v>-182.01889775999999</v>
      </c>
      <c r="BX344" s="13">
        <f t="shared" si="319"/>
        <v>-110.51147364000001</v>
      </c>
      <c r="BY344" s="13">
        <f t="shared" si="319"/>
        <v>-84.508773959999999</v>
      </c>
      <c r="BZ344" s="13">
        <f t="shared" si="319"/>
        <v>-195.0202476</v>
      </c>
      <c r="CA344" s="13">
        <f t="shared" si="319"/>
        <v>-117.01214856</v>
      </c>
      <c r="CB344" s="13">
        <f t="shared" si="319"/>
        <v>-84.508773959999999</v>
      </c>
      <c r="CC344" s="13">
        <f t="shared" si="319"/>
        <v>-201.52092252</v>
      </c>
    </row>
    <row r="345" spans="2:81">
      <c r="B345" s="11" t="s">
        <v>575</v>
      </c>
      <c r="C345" s="11"/>
      <c r="D345" s="11"/>
      <c r="E345" s="11"/>
      <c r="F345" s="11"/>
      <c r="G345" s="11"/>
      <c r="H345" s="11"/>
      <c r="I345" s="11"/>
      <c r="J345" s="11"/>
      <c r="K345" s="11"/>
      <c r="L345" s="11"/>
      <c r="M345" s="11"/>
      <c r="N345" s="11"/>
      <c r="O345" s="11"/>
      <c r="P345" s="11"/>
      <c r="Q345" s="11"/>
      <c r="R345" s="11"/>
      <c r="S345" s="11"/>
      <c r="T345" s="11"/>
      <c r="U345" s="11"/>
      <c r="V345" s="11"/>
      <c r="W345" s="11"/>
      <c r="X345" s="11"/>
      <c r="Y345" s="11"/>
      <c r="Z345" s="11"/>
      <c r="AA345" s="11"/>
      <c r="AB345" s="11"/>
      <c r="AC345" s="11"/>
      <c r="AD345" s="13">
        <f>+AD240-AA240+AD241-AA241-AD343-AD344</f>
        <v>113.99999999999999</v>
      </c>
      <c r="AE345" s="13">
        <f>+AE240-AB240+AE241-AB241-AE343-AE344</f>
        <v>143.1</v>
      </c>
      <c r="AF345" s="13">
        <f>+AF240-AE240+AF241-AE241-AF343-AF344</f>
        <v>-17.100000000000023</v>
      </c>
      <c r="AG345" s="13">
        <f>+AG240-AD240+AG241-AD241-AG343-AG344</f>
        <v>-32.500000000000021</v>
      </c>
      <c r="AH345" s="13">
        <f>+AH240-AG240+AH241-AG241-AH343-AH344</f>
        <v>-2.6000000000000085</v>
      </c>
      <c r="AI345" s="13">
        <f>+AI240-AH240+AI241-AH241-AI343-AI344</f>
        <v>0.39999999999999147</v>
      </c>
      <c r="AJ345" s="13">
        <f>+AJ240-AG240+AJ241-AG241-AJ343-AJ344</f>
        <v>-2.2000000000000171</v>
      </c>
      <c r="AK345" s="13">
        <f>+AK240-AJ240+AK241-AJ241-AK343-AK344</f>
        <v>-1.0999999999999659</v>
      </c>
      <c r="AL345" s="13">
        <f>+AL240-AK240+AL241-AK241-AL343-AL344</f>
        <v>-7.4000000000000057</v>
      </c>
      <c r="AM345" s="13">
        <f>+AM240-AJ240+AM241-AJ241-AM343-AM344</f>
        <v>-8.4999999999999858</v>
      </c>
      <c r="AN345" s="13">
        <f>+AN240-AM240+AN241-AM241-AN343-AN344</f>
        <v>-0.13499709999998544</v>
      </c>
      <c r="AO345" s="13">
        <f>+AO240-AN240+AO241-AN241-AO343-AO344</f>
        <v>1.154997099999953</v>
      </c>
      <c r="AP345" s="13">
        <f>+AP240-AM240+AP241-AM241-AP343-AP344</f>
        <v>1.0199999999999534</v>
      </c>
      <c r="AQ345" s="13">
        <f>+AQ240-AP240+AQ241-AP241-AQ343-AQ344</f>
        <v>4.5</v>
      </c>
      <c r="AR345" s="13">
        <f>+AR240-AQ240+AR241-AQ241-AR343-AR344</f>
        <v>3.0000000000000497</v>
      </c>
      <c r="AS345" s="13">
        <f>+AS240-AP240+AS241-AP241-AS343-AS344</f>
        <v>7.5000000000000426</v>
      </c>
      <c r="AT345" s="13">
        <f>+AT240-AS240+AT241-AS241-AT343-AT344</f>
        <v>-3.8000000000000682</v>
      </c>
      <c r="AU345" s="13">
        <f>+AU240-AT240+AU241-AT241-AU343-AU344</f>
        <v>-22.499999999999901</v>
      </c>
      <c r="AV345" s="13">
        <f>+AV240-AS240+AV241-AS241-AV343-AV344</f>
        <v>-26.300000000000011</v>
      </c>
      <c r="AW345" s="13">
        <f>+AW240-AV240+AW241-AV241-AW343-AW344</f>
        <v>3.8000000000000185</v>
      </c>
      <c r="AX345" s="13">
        <f>+AX240-AW240+AX241-AW241-AX343-AX344</f>
        <v>-2.6999999999999886</v>
      </c>
      <c r="AY345" s="13">
        <f>+AY240-AV240+AY241-AV241-AY343-AY344</f>
        <v>1.0999999999999943</v>
      </c>
      <c r="AZ345" s="13">
        <f>+AZ240-AY240+AZ241-AY241-AZ343-AZ344</f>
        <v>-1.1000000000000369</v>
      </c>
      <c r="BA345" s="13">
        <f>+BA240-AZ240+BA241-AZ241-BA343-BA344</f>
        <v>4.1000000000000085</v>
      </c>
      <c r="BB345" s="13">
        <f>+BB240-AY240+BB241-AY241-BB343-BB344</f>
        <v>3.0000000000000284</v>
      </c>
      <c r="BC345" s="13">
        <f>+BC240-BB240+BC241-BB241-BC343-BC344</f>
        <v>-1.1000000000000227</v>
      </c>
      <c r="BD345" s="13">
        <f>+BD240-BC240+BD241-BC241-BD343-BD344</f>
        <v>-8.5000000000000426</v>
      </c>
      <c r="BE345" s="13">
        <f>+BE240-BB240+BE241-BB241-BE343-BE344</f>
        <v>-9.6000000000000512</v>
      </c>
      <c r="BF345" s="13">
        <f>+BF240-BE240+BF241-BE241-BF343-BF344</f>
        <v>0</v>
      </c>
      <c r="BG345" s="13">
        <f>+BG240-BF240+BG241-BF241-BG343-BG344</f>
        <v>0</v>
      </c>
      <c r="BH345" s="13">
        <f>+BH240-BE240+BH241-BE241-BH343-BH344</f>
        <v>0</v>
      </c>
      <c r="BI345" s="13">
        <f>+BI240-BH240+BI241-BH241-BI343-BI344</f>
        <v>0</v>
      </c>
      <c r="BJ345" s="13">
        <f>+BJ240-BI240+BJ241-BI241-BJ343-BJ344</f>
        <v>0</v>
      </c>
      <c r="BK345" s="13">
        <f>+BK240-BH240+BK241-BH241-BK343-BK344</f>
        <v>0</v>
      </c>
      <c r="BL345" s="13">
        <f>+BL240-BK240+BL241-BK241-BL343-BL344</f>
        <v>0</v>
      </c>
      <c r="BM345" s="13">
        <f>+BM240-BL240+BM241-BL241-BM343-BM344</f>
        <v>0</v>
      </c>
      <c r="BN345" s="13">
        <f>+BN240-BK240+BN241-BK241-BN343-BN344</f>
        <v>0</v>
      </c>
      <c r="BO345" s="13">
        <f>+BO240-BN240+BO241-BN241-BO343-BO344</f>
        <v>0</v>
      </c>
      <c r="BP345" s="13">
        <f>+BP240-BO240+BP241-BO241-BP343-BP344</f>
        <v>0</v>
      </c>
      <c r="BQ345" s="13">
        <f>+BQ240-BN240+BQ241-BN241-BQ343-BQ344</f>
        <v>0</v>
      </c>
      <c r="BR345" s="13">
        <f>+BR240-BQ240+BR241-BQ241-BR343-BR344</f>
        <v>0</v>
      </c>
      <c r="BS345" s="13">
        <f>+BS240-BR240+BS241-BR241-BS343-BS344</f>
        <v>0</v>
      </c>
      <c r="BT345" s="13">
        <f>+BT240-BQ240+BT241-BQ241-BT343-BT344</f>
        <v>0</v>
      </c>
      <c r="BU345" s="13">
        <f>+BU240-BT240+BU241-BT241-BU343-BU344</f>
        <v>0</v>
      </c>
      <c r="BV345" s="13">
        <f>+BV240-BU240+BV241-BU241-BV343-BV344</f>
        <v>0</v>
      </c>
      <c r="BW345" s="13">
        <f>+BW240-BT240+BW241-BT241-BW343-BW344</f>
        <v>0</v>
      </c>
      <c r="BX345" s="13">
        <f>+BX240-BW240+BX241-BW241-BX343-BX344</f>
        <v>0</v>
      </c>
      <c r="BY345" s="13">
        <f>+BY240-BX240+BY241-BX241-BY343-BY344</f>
        <v>0</v>
      </c>
      <c r="BZ345" s="13">
        <f>+BZ240-BW240+BZ241-BW241-BZ343-BZ344</f>
        <v>0</v>
      </c>
      <c r="CA345" s="13">
        <f>+CA240-BZ240+CA241-BZ241-CA343-CA344</f>
        <v>0</v>
      </c>
      <c r="CB345" s="13">
        <f>+CB240-CA240+CB241-CA241-CB343-CB344</f>
        <v>-2.1316282072803006E-13</v>
      </c>
      <c r="CC345" s="13">
        <f>+CC240-BZ240+CC241-BZ241-CC343-CC344</f>
        <v>0</v>
      </c>
    </row>
    <row r="346" spans="2:81">
      <c r="B346" s="7" t="s">
        <v>576</v>
      </c>
      <c r="C346" s="11"/>
      <c r="D346" s="11"/>
      <c r="E346" s="11"/>
      <c r="F346" s="11"/>
      <c r="G346" s="11"/>
      <c r="H346" s="11"/>
      <c r="I346" s="11"/>
      <c r="J346" s="11"/>
      <c r="K346" s="11"/>
      <c r="L346" s="11"/>
      <c r="M346" s="11"/>
      <c r="N346" s="11"/>
      <c r="O346" s="11"/>
      <c r="P346" s="11"/>
      <c r="Q346" s="11"/>
      <c r="R346" s="11"/>
      <c r="S346" s="11"/>
      <c r="T346" s="11"/>
      <c r="U346" s="11"/>
      <c r="V346" s="11"/>
      <c r="W346" s="11"/>
      <c r="X346" s="11"/>
      <c r="Y346" s="11"/>
      <c r="Z346" s="11"/>
      <c r="AA346" s="11"/>
      <c r="AB346" s="11"/>
      <c r="AC346" s="11"/>
      <c r="AD346" s="441">
        <f>+SUM(AD239:AD241)</f>
        <v>698.9</v>
      </c>
      <c r="AE346" s="441">
        <f>+SUM(AE239:AE241)</f>
        <v>829.5</v>
      </c>
      <c r="AF346" s="441">
        <f>+SUM(AF239:AF241)</f>
        <v>893.9</v>
      </c>
      <c r="AG346" s="441">
        <f t="shared" ref="AG346:BP346" si="320">+SUM(AG341:AG345)</f>
        <v>893.9</v>
      </c>
      <c r="AH346" s="441">
        <f t="shared" si="320"/>
        <v>909.49999999999989</v>
      </c>
      <c r="AI346" s="441">
        <f t="shared" si="320"/>
        <v>931.29999999999973</v>
      </c>
      <c r="AJ346" s="441">
        <f>+SUM(AJ341:AJ345)</f>
        <v>931.29999999999973</v>
      </c>
      <c r="AK346" s="441">
        <f t="shared" si="320"/>
        <v>920.09999999999991</v>
      </c>
      <c r="AL346" s="441">
        <f t="shared" si="320"/>
        <v>952.19999999999993</v>
      </c>
      <c r="AM346" s="441">
        <f>+SUM(AM341:AM345)</f>
        <v>952.19999999999993</v>
      </c>
      <c r="AN346" s="441">
        <f t="shared" si="320"/>
        <v>964.3</v>
      </c>
      <c r="AO346" s="441">
        <f t="shared" si="320"/>
        <v>1003.0999999999999</v>
      </c>
      <c r="AP346" s="441">
        <f>+SUM(AP341:AP345)</f>
        <v>1003.0999999999998</v>
      </c>
      <c r="AQ346" s="441">
        <f t="shared" si="320"/>
        <v>1012.8999999999997</v>
      </c>
      <c r="AR346" s="441">
        <f t="shared" si="320"/>
        <v>1058.9999999999998</v>
      </c>
      <c r="AS346" s="441">
        <f>+SUM(AS341:AS345)</f>
        <v>1058.9999999999998</v>
      </c>
      <c r="AT346" s="441">
        <f t="shared" si="320"/>
        <v>1034</v>
      </c>
      <c r="AU346" s="441">
        <f t="shared" si="320"/>
        <v>1133.9999999999998</v>
      </c>
      <c r="AV346" s="441">
        <f>+SUM(AV341:AV345)</f>
        <v>1133.9999999999998</v>
      </c>
      <c r="AW346" s="441">
        <f t="shared" si="320"/>
        <v>1159.9999999999998</v>
      </c>
      <c r="AX346" s="441">
        <f t="shared" si="320"/>
        <v>1204.6999999999998</v>
      </c>
      <c r="AY346" s="441">
        <f>+SUM(AY341:AY345)</f>
        <v>1204.6999999999996</v>
      </c>
      <c r="AZ346" s="441">
        <f t="shared" si="320"/>
        <v>1184.9999999999995</v>
      </c>
      <c r="BA346" s="441">
        <f t="shared" si="320"/>
        <v>1217.5999999999992</v>
      </c>
      <c r="BB346" s="441">
        <f>+SUM(BB341:BB345)</f>
        <v>1217.5999999999997</v>
      </c>
      <c r="BC346" s="441">
        <f t="shared" si="320"/>
        <v>1185.3999999999996</v>
      </c>
      <c r="BD346" s="441">
        <f t="shared" si="320"/>
        <v>1245.5999999999999</v>
      </c>
      <c r="BE346" s="441">
        <f>+SUM(BE341:BE345)</f>
        <v>1245.5999999999997</v>
      </c>
      <c r="BF346" s="441">
        <f t="shared" si="320"/>
        <v>1218.7013748766931</v>
      </c>
      <c r="BG346" s="441">
        <f t="shared" si="320"/>
        <v>1267.8257791881626</v>
      </c>
      <c r="BH346" s="441">
        <f>+SUM(BH341:BH345)</f>
        <v>1267.8257791881629</v>
      </c>
      <c r="BI346" s="441">
        <f t="shared" si="320"/>
        <v>1249.1178559131445</v>
      </c>
      <c r="BJ346" s="441">
        <f t="shared" si="320"/>
        <v>1293.112624690548</v>
      </c>
      <c r="BK346" s="441">
        <f>+SUM(BK341:BK345)</f>
        <v>1293.1126246905483</v>
      </c>
      <c r="BL346" s="441">
        <f t="shared" si="320"/>
        <v>1267.1659034558947</v>
      </c>
      <c r="BM346" s="441">
        <f t="shared" si="320"/>
        <v>1311.825602497008</v>
      </c>
      <c r="BN346" s="441">
        <f>+SUM(BN341:BN345)</f>
        <v>1311.825602497008</v>
      </c>
      <c r="BO346" s="441">
        <f t="shared" si="320"/>
        <v>1294.8098185381143</v>
      </c>
      <c r="BP346" s="441">
        <f t="shared" si="320"/>
        <v>1370.7747704483618</v>
      </c>
      <c r="BQ346" s="441">
        <f>+SUM(BQ341:BQ345)</f>
        <v>1370.7747704483618</v>
      </c>
      <c r="BR346" s="441">
        <f>+SUM(BR341:BR345)</f>
        <v>1378.6370310960599</v>
      </c>
      <c r="BS346" s="441">
        <f>+SUM(BS341:BS345)</f>
        <v>1463.5657847661535</v>
      </c>
      <c r="BT346" s="441">
        <f t="shared" ref="BT346:CC346" si="321">+SUM(BT341:BT345)</f>
        <v>1463.5657847661535</v>
      </c>
      <c r="BU346" s="441">
        <f t="shared" si="321"/>
        <v>1475.1957142018648</v>
      </c>
      <c r="BV346" s="441">
        <f t="shared" si="321"/>
        <v>1566.7639153315099</v>
      </c>
      <c r="BW346" s="441">
        <f t="shared" si="321"/>
        <v>1566.7639153315097</v>
      </c>
      <c r="BX346" s="441">
        <f t="shared" si="321"/>
        <v>1582.4490609255097</v>
      </c>
      <c r="BY346" s="441">
        <f t="shared" si="321"/>
        <v>1671.507600019851</v>
      </c>
      <c r="BZ346" s="441">
        <f t="shared" si="321"/>
        <v>1671.5076000198512</v>
      </c>
      <c r="CA346" s="441">
        <f t="shared" si="321"/>
        <v>1683.4956253394084</v>
      </c>
      <c r="CB346" s="441">
        <f t="shared" si="321"/>
        <v>1776.9417737410249</v>
      </c>
      <c r="CC346" s="441">
        <f t="shared" si="321"/>
        <v>1776.9417737410254</v>
      </c>
    </row>
    <row r="348" spans="2:81">
      <c r="CC348" s="257">
        <f>Valuation!J140</f>
        <v>6</v>
      </c>
    </row>
  </sheetData>
  <mergeCells count="1">
    <mergeCell ref="B1:B2"/>
  </mergeCells>
  <phoneticPr fontId="19" type="noConversion"/>
  <conditionalFormatting sqref="AE130:BC130 AE139:BC139 AE147:BC147 AE218:CC218 AE235:CC235 BE147:CC147 BE139:CC139 BE130:CC130">
    <cfRule type="containsText" dxfId="4" priority="9" stopIfTrue="1" operator="containsText" text="ERROR">
      <formula>NOT(ISERROR(SEARCH("ERROR",AE130)))</formula>
    </cfRule>
  </conditionalFormatting>
  <conditionalFormatting sqref="AG246 AJ246 AM246 AP246 AS246 AV246 AY246 BB246 BE246 BH246 BK246 BN246 BQ246 BT246 BW246 BZ246 CC246">
    <cfRule type="containsText" dxfId="3" priority="4" stopIfTrue="1" operator="containsText" text="ERROR">
      <formula>NOT(ISERROR(SEARCH("ERROR",AG246)))</formula>
    </cfRule>
  </conditionalFormatting>
  <conditionalFormatting sqref="C1">
    <cfRule type="expression" dxfId="2" priority="15">
      <formula>SUM($AD$173:$CC$173,$AD$182:$CC$182)&lt;&gt;0</formula>
    </cfRule>
  </conditionalFormatting>
  <conditionalFormatting sqref="C2">
    <cfRule type="expression" dxfId="1" priority="2">
      <formula>SUM($AD$245:$CC$245)&lt;&gt;0</formula>
    </cfRule>
  </conditionalFormatting>
  <conditionalFormatting sqref="BD130 BD139 BD147">
    <cfRule type="containsText" dxfId="0" priority="1" stopIfTrue="1" operator="containsText" text="ERROR">
      <formula>NOT(ISERROR(SEARCH("ERROR",BD130)))</formula>
    </cfRule>
  </conditionalFormatting>
  <pageMargins left="0.39370078740157483" right="0.39370078740157483" top="0.39370078740157483" bottom="0.39370078740157483" header="0.39370078740157483" footer="0.39370078740157483"/>
  <pageSetup paperSize="9" scale="53" fitToHeight="3" orientation="portrait" r:id="rId1"/>
  <headerFooter alignWithMargins="0">
    <oddHeader>&amp;A</oddHeader>
    <oddFooter>Page &amp;P of &amp;N</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H2"/>
  <sheetViews>
    <sheetView workbookViewId="0"/>
  </sheetViews>
  <sheetFormatPr defaultRowHeight="12.75"/>
  <sheetData>
    <row r="1" spans="1:8">
      <c r="A1" t="s">
        <v>587</v>
      </c>
    </row>
    <row r="2" spans="1:8">
      <c r="A2" s="266" t="s">
        <v>583</v>
      </c>
      <c r="B2" s="266" t="s">
        <v>202</v>
      </c>
      <c r="C2" s="266" t="s">
        <v>586</v>
      </c>
      <c r="D2" s="266" t="s">
        <v>709</v>
      </c>
      <c r="E2" s="266" t="s">
        <v>584</v>
      </c>
      <c r="F2" s="266" t="s">
        <v>707</v>
      </c>
      <c r="G2" s="266" t="s">
        <v>585</v>
      </c>
      <c r="H2" s="266" t="s">
        <v>708</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92D050"/>
  </sheetPr>
  <dimension ref="A1:CC49"/>
  <sheetViews>
    <sheetView showGridLines="0" zoomScale="85" zoomScaleNormal="85" workbookViewId="0">
      <pane xSplit="2" ySplit="3" topLeftCell="C4" activePane="bottomRight" state="frozen"/>
      <selection pane="topRight" activeCell="C1" sqref="C1"/>
      <selection pane="bottomLeft" activeCell="A4" sqref="A4"/>
      <selection pane="bottomRight" activeCell="C4" sqref="C4"/>
    </sheetView>
  </sheetViews>
  <sheetFormatPr defaultRowHeight="12.75" outlineLevelCol="1"/>
  <cols>
    <col min="1" max="1" width="6" customWidth="1"/>
    <col min="2" max="2" width="34.7109375" customWidth="1"/>
    <col min="3" max="3" width="8.7109375" customWidth="1"/>
    <col min="4" max="5" width="9.140625" hidden="1" customWidth="1" outlineLevel="1"/>
    <col min="6" max="6" width="9.140625" customWidth="1" collapsed="1"/>
    <col min="7" max="8" width="9.140625" hidden="1" customWidth="1" outlineLevel="1"/>
    <col min="9" max="9" width="9.140625" customWidth="1" collapsed="1"/>
    <col min="10" max="11" width="9.140625" hidden="1" customWidth="1" outlineLevel="1"/>
    <col min="12" max="12" width="9.140625" customWidth="1" collapsed="1"/>
    <col min="13" max="14" width="9.140625" hidden="1" customWidth="1" outlineLevel="1"/>
    <col min="15" max="15" width="9.140625" customWidth="1" collapsed="1"/>
    <col min="16" max="17" width="9.140625" hidden="1" customWidth="1" outlineLevel="1"/>
    <col min="18" max="18" width="9.140625" customWidth="1" collapsed="1"/>
    <col min="19" max="20" width="9.140625" hidden="1" customWidth="1" outlineLevel="1"/>
    <col min="21" max="21" width="9.140625" customWidth="1" collapsed="1"/>
    <col min="22" max="23" width="9.140625" hidden="1" customWidth="1" outlineLevel="1"/>
    <col min="24" max="24" width="9.140625" customWidth="1" collapsed="1"/>
    <col min="25" max="26" width="9.140625" hidden="1" customWidth="1" outlineLevel="1"/>
    <col min="27" max="27" width="9.140625" customWidth="1" collapsed="1"/>
    <col min="28" max="29" width="9.140625" hidden="1" customWidth="1" outlineLevel="1"/>
    <col min="30" max="30" width="9.140625" collapsed="1"/>
    <col min="31" max="32" width="9.140625" hidden="1" customWidth="1" outlineLevel="1"/>
    <col min="33" max="33" width="9.140625" collapsed="1"/>
    <col min="34" max="35" width="9.140625" hidden="1" customWidth="1" outlineLevel="1"/>
    <col min="36" max="36" width="9.140625" collapsed="1"/>
    <col min="37" max="38" width="9.140625" hidden="1" customWidth="1" outlineLevel="1"/>
    <col min="39" max="39" width="9.140625" collapsed="1"/>
    <col min="40" max="41" width="9.140625" hidden="1" customWidth="1" outlineLevel="1"/>
    <col min="42" max="42" width="9.140625" collapsed="1"/>
    <col min="43" max="44" width="9.140625" hidden="1" customWidth="1" outlineLevel="1"/>
    <col min="45" max="45" width="9.140625" collapsed="1"/>
    <col min="46" max="47" width="9.140625" hidden="1" customWidth="1" outlineLevel="1"/>
    <col min="48" max="48" width="9.140625" collapsed="1"/>
    <col min="49" max="50" width="9.140625" hidden="1" customWidth="1" outlineLevel="1"/>
    <col min="51" max="51" width="9.140625" collapsed="1"/>
    <col min="52" max="53" width="9.140625" hidden="1" customWidth="1" outlineLevel="1"/>
    <col min="54" max="54" width="9.140625" collapsed="1"/>
    <col min="55" max="56" width="9.140625" hidden="1" customWidth="1" outlineLevel="1"/>
    <col min="57" max="57" width="9.140625" collapsed="1"/>
    <col min="58" max="59" width="9.140625" hidden="1" customWidth="1" outlineLevel="1"/>
    <col min="60" max="60" width="9.140625" collapsed="1"/>
    <col min="61" max="62" width="9.140625" hidden="1" customWidth="1" outlineLevel="1"/>
    <col min="63" max="63" width="9.140625" collapsed="1"/>
    <col min="64" max="65" width="9.140625" hidden="1" customWidth="1" outlineLevel="1"/>
    <col min="66" max="66" width="9.140625" collapsed="1"/>
    <col min="67" max="68" width="9.140625" hidden="1" customWidth="1" outlineLevel="1"/>
    <col min="69" max="69" width="9.140625" collapsed="1"/>
    <col min="70" max="71" width="9.140625" hidden="1" customWidth="1" outlineLevel="1"/>
    <col min="72" max="72" width="9.140625" collapsed="1"/>
    <col min="73" max="74" width="9.140625" hidden="1" customWidth="1" outlineLevel="1"/>
    <col min="75" max="75" width="9.140625" collapsed="1"/>
    <col min="76" max="77" width="9.140625" hidden="1" customWidth="1" outlineLevel="1"/>
    <col min="78" max="78" width="9.140625" collapsed="1"/>
    <col min="79" max="80" width="9.140625" hidden="1" customWidth="1" outlineLevel="1"/>
    <col min="81" max="81" width="9.140625" collapsed="1"/>
    <col min="82" max="16384" width="9.140625" style="17"/>
  </cols>
  <sheetData>
    <row r="1" spans="1:81" ht="12.75" customHeight="1">
      <c r="A1" s="699"/>
      <c r="B1" s="700" t="s">
        <v>129</v>
      </c>
    </row>
    <row r="2" spans="1:81" ht="12.75" customHeight="1">
      <c r="A2" s="699"/>
      <c r="B2" s="700"/>
    </row>
    <row r="3" spans="1:81">
      <c r="A3" s="454" t="s">
        <v>255</v>
      </c>
      <c r="B3" s="234"/>
      <c r="C3" s="234">
        <f>Segments!C4</f>
        <v>1999</v>
      </c>
      <c r="D3" s="235" t="str">
        <f>Segments!D4</f>
        <v>1H00</v>
      </c>
      <c r="E3" s="235" t="str">
        <f>Segments!E4</f>
        <v>2H00</v>
      </c>
      <c r="F3" s="234" t="str">
        <f>Segments!F4</f>
        <v>FY00</v>
      </c>
      <c r="G3" s="235" t="str">
        <f>Segments!G4</f>
        <v>1H01</v>
      </c>
      <c r="H3" s="235" t="str">
        <f>Segments!H4</f>
        <v>2H01</v>
      </c>
      <c r="I3" s="234" t="str">
        <f>Segments!I4</f>
        <v>FY01</v>
      </c>
      <c r="J3" s="235" t="str">
        <f>Segments!J4</f>
        <v>1H02</v>
      </c>
      <c r="K3" s="235" t="str">
        <f>Segments!K4</f>
        <v>2H02</v>
      </c>
      <c r="L3" s="234" t="str">
        <f>Segments!L4</f>
        <v>FY02</v>
      </c>
      <c r="M3" s="235" t="str">
        <f>Segments!M4</f>
        <v>1H03</v>
      </c>
      <c r="N3" s="235" t="str">
        <f>Segments!N4</f>
        <v>2H03</v>
      </c>
      <c r="O3" s="234" t="str">
        <f>Segments!O4</f>
        <v>FY03</v>
      </c>
      <c r="P3" s="235" t="str">
        <f>Segments!P4</f>
        <v>1H04</v>
      </c>
      <c r="Q3" s="235" t="str">
        <f>Segments!Q4</f>
        <v>2H04</v>
      </c>
      <c r="R3" s="234" t="str">
        <f>Segments!R4</f>
        <v>FY04</v>
      </c>
      <c r="S3" s="235" t="str">
        <f>Segments!S4</f>
        <v>1H05</v>
      </c>
      <c r="T3" s="235" t="str">
        <f>Segments!T4</f>
        <v>2H05</v>
      </c>
      <c r="U3" s="234" t="str">
        <f>Segments!U4</f>
        <v>FY05</v>
      </c>
      <c r="V3" s="235" t="str">
        <f>Segments!V4</f>
        <v>1H06</v>
      </c>
      <c r="W3" s="235" t="str">
        <f>Segments!W4</f>
        <v>2H06</v>
      </c>
      <c r="X3" s="234" t="str">
        <f>Segments!X4</f>
        <v>FY06</v>
      </c>
      <c r="Y3" s="235" t="str">
        <f>Segments!Y4</f>
        <v>1H07</v>
      </c>
      <c r="Z3" s="235" t="str">
        <f>Segments!Z4</f>
        <v>2H07</v>
      </c>
      <c r="AA3" s="234" t="str">
        <f>Segments!AA4</f>
        <v>FY07</v>
      </c>
      <c r="AB3" s="235" t="str">
        <f>Segments!AB4</f>
        <v>1H08</v>
      </c>
      <c r="AC3" s="235" t="str">
        <f>Segments!AC4</f>
        <v>2H08</v>
      </c>
      <c r="AD3" s="234" t="str">
        <f>'BS, CF and P&amp;L'!AD6</f>
        <v>FY08A</v>
      </c>
      <c r="AE3" s="234" t="str">
        <f>'BS, CF and P&amp;L'!AE6</f>
        <v>1H09A</v>
      </c>
      <c r="AF3" s="234" t="str">
        <f>'BS, CF and P&amp;L'!AF6</f>
        <v>2H09A</v>
      </c>
      <c r="AG3" s="234" t="str">
        <f>'BS, CF and P&amp;L'!AG6</f>
        <v>FY09A</v>
      </c>
      <c r="AH3" s="234" t="str">
        <f>'BS, CF and P&amp;L'!AH6</f>
        <v>1H10A</v>
      </c>
      <c r="AI3" s="234" t="str">
        <f>'BS, CF and P&amp;L'!AI6</f>
        <v>2H10A</v>
      </c>
      <c r="AJ3" s="234" t="str">
        <f>'BS, CF and P&amp;L'!AJ6</f>
        <v>FY10A</v>
      </c>
      <c r="AK3" s="234" t="str">
        <f>'BS, CF and P&amp;L'!AK6</f>
        <v>1H11A</v>
      </c>
      <c r="AL3" s="234" t="str">
        <f>'BS, CF and P&amp;L'!AL6</f>
        <v>2H11A</v>
      </c>
      <c r="AM3" s="234" t="str">
        <f>'BS, CF and P&amp;L'!AM6</f>
        <v>FY11A</v>
      </c>
      <c r="AN3" s="234" t="str">
        <f>'BS, CF and P&amp;L'!AN6</f>
        <v>1H12A</v>
      </c>
      <c r="AO3" s="234" t="str">
        <f>'BS, CF and P&amp;L'!AO6</f>
        <v>2H12A</v>
      </c>
      <c r="AP3" s="234" t="str">
        <f>'BS, CF and P&amp;L'!AP6</f>
        <v>FY12A</v>
      </c>
      <c r="AQ3" s="234" t="str">
        <f>'BS, CF and P&amp;L'!AQ6</f>
        <v>1H13A</v>
      </c>
      <c r="AR3" s="234" t="str">
        <f>'BS, CF and P&amp;L'!AR6</f>
        <v>2H13A</v>
      </c>
      <c r="AS3" s="234" t="str">
        <f>'BS, CF and P&amp;L'!AS6</f>
        <v>FY13A</v>
      </c>
      <c r="AT3" s="234" t="str">
        <f>'BS, CF and P&amp;L'!AT6</f>
        <v>1H14A</v>
      </c>
      <c r="AU3" s="234" t="str">
        <f>'BS, CF and P&amp;L'!AU6</f>
        <v>2H14A</v>
      </c>
      <c r="AV3" s="234" t="str">
        <f>'BS, CF and P&amp;L'!AV6</f>
        <v>FY14A</v>
      </c>
      <c r="AW3" s="234" t="str">
        <f>'BS, CF and P&amp;L'!AW6</f>
        <v>1H15A</v>
      </c>
      <c r="AX3" s="234" t="str">
        <f>'BS, CF and P&amp;L'!AX6</f>
        <v>2H15A</v>
      </c>
      <c r="AY3" s="234" t="str">
        <f>'BS, CF and P&amp;L'!AY6</f>
        <v>FY15A</v>
      </c>
      <c r="AZ3" s="234" t="str">
        <f>'BS, CF and P&amp;L'!AZ6</f>
        <v>1H16A</v>
      </c>
      <c r="BA3" s="234" t="str">
        <f>'BS, CF and P&amp;L'!BA6</f>
        <v>2H16A</v>
      </c>
      <c r="BB3" s="234" t="str">
        <f>'BS, CF and P&amp;L'!BB6</f>
        <v>FY16A</v>
      </c>
      <c r="BC3" s="234" t="str">
        <f>'BS, CF and P&amp;L'!BC6</f>
        <v>1H17A</v>
      </c>
      <c r="BD3" s="234" t="str">
        <f>'BS, CF and P&amp;L'!BD6</f>
        <v>2H17A</v>
      </c>
      <c r="BE3" s="234" t="str">
        <f>'BS, CF and P&amp;L'!BE6</f>
        <v>FY17A</v>
      </c>
      <c r="BF3" s="234" t="str">
        <f>'BS, CF and P&amp;L'!BF6</f>
        <v>1H18E</v>
      </c>
      <c r="BG3" s="234" t="str">
        <f>'BS, CF and P&amp;L'!BG6</f>
        <v>2H18E</v>
      </c>
      <c r="BH3" s="234" t="str">
        <f>'BS, CF and P&amp;L'!BH6</f>
        <v>FY18E</v>
      </c>
      <c r="BI3" s="234" t="str">
        <f>'BS, CF and P&amp;L'!BI6</f>
        <v>1H19E</v>
      </c>
      <c r="BJ3" s="234" t="str">
        <f>'BS, CF and P&amp;L'!BJ6</f>
        <v>2H19E</v>
      </c>
      <c r="BK3" s="234" t="str">
        <f>'BS, CF and P&amp;L'!BK6</f>
        <v>FY19E</v>
      </c>
      <c r="BL3" s="234" t="str">
        <f>'BS, CF and P&amp;L'!BL6</f>
        <v>1H20E</v>
      </c>
      <c r="BM3" s="234" t="str">
        <f>'BS, CF and P&amp;L'!BM6</f>
        <v>2H20E</v>
      </c>
      <c r="BN3" s="234" t="str">
        <f>'BS, CF and P&amp;L'!BN6</f>
        <v>FY20E</v>
      </c>
      <c r="BO3" s="234" t="str">
        <f>'BS, CF and P&amp;L'!BO6</f>
        <v>1H21E</v>
      </c>
      <c r="BP3" s="234" t="str">
        <f>'BS, CF and P&amp;L'!BP6</f>
        <v>2H21E</v>
      </c>
      <c r="BQ3" s="234" t="str">
        <f>'BS, CF and P&amp;L'!BQ6</f>
        <v>FY21E</v>
      </c>
      <c r="BR3" s="234" t="str">
        <f>'BS, CF and P&amp;L'!BR6</f>
        <v>1H22E</v>
      </c>
      <c r="BS3" s="234" t="str">
        <f>'BS, CF and P&amp;L'!BS6</f>
        <v>2H22E</v>
      </c>
      <c r="BT3" s="234" t="str">
        <f>'BS, CF and P&amp;L'!BT6</f>
        <v>FY22E</v>
      </c>
      <c r="BU3" s="234" t="str">
        <f>'BS, CF and P&amp;L'!BU6</f>
        <v>1H23E</v>
      </c>
      <c r="BV3" s="234" t="str">
        <f>'BS, CF and P&amp;L'!BV6</f>
        <v>2H23E</v>
      </c>
      <c r="BW3" s="234" t="str">
        <f>'BS, CF and P&amp;L'!BW6</f>
        <v>FY23E</v>
      </c>
      <c r="BX3" s="234" t="str">
        <f>'BS, CF and P&amp;L'!BX6</f>
        <v>1H24E</v>
      </c>
      <c r="BY3" s="234" t="str">
        <f>'BS, CF and P&amp;L'!BY6</f>
        <v>2H24E</v>
      </c>
      <c r="BZ3" s="234" t="str">
        <f>'BS, CF and P&amp;L'!BZ6</f>
        <v>FY24E</v>
      </c>
      <c r="CA3" s="234" t="str">
        <f>'BS, CF and P&amp;L'!CA6</f>
        <v>1H25E</v>
      </c>
      <c r="CB3" s="234" t="str">
        <f>'BS, CF and P&amp;L'!CB6</f>
        <v>2H25E</v>
      </c>
      <c r="CC3" s="234" t="str">
        <f>'BS, CF and P&amp;L'!CC6</f>
        <v>FY25E</v>
      </c>
    </row>
    <row r="6" spans="1:81" s="11" customFormat="1">
      <c r="A6" s="413" t="s">
        <v>16</v>
      </c>
      <c r="B6" s="413"/>
      <c r="C6" s="433"/>
      <c r="D6" s="433"/>
      <c r="E6" s="433"/>
      <c r="F6" s="433"/>
      <c r="G6" s="433"/>
      <c r="H6" s="433"/>
      <c r="I6" s="433"/>
      <c r="J6" s="433"/>
      <c r="K6" s="433"/>
      <c r="L6" s="433"/>
      <c r="M6" s="433"/>
      <c r="N6" s="433"/>
      <c r="O6" s="433"/>
      <c r="P6" s="433"/>
      <c r="Q6" s="433"/>
      <c r="R6" s="433"/>
      <c r="S6" s="433"/>
      <c r="T6" s="433"/>
      <c r="U6" s="433"/>
      <c r="V6" s="433"/>
      <c r="W6" s="433"/>
      <c r="X6" s="433"/>
      <c r="Y6" s="433"/>
      <c r="Z6" s="433"/>
      <c r="AA6" s="433"/>
      <c r="AB6" s="433"/>
      <c r="AC6" s="433"/>
      <c r="AD6" s="434"/>
      <c r="AE6" s="434"/>
      <c r="AF6" s="434"/>
      <c r="AG6" s="434"/>
      <c r="AH6" s="434"/>
      <c r="AI6" s="434"/>
      <c r="AJ6" s="434"/>
      <c r="AK6" s="434"/>
      <c r="AL6" s="434"/>
      <c r="AM6" s="434"/>
      <c r="AN6" s="434"/>
      <c r="AO6" s="434"/>
      <c r="AP6" s="434"/>
      <c r="AQ6" s="434"/>
      <c r="AR6" s="434"/>
      <c r="AS6" s="434"/>
      <c r="AT6" s="434"/>
      <c r="AU6" s="434"/>
      <c r="AV6" s="434"/>
      <c r="AW6" s="434"/>
      <c r="AX6" s="434"/>
      <c r="AY6" s="434"/>
      <c r="AZ6" s="434"/>
      <c r="BA6" s="434"/>
      <c r="BB6" s="434"/>
      <c r="BC6" s="434"/>
      <c r="BD6" s="434"/>
      <c r="BE6" s="434"/>
      <c r="BF6" s="434"/>
      <c r="BG6" s="434"/>
      <c r="BH6" s="434"/>
      <c r="BI6" s="434"/>
      <c r="BJ6" s="434"/>
      <c r="BK6" s="434"/>
      <c r="BL6" s="434"/>
      <c r="BM6" s="434"/>
      <c r="BN6" s="434"/>
      <c r="BO6" s="434"/>
      <c r="BP6" s="434"/>
      <c r="BQ6" s="434"/>
      <c r="BR6" s="434"/>
      <c r="BS6" s="434"/>
      <c r="BT6" s="434"/>
      <c r="BU6" s="434"/>
      <c r="BV6" s="434"/>
      <c r="BW6" s="434"/>
      <c r="BX6" s="434"/>
      <c r="BY6" s="434"/>
      <c r="BZ6" s="434"/>
      <c r="CA6" s="434"/>
      <c r="CB6" s="434"/>
      <c r="CC6" s="434"/>
    </row>
    <row r="7" spans="1:81" s="11" customFormat="1">
      <c r="A7" s="66"/>
      <c r="B7" s="43"/>
      <c r="C7" s="43"/>
      <c r="D7" s="43"/>
      <c r="E7" s="43"/>
      <c r="F7" s="43"/>
      <c r="G7" s="43"/>
      <c r="H7" s="43"/>
      <c r="I7" s="43"/>
      <c r="J7" s="43"/>
      <c r="K7" s="43"/>
      <c r="L7" s="43"/>
      <c r="M7" s="43"/>
      <c r="N7" s="43"/>
      <c r="O7" s="43"/>
      <c r="P7" s="43"/>
      <c r="Q7" s="43"/>
      <c r="R7" s="43"/>
      <c r="S7" s="43"/>
      <c r="T7" s="43"/>
      <c r="U7" s="43"/>
      <c r="V7" s="43"/>
      <c r="W7" s="43"/>
      <c r="X7" s="43"/>
      <c r="Y7" s="43"/>
      <c r="Z7" s="43"/>
      <c r="AA7" s="43"/>
      <c r="AB7" s="43"/>
      <c r="AC7" s="43"/>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row>
    <row r="8" spans="1:81" s="605" customFormat="1">
      <c r="A8" s="80"/>
      <c r="B8" s="41" t="s">
        <v>226</v>
      </c>
      <c r="C8" s="81"/>
      <c r="D8" s="81"/>
      <c r="E8" s="81"/>
      <c r="F8" s="81"/>
      <c r="G8" s="81"/>
      <c r="H8" s="81"/>
      <c r="I8" s="81"/>
      <c r="J8" s="81"/>
      <c r="K8" s="81"/>
      <c r="L8" s="81"/>
      <c r="M8" s="81"/>
      <c r="N8" s="81"/>
      <c r="O8" s="81"/>
      <c r="P8" s="81"/>
      <c r="Q8" s="81"/>
      <c r="R8" s="81"/>
      <c r="S8" s="81"/>
      <c r="T8" s="81"/>
      <c r="U8" s="81"/>
      <c r="V8" s="81"/>
      <c r="W8" s="81"/>
      <c r="X8" s="81"/>
      <c r="Y8" s="81"/>
      <c r="Z8" s="81"/>
      <c r="AA8" s="81"/>
      <c r="AB8" s="81"/>
      <c r="AC8" s="81"/>
      <c r="AD8" s="80"/>
      <c r="AE8" s="80"/>
      <c r="AF8" s="80"/>
      <c r="AG8" s="80"/>
      <c r="AH8" s="80"/>
      <c r="AI8" s="80"/>
      <c r="AJ8" s="80"/>
      <c r="AK8" s="80"/>
      <c r="AL8" s="80"/>
      <c r="AM8" s="82"/>
      <c r="AN8" s="80"/>
      <c r="AO8" s="80"/>
      <c r="AP8" s="80"/>
      <c r="AQ8" s="80"/>
      <c r="AR8" s="80"/>
      <c r="AS8" s="80"/>
      <c r="AT8" s="80"/>
      <c r="AU8" s="80"/>
      <c r="AV8" s="80"/>
      <c r="AW8" s="80"/>
      <c r="AX8" s="82"/>
      <c r="AY8" s="80"/>
      <c r="AZ8" s="80"/>
      <c r="BA8" s="80"/>
      <c r="BB8" s="80"/>
      <c r="BC8" s="80"/>
      <c r="BD8" s="80"/>
      <c r="BE8" s="80"/>
      <c r="BF8" s="80"/>
      <c r="BG8" s="80"/>
      <c r="BH8" s="80"/>
      <c r="BI8" s="80"/>
      <c r="BJ8" s="80"/>
      <c r="BK8" s="80"/>
      <c r="BL8" s="80"/>
      <c r="BM8" s="80"/>
      <c r="BN8" s="80"/>
      <c r="BO8" s="80"/>
      <c r="BP8" s="80"/>
      <c r="BQ8" s="80"/>
      <c r="BR8" s="80"/>
      <c r="BS8" s="80"/>
      <c r="BT8" s="80"/>
      <c r="BU8" s="80"/>
      <c r="BV8" s="80"/>
      <c r="BW8" s="80"/>
      <c r="BX8" s="80"/>
      <c r="BY8" s="80"/>
      <c r="BZ8" s="80"/>
      <c r="CA8" s="80"/>
      <c r="CB8" s="80"/>
      <c r="CC8" s="80"/>
    </row>
    <row r="9" spans="1:81" s="11" customFormat="1">
      <c r="A9" s="66"/>
      <c r="B9" s="43" t="s">
        <v>227</v>
      </c>
      <c r="C9" s="547">
        <v>157658</v>
      </c>
      <c r="D9" s="547">
        <v>86697</v>
      </c>
      <c r="E9" s="547">
        <v>58171</v>
      </c>
      <c r="F9" s="547">
        <v>144868</v>
      </c>
      <c r="G9" s="547">
        <v>56455</v>
      </c>
      <c r="H9" s="547">
        <v>82585</v>
      </c>
      <c r="I9" s="547">
        <v>139040</v>
      </c>
      <c r="J9" s="547">
        <v>81920</v>
      </c>
      <c r="K9" s="547">
        <v>92806</v>
      </c>
      <c r="L9" s="547">
        <v>174726</v>
      </c>
      <c r="M9" s="547">
        <v>77649</v>
      </c>
      <c r="N9" s="547">
        <v>91335</v>
      </c>
      <c r="O9" s="547">
        <v>168984</v>
      </c>
      <c r="P9" s="547">
        <v>83362</v>
      </c>
      <c r="Q9" s="547">
        <v>85010</v>
      </c>
      <c r="R9" s="547">
        <v>168372</v>
      </c>
      <c r="S9" s="547">
        <v>75377</v>
      </c>
      <c r="T9" s="547">
        <v>79256</v>
      </c>
      <c r="U9" s="547">
        <v>154633</v>
      </c>
      <c r="V9" s="547">
        <v>73058</v>
      </c>
      <c r="W9" s="547">
        <v>80786</v>
      </c>
      <c r="X9" s="547">
        <v>153844</v>
      </c>
      <c r="Y9" s="547">
        <v>71391</v>
      </c>
      <c r="Z9" s="547">
        <v>82629</v>
      </c>
      <c r="AA9" s="547">
        <v>154020</v>
      </c>
      <c r="AB9" s="547">
        <v>75907</v>
      </c>
      <c r="AC9" s="547">
        <v>72115</v>
      </c>
      <c r="AD9" s="545">
        <v>148850</v>
      </c>
      <c r="AE9" s="545">
        <v>60493</v>
      </c>
      <c r="AF9" s="545">
        <v>81449</v>
      </c>
      <c r="AG9" s="545">
        <f>SUM(AE9:AF9)</f>
        <v>141942</v>
      </c>
      <c r="AH9" s="545">
        <v>88822</v>
      </c>
      <c r="AI9" s="545">
        <v>85577</v>
      </c>
      <c r="AJ9" s="545">
        <f>SUM(AH9:AI9)</f>
        <v>174399</v>
      </c>
      <c r="AK9" s="545">
        <v>76922</v>
      </c>
      <c r="AL9" s="545">
        <v>77879</v>
      </c>
      <c r="AM9" s="545">
        <f>SUM(AK9:AL9)</f>
        <v>154801</v>
      </c>
      <c r="AN9" s="545">
        <v>67471</v>
      </c>
      <c r="AO9" s="545">
        <v>86651</v>
      </c>
      <c r="AP9" s="545">
        <f>SUM(AN9:AO9)</f>
        <v>154122</v>
      </c>
      <c r="AQ9" s="545">
        <v>79285</v>
      </c>
      <c r="AR9" s="545">
        <v>92598</v>
      </c>
      <c r="AS9" s="545">
        <f>SUM(AQ9:AR9)</f>
        <v>171883</v>
      </c>
      <c r="AT9" s="545">
        <v>92398</v>
      </c>
      <c r="AU9" s="545">
        <v>111457</v>
      </c>
      <c r="AV9" s="545">
        <f>SUM(AT9:AU9)</f>
        <v>203855</v>
      </c>
      <c r="AW9" s="545">
        <v>107848</v>
      </c>
      <c r="AX9" s="545">
        <v>119052</v>
      </c>
      <c r="AY9" s="545">
        <f>SUM(AW9:AX9)</f>
        <v>226900</v>
      </c>
      <c r="AZ9" s="545">
        <v>114543</v>
      </c>
      <c r="BA9" s="545">
        <v>118808</v>
      </c>
      <c r="BB9" s="545">
        <f>SUM(AZ9:BA9)</f>
        <v>233351</v>
      </c>
      <c r="BC9" s="545">
        <v>96574.714392689726</v>
      </c>
      <c r="BD9" s="545">
        <v>102591.14000000004</v>
      </c>
      <c r="BE9" s="545">
        <f>SUM(BC9:BD9)</f>
        <v>199165.85439268977</v>
      </c>
      <c r="BF9" s="545">
        <v>82810.659641274571</v>
      </c>
      <c r="BG9" s="545">
        <v>87593.992800000007</v>
      </c>
      <c r="BH9" s="545">
        <f>SUM(BF9:BG9)</f>
        <v>170404.65244127458</v>
      </c>
      <c r="BI9" s="545">
        <v>73284.879459210832</v>
      </c>
      <c r="BJ9" s="545">
        <v>83131.859615999987</v>
      </c>
      <c r="BK9" s="545">
        <f>SUM(BI9:BJ9)</f>
        <v>156416.73907521082</v>
      </c>
      <c r="BL9" s="545">
        <v>73284.879459210832</v>
      </c>
      <c r="BM9" s="545">
        <v>87288.452596800009</v>
      </c>
      <c r="BN9" s="545">
        <f>SUM(BL9:BM9)</f>
        <v>160573.33205601084</v>
      </c>
      <c r="BO9" s="545">
        <v>80613.36740513191</v>
      </c>
      <c r="BP9" s="545">
        <v>91652.875226640012</v>
      </c>
      <c r="BQ9" s="545">
        <f>SUM(BO9:BP9)</f>
        <v>172266.24263177192</v>
      </c>
      <c r="BR9" s="545">
        <v>80613.36740513191</v>
      </c>
      <c r="BS9" s="545">
        <v>91652.875226640012</v>
      </c>
      <c r="BT9" s="545">
        <f>SUM(BR9:BS9)</f>
        <v>172266.24263177192</v>
      </c>
      <c r="BU9" s="545">
        <v>84644.035775388504</v>
      </c>
      <c r="BV9" s="545">
        <v>86153.702713041595</v>
      </c>
      <c r="BW9" s="545">
        <f>SUM(BU9:BV9)</f>
        <v>170797.7384884301</v>
      </c>
      <c r="BX9" s="545">
        <v>79565.393628865204</v>
      </c>
      <c r="BY9" s="545">
        <v>86153.702713041581</v>
      </c>
      <c r="BZ9" s="545">
        <f>SUM(BX9:BY9)</f>
        <v>165719.09634190678</v>
      </c>
      <c r="CA9" s="545">
        <v>79565.393628865204</v>
      </c>
      <c r="CB9" s="545">
        <v>86153.702713041581</v>
      </c>
      <c r="CC9" s="545">
        <f>SUM(CA9:CB9)</f>
        <v>165719.09634190678</v>
      </c>
    </row>
    <row r="10" spans="1:81" s="11" customFormat="1">
      <c r="A10" s="66"/>
      <c r="B10" s="84" t="s">
        <v>437</v>
      </c>
      <c r="C10" s="257"/>
      <c r="D10" s="257"/>
      <c r="E10" s="257"/>
      <c r="F10" s="275">
        <v>-8.1124966700072298E-2</v>
      </c>
      <c r="G10" s="275">
        <v>-0.34882406542325572</v>
      </c>
      <c r="H10" s="275">
        <v>0.41969366179023915</v>
      </c>
      <c r="I10" s="275">
        <v>-4.0229726371593499E-2</v>
      </c>
      <c r="J10" s="275">
        <v>0.45106722168098479</v>
      </c>
      <c r="K10" s="275">
        <v>0.12376339528970148</v>
      </c>
      <c r="L10" s="275">
        <v>0.25665995397008046</v>
      </c>
      <c r="M10" s="275">
        <v>-5.2136230468750003E-2</v>
      </c>
      <c r="N10" s="275">
        <v>-1.5850268301618398E-2</v>
      </c>
      <c r="O10" s="275">
        <v>-3.2862882455959586E-2</v>
      </c>
      <c r="P10" s="275">
        <v>7.3574675784620513E-2</v>
      </c>
      <c r="Q10" s="275">
        <v>-6.9250561121147469E-2</v>
      </c>
      <c r="R10" s="275">
        <v>-3.6216446527481683E-3</v>
      </c>
      <c r="S10" s="275">
        <v>-9.5787049255056211E-2</v>
      </c>
      <c r="T10" s="275">
        <v>-6.7686154570050561E-2</v>
      </c>
      <c r="U10" s="275">
        <v>-8.1599078231534894E-2</v>
      </c>
      <c r="V10" s="275">
        <v>-3.076535282645898E-2</v>
      </c>
      <c r="W10" s="275">
        <v>1.9304532148985531E-2</v>
      </c>
      <c r="X10" s="275">
        <v>-5.1024037559900259E-3</v>
      </c>
      <c r="Y10" s="275">
        <v>-2.2817487475704223E-2</v>
      </c>
      <c r="Z10" s="275">
        <v>2.2813358750278567E-2</v>
      </c>
      <c r="AA10" s="275">
        <v>1.1440160162241586E-3</v>
      </c>
      <c r="AB10" s="275">
        <v>6.3257273325769248E-2</v>
      </c>
      <c r="AC10" s="275">
        <v>-0.12724346173861478</v>
      </c>
      <c r="AD10" s="275">
        <v>-3.8942994416309551E-2</v>
      </c>
      <c r="AE10" s="275">
        <v>-0.21527658845692754</v>
      </c>
      <c r="AF10" s="275">
        <v>0.10201761076059079</v>
      </c>
      <c r="AG10" s="275">
        <v>-6.0693680669089756E-2</v>
      </c>
      <c r="AH10" s="275">
        <v>0.44506933485545441</v>
      </c>
      <c r="AI10" s="275">
        <v>3.6767666599557103E-2</v>
      </c>
      <c r="AJ10" s="275">
        <v>0.21169032926250386</v>
      </c>
      <c r="AK10" s="275">
        <v>-0.12696771495289105</v>
      </c>
      <c r="AL10" s="275">
        <v>-0.10896897832366448</v>
      </c>
      <c r="AM10" s="470">
        <f>+AM9/AJ9-1</f>
        <v>-0.11237449756019247</v>
      </c>
      <c r="AN10" s="470">
        <f>+AN9/AK9-1</f>
        <v>-0.12286472010608152</v>
      </c>
      <c r="AO10" s="470">
        <f>+AO9/AL9-1</f>
        <v>0.11263626908409208</v>
      </c>
      <c r="AP10" s="470">
        <f>+AP9/AM9-1</f>
        <v>-4.386276574440684E-3</v>
      </c>
      <c r="AQ10" s="470">
        <f>+AQ9/AN9-1</f>
        <v>0.17509744927450321</v>
      </c>
      <c r="AR10" s="470">
        <f t="shared" ref="AR10:CC10" si="0">AR9/AO9-1</f>
        <v>6.8631637257504208E-2</v>
      </c>
      <c r="AS10" s="470">
        <f t="shared" si="0"/>
        <v>0.11523987490429666</v>
      </c>
      <c r="AT10" s="470">
        <f t="shared" si="0"/>
        <v>0.16539067919530814</v>
      </c>
      <c r="AU10" s="470">
        <f t="shared" si="0"/>
        <v>0.20366530594613264</v>
      </c>
      <c r="AV10" s="470">
        <f t="shared" si="0"/>
        <v>0.18601025115921876</v>
      </c>
      <c r="AW10" s="470">
        <f t="shared" si="0"/>
        <v>0.16721141150241348</v>
      </c>
      <c r="AX10" s="470">
        <f t="shared" si="0"/>
        <v>6.8142871241824166E-2</v>
      </c>
      <c r="AY10" s="470">
        <f t="shared" si="0"/>
        <v>0.11304603762478238</v>
      </c>
      <c r="AZ10" s="470">
        <f t="shared" si="0"/>
        <v>6.2078109932497627E-2</v>
      </c>
      <c r="BA10" s="470">
        <f t="shared" si="0"/>
        <v>-2.0495245774955206E-3</v>
      </c>
      <c r="BB10" s="470">
        <f t="shared" si="0"/>
        <v>2.8431026884089938E-2</v>
      </c>
      <c r="BC10" s="470">
        <f t="shared" si="0"/>
        <v>-0.15686934694665122</v>
      </c>
      <c r="BD10" s="470">
        <f t="shared" si="0"/>
        <v>-0.13649636388121977</v>
      </c>
      <c r="BE10" s="470">
        <f t="shared" si="0"/>
        <v>-0.14649667499736552</v>
      </c>
      <c r="BF10" s="470">
        <f t="shared" si="0"/>
        <v>-0.14252234488054605</v>
      </c>
      <c r="BG10" s="470">
        <f t="shared" si="0"/>
        <v>-0.1461836489973698</v>
      </c>
      <c r="BH10" s="470">
        <f t="shared" si="0"/>
        <v>-0.14440829749213702</v>
      </c>
      <c r="BI10" s="470">
        <f t="shared" si="0"/>
        <v>-0.11503084534440644</v>
      </c>
      <c r="BJ10" s="470">
        <f t="shared" si="0"/>
        <v>-5.0941086727125606E-2</v>
      </c>
      <c r="BK10" s="470">
        <f t="shared" si="0"/>
        <v>-8.2086452251556419E-2</v>
      </c>
      <c r="BL10" s="470">
        <f t="shared" si="0"/>
        <v>0</v>
      </c>
      <c r="BM10" s="470">
        <f t="shared" si="0"/>
        <v>5.0000000000000266E-2</v>
      </c>
      <c r="BN10" s="470">
        <f t="shared" si="0"/>
        <v>2.6573837335922113E-2</v>
      </c>
      <c r="BO10" s="470">
        <f t="shared" si="0"/>
        <v>9.9999999999999867E-2</v>
      </c>
      <c r="BP10" s="470">
        <f t="shared" si="0"/>
        <v>5.0000000000000044E-2</v>
      </c>
      <c r="BQ10" s="470">
        <f t="shared" si="0"/>
        <v>7.2819754227198663E-2</v>
      </c>
      <c r="BR10" s="470">
        <f t="shared" si="0"/>
        <v>0</v>
      </c>
      <c r="BS10" s="470">
        <f t="shared" si="0"/>
        <v>0</v>
      </c>
      <c r="BT10" s="470">
        <f t="shared" si="0"/>
        <v>0</v>
      </c>
      <c r="BU10" s="470">
        <f t="shared" si="0"/>
        <v>5.0000000000000044E-2</v>
      </c>
      <c r="BV10" s="470">
        <f t="shared" si="0"/>
        <v>-6.0000000000000164E-2</v>
      </c>
      <c r="BW10" s="470">
        <f t="shared" si="0"/>
        <v>-8.5246193386874225E-3</v>
      </c>
      <c r="BX10" s="470">
        <f t="shared" si="0"/>
        <v>-5.9999999999999831E-2</v>
      </c>
      <c r="BY10" s="470">
        <f t="shared" si="0"/>
        <v>0</v>
      </c>
      <c r="BZ10" s="470">
        <f t="shared" si="0"/>
        <v>-2.9734832506973397E-2</v>
      </c>
      <c r="CA10" s="470">
        <f t="shared" si="0"/>
        <v>0</v>
      </c>
      <c r="CB10" s="470">
        <f t="shared" si="0"/>
        <v>0</v>
      </c>
      <c r="CC10" s="470">
        <f t="shared" si="0"/>
        <v>0</v>
      </c>
    </row>
    <row r="11" spans="1:81" s="11" customFormat="1" ht="18">
      <c r="A11" s="66"/>
      <c r="B11" s="43"/>
      <c r="C11" s="257"/>
      <c r="D11" s="257"/>
      <c r="E11" s="257"/>
      <c r="F11" s="257"/>
      <c r="G11" s="257"/>
      <c r="H11" s="257"/>
      <c r="I11" s="257"/>
      <c r="J11" s="257"/>
      <c r="K11" s="257"/>
      <c r="L11" s="257"/>
      <c r="M11" s="257"/>
      <c r="N11" s="257"/>
      <c r="O11" s="257"/>
      <c r="P11" s="257"/>
      <c r="Q11" s="257"/>
      <c r="R11" s="257"/>
      <c r="S11" s="257"/>
      <c r="T11" s="257"/>
      <c r="U11" s="257"/>
      <c r="V11" s="257"/>
      <c r="W11" s="257"/>
      <c r="X11" s="257"/>
      <c r="Y11" s="257"/>
      <c r="Z11" s="257"/>
      <c r="AA11" s="257"/>
      <c r="AB11" s="257"/>
      <c r="AC11" s="257"/>
      <c r="AD11" s="257"/>
      <c r="AE11" s="257"/>
      <c r="AF11" s="257"/>
      <c r="AG11" s="257"/>
      <c r="AH11" s="257"/>
      <c r="AI11" s="257"/>
      <c r="AJ11" s="85"/>
      <c r="AK11" s="86"/>
      <c r="AL11" s="257"/>
      <c r="AM11" s="257"/>
      <c r="AN11" s="257"/>
      <c r="AO11" s="257"/>
      <c r="AP11" s="257"/>
      <c r="AQ11" s="257"/>
      <c r="AR11" s="257"/>
      <c r="AS11" s="257"/>
      <c r="AT11" s="257"/>
      <c r="AU11" s="257"/>
      <c r="AV11" s="257"/>
      <c r="AW11" s="257"/>
      <c r="AX11" s="257"/>
      <c r="AY11" s="257"/>
      <c r="AZ11" s="257"/>
      <c r="BA11" s="257"/>
      <c r="BB11" s="257"/>
      <c r="BC11" s="257"/>
      <c r="BD11" s="257"/>
      <c r="BE11" s="257"/>
      <c r="BF11" s="257"/>
      <c r="BG11" s="257"/>
      <c r="BH11" s="257"/>
      <c r="BI11" s="257"/>
      <c r="BJ11" s="257"/>
      <c r="BK11" s="257"/>
      <c r="BL11" s="257"/>
      <c r="BM11" s="257"/>
      <c r="BN11" s="257"/>
      <c r="BO11" s="257"/>
      <c r="BP11" s="257"/>
      <c r="BQ11" s="257"/>
      <c r="BR11" s="257"/>
      <c r="BS11" s="257"/>
      <c r="BT11" s="257"/>
      <c r="BU11" s="257"/>
      <c r="BV11" s="257"/>
      <c r="BW11" s="257"/>
      <c r="BX11" s="257"/>
      <c r="BY11" s="257"/>
      <c r="BZ11" s="257"/>
      <c r="CA11" s="257"/>
      <c r="CB11" s="257"/>
      <c r="CC11" s="257"/>
    </row>
    <row r="12" spans="1:81" s="11" customFormat="1">
      <c r="A12" s="66"/>
      <c r="B12" s="43" t="s">
        <v>228</v>
      </c>
      <c r="C12" s="257"/>
      <c r="D12" s="547">
        <v>86401</v>
      </c>
      <c r="E12" s="547">
        <v>72216</v>
      </c>
      <c r="F12" s="547">
        <v>158617</v>
      </c>
      <c r="G12" s="547">
        <v>55266</v>
      </c>
      <c r="H12" s="547">
        <v>70153</v>
      </c>
      <c r="I12" s="547">
        <v>125419</v>
      </c>
      <c r="J12" s="547">
        <v>80728</v>
      </c>
      <c r="K12" s="547">
        <v>91663</v>
      </c>
      <c r="L12" s="547">
        <v>172391</v>
      </c>
      <c r="M12" s="547">
        <v>83361</v>
      </c>
      <c r="N12" s="547">
        <v>83300</v>
      </c>
      <c r="O12" s="547">
        <v>166661</v>
      </c>
      <c r="P12" s="547">
        <v>87892</v>
      </c>
      <c r="Q12" s="547">
        <v>85678</v>
      </c>
      <c r="R12" s="547">
        <v>173570</v>
      </c>
      <c r="S12" s="547">
        <v>76574</v>
      </c>
      <c r="T12" s="547">
        <v>82441</v>
      </c>
      <c r="U12" s="547">
        <v>159015</v>
      </c>
      <c r="V12" s="547">
        <v>72545</v>
      </c>
      <c r="W12" s="547">
        <v>78503</v>
      </c>
      <c r="X12" s="547">
        <v>151048</v>
      </c>
      <c r="Y12" s="547">
        <v>74430</v>
      </c>
      <c r="Z12" s="547">
        <v>78127</v>
      </c>
      <c r="AA12" s="547">
        <v>152557</v>
      </c>
      <c r="AB12" s="547">
        <v>77805</v>
      </c>
      <c r="AC12" s="547">
        <v>78563</v>
      </c>
      <c r="AD12" s="547">
        <v>156368</v>
      </c>
      <c r="AE12" s="547">
        <v>62131</v>
      </c>
      <c r="AF12" s="547">
        <v>67737</v>
      </c>
      <c r="AG12" s="547">
        <v>129868</v>
      </c>
      <c r="AH12" s="547">
        <v>83602</v>
      </c>
      <c r="AI12" s="547">
        <v>87590</v>
      </c>
      <c r="AJ12" s="547">
        <v>171192</v>
      </c>
      <c r="AK12" s="547">
        <v>76716</v>
      </c>
      <c r="AL12" s="547">
        <v>75253</v>
      </c>
      <c r="AM12" s="547">
        <v>151969</v>
      </c>
      <c r="AN12" s="545">
        <v>68980</v>
      </c>
      <c r="AO12" s="545">
        <v>79232</v>
      </c>
      <c r="AP12" s="545">
        <f>+AO12+AN12</f>
        <v>148212</v>
      </c>
      <c r="AQ12" s="545">
        <v>81015</v>
      </c>
      <c r="AR12" s="545">
        <v>86783</v>
      </c>
      <c r="AS12" s="545">
        <f>AR12+AQ12</f>
        <v>167798</v>
      </c>
      <c r="AT12" s="545">
        <v>93270</v>
      </c>
      <c r="AU12" s="545">
        <v>104731</v>
      </c>
      <c r="AV12" s="545">
        <f>AU12+AT12</f>
        <v>198001</v>
      </c>
      <c r="AW12" s="545">
        <v>105595</v>
      </c>
      <c r="AX12" s="545">
        <v>116040</v>
      </c>
      <c r="AY12" s="545">
        <f>AX12+AW12</f>
        <v>221635</v>
      </c>
      <c r="AZ12" s="545">
        <v>117576</v>
      </c>
      <c r="BA12" s="545">
        <v>115727</v>
      </c>
      <c r="BB12" s="545">
        <f>BA12+AZ12</f>
        <v>233303</v>
      </c>
      <c r="BC12" s="545">
        <v>108153</v>
      </c>
      <c r="BD12" s="545">
        <v>101103.51439268974</v>
      </c>
      <c r="BE12" s="545">
        <f>BD12+BC12</f>
        <v>209256.51439268974</v>
      </c>
      <c r="BF12" s="545">
        <v>92763.670000000042</v>
      </c>
      <c r="BG12" s="545">
        <v>86689.743241274555</v>
      </c>
      <c r="BH12" s="545">
        <f>BG12+BF12</f>
        <v>179453.4132412746</v>
      </c>
      <c r="BI12" s="545">
        <v>80245.883700000006</v>
      </c>
      <c r="BJ12" s="545">
        <v>79661.51219121083</v>
      </c>
      <c r="BK12" s="545">
        <f>BJ12+BI12</f>
        <v>159907.39589121082</v>
      </c>
      <c r="BL12" s="545">
        <v>78054.784884000008</v>
      </c>
      <c r="BM12" s="545">
        <v>81750.180152810834</v>
      </c>
      <c r="BN12" s="545">
        <f>BM12+BL12</f>
        <v>159804.96503681084</v>
      </c>
      <c r="BO12" s="545">
        <v>83792.338353200015</v>
      </c>
      <c r="BP12" s="545">
        <v>87732.096808411909</v>
      </c>
      <c r="BQ12" s="545">
        <f>BP12+BO12</f>
        <v>171524.43516161194</v>
      </c>
      <c r="BR12" s="545">
        <v>83792.338353200015</v>
      </c>
      <c r="BS12" s="545">
        <v>87052.637507971696</v>
      </c>
      <c r="BT12" s="545">
        <f>BS12+BR12</f>
        <v>170844.97586117173</v>
      </c>
      <c r="BU12" s="545">
        <v>82703.037954608386</v>
      </c>
      <c r="BV12" s="545">
        <v>84426.988507898393</v>
      </c>
      <c r="BW12" s="545">
        <f>BV12+BU12</f>
        <v>167130.02646250679</v>
      </c>
      <c r="BX12" s="545">
        <v>82703.0379546084</v>
      </c>
      <c r="BY12" s="545">
        <v>84426.988507898393</v>
      </c>
      <c r="BZ12" s="545">
        <f>BY12+BX12</f>
        <v>167130.02646250679</v>
      </c>
      <c r="CA12" s="545">
        <v>82703.0379546084</v>
      </c>
      <c r="CB12" s="545">
        <f>BY12</f>
        <v>84426.988507898393</v>
      </c>
      <c r="CC12" s="545">
        <f>CB12+CA12</f>
        <v>167130.02646250679</v>
      </c>
    </row>
    <row r="13" spans="1:81" s="11" customFormat="1">
      <c r="A13" s="66"/>
      <c r="B13" s="84" t="s">
        <v>437</v>
      </c>
      <c r="C13" s="257"/>
      <c r="D13" s="257"/>
      <c r="E13" s="257"/>
      <c r="F13" s="257"/>
      <c r="G13" s="536">
        <v>-0.3603546255251675</v>
      </c>
      <c r="H13" s="536">
        <v>-2.8567076548133397E-2</v>
      </c>
      <c r="I13" s="536">
        <v>-0.20929660755152346</v>
      </c>
      <c r="J13" s="536">
        <v>0.46071725835052302</v>
      </c>
      <c r="K13" s="536">
        <v>0.30661554031901694</v>
      </c>
      <c r="L13" s="536">
        <v>0.37452060692558553</v>
      </c>
      <c r="M13" s="536">
        <v>3.2615697155881529E-2</v>
      </c>
      <c r="N13" s="536">
        <v>-9.1236376727796387E-2</v>
      </c>
      <c r="O13" s="536">
        <v>-3.3238394115702063E-2</v>
      </c>
      <c r="P13" s="536">
        <v>5.4353954487110334E-2</v>
      </c>
      <c r="Q13" s="536">
        <v>2.8547418967586946E-2</v>
      </c>
      <c r="R13" s="536">
        <v>4.1455409483922345E-2</v>
      </c>
      <c r="S13" s="536">
        <v>-0.12877167432758385</v>
      </c>
      <c r="T13" s="536">
        <v>-3.7780993954107278E-2</v>
      </c>
      <c r="U13" s="536">
        <v>-8.3856657256438316E-2</v>
      </c>
      <c r="V13" s="536">
        <v>-5.2615770365920578E-2</v>
      </c>
      <c r="W13" s="536">
        <v>-4.776749432927796E-2</v>
      </c>
      <c r="X13" s="536">
        <v>-5.0102191617143021E-2</v>
      </c>
      <c r="Y13" s="536">
        <v>2.5983872079399006E-2</v>
      </c>
      <c r="Z13" s="536">
        <v>-4.7896258741704223E-3</v>
      </c>
      <c r="AA13" s="536">
        <v>9.9902017901594142E-3</v>
      </c>
      <c r="AB13" s="536">
        <v>4.5344619105199602E-2</v>
      </c>
      <c r="AC13" s="536">
        <v>5.5806571351773027E-3</v>
      </c>
      <c r="AD13" s="536">
        <v>2.4980826838493231E-2</v>
      </c>
      <c r="AE13" s="536">
        <v>-0.2014523488207699</v>
      </c>
      <c r="AF13" s="536">
        <v>-0.13780023675266984</v>
      </c>
      <c r="AG13" s="536">
        <v>-0.16947201473447249</v>
      </c>
      <c r="AH13" s="536">
        <v>0.34557628237111904</v>
      </c>
      <c r="AI13" s="536">
        <v>0.29308944889794342</v>
      </c>
      <c r="AJ13" s="536">
        <v>0.3182000184803031</v>
      </c>
      <c r="AK13" s="536">
        <v>-8.2366450563383653E-2</v>
      </c>
      <c r="AL13" s="536">
        <v>-0.14084941203333712</v>
      </c>
      <c r="AM13" s="536">
        <v>-0.11228912566007754</v>
      </c>
      <c r="AN13" s="501">
        <f>+AN12/AK12-1</f>
        <v>-0.10083945982585119</v>
      </c>
      <c r="AO13" s="501">
        <v>-8.8639703696996475E-2</v>
      </c>
      <c r="AP13" s="501">
        <v>-0.11013605236252788</v>
      </c>
      <c r="AQ13" s="546">
        <f>+AQ12/AN12-1</f>
        <v>0.17447086111916499</v>
      </c>
      <c r="AR13" s="501">
        <f t="shared" ref="AR13:CC13" si="1">AR12/AO12-1</f>
        <v>9.5302403069466912E-2</v>
      </c>
      <c r="AS13" s="501">
        <f t="shared" si="1"/>
        <v>0.13214854397754561</v>
      </c>
      <c r="AT13" s="501">
        <f t="shared" si="1"/>
        <v>0.15126828365117562</v>
      </c>
      <c r="AU13" s="501">
        <f t="shared" si="1"/>
        <v>0.20681469873131841</v>
      </c>
      <c r="AV13" s="501">
        <f t="shared" si="1"/>
        <v>0.17999618589017752</v>
      </c>
      <c r="AW13" s="501">
        <f t="shared" si="1"/>
        <v>0.13214324005575206</v>
      </c>
      <c r="AX13" s="501">
        <f t="shared" si="1"/>
        <v>0.10798139996753586</v>
      </c>
      <c r="AY13" s="501">
        <f t="shared" si="1"/>
        <v>0.11936303352003264</v>
      </c>
      <c r="AZ13" s="501">
        <f t="shared" si="1"/>
        <v>0.11346181163880864</v>
      </c>
      <c r="BA13" s="501">
        <f t="shared" si="1"/>
        <v>-2.6973457428473013E-3</v>
      </c>
      <c r="BB13" s="501">
        <f t="shared" si="1"/>
        <v>5.2645114715636154E-2</v>
      </c>
      <c r="BC13" s="501">
        <f t="shared" si="1"/>
        <v>-8.0143906919779573E-2</v>
      </c>
      <c r="BD13" s="501">
        <f t="shared" si="1"/>
        <v>-0.1263619173339865</v>
      </c>
      <c r="BE13" s="501">
        <f t="shared" si="1"/>
        <v>-0.10306976595804707</v>
      </c>
      <c r="BF13" s="501">
        <f t="shared" si="1"/>
        <v>-0.14229221565744787</v>
      </c>
      <c r="BG13" s="501">
        <f t="shared" si="1"/>
        <v>-0.14256449182796527</v>
      </c>
      <c r="BH13" s="501">
        <f t="shared" si="1"/>
        <v>-0.14242376748896235</v>
      </c>
      <c r="BI13" s="501">
        <f t="shared" si="1"/>
        <v>-0.13494276692588847</v>
      </c>
      <c r="BJ13" s="501">
        <f t="shared" si="1"/>
        <v>-8.1073386392468416E-2</v>
      </c>
      <c r="BK13" s="501">
        <f t="shared" si="1"/>
        <v>-0.10891973017968859</v>
      </c>
      <c r="BL13" s="501">
        <f t="shared" si="1"/>
        <v>-2.730481259563966E-2</v>
      </c>
      <c r="BM13" s="501">
        <f t="shared" si="1"/>
        <v>2.6219285877810083E-2</v>
      </c>
      <c r="BN13" s="501">
        <f t="shared" si="1"/>
        <v>-6.4056358262298829E-4</v>
      </c>
      <c r="BO13" s="501">
        <f t="shared" si="1"/>
        <v>7.3506748852447457E-2</v>
      </c>
      <c r="BP13" s="501">
        <f t="shared" si="1"/>
        <v>7.3173131171325068E-2</v>
      </c>
      <c r="BQ13" s="501">
        <f t="shared" si="1"/>
        <v>7.3336082656139778E-2</v>
      </c>
      <c r="BR13" s="501">
        <f t="shared" si="1"/>
        <v>0</v>
      </c>
      <c r="BS13" s="501">
        <f t="shared" si="1"/>
        <v>-7.7447060444024718E-3</v>
      </c>
      <c r="BT13" s="501">
        <f t="shared" si="1"/>
        <v>-3.9612974081507657E-3</v>
      </c>
      <c r="BU13" s="501">
        <f t="shared" si="1"/>
        <v>-1.3000000000000345E-2</v>
      </c>
      <c r="BV13" s="501">
        <f t="shared" si="1"/>
        <v>-3.0161624911512419E-2</v>
      </c>
      <c r="BW13" s="501">
        <f t="shared" si="1"/>
        <v>-2.1744563338425005E-2</v>
      </c>
      <c r="BX13" s="501">
        <f t="shared" si="1"/>
        <v>0</v>
      </c>
      <c r="BY13" s="501">
        <f t="shared" si="1"/>
        <v>0</v>
      </c>
      <c r="BZ13" s="501">
        <f t="shared" si="1"/>
        <v>0</v>
      </c>
      <c r="CA13" s="501">
        <f t="shared" si="1"/>
        <v>0</v>
      </c>
      <c r="CB13" s="501">
        <f t="shared" si="1"/>
        <v>0</v>
      </c>
      <c r="CC13" s="501">
        <f t="shared" si="1"/>
        <v>0</v>
      </c>
    </row>
    <row r="14" spans="1:81" s="11" customFormat="1">
      <c r="A14" s="66"/>
      <c r="B14" s="43"/>
      <c r="C14" s="257"/>
      <c r="D14" s="257"/>
      <c r="E14" s="257"/>
      <c r="F14" s="257"/>
      <c r="G14" s="257"/>
      <c r="H14" s="257"/>
      <c r="I14" s="257"/>
      <c r="J14" s="257"/>
      <c r="K14" s="257"/>
      <c r="L14" s="257"/>
      <c r="M14" s="257"/>
      <c r="N14" s="257"/>
      <c r="O14" s="257"/>
      <c r="P14" s="257"/>
      <c r="Q14" s="257"/>
      <c r="R14" s="257"/>
      <c r="S14" s="257"/>
      <c r="T14" s="257"/>
      <c r="U14" s="257"/>
      <c r="V14" s="257"/>
      <c r="W14" s="257"/>
      <c r="X14" s="257"/>
      <c r="Y14" s="257"/>
      <c r="Z14" s="257"/>
      <c r="AA14" s="257"/>
      <c r="AB14" s="257"/>
      <c r="AC14" s="257"/>
      <c r="AD14" s="257"/>
      <c r="AE14" s="257"/>
      <c r="AF14" s="257"/>
      <c r="AG14" s="257"/>
      <c r="AH14" s="257"/>
      <c r="AI14" s="257"/>
      <c r="AJ14" s="257"/>
      <c r="AK14" s="257"/>
      <c r="AL14" s="257"/>
      <c r="AM14" s="257"/>
      <c r="AN14" s="257"/>
      <c r="AO14" s="257"/>
      <c r="AP14" s="257"/>
      <c r="AQ14" s="257"/>
      <c r="AR14" s="257"/>
      <c r="AS14" s="257"/>
      <c r="AT14" s="257"/>
      <c r="AU14" s="257"/>
      <c r="AV14" s="257"/>
      <c r="AW14" s="257"/>
      <c r="AX14" s="257"/>
      <c r="AY14" s="257"/>
      <c r="AZ14" s="257"/>
      <c r="BA14" s="257"/>
      <c r="BB14" s="257"/>
      <c r="BC14" s="257"/>
      <c r="BD14" s="257"/>
      <c r="BE14" s="257"/>
      <c r="BF14" s="257"/>
      <c r="BG14" s="257"/>
      <c r="BH14" s="257"/>
      <c r="BI14" s="257"/>
      <c r="BJ14" s="257"/>
      <c r="BK14" s="257"/>
      <c r="BL14" s="257"/>
      <c r="BM14" s="257"/>
      <c r="BN14" s="257"/>
      <c r="BO14" s="257"/>
      <c r="BP14" s="257"/>
      <c r="BQ14" s="257"/>
      <c r="BR14" s="257"/>
      <c r="BS14" s="257"/>
      <c r="BT14" s="257"/>
      <c r="BU14" s="257"/>
      <c r="BV14" s="257"/>
      <c r="BW14" s="257"/>
      <c r="BX14" s="257"/>
      <c r="BY14" s="257"/>
      <c r="BZ14" s="257"/>
      <c r="CA14" s="257"/>
      <c r="CB14" s="257"/>
      <c r="CC14" s="257"/>
    </row>
    <row r="15" spans="1:81" s="11" customFormat="1">
      <c r="A15" s="66"/>
      <c r="B15" s="41" t="s">
        <v>229</v>
      </c>
      <c r="C15" s="257"/>
      <c r="D15" s="257"/>
      <c r="E15" s="257"/>
      <c r="F15" s="257"/>
      <c r="G15" s="257"/>
      <c r="H15" s="257"/>
      <c r="I15" s="257"/>
      <c r="J15" s="257"/>
      <c r="K15" s="257"/>
      <c r="L15" s="257"/>
      <c r="M15" s="257"/>
      <c r="N15" s="257"/>
      <c r="O15" s="257"/>
      <c r="P15" s="257"/>
      <c r="Q15" s="257"/>
      <c r="R15" s="257"/>
      <c r="S15" s="257"/>
      <c r="T15" s="257"/>
      <c r="U15" s="257"/>
      <c r="V15" s="257"/>
      <c r="W15" s="257"/>
      <c r="X15" s="257"/>
      <c r="Y15" s="257"/>
      <c r="Z15" s="257"/>
      <c r="AA15" s="257"/>
      <c r="AB15" s="257"/>
      <c r="AC15" s="257"/>
      <c r="AD15" s="257"/>
      <c r="AE15" s="257"/>
      <c r="AF15" s="257"/>
      <c r="AG15" s="257"/>
      <c r="AH15" s="257"/>
      <c r="AI15" s="257"/>
      <c r="AJ15" s="257"/>
      <c r="AK15" s="257"/>
      <c r="AL15" s="257"/>
      <c r="AM15" s="257"/>
      <c r="AN15" s="257"/>
      <c r="AO15" s="257"/>
      <c r="AP15" s="257"/>
      <c r="AQ15" s="257"/>
      <c r="AR15" s="257"/>
      <c r="AS15" s="257"/>
      <c r="AT15" s="257"/>
      <c r="AU15" s="257"/>
      <c r="AV15" s="257"/>
      <c r="AW15" s="257"/>
      <c r="AX15" s="257"/>
      <c r="AY15" s="257"/>
      <c r="AZ15" s="257"/>
      <c r="BA15" s="257"/>
      <c r="BB15" s="257"/>
      <c r="BC15" s="257"/>
      <c r="BD15" s="257"/>
      <c r="BE15" s="257"/>
      <c r="BF15" s="257"/>
      <c r="BG15" s="257"/>
      <c r="BH15" s="257"/>
      <c r="BI15" s="257"/>
      <c r="BJ15" s="257"/>
      <c r="BK15" s="257"/>
      <c r="BL15" s="257"/>
      <c r="BM15" s="257"/>
      <c r="BN15" s="257"/>
      <c r="BO15" s="257"/>
      <c r="BP15" s="257"/>
      <c r="BQ15" s="257"/>
      <c r="BR15" s="257"/>
      <c r="BS15" s="257"/>
      <c r="BT15" s="257"/>
      <c r="BU15" s="257"/>
      <c r="BV15" s="257"/>
      <c r="BW15" s="257"/>
      <c r="BX15" s="257"/>
      <c r="BY15" s="257"/>
      <c r="BZ15" s="257"/>
      <c r="CA15" s="257"/>
      <c r="CB15" s="257"/>
      <c r="CC15" s="257"/>
    </row>
    <row r="16" spans="1:81" s="11" customFormat="1">
      <c r="A16" s="66"/>
      <c r="B16" s="43" t="s">
        <v>230</v>
      </c>
      <c r="C16" s="257"/>
      <c r="D16" s="257"/>
      <c r="E16" s="257"/>
      <c r="F16" s="257"/>
      <c r="G16" s="257"/>
      <c r="H16" s="257"/>
      <c r="I16" s="257"/>
      <c r="J16" s="257"/>
      <c r="K16" s="257"/>
      <c r="L16" s="257"/>
      <c r="M16" s="257"/>
      <c r="N16" s="257"/>
      <c r="O16" s="257"/>
      <c r="P16" s="257"/>
      <c r="Q16" s="257"/>
      <c r="R16" s="257"/>
      <c r="S16" s="257"/>
      <c r="T16" s="257"/>
      <c r="U16" s="257"/>
      <c r="V16" s="257"/>
      <c r="W16" s="257"/>
      <c r="X16" s="257"/>
      <c r="Y16" s="257"/>
      <c r="Z16" s="257"/>
      <c r="AA16" s="257"/>
      <c r="AB16" s="257"/>
      <c r="AC16" s="257"/>
      <c r="AD16" s="257"/>
      <c r="AE16" s="257"/>
      <c r="AF16" s="257"/>
      <c r="AG16" s="257"/>
      <c r="AH16" s="257"/>
      <c r="AI16" s="257"/>
      <c r="AJ16" s="257"/>
      <c r="AK16" s="257"/>
      <c r="AL16" s="257"/>
      <c r="AM16" s="257"/>
      <c r="AN16" s="257"/>
      <c r="AO16" s="257"/>
      <c r="AP16" s="257"/>
      <c r="AQ16" s="257"/>
      <c r="AR16" s="257"/>
      <c r="AS16" s="257"/>
      <c r="AT16" s="257"/>
      <c r="AU16" s="257"/>
      <c r="AV16" s="257"/>
      <c r="AW16" s="257"/>
      <c r="AX16" s="257"/>
      <c r="AY16" s="257"/>
      <c r="AZ16" s="257"/>
      <c r="BA16" s="257"/>
      <c r="BB16" s="257"/>
      <c r="BC16" s="257"/>
      <c r="BD16" s="257"/>
      <c r="BE16" s="257"/>
      <c r="BF16" s="257"/>
      <c r="BG16" s="257"/>
      <c r="BH16" s="257"/>
      <c r="BI16" s="257"/>
      <c r="BJ16" s="257"/>
      <c r="BK16" s="257"/>
      <c r="BL16" s="257"/>
      <c r="BM16" s="257"/>
      <c r="BN16" s="257"/>
      <c r="BO16" s="257"/>
      <c r="BP16" s="257"/>
      <c r="BQ16" s="257"/>
      <c r="BR16" s="257"/>
      <c r="BS16" s="257"/>
      <c r="BT16" s="257"/>
      <c r="BU16" s="257"/>
      <c r="BV16" s="257"/>
      <c r="BW16" s="257"/>
      <c r="BX16" s="257"/>
      <c r="BY16" s="257"/>
      <c r="BZ16" s="257"/>
      <c r="CA16" s="257"/>
      <c r="CB16" s="257"/>
      <c r="CC16" s="257"/>
    </row>
    <row r="17" spans="1:81" s="471" customFormat="1">
      <c r="A17" s="87"/>
      <c r="B17" s="84" t="s">
        <v>437</v>
      </c>
      <c r="C17" s="470"/>
      <c r="D17" s="275">
        <v>0</v>
      </c>
      <c r="E17" s="275">
        <v>0</v>
      </c>
      <c r="F17" s="275">
        <v>0</v>
      </c>
      <c r="G17" s="275">
        <v>0</v>
      </c>
      <c r="H17" s="275">
        <v>0</v>
      </c>
      <c r="I17" s="275">
        <v>0</v>
      </c>
      <c r="J17" s="275">
        <v>0</v>
      </c>
      <c r="K17" s="275">
        <v>0.18333818602790752</v>
      </c>
      <c r="L17" s="600" t="s">
        <v>690</v>
      </c>
      <c r="M17" s="275">
        <v>0.11760922239820437</v>
      </c>
      <c r="N17" s="275">
        <v>0.10818832734045403</v>
      </c>
      <c r="O17" s="275">
        <v>0.11248510701976122</v>
      </c>
      <c r="P17" s="275">
        <v>0.19900225729685306</v>
      </c>
      <c r="Q17" s="275">
        <v>0.14544447734634702</v>
      </c>
      <c r="R17" s="275">
        <v>0.16998417779583552</v>
      </c>
      <c r="S17" s="275">
        <v>0.15342493735437102</v>
      </c>
      <c r="T17" s="275">
        <v>0.2023729701176491</v>
      </c>
      <c r="U17" s="275">
        <v>0.17938916425325835</v>
      </c>
      <c r="V17" s="275">
        <v>0.17178804945566761</v>
      </c>
      <c r="W17" s="275">
        <v>0.17406401752943856</v>
      </c>
      <c r="X17" s="275">
        <v>0.17301885201478373</v>
      </c>
      <c r="Y17" s="275">
        <v>0.13538574785481017</v>
      </c>
      <c r="Z17" s="275">
        <v>0.15683011136308322</v>
      </c>
      <c r="AA17" s="275">
        <v>0.14699280630761957</v>
      </c>
      <c r="AB17" s="275">
        <v>0.1760271045088857</v>
      </c>
      <c r="AC17" s="275">
        <v>0.12134968742898167</v>
      </c>
      <c r="AD17" s="275">
        <v>0.14617837213688922</v>
      </c>
      <c r="AE17" s="275">
        <v>-1.521881179144613E-2</v>
      </c>
      <c r="AF17" s="275">
        <v>-9.505499334503531E-2</v>
      </c>
      <c r="AG17" s="275">
        <v>-5.7857763178378985E-2</v>
      </c>
      <c r="AH17" s="275">
        <v>0.18524587293433425</v>
      </c>
      <c r="AI17" s="275">
        <v>0.16837878402149364</v>
      </c>
      <c r="AJ17" s="275">
        <v>0.17659315379940033</v>
      </c>
      <c r="AK17" s="275">
        <v>-0.15472522455902749</v>
      </c>
      <c r="AL17" s="275">
        <v>-0.12917787521664204</v>
      </c>
      <c r="AM17" s="275">
        <v>-0.14195154988783476</v>
      </c>
      <c r="AN17" s="275">
        <v>-0.08</v>
      </c>
      <c r="AO17" s="470">
        <v>-4.1960889423171777E-2</v>
      </c>
      <c r="AP17" s="470">
        <f>AVERAGE(AN17:AO17)</f>
        <v>-6.0980444711585889E-2</v>
      </c>
      <c r="AQ17" s="470">
        <v>5.4441085064262928E-3</v>
      </c>
      <c r="AR17" s="470">
        <v>7.4676976858330857E-2</v>
      </c>
      <c r="AS17" s="470">
        <f>AVERAGE(AQ17:AR17)</f>
        <v>4.0060542682378575E-2</v>
      </c>
      <c r="AT17" s="470">
        <v>4.181781384414629E-2</v>
      </c>
      <c r="AU17" s="470">
        <v>1.8482484895346873E-2</v>
      </c>
      <c r="AV17" s="470">
        <f>AVERAGE(AT17:AU17)</f>
        <v>3.0150149369746582E-2</v>
      </c>
      <c r="AW17" s="470">
        <v>2.3090032857568499E-2</v>
      </c>
      <c r="AX17" s="470">
        <v>1.1919232771340882E-2</v>
      </c>
      <c r="AY17" s="470">
        <f>AVERAGE(AW17:AX17)</f>
        <v>1.750463281445469E-2</v>
      </c>
      <c r="AZ17" s="470">
        <v>2.4283351019305677E-2</v>
      </c>
      <c r="BA17" s="470">
        <v>-2.8038391455940781E-2</v>
      </c>
      <c r="BB17" s="470">
        <f>AVERAGE(AZ17:BA17)</f>
        <v>-1.8775202183175521E-3</v>
      </c>
      <c r="BC17" s="470">
        <v>1.188108399160881E-2</v>
      </c>
      <c r="BD17" s="470">
        <v>4.0000000000000036E-2</v>
      </c>
      <c r="BE17" s="470">
        <f>AVERAGE(BC17:BD17)</f>
        <v>2.5940541995804423E-2</v>
      </c>
      <c r="BF17" s="470">
        <v>4.0000000000000036E-2</v>
      </c>
      <c r="BG17" s="470">
        <v>1.7057137065245698E-2</v>
      </c>
      <c r="BH17" s="470">
        <f>AVERAGE(BF17:BG17)</f>
        <v>2.8528568532622867E-2</v>
      </c>
      <c r="BI17" s="470">
        <v>1.7057137065245698E-2</v>
      </c>
      <c r="BJ17" s="470">
        <v>2.798974943052368E-2</v>
      </c>
      <c r="BK17" s="470">
        <f>AVERAGE(BI17:BJ17)</f>
        <v>2.2523443247884689E-2</v>
      </c>
      <c r="BL17" s="470">
        <v>2.7989749430523903E-2</v>
      </c>
      <c r="BM17" s="470">
        <v>3.3764507104672825E-2</v>
      </c>
      <c r="BN17" s="470">
        <f>AVERAGE(BL17:BM17)</f>
        <v>3.0877128267598364E-2</v>
      </c>
      <c r="BO17" s="470">
        <v>3.3764507104672825E-2</v>
      </c>
      <c r="BP17" s="470">
        <v>3.188467927763794E-2</v>
      </c>
      <c r="BQ17" s="470">
        <f>AVERAGE(BO17:BP17)</f>
        <v>3.2824593191155382E-2</v>
      </c>
      <c r="BR17" s="470">
        <v>3.188467927763794E-2</v>
      </c>
      <c r="BS17" s="470">
        <v>2.1421894474449532E-2</v>
      </c>
      <c r="BT17" s="470">
        <f>AVERAGE(BR17:BS17)</f>
        <v>2.6653286876043736E-2</v>
      </c>
      <c r="BU17" s="470">
        <v>2.1421894474449532E-2</v>
      </c>
      <c r="BV17" s="470">
        <v>2.2752116328139227E-2</v>
      </c>
      <c r="BW17" s="470">
        <f>AVERAGE(BU17:BV17)</f>
        <v>2.208700540129438E-2</v>
      </c>
      <c r="BX17" s="470">
        <v>2.2752116328139005E-2</v>
      </c>
      <c r="BY17" s="470">
        <v>2.1574865778484886E-2</v>
      </c>
      <c r="BZ17" s="470">
        <f>AVERAGE(BX17:BY17)</f>
        <v>2.2163491053311946E-2</v>
      </c>
      <c r="CA17" s="470">
        <v>2.1574865778484886E-2</v>
      </c>
      <c r="CB17" s="470">
        <f>+BY17</f>
        <v>2.1574865778484886E-2</v>
      </c>
      <c r="CC17" s="470">
        <f>AVERAGE(CA17:CB17)</f>
        <v>2.1574865778484886E-2</v>
      </c>
    </row>
    <row r="18" spans="1:81" s="11" customFormat="1">
      <c r="A18" s="66"/>
      <c r="B18" s="43"/>
      <c r="C18" s="257"/>
      <c r="D18" s="257"/>
      <c r="E18" s="257"/>
      <c r="F18" s="257"/>
      <c r="G18" s="257"/>
      <c r="H18" s="257"/>
      <c r="I18" s="257"/>
      <c r="J18" s="257"/>
      <c r="K18" s="257"/>
      <c r="L18" s="257"/>
      <c r="M18" s="257"/>
      <c r="N18" s="257"/>
      <c r="O18" s="257"/>
      <c r="P18" s="257"/>
      <c r="Q18" s="257"/>
      <c r="R18" s="257"/>
      <c r="S18" s="257"/>
      <c r="T18" s="257"/>
      <c r="U18" s="257"/>
      <c r="V18" s="257"/>
      <c r="W18" s="257"/>
      <c r="X18" s="257"/>
      <c r="Y18" s="257"/>
      <c r="Z18" s="257"/>
      <c r="AA18" s="257"/>
      <c r="AB18" s="257"/>
      <c r="AC18" s="257"/>
      <c r="AD18" s="257"/>
      <c r="AE18" s="257"/>
      <c r="AF18" s="257"/>
      <c r="AG18" s="257"/>
      <c r="AH18" s="257"/>
      <c r="AI18" s="257"/>
      <c r="AJ18" s="257"/>
      <c r="AK18" s="257"/>
      <c r="AL18" s="257"/>
      <c r="AM18" s="257"/>
      <c r="AN18" s="257"/>
      <c r="AO18" s="257"/>
      <c r="AP18" s="257"/>
      <c r="AQ18" s="257"/>
      <c r="AR18" s="257"/>
      <c r="AS18" s="257"/>
      <c r="AT18" s="257"/>
      <c r="AU18" s="257"/>
      <c r="AV18" s="257"/>
      <c r="AW18" s="257"/>
      <c r="AX18" s="257"/>
      <c r="AY18" s="257"/>
      <c r="AZ18" s="257"/>
      <c r="BA18" s="257"/>
      <c r="BB18" s="257"/>
      <c r="BC18" s="257"/>
      <c r="BD18" s="257"/>
      <c r="BE18" s="257"/>
      <c r="BF18" s="257"/>
      <c r="BG18" s="257"/>
      <c r="BH18" s="257"/>
      <c r="BI18" s="257"/>
      <c r="BJ18" s="257"/>
      <c r="BK18" s="257"/>
      <c r="BL18" s="257"/>
      <c r="BM18" s="257"/>
      <c r="BN18" s="257"/>
      <c r="BO18" s="257"/>
      <c r="BP18" s="257"/>
      <c r="BQ18" s="257"/>
      <c r="BR18" s="257"/>
      <c r="BS18" s="257"/>
      <c r="BT18" s="257"/>
      <c r="BU18" s="257"/>
      <c r="BV18" s="257"/>
      <c r="BW18" s="257"/>
      <c r="BX18" s="257"/>
      <c r="BY18" s="257"/>
      <c r="BZ18" s="257"/>
      <c r="CA18" s="257"/>
      <c r="CB18" s="257"/>
      <c r="CC18" s="257"/>
    </row>
    <row r="19" spans="1:81" s="11" customFormat="1">
      <c r="A19" s="66"/>
      <c r="B19" s="41" t="s">
        <v>232</v>
      </c>
      <c r="C19" s="257"/>
      <c r="D19" s="257"/>
      <c r="E19" s="257"/>
      <c r="F19" s="257"/>
      <c r="G19" s="257"/>
      <c r="H19" s="257"/>
      <c r="I19" s="257"/>
      <c r="J19" s="257"/>
      <c r="K19" s="257"/>
      <c r="L19" s="257"/>
      <c r="M19" s="257"/>
      <c r="N19" s="257"/>
      <c r="O19" s="257"/>
      <c r="P19" s="257"/>
      <c r="Q19" s="257"/>
      <c r="R19" s="257"/>
      <c r="S19" s="257"/>
      <c r="T19" s="257"/>
      <c r="U19" s="257"/>
      <c r="V19" s="257"/>
      <c r="W19" s="257"/>
      <c r="X19" s="257"/>
      <c r="Y19" s="257"/>
      <c r="Z19" s="257"/>
      <c r="AA19" s="257"/>
      <c r="AB19" s="257"/>
      <c r="AC19" s="257"/>
      <c r="AD19" s="257"/>
      <c r="AE19" s="257"/>
      <c r="AF19" s="257"/>
      <c r="AG19" s="257"/>
      <c r="AH19" s="257"/>
      <c r="AI19" s="257"/>
      <c r="AJ19" s="257"/>
      <c r="AK19" s="257"/>
      <c r="AL19" s="257"/>
      <c r="AM19" s="257"/>
      <c r="AN19" s="257"/>
      <c r="AO19" s="257"/>
      <c r="AP19" s="257"/>
      <c r="AQ19" s="257"/>
      <c r="AR19" s="257"/>
      <c r="AS19" s="257"/>
      <c r="AT19" s="257"/>
      <c r="AU19" s="257"/>
      <c r="AV19" s="257"/>
      <c r="AW19" s="257"/>
      <c r="AX19" s="257"/>
      <c r="AY19" s="257"/>
      <c r="AZ19" s="257"/>
      <c r="BA19" s="257"/>
      <c r="BB19" s="257"/>
      <c r="BC19" s="257"/>
      <c r="BD19" s="257"/>
      <c r="BE19" s="257"/>
      <c r="BF19" s="257"/>
      <c r="BG19" s="257"/>
      <c r="BH19" s="257"/>
      <c r="BI19" s="257"/>
      <c r="BJ19" s="257"/>
      <c r="BK19" s="257"/>
      <c r="BL19" s="257"/>
      <c r="BM19" s="257"/>
      <c r="BN19" s="257"/>
      <c r="BO19" s="257"/>
      <c r="BP19" s="257"/>
      <c r="BQ19" s="257"/>
      <c r="BR19" s="257"/>
      <c r="BS19" s="257"/>
      <c r="BT19" s="257"/>
      <c r="BU19" s="257"/>
      <c r="BV19" s="257"/>
      <c r="BW19" s="257"/>
      <c r="BX19" s="257"/>
      <c r="BY19" s="257"/>
      <c r="BZ19" s="257"/>
      <c r="CA19" s="257"/>
      <c r="CB19" s="257"/>
      <c r="CC19" s="257"/>
    </row>
    <row r="20" spans="1:81" s="11" customFormat="1">
      <c r="A20" s="66"/>
      <c r="B20" s="43" t="s">
        <v>230</v>
      </c>
      <c r="C20" s="257"/>
      <c r="D20" s="257"/>
      <c r="E20" s="257"/>
      <c r="F20" s="257"/>
      <c r="G20" s="257"/>
      <c r="H20" s="257"/>
      <c r="I20" s="257"/>
      <c r="J20" s="257"/>
      <c r="K20" s="257"/>
      <c r="L20" s="257"/>
      <c r="M20" s="257"/>
      <c r="N20" s="257"/>
      <c r="O20" s="257"/>
      <c r="P20" s="257"/>
      <c r="Q20" s="257"/>
      <c r="R20" s="257"/>
      <c r="S20" s="257"/>
      <c r="T20" s="257"/>
      <c r="U20" s="257"/>
      <c r="V20" s="257"/>
      <c r="W20" s="257"/>
      <c r="X20" s="257"/>
      <c r="Y20" s="257"/>
      <c r="Z20" s="257"/>
      <c r="AA20" s="257"/>
      <c r="AB20" s="257"/>
      <c r="AC20" s="257"/>
      <c r="AD20" s="257"/>
      <c r="AE20" s="257"/>
      <c r="AF20" s="257"/>
      <c r="AG20" s="257"/>
      <c r="AH20" s="257"/>
      <c r="AI20" s="257"/>
      <c r="AJ20" s="257"/>
      <c r="AK20" s="257"/>
      <c r="AL20" s="257"/>
      <c r="AM20" s="257"/>
      <c r="AN20" s="257"/>
      <c r="AO20" s="257"/>
      <c r="AP20" s="534"/>
      <c r="AQ20" s="257"/>
      <c r="AR20" s="257"/>
      <c r="AS20" s="257"/>
      <c r="AT20" s="257"/>
      <c r="AU20" s="257"/>
      <c r="AV20" s="257"/>
      <c r="AW20" s="257"/>
      <c r="AX20" s="257"/>
      <c r="AY20" s="257"/>
      <c r="AZ20" s="257"/>
      <c r="BA20" s="257"/>
      <c r="BB20" s="257"/>
      <c r="BC20" s="257"/>
      <c r="BD20" s="257"/>
      <c r="BE20" s="257"/>
      <c r="BF20" s="257"/>
      <c r="BG20" s="257"/>
      <c r="BH20" s="257"/>
      <c r="BI20" s="257"/>
      <c r="BJ20" s="257"/>
      <c r="BK20" s="257"/>
      <c r="BL20" s="257"/>
      <c r="BM20" s="257"/>
      <c r="BN20" s="257"/>
      <c r="BO20" s="257"/>
      <c r="BP20" s="257"/>
      <c r="BQ20" s="257"/>
      <c r="BR20" s="257"/>
      <c r="BS20" s="257"/>
      <c r="BT20" s="257"/>
      <c r="BU20" s="257"/>
      <c r="BV20" s="257"/>
      <c r="BW20" s="257"/>
      <c r="BX20" s="257"/>
      <c r="BY20" s="257"/>
      <c r="BZ20" s="257"/>
      <c r="CA20" s="257"/>
      <c r="CB20" s="257"/>
      <c r="CC20" s="257"/>
    </row>
    <row r="21" spans="1:81" s="471" customFormat="1">
      <c r="A21" s="87"/>
      <c r="B21" s="84" t="s">
        <v>437</v>
      </c>
      <c r="C21" s="470"/>
      <c r="D21" s="275">
        <v>0</v>
      </c>
      <c r="E21" s="275">
        <v>0</v>
      </c>
      <c r="F21" s="275">
        <v>0</v>
      </c>
      <c r="G21" s="275">
        <v>0</v>
      </c>
      <c r="H21" s="275">
        <v>0</v>
      </c>
      <c r="I21" s="275">
        <v>0</v>
      </c>
      <c r="J21" s="275">
        <v>0</v>
      </c>
      <c r="K21" s="600" t="s">
        <v>690</v>
      </c>
      <c r="L21" s="600" t="s">
        <v>690</v>
      </c>
      <c r="M21" s="275">
        <v>0.19033422609321682</v>
      </c>
      <c r="N21" s="275">
        <v>0.11239723922818734</v>
      </c>
      <c r="O21" s="275">
        <v>0.11239723922818734</v>
      </c>
      <c r="P21" s="275">
        <v>0.10451069002399138</v>
      </c>
      <c r="Q21" s="275">
        <v>0.16079956100990422</v>
      </c>
      <c r="R21" s="275">
        <v>0.16079956100990422</v>
      </c>
      <c r="S21" s="275">
        <v>0.24887122226907699</v>
      </c>
      <c r="T21" s="275">
        <v>0.34316453389267032</v>
      </c>
      <c r="U21" s="275">
        <v>0.34316453389267032</v>
      </c>
      <c r="V21" s="275">
        <v>0.31586414850664157</v>
      </c>
      <c r="W21" s="275">
        <v>0.19760116632258562</v>
      </c>
      <c r="X21" s="275">
        <v>0.19760116632258562</v>
      </c>
      <c r="Y21" s="275">
        <v>0.19945822738286578</v>
      </c>
      <c r="Z21" s="275">
        <v>0.15461499599873174</v>
      </c>
      <c r="AA21" s="275">
        <v>0.15461499599873174</v>
      </c>
      <c r="AB21" s="275">
        <v>0.16572052341620958</v>
      </c>
      <c r="AC21" s="275">
        <v>0.34153718302147906</v>
      </c>
      <c r="AD21" s="275">
        <v>0.34153718302147906</v>
      </c>
      <c r="AE21" s="275">
        <v>0.15949756533097847</v>
      </c>
      <c r="AF21" s="275">
        <v>2.3978399670121497E-3</v>
      </c>
      <c r="AG21" s="275">
        <v>2.3978399670121497E-3</v>
      </c>
      <c r="AH21" s="275">
        <v>-3.5142396305073431E-3</v>
      </c>
      <c r="AI21" s="275">
        <v>5.1238200575887349E-2</v>
      </c>
      <c r="AJ21" s="275">
        <v>5.1238200575887349E-2</v>
      </c>
      <c r="AK21" s="275">
        <v>0.21308652522093996</v>
      </c>
      <c r="AL21" s="275">
        <v>9.2918189321909317E-2</v>
      </c>
      <c r="AM21" s="275">
        <v>0.15300235727142464</v>
      </c>
      <c r="AN21" s="275">
        <v>-3.6063442132714507E-2</v>
      </c>
      <c r="AO21" s="470">
        <v>0.23366153491452324</v>
      </c>
      <c r="AP21" s="470">
        <f>AVERAGE(AN21:AO21)</f>
        <v>9.8799046390904366E-2</v>
      </c>
      <c r="AQ21" s="470">
        <v>5.0363554967043367E-3</v>
      </c>
      <c r="AR21" s="470">
        <v>1.1526267693453551E-3</v>
      </c>
      <c r="AS21" s="470">
        <f>AVERAGE(AQ21:AR21)</f>
        <v>3.0944911330248459E-3</v>
      </c>
      <c r="AT21" s="470">
        <v>-1.6357722231617133E-2</v>
      </c>
      <c r="AU21" s="470">
        <v>-0.15780795332201381</v>
      </c>
      <c r="AV21" s="470">
        <f>AVERAGE(AT21:AU21)</f>
        <v>-8.7082837776815469E-2</v>
      </c>
      <c r="AW21" s="470">
        <v>-0.14823249626991908</v>
      </c>
      <c r="AX21" s="470">
        <v>-0.12420319351276088</v>
      </c>
      <c r="AY21" s="470">
        <f>AVERAGE(AW21:AX21)</f>
        <v>-0.13621784489133998</v>
      </c>
      <c r="AZ21" s="470">
        <v>-0.1741472666234597</v>
      </c>
      <c r="BA21" s="470">
        <v>-0.20876196541344094</v>
      </c>
      <c r="BB21" s="470">
        <f>AVERAGE(AZ21:BA21)</f>
        <v>-0.19145461601845032</v>
      </c>
      <c r="BC21" s="470">
        <v>-0.119656226104638</v>
      </c>
      <c r="BD21" s="470">
        <v>-0.11948624485875414</v>
      </c>
      <c r="BE21" s="470">
        <f>AVERAGE(BC21:BD21)</f>
        <v>-0.11957123548169607</v>
      </c>
      <c r="BF21" s="470">
        <v>-0.11948624485875414</v>
      </c>
      <c r="BG21" s="470">
        <v>1.0600953806133795E-2</v>
      </c>
      <c r="BH21" s="470">
        <f>AVERAGE(BF21:BG21)</f>
        <v>-5.4442645526310174E-2</v>
      </c>
      <c r="BI21" s="470">
        <v>1.0600953806134017E-2</v>
      </c>
      <c r="BJ21" s="470">
        <v>3.4167808361357022E-2</v>
      </c>
      <c r="BK21" s="470">
        <f>AVERAGE(BI21:BJ21)</f>
        <v>2.2384381083745519E-2</v>
      </c>
      <c r="BL21" s="470">
        <v>3.41678083613568E-2</v>
      </c>
      <c r="BM21" s="470">
        <v>1.6445871805165213E-2</v>
      </c>
      <c r="BN21" s="470">
        <f>AVERAGE(BL21:BM21)</f>
        <v>2.5306840083261006E-2</v>
      </c>
      <c r="BO21" s="470">
        <v>1.6445871805164991E-2</v>
      </c>
      <c r="BP21" s="470">
        <v>-8.8600429178899986E-3</v>
      </c>
      <c r="BQ21" s="470">
        <f>AVERAGE(BO21:BP21)</f>
        <v>3.7929144436374962E-3</v>
      </c>
      <c r="BR21" s="470">
        <v>-8.8600429178899986E-3</v>
      </c>
      <c r="BS21" s="470">
        <v>-3.931673883590614E-3</v>
      </c>
      <c r="BT21" s="470">
        <f>AVERAGE(BR21:BS21)</f>
        <v>-6.3958584007403063E-3</v>
      </c>
      <c r="BU21" s="470">
        <v>-3.931673883590503E-3</v>
      </c>
      <c r="BV21" s="470">
        <v>3.0310708094412497E-2</v>
      </c>
      <c r="BW21" s="470">
        <f>AVERAGE(BU21:BV21)</f>
        <v>1.3189517105410997E-2</v>
      </c>
      <c r="BX21" s="470">
        <v>3.0310708094412497E-2</v>
      </c>
      <c r="BY21" s="470">
        <v>-4.9195604623170075E-2</v>
      </c>
      <c r="BZ21" s="470">
        <f>AVERAGE(BX21:BY21)</f>
        <v>-9.4424482643787888E-3</v>
      </c>
      <c r="CA21" s="470">
        <v>-4.9195604623170075E-2</v>
      </c>
      <c r="CB21" s="470">
        <f>+BY21</f>
        <v>-4.9195604623170075E-2</v>
      </c>
      <c r="CC21" s="470">
        <f>AVERAGE(CA21:CB21)</f>
        <v>-4.9195604623170075E-2</v>
      </c>
    </row>
    <row r="22" spans="1:81" s="11" customFormat="1">
      <c r="A22" s="66"/>
      <c r="B22" s="43"/>
      <c r="C22" s="257"/>
      <c r="D22" s="257"/>
      <c r="E22" s="257"/>
      <c r="F22" s="257"/>
      <c r="G22" s="257"/>
      <c r="H22" s="257"/>
      <c r="I22" s="257"/>
      <c r="J22" s="257"/>
      <c r="K22" s="257"/>
      <c r="L22" s="257"/>
      <c r="M22" s="257"/>
      <c r="N22" s="257"/>
      <c r="O22" s="257"/>
      <c r="P22" s="257"/>
      <c r="Q22" s="257"/>
      <c r="R22" s="257"/>
      <c r="S22" s="257"/>
      <c r="T22" s="257"/>
      <c r="U22" s="257"/>
      <c r="V22" s="257"/>
      <c r="W22" s="257"/>
      <c r="X22" s="257"/>
      <c r="Y22" s="257"/>
      <c r="Z22" s="257"/>
      <c r="AA22" s="257"/>
      <c r="AB22" s="257"/>
      <c r="AC22" s="257"/>
      <c r="AD22" s="257"/>
      <c r="AE22" s="257"/>
      <c r="AF22" s="257"/>
      <c r="AG22" s="257"/>
      <c r="AH22" s="257"/>
      <c r="AI22" s="257"/>
      <c r="AJ22" s="257"/>
      <c r="AK22" s="257"/>
      <c r="AL22" s="257"/>
      <c r="AM22" s="257"/>
      <c r="AN22" s="257"/>
      <c r="AO22" s="257"/>
      <c r="AP22" s="257"/>
      <c r="AQ22" s="257"/>
      <c r="AR22" s="257"/>
      <c r="AS22" s="257"/>
      <c r="AT22" s="257"/>
      <c r="AU22" s="257"/>
      <c r="AV22" s="257"/>
      <c r="AW22" s="257"/>
      <c r="AX22" s="257"/>
      <c r="AY22" s="257"/>
      <c r="AZ22" s="257"/>
      <c r="BA22" s="257"/>
      <c r="BB22" s="257"/>
      <c r="BC22" s="257"/>
      <c r="BD22" s="257"/>
      <c r="BE22" s="257"/>
      <c r="BF22" s="257"/>
      <c r="BG22" s="257"/>
      <c r="BH22" s="257"/>
      <c r="BI22" s="257"/>
      <c r="BJ22" s="257"/>
      <c r="BK22" s="257"/>
      <c r="BL22" s="257"/>
      <c r="BM22" s="257"/>
      <c r="BN22" s="257"/>
      <c r="BO22" s="257"/>
      <c r="BP22" s="257"/>
      <c r="BQ22" s="257"/>
      <c r="BR22" s="257"/>
      <c r="BS22" s="257"/>
      <c r="BT22" s="257"/>
      <c r="BU22" s="257"/>
      <c r="BV22" s="257"/>
      <c r="BW22" s="257"/>
      <c r="BX22" s="257"/>
      <c r="BY22" s="257"/>
      <c r="BZ22" s="257"/>
      <c r="CA22" s="257"/>
      <c r="CB22" s="257"/>
      <c r="CC22" s="257"/>
    </row>
    <row r="23" spans="1:81" s="11" customFormat="1">
      <c r="A23" s="66"/>
      <c r="B23" s="41" t="s">
        <v>233</v>
      </c>
      <c r="C23" s="257"/>
      <c r="D23" s="257"/>
      <c r="E23" s="257"/>
      <c r="F23" s="257"/>
      <c r="G23" s="257"/>
      <c r="H23" s="257"/>
      <c r="I23" s="257"/>
      <c r="J23" s="257"/>
      <c r="K23" s="257"/>
      <c r="L23" s="257"/>
      <c r="M23" s="257"/>
      <c r="N23" s="257"/>
      <c r="O23" s="257"/>
      <c r="P23" s="257"/>
      <c r="Q23" s="257"/>
      <c r="R23" s="257"/>
      <c r="S23" s="257"/>
      <c r="T23" s="257"/>
      <c r="U23" s="257"/>
      <c r="V23" s="257"/>
      <c r="W23" s="257"/>
      <c r="X23" s="257"/>
      <c r="Y23" s="257"/>
      <c r="Z23" s="257"/>
      <c r="AA23" s="257"/>
      <c r="AB23" s="257"/>
      <c r="AC23" s="257"/>
      <c r="AD23" s="257"/>
      <c r="AE23" s="257"/>
      <c r="AF23" s="257"/>
      <c r="AG23" s="257"/>
      <c r="AH23" s="257"/>
      <c r="AI23" s="257"/>
      <c r="AJ23" s="257"/>
      <c r="AK23" s="257"/>
      <c r="AL23" s="257"/>
      <c r="AM23" s="257"/>
      <c r="AN23" s="257"/>
      <c r="AO23" s="257"/>
      <c r="AP23" s="257"/>
      <c r="AQ23" s="257"/>
      <c r="AR23" s="257"/>
      <c r="AS23" s="257"/>
      <c r="AT23" s="257"/>
      <c r="AU23" s="257"/>
      <c r="AV23" s="257"/>
      <c r="AW23" s="257"/>
      <c r="AX23" s="257"/>
      <c r="AY23" s="257"/>
      <c r="AZ23" s="257"/>
      <c r="BA23" s="257"/>
      <c r="BB23" s="257"/>
      <c r="BC23" s="257"/>
      <c r="BD23" s="257"/>
      <c r="BE23" s="257"/>
      <c r="BF23" s="257"/>
      <c r="BG23" s="257"/>
      <c r="BH23" s="257"/>
      <c r="BI23" s="257"/>
      <c r="BJ23" s="257"/>
      <c r="BK23" s="257"/>
      <c r="BL23" s="257"/>
      <c r="BM23" s="257"/>
      <c r="BN23" s="257"/>
      <c r="BO23" s="257"/>
      <c r="BP23" s="257"/>
      <c r="BQ23" s="257"/>
      <c r="BR23" s="257"/>
      <c r="BS23" s="257"/>
      <c r="BT23" s="257"/>
      <c r="BU23" s="257"/>
      <c r="BV23" s="257"/>
      <c r="BW23" s="257"/>
      <c r="BX23" s="257"/>
      <c r="BY23" s="257"/>
      <c r="BZ23" s="257"/>
      <c r="CA23" s="257"/>
      <c r="CB23" s="257"/>
      <c r="CC23" s="257"/>
    </row>
    <row r="24" spans="1:81" s="11" customFormat="1">
      <c r="A24" s="66"/>
      <c r="B24" s="43" t="s">
        <v>230</v>
      </c>
      <c r="C24" s="257"/>
      <c r="D24" s="257"/>
      <c r="E24" s="257"/>
      <c r="F24" s="257"/>
      <c r="G24" s="257"/>
      <c r="H24" s="257"/>
      <c r="I24" s="257"/>
      <c r="J24" s="257"/>
      <c r="K24" s="257"/>
      <c r="L24" s="257"/>
      <c r="M24" s="257"/>
      <c r="N24" s="257"/>
      <c r="O24" s="257"/>
      <c r="P24" s="257"/>
      <c r="Q24" s="257"/>
      <c r="R24" s="257"/>
      <c r="S24" s="257"/>
      <c r="T24" s="257"/>
      <c r="U24" s="257"/>
      <c r="V24" s="257"/>
      <c r="W24" s="257"/>
      <c r="X24" s="257"/>
      <c r="Y24" s="257"/>
      <c r="Z24" s="257"/>
      <c r="AA24" s="257"/>
      <c r="AB24" s="257"/>
      <c r="AC24" s="257"/>
      <c r="AD24" s="257"/>
      <c r="AE24" s="257"/>
      <c r="AF24" s="257"/>
      <c r="AG24" s="257"/>
      <c r="AH24" s="257"/>
      <c r="AI24" s="257"/>
      <c r="AJ24" s="257"/>
      <c r="AK24" s="257"/>
      <c r="AL24" s="257"/>
      <c r="AM24" s="257"/>
      <c r="AN24" s="257"/>
      <c r="AO24" s="257"/>
      <c r="AP24" s="257"/>
      <c r="AQ24" s="257"/>
      <c r="AR24" s="257"/>
      <c r="AS24" s="257"/>
      <c r="AT24" s="257"/>
      <c r="AU24" s="257"/>
      <c r="AV24" s="257"/>
      <c r="AW24" s="257"/>
      <c r="AX24" s="257"/>
      <c r="AY24" s="257"/>
      <c r="AZ24" s="257"/>
      <c r="BA24" s="257"/>
      <c r="BB24" s="257"/>
      <c r="BC24" s="257"/>
      <c r="BD24" s="257"/>
      <c r="BE24" s="257"/>
      <c r="BF24" s="257"/>
      <c r="BG24" s="257"/>
      <c r="BH24" s="257"/>
      <c r="BI24" s="257"/>
      <c r="BJ24" s="257"/>
      <c r="BK24" s="257"/>
      <c r="BL24" s="257"/>
      <c r="BM24" s="257"/>
      <c r="BN24" s="257"/>
      <c r="BO24" s="257"/>
      <c r="BP24" s="257"/>
      <c r="BQ24" s="257"/>
      <c r="BR24" s="257"/>
      <c r="BS24" s="257"/>
      <c r="BT24" s="257"/>
      <c r="BU24" s="257"/>
      <c r="BV24" s="257"/>
      <c r="BW24" s="257"/>
      <c r="BX24" s="257"/>
      <c r="BY24" s="257"/>
      <c r="BZ24" s="257"/>
      <c r="CA24" s="257"/>
      <c r="CB24" s="257"/>
      <c r="CC24" s="257"/>
    </row>
    <row r="25" spans="1:81" s="11" customFormat="1">
      <c r="A25" s="66"/>
      <c r="B25" s="84" t="s">
        <v>437</v>
      </c>
      <c r="C25" s="257"/>
      <c r="D25" s="275">
        <v>0</v>
      </c>
      <c r="E25" s="275">
        <v>0</v>
      </c>
      <c r="F25" s="275">
        <v>0</v>
      </c>
      <c r="G25" s="275">
        <v>0</v>
      </c>
      <c r="H25" s="275">
        <v>0</v>
      </c>
      <c r="I25" s="275">
        <v>0</v>
      </c>
      <c r="J25" s="275">
        <v>0</v>
      </c>
      <c r="K25" s="600" t="s">
        <v>690</v>
      </c>
      <c r="L25" s="600" t="s">
        <v>690</v>
      </c>
      <c r="M25" s="275">
        <v>1.1553305216377114</v>
      </c>
      <c r="N25" s="275">
        <v>0.22105815288846564</v>
      </c>
      <c r="O25" s="275">
        <v>0.22105815288846564</v>
      </c>
      <c r="P25" s="275">
        <v>-0.10731961083440733</v>
      </c>
      <c r="Q25" s="275">
        <v>0.14103371994224512</v>
      </c>
      <c r="R25" s="275">
        <v>0.14103371994224512</v>
      </c>
      <c r="S25" s="275">
        <v>0.73870076349238745</v>
      </c>
      <c r="T25" s="275">
        <v>0.15083575725167586</v>
      </c>
      <c r="U25" s="275">
        <v>0.15083575725167586</v>
      </c>
      <c r="V25" s="275">
        <v>-0.31834657877216643</v>
      </c>
      <c r="W25" s="275">
        <v>0.61499480795186257</v>
      </c>
      <c r="X25" s="275">
        <v>0.61499480795186257</v>
      </c>
      <c r="Y25" s="275">
        <v>3.7659617235622056E-2</v>
      </c>
      <c r="Z25" s="275">
        <v>-6.6836283916279493E-2</v>
      </c>
      <c r="AA25" s="275">
        <v>-6.6836283916279493E-2</v>
      </c>
      <c r="AB25" s="275">
        <v>0.26805792105379478</v>
      </c>
      <c r="AC25" s="275">
        <v>0.62478025476445387</v>
      </c>
      <c r="AD25" s="275">
        <v>0.62478025476445387</v>
      </c>
      <c r="AE25" s="275">
        <v>8.4097573307804208E-3</v>
      </c>
      <c r="AF25" s="275">
        <v>-0.48594062445981423</v>
      </c>
      <c r="AG25" s="275">
        <v>-0.48594062445981423</v>
      </c>
      <c r="AH25" s="275">
        <v>1.175655692240718E-2</v>
      </c>
      <c r="AI25" s="275">
        <v>0.56081783361527027</v>
      </c>
      <c r="AJ25" s="275">
        <v>0.56081783361527027</v>
      </c>
      <c r="AK25" s="275">
        <v>-8.7804487110485052E-2</v>
      </c>
      <c r="AL25" s="275">
        <v>-0.33601111237786108</v>
      </c>
      <c r="AM25" s="275">
        <v>-0.21190779974417306</v>
      </c>
      <c r="AN25" s="275">
        <v>-2.2642249955995526E-2</v>
      </c>
      <c r="AO25" s="275">
        <v>0.15803400632965656</v>
      </c>
      <c r="AP25" s="470">
        <f>AVERAGE(AN25:AO25)</f>
        <v>6.769587818683051E-2</v>
      </c>
      <c r="AQ25" s="470">
        <v>-4.1407958060394323E-2</v>
      </c>
      <c r="AR25" s="470">
        <v>-0.18814442353307836</v>
      </c>
      <c r="AS25" s="470">
        <f>AVERAGE(AQ25:AR25)</f>
        <v>-0.11477619079673634</v>
      </c>
      <c r="AT25" s="470">
        <v>-0.14113610575560342</v>
      </c>
      <c r="AU25" s="470">
        <v>-9.3156665751858214E-2</v>
      </c>
      <c r="AV25" s="470">
        <f>AVERAGE(AT25:AU25)</f>
        <v>-0.11714638575373082</v>
      </c>
      <c r="AW25" s="470">
        <v>-1.8944828810556702E-2</v>
      </c>
      <c r="AX25" s="470">
        <v>1.7135777568095811E-2</v>
      </c>
      <c r="AY25" s="470">
        <f>AVERAGE(AW25:AX25)</f>
        <v>-9.0452562123044533E-4</v>
      </c>
      <c r="AZ25" s="470">
        <v>8.2435926527531178E-2</v>
      </c>
      <c r="BA25" s="470">
        <v>0.19694180035174846</v>
      </c>
      <c r="BB25" s="470">
        <f>AVERAGE(AZ25:BA25)</f>
        <v>0.13968886343963982</v>
      </c>
      <c r="BC25" s="470">
        <v>0.13844719633226399</v>
      </c>
      <c r="BD25" s="470">
        <v>0.15329355460252359</v>
      </c>
      <c r="BE25" s="470">
        <f>AVERAGE(BC25:BD25)</f>
        <v>0.14587037546739379</v>
      </c>
      <c r="BF25" s="470">
        <v>0.15329355460252336</v>
      </c>
      <c r="BG25" s="470">
        <v>0.16810687890847076</v>
      </c>
      <c r="BH25" s="470">
        <f>AVERAGE(BF25:BG25)</f>
        <v>0.16070021675549706</v>
      </c>
      <c r="BI25" s="470">
        <v>0.16810687890847098</v>
      </c>
      <c r="BJ25" s="470">
        <v>-1.6401421132038907E-2</v>
      </c>
      <c r="BK25" s="470">
        <f>AVERAGE(BI25:BJ25)</f>
        <v>7.5852728888216037E-2</v>
      </c>
      <c r="BL25" s="470">
        <v>-1.6401421132038907E-2</v>
      </c>
      <c r="BM25" s="470">
        <v>-4.9727857496288941E-2</v>
      </c>
      <c r="BN25" s="470">
        <f>AVERAGE(BL25:BM25)</f>
        <v>-3.3064639314163924E-2</v>
      </c>
      <c r="BO25" s="470">
        <v>-4.9727857496288719E-2</v>
      </c>
      <c r="BP25" s="470">
        <v>-6.9877636032283141E-2</v>
      </c>
      <c r="BQ25" s="470">
        <f>AVERAGE(BO25:BP25)</f>
        <v>-5.980274676428593E-2</v>
      </c>
      <c r="BR25" s="470">
        <v>-6.9877636032283363E-2</v>
      </c>
      <c r="BS25" s="470">
        <v>-2.0601242792364194E-2</v>
      </c>
      <c r="BT25" s="470">
        <f>AVERAGE(BR25:BS25)</f>
        <v>-4.5239439412323779E-2</v>
      </c>
      <c r="BU25" s="470">
        <v>-2.0601242792363972E-2</v>
      </c>
      <c r="BV25" s="470">
        <v>-3.1437553586738387E-3</v>
      </c>
      <c r="BW25" s="470">
        <f>AVERAGE(BU25:BV25)</f>
        <v>-1.1872499075518905E-2</v>
      </c>
      <c r="BX25" s="470">
        <v>-3.1437553586740608E-3</v>
      </c>
      <c r="BY25" s="470">
        <v>-3.5091743119265995E-2</v>
      </c>
      <c r="BZ25" s="470">
        <f>AVERAGE(BX25:BY25)</f>
        <v>-1.9117749238970028E-2</v>
      </c>
      <c r="CA25" s="470">
        <v>-3.5091743119266106E-2</v>
      </c>
      <c r="CB25" s="470">
        <f>+BY25</f>
        <v>-3.5091743119265995E-2</v>
      </c>
      <c r="CC25" s="470">
        <f>AVERAGE(CA25:CB25)</f>
        <v>-3.509174311926605E-2</v>
      </c>
    </row>
    <row r="29" spans="1:81" ht="18">
      <c r="A29" s="548" t="s">
        <v>680</v>
      </c>
    </row>
    <row r="30" spans="1:81" s="11" customFormat="1">
      <c r="A30" s="413" t="s">
        <v>16</v>
      </c>
      <c r="B30" s="413"/>
      <c r="C30" s="433"/>
      <c r="D30" s="433"/>
      <c r="E30" s="433"/>
      <c r="F30" s="433"/>
      <c r="G30" s="433"/>
      <c r="H30" s="433"/>
      <c r="I30" s="433"/>
      <c r="J30" s="433"/>
      <c r="K30" s="433"/>
      <c r="L30" s="433"/>
      <c r="M30" s="433"/>
      <c r="N30" s="433"/>
      <c r="O30" s="433"/>
      <c r="P30" s="433"/>
      <c r="Q30" s="433"/>
      <c r="R30" s="433"/>
      <c r="S30" s="433"/>
      <c r="T30" s="433"/>
      <c r="U30" s="433"/>
      <c r="V30" s="433"/>
      <c r="W30" s="433"/>
      <c r="X30" s="433"/>
      <c r="Y30" s="433"/>
      <c r="Z30" s="433"/>
      <c r="AA30" s="433"/>
      <c r="AB30" s="433"/>
      <c r="AC30" s="433"/>
      <c r="AD30" s="434"/>
      <c r="AE30" s="434"/>
      <c r="AF30" s="434"/>
      <c r="AG30" s="434"/>
      <c r="AH30" s="434"/>
      <c r="AI30" s="434"/>
      <c r="AJ30" s="434"/>
      <c r="AK30" s="434"/>
      <c r="AL30" s="434"/>
      <c r="AM30" s="434"/>
      <c r="AN30" s="434"/>
      <c r="AO30" s="434"/>
      <c r="AP30" s="434"/>
      <c r="AQ30" s="434"/>
      <c r="AR30" s="434"/>
      <c r="AS30" s="434"/>
      <c r="AT30" s="434"/>
      <c r="AU30" s="434"/>
      <c r="AV30" s="434"/>
      <c r="AW30" s="434"/>
      <c r="AX30" s="434"/>
      <c r="AY30" s="434"/>
      <c r="AZ30" s="434"/>
      <c r="BA30" s="434"/>
      <c r="BB30" s="434"/>
      <c r="BC30" s="434"/>
      <c r="BD30" s="434"/>
      <c r="BE30" s="434"/>
      <c r="BF30" s="434"/>
      <c r="BG30" s="434"/>
      <c r="BH30" s="434"/>
      <c r="BI30" s="434"/>
      <c r="BJ30" s="434"/>
      <c r="BK30" s="434"/>
      <c r="BL30" s="434"/>
      <c r="BM30" s="434"/>
      <c r="BN30" s="434"/>
      <c r="BO30" s="434"/>
      <c r="BP30" s="434"/>
      <c r="BQ30" s="434"/>
      <c r="BR30" s="434"/>
      <c r="BS30" s="434"/>
      <c r="BT30" s="434"/>
      <c r="BU30" s="434"/>
      <c r="BV30" s="434"/>
      <c r="BW30" s="434"/>
      <c r="BX30" s="434"/>
      <c r="BY30" s="434"/>
      <c r="BZ30" s="434"/>
      <c r="CA30" s="434"/>
      <c r="CB30" s="434"/>
      <c r="CC30" s="434"/>
    </row>
    <row r="31" spans="1:81" s="11" customFormat="1">
      <c r="A31" s="66"/>
      <c r="B31" s="43"/>
      <c r="C31" s="43"/>
      <c r="D31" s="43"/>
      <c r="E31" s="43"/>
      <c r="F31" s="43"/>
      <c r="G31" s="43"/>
      <c r="H31" s="43"/>
      <c r="I31" s="43"/>
      <c r="J31" s="43"/>
      <c r="K31" s="43"/>
      <c r="L31" s="43"/>
      <c r="M31" s="43"/>
      <c r="N31" s="43"/>
      <c r="O31" s="43"/>
      <c r="P31" s="43"/>
      <c r="Q31" s="43"/>
      <c r="R31" s="43"/>
      <c r="S31" s="43"/>
      <c r="T31" s="43"/>
      <c r="U31" s="43"/>
      <c r="V31" s="43"/>
      <c r="W31" s="43"/>
      <c r="X31" s="43"/>
      <c r="Y31" s="43"/>
      <c r="Z31" s="43"/>
      <c r="AA31" s="43"/>
      <c r="AB31" s="43"/>
      <c r="AC31" s="43"/>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row>
    <row r="32" spans="1:81" s="605" customFormat="1">
      <c r="A32" s="80"/>
      <c r="B32" s="41" t="s">
        <v>226</v>
      </c>
      <c r="C32" s="81"/>
      <c r="D32" s="81"/>
      <c r="E32" s="81"/>
      <c r="F32" s="81"/>
      <c r="G32" s="81"/>
      <c r="H32" s="81"/>
      <c r="I32" s="81"/>
      <c r="J32" s="81"/>
      <c r="K32" s="81"/>
      <c r="L32" s="81"/>
      <c r="M32" s="81"/>
      <c r="N32" s="81"/>
      <c r="O32" s="81"/>
      <c r="P32" s="81"/>
      <c r="Q32" s="81"/>
      <c r="R32" s="81"/>
      <c r="S32" s="81"/>
      <c r="T32" s="81"/>
      <c r="U32" s="81"/>
      <c r="V32" s="81"/>
      <c r="W32" s="81"/>
      <c r="X32" s="81"/>
      <c r="Y32" s="81"/>
      <c r="Z32" s="81"/>
      <c r="AA32" s="81"/>
      <c r="AB32" s="81"/>
      <c r="AC32" s="81"/>
      <c r="AD32" s="80"/>
      <c r="AE32" s="80"/>
      <c r="AF32" s="80"/>
      <c r="AG32" s="80"/>
      <c r="AH32" s="80"/>
      <c r="AI32" s="80"/>
      <c r="AJ32" s="80"/>
      <c r="AK32" s="80"/>
      <c r="AL32" s="80"/>
      <c r="AM32" s="82"/>
      <c r="AN32" s="80"/>
      <c r="AO32" s="80"/>
      <c r="AP32" s="80"/>
      <c r="AQ32" s="80"/>
      <c r="AR32" s="80"/>
      <c r="AS32" s="80"/>
      <c r="AT32" s="80"/>
      <c r="AU32" s="80"/>
      <c r="AV32" s="80"/>
      <c r="AW32" s="80"/>
      <c r="AX32" s="82"/>
      <c r="AY32" s="80"/>
      <c r="AZ32" s="80"/>
      <c r="BA32" s="80"/>
      <c r="BB32" s="80"/>
      <c r="BC32" s="80"/>
      <c r="BD32" s="80"/>
      <c r="BE32" s="80"/>
      <c r="BF32" s="80"/>
      <c r="BG32" s="80"/>
      <c r="BH32" s="80"/>
      <c r="BI32" s="80"/>
      <c r="BJ32" s="80"/>
      <c r="BK32" s="80"/>
      <c r="BL32" s="80"/>
      <c r="BM32" s="80"/>
      <c r="BN32" s="80"/>
      <c r="BO32" s="80"/>
      <c r="BP32" s="80"/>
      <c r="BQ32" s="80"/>
      <c r="BR32" s="80"/>
      <c r="BS32" s="80"/>
      <c r="BT32" s="80"/>
      <c r="BU32" s="80"/>
      <c r="BV32" s="80"/>
      <c r="BW32" s="80"/>
      <c r="BX32" s="80"/>
      <c r="BY32" s="80"/>
      <c r="BZ32" s="80"/>
      <c r="CA32" s="80"/>
      <c r="CB32" s="80"/>
      <c r="CC32" s="80"/>
    </row>
    <row r="33" spans="1:81" s="11" customFormat="1">
      <c r="A33" s="66"/>
      <c r="B33" s="43" t="s">
        <v>227</v>
      </c>
      <c r="C33" s="545">
        <v>157658</v>
      </c>
      <c r="D33" s="545">
        <v>86697</v>
      </c>
      <c r="E33" s="545">
        <v>58171</v>
      </c>
      <c r="F33" s="545">
        <v>144868</v>
      </c>
      <c r="G33" s="545">
        <v>56455</v>
      </c>
      <c r="H33" s="545">
        <v>82585</v>
      </c>
      <c r="I33" s="545">
        <v>139040</v>
      </c>
      <c r="J33" s="545">
        <v>81920</v>
      </c>
      <c r="K33" s="545">
        <v>92806</v>
      </c>
      <c r="L33" s="545">
        <v>174726</v>
      </c>
      <c r="M33" s="545">
        <v>77649</v>
      </c>
      <c r="N33" s="545">
        <v>91335</v>
      </c>
      <c r="O33" s="545">
        <v>168984</v>
      </c>
      <c r="P33" s="545">
        <v>83362</v>
      </c>
      <c r="Q33" s="545">
        <v>85010</v>
      </c>
      <c r="R33" s="545">
        <v>168372</v>
      </c>
      <c r="S33" s="545">
        <v>75377</v>
      </c>
      <c r="T33" s="545">
        <v>79256</v>
      </c>
      <c r="U33" s="545">
        <v>154633</v>
      </c>
      <c r="V33" s="545">
        <v>73058</v>
      </c>
      <c r="W33" s="545">
        <v>80786</v>
      </c>
      <c r="X33" s="545">
        <v>153844</v>
      </c>
      <c r="Y33" s="545">
        <v>71391</v>
      </c>
      <c r="Z33" s="545">
        <v>82629</v>
      </c>
      <c r="AA33" s="545">
        <v>154020</v>
      </c>
      <c r="AB33" s="545">
        <v>75907</v>
      </c>
      <c r="AC33" s="545">
        <v>72115</v>
      </c>
      <c r="AD33" s="545">
        <v>148850</v>
      </c>
      <c r="AE33" s="545">
        <v>60493</v>
      </c>
      <c r="AF33" s="545">
        <v>81449</v>
      </c>
      <c r="AG33" s="545">
        <v>141942</v>
      </c>
      <c r="AH33" s="545">
        <v>88822</v>
      </c>
      <c r="AI33" s="545">
        <v>85577</v>
      </c>
      <c r="AJ33" s="545">
        <v>174399</v>
      </c>
      <c r="AK33" s="545">
        <v>76922</v>
      </c>
      <c r="AL33" s="545">
        <v>77879</v>
      </c>
      <c r="AM33" s="545">
        <v>154801</v>
      </c>
      <c r="AN33" s="545">
        <v>67471</v>
      </c>
      <c r="AO33" s="545">
        <v>86651</v>
      </c>
      <c r="AP33" s="545">
        <v>154122</v>
      </c>
      <c r="AQ33" s="545">
        <v>79285</v>
      </c>
      <c r="AR33" s="545">
        <v>92598</v>
      </c>
      <c r="AS33" s="545">
        <v>171883</v>
      </c>
      <c r="AT33" s="545">
        <v>92398</v>
      </c>
      <c r="AU33" s="545">
        <v>111457</v>
      </c>
      <c r="AV33" s="545">
        <v>203855</v>
      </c>
      <c r="AW33" s="545">
        <v>107848</v>
      </c>
      <c r="AX33" s="545">
        <v>119052</v>
      </c>
      <c r="AY33" s="545">
        <v>226900</v>
      </c>
      <c r="AZ33" s="545">
        <v>114543</v>
      </c>
      <c r="BA33" s="545">
        <v>111486.25802761447</v>
      </c>
      <c r="BB33" s="545">
        <v>226029.25802761447</v>
      </c>
      <c r="BC33" s="545">
        <v>100433.20081236784</v>
      </c>
      <c r="BD33" s="545">
        <v>96343.166585405299</v>
      </c>
      <c r="BE33" s="545">
        <v>196776.36739777314</v>
      </c>
      <c r="BF33" s="545">
        <v>85872.921747378423</v>
      </c>
      <c r="BG33" s="545">
        <v>82361.6480751567</v>
      </c>
      <c r="BH33" s="545">
        <v>168234.56982253512</v>
      </c>
      <c r="BI33" s="545">
        <v>75739.429010009495</v>
      </c>
      <c r="BJ33" s="545">
        <v>77963.245355544161</v>
      </c>
      <c r="BK33" s="545">
        <v>153702.67436555366</v>
      </c>
      <c r="BL33" s="545">
        <v>75739.429010009495</v>
      </c>
      <c r="BM33" s="545">
        <v>81861.407623321356</v>
      </c>
      <c r="BN33" s="545">
        <v>157600.83663333085</v>
      </c>
      <c r="BO33" s="545">
        <v>83313.371911010443</v>
      </c>
      <c r="BP33" s="545">
        <v>85954.478004487435</v>
      </c>
      <c r="BQ33" s="545">
        <v>169267.84991549788</v>
      </c>
      <c r="BR33" s="545">
        <v>83313.371911010443</v>
      </c>
      <c r="BS33" s="545">
        <v>85954.478004487435</v>
      </c>
      <c r="BT33" s="545">
        <v>169267.84991549788</v>
      </c>
      <c r="BU33" s="545">
        <v>87479.040506560967</v>
      </c>
      <c r="BV33" s="545">
        <v>87673.567564577184</v>
      </c>
      <c r="BW33" s="545">
        <v>175152.60807113815</v>
      </c>
      <c r="BX33" s="545">
        <v>89228.621316692195</v>
      </c>
      <c r="BY33" s="545">
        <v>87673.56756457717</v>
      </c>
      <c r="BZ33" s="545">
        <v>176902.18888126937</v>
      </c>
      <c r="CA33" s="545">
        <v>89228.621316692195</v>
      </c>
      <c r="CB33" s="545">
        <v>87673.56756457717</v>
      </c>
      <c r="CC33" s="545">
        <v>176902.18888126937</v>
      </c>
    </row>
    <row r="34" spans="1:81" s="11" customFormat="1">
      <c r="A34" s="66"/>
      <c r="B34" s="84" t="s">
        <v>437</v>
      </c>
      <c r="C34" s="257"/>
      <c r="D34" s="257"/>
      <c r="E34" s="257"/>
      <c r="F34" s="470">
        <v>-8.1124966700072298E-2</v>
      </c>
      <c r="G34" s="470">
        <v>-0.34882406542325572</v>
      </c>
      <c r="H34" s="470">
        <v>0.41969366179023915</v>
      </c>
      <c r="I34" s="470">
        <v>-4.0229726371593499E-2</v>
      </c>
      <c r="J34" s="470">
        <v>0.45106722168098479</v>
      </c>
      <c r="K34" s="470">
        <v>0.12376339528970148</v>
      </c>
      <c r="L34" s="470">
        <v>0.25665995397008046</v>
      </c>
      <c r="M34" s="470">
        <v>-5.2136230468750003E-2</v>
      </c>
      <c r="N34" s="470">
        <v>-1.5850268301618398E-2</v>
      </c>
      <c r="O34" s="470">
        <v>-3.2862882455959586E-2</v>
      </c>
      <c r="P34" s="470">
        <v>7.3574675784620513E-2</v>
      </c>
      <c r="Q34" s="470">
        <v>-6.9250561121147469E-2</v>
      </c>
      <c r="R34" s="470">
        <v>-3.6216446527481683E-3</v>
      </c>
      <c r="S34" s="470">
        <v>-9.5787049255056211E-2</v>
      </c>
      <c r="T34" s="470">
        <v>-6.7686154570050561E-2</v>
      </c>
      <c r="U34" s="470">
        <v>-8.1599078231534894E-2</v>
      </c>
      <c r="V34" s="470">
        <v>-3.076535282645898E-2</v>
      </c>
      <c r="W34" s="470">
        <v>1.9304532148985531E-2</v>
      </c>
      <c r="X34" s="470">
        <v>-5.1024037559900259E-3</v>
      </c>
      <c r="Y34" s="470">
        <v>-2.2817487475704223E-2</v>
      </c>
      <c r="Z34" s="470">
        <v>2.2813358750278567E-2</v>
      </c>
      <c r="AA34" s="470">
        <v>1.1440160162241586E-3</v>
      </c>
      <c r="AB34" s="470">
        <v>6.3257273325769248E-2</v>
      </c>
      <c r="AC34" s="470">
        <v>-0.12724346173861478</v>
      </c>
      <c r="AD34" s="470">
        <v>-3.8942994416309551E-2</v>
      </c>
      <c r="AE34" s="470">
        <v>-0.21527658845692754</v>
      </c>
      <c r="AF34" s="470">
        <v>0.10201761076059079</v>
      </c>
      <c r="AG34" s="470">
        <v>-6.0693680669089756E-2</v>
      </c>
      <c r="AH34" s="470">
        <v>0.44506933485545441</v>
      </c>
      <c r="AI34" s="470">
        <v>3.6767666599557103E-2</v>
      </c>
      <c r="AJ34" s="470">
        <v>0.21169032926250386</v>
      </c>
      <c r="AK34" s="470">
        <v>-0.12696771495289105</v>
      </c>
      <c r="AL34" s="470">
        <v>-0.10896897832366448</v>
      </c>
      <c r="AM34" s="470">
        <v>-0.11237449756019247</v>
      </c>
      <c r="AN34" s="470">
        <v>-0.12286472010608152</v>
      </c>
      <c r="AO34" s="470">
        <v>0.11263626908409208</v>
      </c>
      <c r="AP34" s="470">
        <v>-4.386276574440684E-3</v>
      </c>
      <c r="AQ34" s="470">
        <v>0.17509744927450321</v>
      </c>
      <c r="AR34" s="470">
        <v>6.8631637257504208E-2</v>
      </c>
      <c r="AS34" s="470">
        <v>0.11523987490429666</v>
      </c>
      <c r="AT34" s="470">
        <v>0.16539067919530814</v>
      </c>
      <c r="AU34" s="470">
        <v>0.20366530594613264</v>
      </c>
      <c r="AV34" s="470">
        <v>0.18601025115921876</v>
      </c>
      <c r="AW34" s="470">
        <v>0.16721141150241348</v>
      </c>
      <c r="AX34" s="470">
        <v>6.8142871241824166E-2</v>
      </c>
      <c r="AY34" s="470">
        <v>0.11304603762478238</v>
      </c>
      <c r="AZ34" s="470">
        <v>6.2078109932497627E-2</v>
      </c>
      <c r="BA34" s="470">
        <v>-6.354989393194177E-2</v>
      </c>
      <c r="BB34" s="470">
        <v>-3.8375582740657332E-3</v>
      </c>
      <c r="BC34" s="470">
        <v>-0.12318342620354072</v>
      </c>
      <c r="BD34" s="470">
        <v>-0.13582921976319562</v>
      </c>
      <c r="BE34" s="470">
        <v>-0.12942081430125052</v>
      </c>
      <c r="BF34" s="470">
        <v>-0.14497475881697075</v>
      </c>
      <c r="BG34" s="470">
        <v>-0.14512205697385305</v>
      </c>
      <c r="BH34" s="470">
        <v>-0.14504687708530706</v>
      </c>
      <c r="BI34" s="470">
        <v>-0.11800568248020848</v>
      </c>
      <c r="BJ34" s="470">
        <v>-5.340352970594886E-2</v>
      </c>
      <c r="BK34" s="470">
        <v>-8.637877145173356E-2</v>
      </c>
      <c r="BL34" s="470">
        <v>0</v>
      </c>
      <c r="BM34" s="470">
        <v>4.9999999999999822E-2</v>
      </c>
      <c r="BN34" s="470">
        <v>2.5361707490568097E-2</v>
      </c>
      <c r="BO34" s="470">
        <v>0.10000000000000009</v>
      </c>
      <c r="BP34" s="470">
        <v>5.0000000000000044E-2</v>
      </c>
      <c r="BQ34" s="470">
        <v>7.4028879106214029E-2</v>
      </c>
      <c r="BR34" s="470">
        <v>0</v>
      </c>
      <c r="BS34" s="470">
        <v>0</v>
      </c>
      <c r="BT34" s="470">
        <v>0</v>
      </c>
      <c r="BU34" s="470">
        <v>5.0000000000000044E-2</v>
      </c>
      <c r="BV34" s="470">
        <v>2.0000000000000018E-2</v>
      </c>
      <c r="BW34" s="470">
        <v>3.4765953242615666E-2</v>
      </c>
      <c r="BX34" s="470">
        <v>2.0000000000000018E-2</v>
      </c>
      <c r="BY34" s="470">
        <v>0</v>
      </c>
      <c r="BZ34" s="470">
        <v>9.9888938531855764E-3</v>
      </c>
      <c r="CA34" s="470">
        <v>0</v>
      </c>
      <c r="CB34" s="470">
        <v>0</v>
      </c>
      <c r="CC34" s="470">
        <v>0</v>
      </c>
    </row>
    <row r="35" spans="1:81" s="11" customFormat="1" ht="18">
      <c r="A35" s="66"/>
      <c r="B35" s="43"/>
      <c r="C35" s="257"/>
      <c r="D35" s="257"/>
      <c r="E35" s="257"/>
      <c r="F35" s="257"/>
      <c r="G35" s="257"/>
      <c r="H35" s="257"/>
      <c r="I35" s="257"/>
      <c r="J35" s="257"/>
      <c r="K35" s="257"/>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85"/>
      <c r="AK35" s="86"/>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row>
    <row r="36" spans="1:81" s="11" customFormat="1">
      <c r="A36" s="66"/>
      <c r="B36" s="43" t="s">
        <v>228</v>
      </c>
      <c r="C36" s="257"/>
      <c r="D36" s="545">
        <v>86401</v>
      </c>
      <c r="E36" s="545">
        <v>72216</v>
      </c>
      <c r="F36" s="545">
        <v>158617</v>
      </c>
      <c r="G36" s="545">
        <v>55266</v>
      </c>
      <c r="H36" s="545">
        <v>70153</v>
      </c>
      <c r="I36" s="545">
        <v>125419</v>
      </c>
      <c r="J36" s="545">
        <v>80728</v>
      </c>
      <c r="K36" s="545">
        <v>91663</v>
      </c>
      <c r="L36" s="545">
        <v>172391</v>
      </c>
      <c r="M36" s="545">
        <v>83361</v>
      </c>
      <c r="N36" s="545">
        <v>83300</v>
      </c>
      <c r="O36" s="545">
        <v>166661</v>
      </c>
      <c r="P36" s="545">
        <v>87892</v>
      </c>
      <c r="Q36" s="545">
        <v>85678</v>
      </c>
      <c r="R36" s="545">
        <v>173570</v>
      </c>
      <c r="S36" s="545">
        <v>76574</v>
      </c>
      <c r="T36" s="545">
        <v>82441</v>
      </c>
      <c r="U36" s="545">
        <v>159015</v>
      </c>
      <c r="V36" s="545">
        <v>72545</v>
      </c>
      <c r="W36" s="545">
        <v>78503</v>
      </c>
      <c r="X36" s="545">
        <v>151048</v>
      </c>
      <c r="Y36" s="545">
        <v>74430</v>
      </c>
      <c r="Z36" s="545">
        <v>78127</v>
      </c>
      <c r="AA36" s="545">
        <v>152557</v>
      </c>
      <c r="AB36" s="545">
        <v>77805</v>
      </c>
      <c r="AC36" s="545">
        <v>78563</v>
      </c>
      <c r="AD36" s="545">
        <v>156368</v>
      </c>
      <c r="AE36" s="545">
        <v>62131</v>
      </c>
      <c r="AF36" s="545">
        <v>67737</v>
      </c>
      <c r="AG36" s="545">
        <v>129868</v>
      </c>
      <c r="AH36" s="545">
        <v>83602</v>
      </c>
      <c r="AI36" s="545">
        <v>87590</v>
      </c>
      <c r="AJ36" s="545">
        <v>171192</v>
      </c>
      <c r="AK36" s="545">
        <v>76716</v>
      </c>
      <c r="AL36" s="545">
        <v>75253</v>
      </c>
      <c r="AM36" s="545">
        <v>151969</v>
      </c>
      <c r="AN36" s="545">
        <v>68980</v>
      </c>
      <c r="AO36" s="545">
        <v>79232</v>
      </c>
      <c r="AP36" s="545">
        <v>148212</v>
      </c>
      <c r="AQ36" s="545">
        <v>81015</v>
      </c>
      <c r="AR36" s="545">
        <v>86783</v>
      </c>
      <c r="AS36" s="545">
        <v>167798</v>
      </c>
      <c r="AT36" s="545">
        <v>93270</v>
      </c>
      <c r="AU36" s="545">
        <v>104731</v>
      </c>
      <c r="AV36" s="545">
        <v>198001</v>
      </c>
      <c r="AW36" s="545">
        <v>105595</v>
      </c>
      <c r="AX36" s="545">
        <v>116040</v>
      </c>
      <c r="AY36" s="545">
        <v>221635</v>
      </c>
      <c r="AZ36" s="545">
        <v>117576</v>
      </c>
      <c r="BA36" s="545">
        <v>115727</v>
      </c>
      <c r="BB36" s="545">
        <v>233303</v>
      </c>
      <c r="BC36" s="545">
        <v>102824.74444729259</v>
      </c>
      <c r="BD36" s="545">
        <v>101103.51439268974</v>
      </c>
      <c r="BE36" s="545">
        <v>203928.25883998233</v>
      </c>
      <c r="BF36" s="545">
        <v>88055.938691509189</v>
      </c>
      <c r="BG36" s="545">
        <v>86689.743241274555</v>
      </c>
      <c r="BH36" s="545">
        <v>174745.68193278374</v>
      </c>
      <c r="BI36" s="545">
        <v>76168.530525955372</v>
      </c>
      <c r="BJ36" s="545">
        <v>79661.51219121083</v>
      </c>
      <c r="BK36" s="545">
        <v>155830.04271716619</v>
      </c>
      <c r="BL36" s="545">
        <v>74041.162174342826</v>
      </c>
      <c r="BM36" s="545">
        <v>81750.180152810834</v>
      </c>
      <c r="BN36" s="545">
        <v>155791.34232715366</v>
      </c>
      <c r="BO36" s="545">
        <v>79635.784085599866</v>
      </c>
      <c r="BP36" s="545">
        <v>87732.096808411923</v>
      </c>
      <c r="BQ36" s="545">
        <v>167367.88089401179</v>
      </c>
      <c r="BR36" s="545">
        <v>79635.784085599866</v>
      </c>
      <c r="BS36" s="545">
        <v>90737.047792234109</v>
      </c>
      <c r="BT36" s="545">
        <v>170372.83187783399</v>
      </c>
      <c r="BU36" s="545">
        <v>85289.924755677523</v>
      </c>
      <c r="BV36" s="545">
        <v>91612.264125591886</v>
      </c>
      <c r="BW36" s="545">
        <v>176902.18888126942</v>
      </c>
      <c r="BX36" s="545">
        <v>85289.924755677479</v>
      </c>
      <c r="BY36" s="545">
        <v>91612.264125591886</v>
      </c>
      <c r="BZ36" s="545">
        <v>176902.18888126937</v>
      </c>
      <c r="CA36" s="545">
        <v>85289.924755677479</v>
      </c>
      <c r="CB36" s="545">
        <v>91612.264125591886</v>
      </c>
      <c r="CC36" s="545">
        <v>176902.18888126937</v>
      </c>
    </row>
    <row r="37" spans="1:81" s="11" customFormat="1">
      <c r="A37" s="66"/>
      <c r="B37" s="84" t="s">
        <v>437</v>
      </c>
      <c r="C37" s="257"/>
      <c r="D37" s="257"/>
      <c r="E37" s="257"/>
      <c r="F37" s="257"/>
      <c r="G37" s="501">
        <v>-0.3603546255251675</v>
      </c>
      <c r="H37" s="501">
        <v>-2.8567076548133397E-2</v>
      </c>
      <c r="I37" s="501">
        <v>-0.20929660755152346</v>
      </c>
      <c r="J37" s="501">
        <v>0.46071725835052302</v>
      </c>
      <c r="K37" s="501">
        <v>0.30661554031901694</v>
      </c>
      <c r="L37" s="501">
        <v>0.37452060692558553</v>
      </c>
      <c r="M37" s="501">
        <v>3.2615697155881529E-2</v>
      </c>
      <c r="N37" s="501">
        <v>-9.1236376727796387E-2</v>
      </c>
      <c r="O37" s="501">
        <v>-3.3238394115702063E-2</v>
      </c>
      <c r="P37" s="501">
        <v>5.4353954487110334E-2</v>
      </c>
      <c r="Q37" s="501">
        <v>2.8547418967586946E-2</v>
      </c>
      <c r="R37" s="501">
        <v>4.1455409483922345E-2</v>
      </c>
      <c r="S37" s="501">
        <v>-0.12877167432758385</v>
      </c>
      <c r="T37" s="501">
        <v>-3.7780993954107278E-2</v>
      </c>
      <c r="U37" s="501">
        <v>-8.3856657256438316E-2</v>
      </c>
      <c r="V37" s="501">
        <v>-5.2615770365920578E-2</v>
      </c>
      <c r="W37" s="501">
        <v>-4.776749432927796E-2</v>
      </c>
      <c r="X37" s="501">
        <v>-5.0102191617143021E-2</v>
      </c>
      <c r="Y37" s="501">
        <v>2.5983872079399006E-2</v>
      </c>
      <c r="Z37" s="501">
        <v>-4.7896258741704223E-3</v>
      </c>
      <c r="AA37" s="501">
        <v>9.9902017901594142E-3</v>
      </c>
      <c r="AB37" s="501">
        <v>4.5344619105199602E-2</v>
      </c>
      <c r="AC37" s="501">
        <v>5.5806571351773027E-3</v>
      </c>
      <c r="AD37" s="501">
        <v>2.4980826838493231E-2</v>
      </c>
      <c r="AE37" s="501">
        <v>-0.2014523488207699</v>
      </c>
      <c r="AF37" s="501">
        <v>-0.13780023675266984</v>
      </c>
      <c r="AG37" s="501">
        <v>-0.16947201473447249</v>
      </c>
      <c r="AH37" s="501">
        <v>0.34557628237111904</v>
      </c>
      <c r="AI37" s="501">
        <v>0.29308944889794342</v>
      </c>
      <c r="AJ37" s="501">
        <v>0.3182000184803031</v>
      </c>
      <c r="AK37" s="501">
        <v>-8.2366450563383653E-2</v>
      </c>
      <c r="AL37" s="501">
        <v>-0.14084941203333712</v>
      </c>
      <c r="AM37" s="501">
        <v>-0.11228912566007754</v>
      </c>
      <c r="AN37" s="501">
        <v>-0.10083945982585119</v>
      </c>
      <c r="AO37" s="501">
        <v>-8.8639703696996475E-2</v>
      </c>
      <c r="AP37" s="501">
        <v>-0.11013605236252788</v>
      </c>
      <c r="AQ37" s="546">
        <v>0.17447086111916499</v>
      </c>
      <c r="AR37" s="501">
        <v>9.5302403069466912E-2</v>
      </c>
      <c r="AS37" s="501">
        <v>0.13214854397754561</v>
      </c>
      <c r="AT37" s="501">
        <v>0.15126828365117562</v>
      </c>
      <c r="AU37" s="501">
        <v>0.20681469873131841</v>
      </c>
      <c r="AV37" s="501">
        <v>0.17999618589017752</v>
      </c>
      <c r="AW37" s="501">
        <v>0.13214324005575206</v>
      </c>
      <c r="AX37" s="501">
        <v>0.10798139996753586</v>
      </c>
      <c r="AY37" s="501">
        <v>0.11936303352003264</v>
      </c>
      <c r="AZ37" s="501">
        <v>0.11346181163880864</v>
      </c>
      <c r="BA37" s="501">
        <v>-2.6973457428473013E-3</v>
      </c>
      <c r="BB37" s="501">
        <v>5.2645114715636154E-2</v>
      </c>
      <c r="BC37" s="501">
        <v>-0.12546145091436534</v>
      </c>
      <c r="BD37" s="501">
        <v>-0.1263619173339865</v>
      </c>
      <c r="BE37" s="501">
        <v>-0.12590811588371209</v>
      </c>
      <c r="BF37" s="501">
        <v>-0.14363085301275713</v>
      </c>
      <c r="BG37" s="501">
        <v>-0.14256449182796527</v>
      </c>
      <c r="BH37" s="501">
        <v>-0.14310217266209024</v>
      </c>
      <c r="BI37" s="501">
        <v>-0.13499836969769385</v>
      </c>
      <c r="BJ37" s="501">
        <v>-8.1073386392468416E-2</v>
      </c>
      <c r="BK37" s="501">
        <v>-0.10824667600595417</v>
      </c>
      <c r="BL37" s="501">
        <v>-2.7929754413308805E-2</v>
      </c>
      <c r="BM37" s="501">
        <v>2.6219285877810083E-2</v>
      </c>
      <c r="BN37" s="501">
        <v>-2.4834999296485805E-4</v>
      </c>
      <c r="BO37" s="501">
        <v>7.5560968344655643E-2</v>
      </c>
      <c r="BP37" s="501">
        <v>7.3173131171325068E-2</v>
      </c>
      <c r="BQ37" s="501">
        <v>7.4307971122991034E-2</v>
      </c>
      <c r="BR37" s="501">
        <v>0</v>
      </c>
      <c r="BS37" s="501">
        <v>3.4251443806071924E-2</v>
      </c>
      <c r="BT37" s="501">
        <v>1.7954167596380799E-2</v>
      </c>
      <c r="BU37" s="501">
        <v>7.100000000000084E-2</v>
      </c>
      <c r="BV37" s="501">
        <v>9.6456337808323855E-3</v>
      </c>
      <c r="BW37" s="501">
        <v>3.8323933055930626E-2</v>
      </c>
      <c r="BX37" s="501">
        <v>0</v>
      </c>
      <c r="BY37" s="501">
        <v>0</v>
      </c>
      <c r="BZ37" s="501">
        <v>0</v>
      </c>
      <c r="CA37" s="501">
        <v>0</v>
      </c>
      <c r="CB37" s="501">
        <v>0</v>
      </c>
      <c r="CC37" s="501">
        <v>0</v>
      </c>
    </row>
    <row r="38" spans="1:81" s="11" customFormat="1">
      <c r="A38" s="66"/>
      <c r="B38" s="43"/>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row>
    <row r="39" spans="1:81" s="11" customFormat="1">
      <c r="A39" s="66"/>
      <c r="B39" s="41" t="s">
        <v>229</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row>
    <row r="40" spans="1:81" s="11" customFormat="1">
      <c r="A40" s="66"/>
      <c r="B40" s="43" t="s">
        <v>230</v>
      </c>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row>
    <row r="41" spans="1:81" s="471" customFormat="1">
      <c r="A41" s="87"/>
      <c r="B41" s="84" t="s">
        <v>437</v>
      </c>
      <c r="C41" s="470"/>
      <c r="D41" s="470">
        <v>0</v>
      </c>
      <c r="E41" s="470">
        <v>0</v>
      </c>
      <c r="F41" s="470">
        <v>0</v>
      </c>
      <c r="G41" s="470">
        <v>0</v>
      </c>
      <c r="H41" s="470">
        <v>0</v>
      </c>
      <c r="I41" s="470">
        <v>0</v>
      </c>
      <c r="J41" s="470">
        <v>0</v>
      </c>
      <c r="K41" s="470">
        <v>0.18333818602790752</v>
      </c>
      <c r="L41" s="526" t="s">
        <v>690</v>
      </c>
      <c r="M41" s="470">
        <v>0.11760922239820437</v>
      </c>
      <c r="N41" s="470">
        <v>0.10818832734045403</v>
      </c>
      <c r="O41" s="470">
        <v>0.11248510701976122</v>
      </c>
      <c r="P41" s="470">
        <v>0.19900225729685306</v>
      </c>
      <c r="Q41" s="470">
        <v>0.14544447734634702</v>
      </c>
      <c r="R41" s="470">
        <v>0.16998417779583552</v>
      </c>
      <c r="S41" s="470">
        <v>0.15342493735437102</v>
      </c>
      <c r="T41" s="470">
        <v>0.2023729701176491</v>
      </c>
      <c r="U41" s="470">
        <v>0.17938916425325835</v>
      </c>
      <c r="V41" s="470">
        <v>0.17178804945566761</v>
      </c>
      <c r="W41" s="470">
        <v>0.17406401752943856</v>
      </c>
      <c r="X41" s="470">
        <v>0.17301885201478373</v>
      </c>
      <c r="Y41" s="470">
        <v>0.13538574785481017</v>
      </c>
      <c r="Z41" s="470">
        <v>0.15683011136308322</v>
      </c>
      <c r="AA41" s="470">
        <v>0.14699280630761957</v>
      </c>
      <c r="AB41" s="470">
        <v>0.1760271045088857</v>
      </c>
      <c r="AC41" s="470">
        <v>0.12134968742898167</v>
      </c>
      <c r="AD41" s="470">
        <v>0.14617837213688922</v>
      </c>
      <c r="AE41" s="470">
        <v>-1.521881179144613E-2</v>
      </c>
      <c r="AF41" s="470">
        <v>-9.505499334503531E-2</v>
      </c>
      <c r="AG41" s="470">
        <v>-5.7857763178378985E-2</v>
      </c>
      <c r="AH41" s="470">
        <v>0.18524587293433425</v>
      </c>
      <c r="AI41" s="470">
        <v>0.16837878402149364</v>
      </c>
      <c r="AJ41" s="470">
        <v>0.17659315379940033</v>
      </c>
      <c r="AK41" s="470">
        <v>-0.15472522455902749</v>
      </c>
      <c r="AL41" s="470">
        <v>-0.12917787521664204</v>
      </c>
      <c r="AM41" s="470">
        <v>-0.14195154988783476</v>
      </c>
      <c r="AN41" s="470">
        <v>-0.08</v>
      </c>
      <c r="AO41" s="470">
        <v>-4.1960889423171777E-2</v>
      </c>
      <c r="AP41" s="470">
        <v>-6.0980444711585889E-2</v>
      </c>
      <c r="AQ41" s="470">
        <v>5.4441085064262928E-3</v>
      </c>
      <c r="AR41" s="470">
        <v>7.4676976858330857E-2</v>
      </c>
      <c r="AS41" s="470">
        <v>4.0060542682378575E-2</v>
      </c>
      <c r="AT41" s="470">
        <v>4.181781384414629E-2</v>
      </c>
      <c r="AU41" s="470">
        <v>1.8482484895346873E-2</v>
      </c>
      <c r="AV41" s="470">
        <v>3.0150149369746582E-2</v>
      </c>
      <c r="AW41" s="470">
        <v>2.3090032857568499E-2</v>
      </c>
      <c r="AX41" s="470">
        <v>1.1919232771340882E-2</v>
      </c>
      <c r="AY41" s="470">
        <v>1.750463281445469E-2</v>
      </c>
      <c r="AZ41" s="470">
        <v>2.4283351019305677E-2</v>
      </c>
      <c r="BA41" s="470">
        <v>-2.8038391455940781E-2</v>
      </c>
      <c r="BB41" s="470">
        <v>-1.8775202183175521E-3</v>
      </c>
      <c r="BC41" s="470">
        <v>-3.9020890820533616E-3</v>
      </c>
      <c r="BD41" s="470">
        <v>-2.3057771742205468E-2</v>
      </c>
      <c r="BE41" s="470">
        <v>-1.3479930412129415E-2</v>
      </c>
      <c r="BF41" s="470">
        <v>-2.305777174220569E-2</v>
      </c>
      <c r="BG41" s="470">
        <v>1.7057137065245698E-2</v>
      </c>
      <c r="BH41" s="470">
        <v>-3.0003173384799964E-3</v>
      </c>
      <c r="BI41" s="470">
        <v>1.7057137065245698E-2</v>
      </c>
      <c r="BJ41" s="470">
        <v>2.798974943052368E-2</v>
      </c>
      <c r="BK41" s="470">
        <v>2.2523443247884689E-2</v>
      </c>
      <c r="BL41" s="470">
        <v>2.798974943052368E-2</v>
      </c>
      <c r="BM41" s="470">
        <v>3.3764507104673047E-2</v>
      </c>
      <c r="BN41" s="470">
        <v>3.0877128267598364E-2</v>
      </c>
      <c r="BO41" s="470">
        <v>3.3764507104672825E-2</v>
      </c>
      <c r="BP41" s="470">
        <v>3.188467927763794E-2</v>
      </c>
      <c r="BQ41" s="470">
        <v>3.2824593191155382E-2</v>
      </c>
      <c r="BR41" s="470">
        <v>3.1884679277638162E-2</v>
      </c>
      <c r="BS41" s="470">
        <v>2.1421894474449532E-2</v>
      </c>
      <c r="BT41" s="470">
        <v>2.6653286876043847E-2</v>
      </c>
      <c r="BU41" s="470">
        <v>2.142189447444931E-2</v>
      </c>
      <c r="BV41" s="470">
        <v>2.2752116328139005E-2</v>
      </c>
      <c r="BW41" s="470">
        <v>2.2087005401294157E-2</v>
      </c>
      <c r="BX41" s="470">
        <v>2.2752116328139227E-2</v>
      </c>
      <c r="BY41" s="470">
        <v>2.1574865778484664E-2</v>
      </c>
      <c r="BZ41" s="470">
        <v>2.2163491053311946E-2</v>
      </c>
      <c r="CA41" s="470">
        <v>2.1574865778484886E-2</v>
      </c>
      <c r="CB41" s="470">
        <v>2.1574865778484664E-2</v>
      </c>
      <c r="CC41" s="470">
        <v>2.1574865778484775E-2</v>
      </c>
    </row>
    <row r="42" spans="1:81" s="11" customFormat="1">
      <c r="A42" s="66"/>
      <c r="B42" s="43"/>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row>
    <row r="43" spans="1:81" s="11" customFormat="1">
      <c r="A43" s="66"/>
      <c r="B43" s="41" t="s">
        <v>232</v>
      </c>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row>
    <row r="44" spans="1:81" s="11" customFormat="1">
      <c r="A44" s="66"/>
      <c r="B44" s="43" t="s">
        <v>230</v>
      </c>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534"/>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row>
    <row r="45" spans="1:81" s="471" customFormat="1">
      <c r="A45" s="87"/>
      <c r="B45" s="84" t="s">
        <v>437</v>
      </c>
      <c r="C45" s="470"/>
      <c r="D45" s="470">
        <v>0</v>
      </c>
      <c r="E45" s="470">
        <v>0</v>
      </c>
      <c r="F45" s="470">
        <v>0</v>
      </c>
      <c r="G45" s="470">
        <v>0</v>
      </c>
      <c r="H45" s="470">
        <v>0</v>
      </c>
      <c r="I45" s="470">
        <v>0</v>
      </c>
      <c r="J45" s="470">
        <v>0</v>
      </c>
      <c r="K45" s="526" t="s">
        <v>690</v>
      </c>
      <c r="L45" s="526" t="s">
        <v>690</v>
      </c>
      <c r="M45" s="470">
        <v>0.19033422609321682</v>
      </c>
      <c r="N45" s="470">
        <v>0.11239723922818734</v>
      </c>
      <c r="O45" s="470">
        <v>0.11239723922818734</v>
      </c>
      <c r="P45" s="470">
        <v>0.10451069002399138</v>
      </c>
      <c r="Q45" s="470">
        <v>0.16079956100990422</v>
      </c>
      <c r="R45" s="470">
        <v>0.16079956100990422</v>
      </c>
      <c r="S45" s="470">
        <v>0.24887122226907699</v>
      </c>
      <c r="T45" s="470">
        <v>0.34316453389267032</v>
      </c>
      <c r="U45" s="470">
        <v>0.34316453389267032</v>
      </c>
      <c r="V45" s="470">
        <v>0.31586414850664157</v>
      </c>
      <c r="W45" s="470">
        <v>0.19760116632258562</v>
      </c>
      <c r="X45" s="470">
        <v>0.19760116632258562</v>
      </c>
      <c r="Y45" s="470">
        <v>0.19945822738286578</v>
      </c>
      <c r="Z45" s="470">
        <v>0.15461499599873174</v>
      </c>
      <c r="AA45" s="470">
        <v>0.15461499599873174</v>
      </c>
      <c r="AB45" s="470">
        <v>0.16572052341620958</v>
      </c>
      <c r="AC45" s="470">
        <v>0.34153718302147906</v>
      </c>
      <c r="AD45" s="470">
        <v>0.34153718302147906</v>
      </c>
      <c r="AE45" s="470">
        <v>0.15949756533097847</v>
      </c>
      <c r="AF45" s="470">
        <v>2.3978399670121497E-3</v>
      </c>
      <c r="AG45" s="470">
        <v>2.3978399670121497E-3</v>
      </c>
      <c r="AH45" s="470">
        <v>-3.5142396305073431E-3</v>
      </c>
      <c r="AI45" s="470">
        <v>5.1238200575887349E-2</v>
      </c>
      <c r="AJ45" s="470">
        <v>5.1238200575887349E-2</v>
      </c>
      <c r="AK45" s="470">
        <v>0.21308652522093996</v>
      </c>
      <c r="AL45" s="470">
        <v>9.2918189321909317E-2</v>
      </c>
      <c r="AM45" s="470">
        <v>0.15300235727142464</v>
      </c>
      <c r="AN45" s="470">
        <v>-3.6063442132714507E-2</v>
      </c>
      <c r="AO45" s="470">
        <v>0.23366153491452324</v>
      </c>
      <c r="AP45" s="470">
        <v>9.8799046390904366E-2</v>
      </c>
      <c r="AQ45" s="470">
        <v>5.0363554967043367E-3</v>
      </c>
      <c r="AR45" s="470">
        <v>1.1526267693453551E-3</v>
      </c>
      <c r="AS45" s="470">
        <v>3.0944911330248459E-3</v>
      </c>
      <c r="AT45" s="470">
        <v>-1.6357722231617133E-2</v>
      </c>
      <c r="AU45" s="470">
        <v>-0.15780795332201381</v>
      </c>
      <c r="AV45" s="470">
        <v>-8.7082837776815469E-2</v>
      </c>
      <c r="AW45" s="470">
        <v>-0.14823249626991908</v>
      </c>
      <c r="AX45" s="470">
        <v>-0.12420319351276088</v>
      </c>
      <c r="AY45" s="470">
        <v>-0.13621784489133998</v>
      </c>
      <c r="AZ45" s="470">
        <v>-0.1741472666234597</v>
      </c>
      <c r="BA45" s="470">
        <v>-0.20876196541344094</v>
      </c>
      <c r="BB45" s="470">
        <v>-0.19145461601845032</v>
      </c>
      <c r="BC45" s="470">
        <v>-0.119656226104638</v>
      </c>
      <c r="BD45" s="470">
        <v>-0.11948624485875414</v>
      </c>
      <c r="BE45" s="470">
        <v>-0.11957123548169607</v>
      </c>
      <c r="BF45" s="470">
        <v>-0.11948624485875414</v>
      </c>
      <c r="BG45" s="470">
        <v>1.0600953806133795E-2</v>
      </c>
      <c r="BH45" s="470">
        <v>-5.4442645526310174E-2</v>
      </c>
      <c r="BI45" s="470">
        <v>1.0600953806134017E-2</v>
      </c>
      <c r="BJ45" s="470">
        <v>3.4167808361357022E-2</v>
      </c>
      <c r="BK45" s="470">
        <v>2.2384381083745519E-2</v>
      </c>
      <c r="BL45" s="470">
        <v>3.41678083613568E-2</v>
      </c>
      <c r="BM45" s="470">
        <v>1.6445871805165213E-2</v>
      </c>
      <c r="BN45" s="470">
        <v>2.5306840083261006E-2</v>
      </c>
      <c r="BO45" s="470">
        <v>1.6445871805164991E-2</v>
      </c>
      <c r="BP45" s="470">
        <v>-8.8600429178899986E-3</v>
      </c>
      <c r="BQ45" s="470">
        <v>3.7929144436374962E-3</v>
      </c>
      <c r="BR45" s="470">
        <v>-8.8600429178899986E-3</v>
      </c>
      <c r="BS45" s="470">
        <v>-3.931673883590614E-3</v>
      </c>
      <c r="BT45" s="470">
        <v>-6.3958584007403063E-3</v>
      </c>
      <c r="BU45" s="470">
        <v>-3.931673883590503E-3</v>
      </c>
      <c r="BV45" s="470">
        <v>3.0310708094412497E-2</v>
      </c>
      <c r="BW45" s="470">
        <v>1.3189517105410997E-2</v>
      </c>
      <c r="BX45" s="470">
        <v>3.0310708094412497E-2</v>
      </c>
      <c r="BY45" s="470">
        <v>-4.9195604623170075E-2</v>
      </c>
      <c r="BZ45" s="470">
        <v>-9.4424482643787888E-3</v>
      </c>
      <c r="CA45" s="470">
        <v>-4.9195604623170075E-2</v>
      </c>
      <c r="CB45" s="470">
        <v>-4.9195604623170075E-2</v>
      </c>
      <c r="CC45" s="470">
        <v>-4.9195604623170075E-2</v>
      </c>
    </row>
    <row r="46" spans="1:81" s="11" customFormat="1">
      <c r="A46" s="66"/>
      <c r="B46" s="43"/>
      <c r="C46" s="257"/>
      <c r="D46" s="257"/>
      <c r="E46" s="257"/>
      <c r="F46" s="257"/>
      <c r="G46" s="257"/>
      <c r="H46" s="257"/>
      <c r="I46" s="257"/>
      <c r="J46" s="257"/>
      <c r="K46" s="257"/>
      <c r="L46" s="257"/>
      <c r="M46" s="257"/>
      <c r="N46" s="257"/>
      <c r="O46" s="257"/>
      <c r="P46" s="257"/>
      <c r="Q46" s="257"/>
      <c r="R46" s="257"/>
      <c r="S46" s="257"/>
      <c r="T46" s="257"/>
      <c r="U46" s="257"/>
      <c r="V46" s="257"/>
      <c r="W46" s="257"/>
      <c r="X46" s="257"/>
      <c r="Y46" s="257"/>
      <c r="Z46" s="257"/>
      <c r="AA46" s="257"/>
      <c r="AB46" s="257"/>
      <c r="AC46" s="257"/>
      <c r="AD46" s="257"/>
      <c r="AE46" s="257"/>
      <c r="AF46" s="257"/>
      <c r="AG46" s="257"/>
      <c r="AH46" s="257"/>
      <c r="AI46" s="257"/>
      <c r="AJ46" s="257"/>
      <c r="AK46" s="257"/>
      <c r="AL46" s="257"/>
      <c r="AM46" s="257"/>
      <c r="AN46" s="257"/>
      <c r="AO46" s="257"/>
      <c r="AP46" s="257"/>
      <c r="AQ46" s="257"/>
      <c r="AR46" s="257"/>
      <c r="AS46" s="257"/>
      <c r="AT46" s="257"/>
      <c r="AU46" s="257"/>
      <c r="AV46" s="257"/>
      <c r="AW46" s="257"/>
      <c r="AX46" s="257"/>
      <c r="AY46" s="257"/>
      <c r="AZ46" s="257"/>
      <c r="BA46" s="257"/>
      <c r="BB46" s="257"/>
      <c r="BC46" s="257"/>
      <c r="BD46" s="257"/>
      <c r="BE46" s="257"/>
      <c r="BF46" s="257"/>
      <c r="BG46" s="257"/>
      <c r="BH46" s="257"/>
      <c r="BI46" s="257"/>
      <c r="BJ46" s="257"/>
      <c r="BK46" s="257"/>
      <c r="BL46" s="257"/>
      <c r="BM46" s="257"/>
      <c r="BN46" s="257"/>
      <c r="BO46" s="257"/>
      <c r="BP46" s="257"/>
      <c r="BQ46" s="257"/>
      <c r="BR46" s="257"/>
      <c r="BS46" s="257"/>
      <c r="BT46" s="257"/>
      <c r="BU46" s="257"/>
      <c r="BV46" s="257"/>
      <c r="BW46" s="257"/>
      <c r="BX46" s="257"/>
      <c r="BY46" s="257"/>
      <c r="BZ46" s="257"/>
      <c r="CA46" s="257"/>
      <c r="CB46" s="257"/>
      <c r="CC46" s="257"/>
    </row>
    <row r="47" spans="1:81" s="11" customFormat="1">
      <c r="A47" s="66"/>
      <c r="B47" s="41" t="s">
        <v>233</v>
      </c>
      <c r="C47" s="257"/>
      <c r="D47" s="257"/>
      <c r="E47" s="257"/>
      <c r="F47" s="257"/>
      <c r="G47" s="257"/>
      <c r="H47" s="257"/>
      <c r="I47" s="257"/>
      <c r="J47" s="257"/>
      <c r="K47" s="257"/>
      <c r="L47" s="257"/>
      <c r="M47" s="257"/>
      <c r="N47" s="257"/>
      <c r="O47" s="257"/>
      <c r="P47" s="257"/>
      <c r="Q47" s="257"/>
      <c r="R47" s="257"/>
      <c r="S47" s="257"/>
      <c r="T47" s="257"/>
      <c r="U47" s="257"/>
      <c r="V47" s="257"/>
      <c r="W47" s="257"/>
      <c r="X47" s="257"/>
      <c r="Y47" s="257"/>
      <c r="Z47" s="257"/>
      <c r="AA47" s="257"/>
      <c r="AB47" s="257"/>
      <c r="AC47" s="257"/>
      <c r="AD47" s="257"/>
      <c r="AE47" s="257"/>
      <c r="AF47" s="257"/>
      <c r="AG47" s="257"/>
      <c r="AH47" s="257"/>
      <c r="AI47" s="257"/>
      <c r="AJ47" s="257"/>
      <c r="AK47" s="257"/>
      <c r="AL47" s="257"/>
      <c r="AM47" s="257"/>
      <c r="AN47" s="257"/>
      <c r="AO47" s="257"/>
      <c r="AP47" s="257"/>
      <c r="AQ47" s="257"/>
      <c r="AR47" s="257"/>
      <c r="AS47" s="257"/>
      <c r="AT47" s="257"/>
      <c r="AU47" s="257"/>
      <c r="AV47" s="257"/>
      <c r="AW47" s="257"/>
      <c r="AX47" s="257"/>
      <c r="AY47" s="257"/>
      <c r="AZ47" s="257"/>
      <c r="BA47" s="257"/>
      <c r="BB47" s="257"/>
      <c r="BC47" s="257"/>
      <c r="BD47" s="257"/>
      <c r="BE47" s="257"/>
      <c r="BF47" s="257"/>
      <c r="BG47" s="257"/>
      <c r="BH47" s="257"/>
      <c r="BI47" s="257"/>
      <c r="BJ47" s="257"/>
      <c r="BK47" s="257"/>
      <c r="BL47" s="257"/>
      <c r="BM47" s="257"/>
      <c r="BN47" s="257"/>
      <c r="BO47" s="257"/>
      <c r="BP47" s="257"/>
      <c r="BQ47" s="257"/>
      <c r="BR47" s="257"/>
      <c r="BS47" s="257"/>
      <c r="BT47" s="257"/>
      <c r="BU47" s="257"/>
      <c r="BV47" s="257"/>
      <c r="BW47" s="257"/>
      <c r="BX47" s="257"/>
      <c r="BY47" s="257"/>
      <c r="BZ47" s="257"/>
      <c r="CA47" s="257"/>
      <c r="CB47" s="257"/>
      <c r="CC47" s="257"/>
    </row>
    <row r="48" spans="1:81" s="11" customFormat="1">
      <c r="A48" s="66"/>
      <c r="B48" s="43" t="s">
        <v>230</v>
      </c>
      <c r="C48" s="257"/>
      <c r="D48" s="257"/>
      <c r="E48" s="257"/>
      <c r="F48" s="257"/>
      <c r="G48" s="257"/>
      <c r="H48" s="257"/>
      <c r="I48" s="257"/>
      <c r="J48" s="257"/>
      <c r="K48" s="257"/>
      <c r="L48" s="257"/>
      <c r="M48" s="257"/>
      <c r="N48" s="257"/>
      <c r="O48" s="257"/>
      <c r="P48" s="257"/>
      <c r="Q48" s="257"/>
      <c r="R48" s="257"/>
      <c r="S48" s="257"/>
      <c r="T48" s="257"/>
      <c r="U48" s="257"/>
      <c r="V48" s="257"/>
      <c r="W48" s="257"/>
      <c r="X48" s="257"/>
      <c r="Y48" s="257"/>
      <c r="Z48" s="257"/>
      <c r="AA48" s="257"/>
      <c r="AB48" s="257"/>
      <c r="AC48" s="257"/>
      <c r="AD48" s="257"/>
      <c r="AE48" s="257"/>
      <c r="AF48" s="257"/>
      <c r="AG48" s="257"/>
      <c r="AH48" s="257"/>
      <c r="AI48" s="257"/>
      <c r="AJ48" s="257"/>
      <c r="AK48" s="257"/>
      <c r="AL48" s="257"/>
      <c r="AM48" s="257"/>
      <c r="AN48" s="257"/>
      <c r="AO48" s="257"/>
      <c r="AP48" s="257"/>
      <c r="AQ48" s="257"/>
      <c r="AR48" s="257"/>
      <c r="AS48" s="257"/>
      <c r="AT48" s="257"/>
      <c r="AU48" s="257"/>
      <c r="AV48" s="257"/>
      <c r="AW48" s="257"/>
      <c r="AX48" s="257"/>
      <c r="AY48" s="257"/>
      <c r="AZ48" s="257"/>
      <c r="BA48" s="257"/>
      <c r="BB48" s="257"/>
      <c r="BC48" s="257"/>
      <c r="BD48" s="257"/>
      <c r="BE48" s="257"/>
      <c r="BF48" s="257"/>
      <c r="BG48" s="257"/>
      <c r="BH48" s="257"/>
      <c r="BI48" s="257"/>
      <c r="BJ48" s="257"/>
      <c r="BK48" s="257"/>
      <c r="BL48" s="257"/>
      <c r="BM48" s="257"/>
      <c r="BN48" s="257"/>
      <c r="BO48" s="257"/>
      <c r="BP48" s="257"/>
      <c r="BQ48" s="257"/>
      <c r="BR48" s="257"/>
      <c r="BS48" s="257"/>
      <c r="BT48" s="257"/>
      <c r="BU48" s="257"/>
      <c r="BV48" s="257"/>
      <c r="BW48" s="257"/>
      <c r="BX48" s="257"/>
      <c r="BY48" s="257"/>
      <c r="BZ48" s="257"/>
      <c r="CA48" s="257"/>
      <c r="CB48" s="257"/>
      <c r="CC48" s="257"/>
    </row>
    <row r="49" spans="1:81" s="11" customFormat="1">
      <c r="A49" s="66"/>
      <c r="B49" s="84" t="s">
        <v>437</v>
      </c>
      <c r="C49" s="257"/>
      <c r="D49" s="470">
        <v>0</v>
      </c>
      <c r="E49" s="470">
        <v>0</v>
      </c>
      <c r="F49" s="470">
        <v>0</v>
      </c>
      <c r="G49" s="470">
        <v>0</v>
      </c>
      <c r="H49" s="470">
        <v>0</v>
      </c>
      <c r="I49" s="470">
        <v>0</v>
      </c>
      <c r="J49" s="470">
        <v>0</v>
      </c>
      <c r="K49" s="526" t="s">
        <v>690</v>
      </c>
      <c r="L49" s="526" t="s">
        <v>690</v>
      </c>
      <c r="M49" s="470">
        <v>1.1553305216377114</v>
      </c>
      <c r="N49" s="470">
        <v>0.22105815288846564</v>
      </c>
      <c r="O49" s="470">
        <v>0.22105815288846564</v>
      </c>
      <c r="P49" s="470">
        <v>-0.10731961083440733</v>
      </c>
      <c r="Q49" s="470">
        <v>0.14103371994224512</v>
      </c>
      <c r="R49" s="470">
        <v>0.14103371994224512</v>
      </c>
      <c r="S49" s="470">
        <v>0.73870076349238745</v>
      </c>
      <c r="T49" s="470">
        <v>0.15083575725167586</v>
      </c>
      <c r="U49" s="470">
        <v>0.15083575725167586</v>
      </c>
      <c r="V49" s="470">
        <v>-0.31834657877216643</v>
      </c>
      <c r="W49" s="470">
        <v>0.61499480795186257</v>
      </c>
      <c r="X49" s="470">
        <v>0.61499480795186257</v>
      </c>
      <c r="Y49" s="470">
        <v>3.7659617235622056E-2</v>
      </c>
      <c r="Z49" s="470">
        <v>-6.6836283916279493E-2</v>
      </c>
      <c r="AA49" s="470">
        <v>-6.6836283916279493E-2</v>
      </c>
      <c r="AB49" s="470">
        <v>0.26805792105379478</v>
      </c>
      <c r="AC49" s="470">
        <v>0.62478025476445387</v>
      </c>
      <c r="AD49" s="470">
        <v>0.62478025476445387</v>
      </c>
      <c r="AE49" s="470">
        <v>8.4097573307804208E-3</v>
      </c>
      <c r="AF49" s="470">
        <v>-0.48594062445981423</v>
      </c>
      <c r="AG49" s="470">
        <v>-0.48594062445981423</v>
      </c>
      <c r="AH49" s="470">
        <v>1.175655692240718E-2</v>
      </c>
      <c r="AI49" s="470">
        <v>0.56081783361527027</v>
      </c>
      <c r="AJ49" s="470">
        <v>0.56081783361527027</v>
      </c>
      <c r="AK49" s="470">
        <v>-8.7804487110485052E-2</v>
      </c>
      <c r="AL49" s="470">
        <v>-0.33601111237786108</v>
      </c>
      <c r="AM49" s="470">
        <v>-0.21190779974417306</v>
      </c>
      <c r="AN49" s="470">
        <v>-2.2642249955995526E-2</v>
      </c>
      <c r="AO49" s="470">
        <v>0.15803400632965656</v>
      </c>
      <c r="AP49" s="470">
        <v>6.769587818683051E-2</v>
      </c>
      <c r="AQ49" s="470">
        <v>-4.1407958060394323E-2</v>
      </c>
      <c r="AR49" s="470">
        <v>-0.18814442353307836</v>
      </c>
      <c r="AS49" s="470">
        <v>-0.11477619079673634</v>
      </c>
      <c r="AT49" s="470">
        <v>-0.14113610575560342</v>
      </c>
      <c r="AU49" s="470">
        <v>-9.3156665751858214E-2</v>
      </c>
      <c r="AV49" s="470">
        <v>-0.11714638575373082</v>
      </c>
      <c r="AW49" s="470">
        <v>-1.8944828810556702E-2</v>
      </c>
      <c r="AX49" s="470">
        <v>1.7135777568095811E-2</v>
      </c>
      <c r="AY49" s="470">
        <v>-9.0452562123044533E-4</v>
      </c>
      <c r="AZ49" s="470">
        <v>8.2435926527531178E-2</v>
      </c>
      <c r="BA49" s="470">
        <v>0.19694180035174846</v>
      </c>
      <c r="BB49" s="470">
        <v>0.13968886343963982</v>
      </c>
      <c r="BC49" s="470">
        <v>0.13844719633226399</v>
      </c>
      <c r="BD49" s="470">
        <v>0.15329355460252359</v>
      </c>
      <c r="BE49" s="470">
        <v>0.14587037546739379</v>
      </c>
      <c r="BF49" s="470">
        <v>0.15329355460252336</v>
      </c>
      <c r="BG49" s="470">
        <v>0.16810687890847076</v>
      </c>
      <c r="BH49" s="470">
        <v>0.16070021675549706</v>
      </c>
      <c r="BI49" s="470">
        <v>0.16810687890847098</v>
      </c>
      <c r="BJ49" s="470">
        <v>-1.6401421132038907E-2</v>
      </c>
      <c r="BK49" s="470">
        <v>7.5852728888216037E-2</v>
      </c>
      <c r="BL49" s="470">
        <v>-1.6401421132038907E-2</v>
      </c>
      <c r="BM49" s="470">
        <v>-4.9727857496288941E-2</v>
      </c>
      <c r="BN49" s="470">
        <v>-3.3064639314163924E-2</v>
      </c>
      <c r="BO49" s="470">
        <v>-4.9727857496288719E-2</v>
      </c>
      <c r="BP49" s="470">
        <v>-6.9877636032283141E-2</v>
      </c>
      <c r="BQ49" s="470">
        <v>-5.980274676428593E-2</v>
      </c>
      <c r="BR49" s="470">
        <v>-6.9877636032283363E-2</v>
      </c>
      <c r="BS49" s="470">
        <v>-2.0601242792364194E-2</v>
      </c>
      <c r="BT49" s="470">
        <v>-4.5239439412323779E-2</v>
      </c>
      <c r="BU49" s="470">
        <v>-2.0601242792363972E-2</v>
      </c>
      <c r="BV49" s="470">
        <v>-3.1437553586738387E-3</v>
      </c>
      <c r="BW49" s="470">
        <v>-1.1872499075518905E-2</v>
      </c>
      <c r="BX49" s="470">
        <v>-3.1437553586740608E-3</v>
      </c>
      <c r="BY49" s="470">
        <v>-3.5091743119265995E-2</v>
      </c>
      <c r="BZ49" s="470">
        <v>-1.9117749238970028E-2</v>
      </c>
      <c r="CA49" s="470">
        <v>-3.5091743119266106E-2</v>
      </c>
      <c r="CB49" s="470">
        <v>-3.5091743119265995E-2</v>
      </c>
      <c r="CC49" s="470">
        <v>-3.509174311926605E-2</v>
      </c>
    </row>
  </sheetData>
  <mergeCells count="2">
    <mergeCell ref="A1:A2"/>
    <mergeCell ref="B1:B2"/>
  </mergeCells>
  <pageMargins left="0.7" right="0.7" top="0.75" bottom="0.75" header="0.3" footer="0.3"/>
  <pageSetup paperSize="0" orientation="portrait" horizontalDpi="0" verticalDpi="0" copies="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92D050"/>
    <outlinePr summaryBelow="0"/>
    <pageSetUpPr fitToPage="1"/>
  </sheetPr>
  <dimension ref="A1:CF347"/>
  <sheetViews>
    <sheetView showGridLines="0" zoomScale="85" zoomScaleNormal="85" workbookViewId="0">
      <pane xSplit="2" ySplit="4" topLeftCell="AD5" activePane="bottomRight" state="frozen"/>
      <selection activeCell="BE273" sqref="BE273"/>
      <selection pane="topRight" activeCell="BE273" sqref="BE273"/>
      <selection pane="bottomLeft" activeCell="BE273" sqref="BE273"/>
      <selection pane="bottomRight" activeCell="AM99" sqref="AM99"/>
    </sheetView>
  </sheetViews>
  <sheetFormatPr defaultRowHeight="12.75" outlineLevelRow="1" outlineLevelCol="2"/>
  <cols>
    <col min="1" max="1" width="2.42578125" style="93" hidden="1" customWidth="1" outlineLevel="1"/>
    <col min="2" max="2" width="39.85546875" style="45" customWidth="1" collapsed="1"/>
    <col min="3" max="3" width="9.7109375" style="45" hidden="1" customWidth="1" outlineLevel="1"/>
    <col min="4" max="5" width="9.7109375" style="45" hidden="1" customWidth="1" outlineLevel="2"/>
    <col min="6" max="6" width="9.7109375" style="45" hidden="1" customWidth="1" outlineLevel="1" collapsed="1"/>
    <col min="7" max="8" width="9.7109375" style="45" hidden="1" customWidth="1" outlineLevel="2"/>
    <col min="9" max="9" width="9.7109375" style="45" hidden="1" customWidth="1" outlineLevel="1" collapsed="1"/>
    <col min="10" max="11" width="9.7109375" style="45" hidden="1" customWidth="1" outlineLevel="2"/>
    <col min="12" max="12" width="9.7109375" style="45" hidden="1" customWidth="1" outlineLevel="1" collapsed="1"/>
    <col min="13" max="14" width="9.7109375" style="45" hidden="1" customWidth="1" outlineLevel="2"/>
    <col min="15" max="15" width="9.7109375" style="45" hidden="1" customWidth="1" outlineLevel="1" collapsed="1"/>
    <col min="16" max="17" width="9.7109375" style="45" hidden="1" customWidth="1" outlineLevel="2"/>
    <col min="18" max="18" width="9.7109375" style="45" hidden="1" customWidth="1" outlineLevel="1" collapsed="1"/>
    <col min="19" max="19" width="9.7109375" style="45" hidden="1" customWidth="1" outlineLevel="2"/>
    <col min="20" max="20" width="9.7109375" style="65" hidden="1" customWidth="1" outlineLevel="2"/>
    <col min="21" max="21" width="9.7109375" style="65" hidden="1" customWidth="1" outlineLevel="1" collapsed="1"/>
    <col min="22" max="23" width="9.7109375" style="65" hidden="1" customWidth="1" outlineLevel="2"/>
    <col min="24" max="24" width="9.7109375" style="65" hidden="1" customWidth="1" outlineLevel="1" collapsed="1"/>
    <col min="25" max="26" width="9.7109375" style="65" hidden="1" customWidth="1" outlineLevel="2"/>
    <col min="27" max="27" width="9.7109375" style="65" hidden="1" customWidth="1" outlineLevel="1" collapsed="1"/>
    <col min="28" max="29" width="9.7109375" style="65" hidden="1" customWidth="1" outlineLevel="1"/>
    <col min="30" max="30" width="9.7109375" style="65" customWidth="1" collapsed="1"/>
    <col min="31" max="32" width="9.7109375" style="65" hidden="1" customWidth="1" outlineLevel="1"/>
    <col min="33" max="33" width="9.7109375" style="65" customWidth="1" collapsed="1"/>
    <col min="34" max="35" width="9.7109375" style="65" hidden="1" customWidth="1" outlineLevel="1"/>
    <col min="36" max="36" width="9.7109375" style="65" customWidth="1" collapsed="1"/>
    <col min="37" max="38" width="9.7109375" style="65" hidden="1" customWidth="1" outlineLevel="1"/>
    <col min="39" max="39" width="9.7109375" style="65" customWidth="1" collapsed="1"/>
    <col min="40" max="41" width="9.7109375" style="65" hidden="1" customWidth="1" outlineLevel="1"/>
    <col min="42" max="42" width="9.7109375" style="65" customWidth="1" collapsed="1"/>
    <col min="43" max="44" width="9.7109375" style="65" hidden="1" customWidth="1" outlineLevel="1"/>
    <col min="45" max="45" width="9.7109375" style="65" customWidth="1" collapsed="1"/>
    <col min="46" max="46" width="9.7109375" style="65" hidden="1" customWidth="1" outlineLevel="1"/>
    <col min="47" max="47" width="8.85546875" style="65" hidden="1" customWidth="1" outlineLevel="1"/>
    <col min="48" max="48" width="9.7109375" style="65" customWidth="1" collapsed="1"/>
    <col min="49" max="50" width="9.7109375" style="65" hidden="1" customWidth="1" outlineLevel="1"/>
    <col min="51" max="51" width="9.7109375" style="65" customWidth="1" collapsed="1"/>
    <col min="52" max="53" width="9.7109375" style="65" hidden="1" customWidth="1" outlineLevel="1"/>
    <col min="54" max="54" width="9.7109375" style="65" customWidth="1" collapsed="1"/>
    <col min="55" max="56" width="9.7109375" style="65" hidden="1" customWidth="1" outlineLevel="1"/>
    <col min="57" max="57" width="9.7109375" style="65" customWidth="1" collapsed="1"/>
    <col min="58" max="59" width="9.28515625" style="65" hidden="1" customWidth="1" outlineLevel="1"/>
    <col min="60" max="60" width="9.7109375" style="65" customWidth="1" collapsed="1"/>
    <col min="61" max="62" width="9.28515625" style="65" hidden="1" customWidth="1" outlineLevel="1"/>
    <col min="63" max="63" width="9.7109375" style="65" customWidth="1" collapsed="1"/>
    <col min="64" max="65" width="9.140625" style="65" hidden="1" customWidth="1" outlineLevel="1"/>
    <col min="66" max="66" width="9.7109375" style="65" customWidth="1" collapsed="1"/>
    <col min="67" max="67" width="9.85546875" style="65" hidden="1" customWidth="1" outlineLevel="1"/>
    <col min="68" max="68" width="11.140625" style="65" hidden="1" customWidth="1" outlineLevel="1"/>
    <col min="69" max="69" width="9.7109375" style="65" customWidth="1" collapsed="1"/>
    <col min="70" max="71" width="9.140625" style="65" hidden="1" customWidth="1" outlineLevel="1"/>
    <col min="72" max="72" width="9.140625" style="65" customWidth="1" collapsed="1"/>
    <col min="73" max="74" width="9.140625" style="65" hidden="1" customWidth="1" outlineLevel="1"/>
    <col min="75" max="75" width="9.140625" style="65" customWidth="1" collapsed="1"/>
    <col min="76" max="77" width="9.140625" style="65" hidden="1" customWidth="1" outlineLevel="1"/>
    <col min="78" max="78" width="9.140625" style="65" customWidth="1" collapsed="1"/>
    <col min="79" max="80" width="9.140625" style="65" hidden="1" customWidth="1" outlineLevel="1"/>
    <col min="81" max="81" width="9.140625" style="65" customWidth="1" collapsed="1"/>
    <col min="82" max="16384" width="9.140625" style="5"/>
  </cols>
  <sheetData>
    <row r="1" spans="1:81" s="3" customFormat="1" ht="12.75" hidden="1" customHeight="1" outlineLevel="1">
      <c r="B1" s="700" t="s">
        <v>353</v>
      </c>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row>
    <row r="2" spans="1:81" s="3" customFormat="1" ht="12.75" hidden="1" customHeight="1" outlineLevel="1">
      <c r="A2" s="3">
        <f>COLUMN()</f>
        <v>1</v>
      </c>
      <c r="B2" s="700"/>
    </row>
    <row r="3" spans="1:81" ht="27" customHeight="1" collapsed="1">
      <c r="A3" s="63"/>
      <c r="B3" s="700"/>
      <c r="F3" s="40"/>
      <c r="R3" s="64"/>
      <c r="T3" s="45"/>
      <c r="U3" s="45"/>
      <c r="V3" s="45"/>
      <c r="W3" s="45"/>
      <c r="X3" s="45"/>
      <c r="Y3" s="45"/>
      <c r="Z3" s="45"/>
      <c r="AA3" s="45"/>
      <c r="AB3" s="45"/>
      <c r="AC3" s="45"/>
      <c r="BP3" s="45"/>
      <c r="BQ3" s="45"/>
      <c r="BR3" s="45"/>
      <c r="BS3" s="45"/>
      <c r="BT3" s="45"/>
      <c r="BU3" s="45"/>
      <c r="BV3" s="45"/>
      <c r="BW3" s="45"/>
      <c r="BX3" s="45"/>
      <c r="BY3" s="45"/>
      <c r="BZ3" s="45"/>
      <c r="CA3" s="45"/>
      <c r="CB3" s="45"/>
      <c r="CC3" s="45"/>
    </row>
    <row r="4" spans="1:81" s="397" customFormat="1">
      <c r="A4" s="231"/>
      <c r="B4" s="231" t="s">
        <v>176</v>
      </c>
      <c r="C4" s="231">
        <v>1999</v>
      </c>
      <c r="D4" s="232" t="s">
        <v>80</v>
      </c>
      <c r="E4" s="232" t="s">
        <v>81</v>
      </c>
      <c r="F4" s="233" t="s">
        <v>74</v>
      </c>
      <c r="G4" s="232" t="s">
        <v>75</v>
      </c>
      <c r="H4" s="232" t="s">
        <v>76</v>
      </c>
      <c r="I4" s="233" t="s">
        <v>77</v>
      </c>
      <c r="J4" s="232" t="s">
        <v>78</v>
      </c>
      <c r="K4" s="232" t="s">
        <v>79</v>
      </c>
      <c r="L4" s="233" t="s">
        <v>304</v>
      </c>
      <c r="M4" s="232" t="s">
        <v>305</v>
      </c>
      <c r="N4" s="232" t="s">
        <v>306</v>
      </c>
      <c r="O4" s="233" t="s">
        <v>307</v>
      </c>
      <c r="P4" s="232" t="s">
        <v>311</v>
      </c>
      <c r="Q4" s="232" t="s">
        <v>312</v>
      </c>
      <c r="R4" s="233" t="s">
        <v>82</v>
      </c>
      <c r="S4" s="232" t="s">
        <v>462</v>
      </c>
      <c r="T4" s="232" t="s">
        <v>463</v>
      </c>
      <c r="U4" s="233" t="s">
        <v>83</v>
      </c>
      <c r="V4" s="232" t="s">
        <v>464</v>
      </c>
      <c r="W4" s="232" t="s">
        <v>465</v>
      </c>
      <c r="X4" s="233" t="s">
        <v>84</v>
      </c>
      <c r="Y4" s="232" t="s">
        <v>466</v>
      </c>
      <c r="Z4" s="232" t="s">
        <v>467</v>
      </c>
      <c r="AA4" s="233" t="s">
        <v>197</v>
      </c>
      <c r="AB4" s="232" t="s">
        <v>85</v>
      </c>
      <c r="AC4" s="232" t="s">
        <v>86</v>
      </c>
      <c r="AD4" s="234" t="s">
        <v>196</v>
      </c>
      <c r="AE4" s="235" t="s">
        <v>87</v>
      </c>
      <c r="AF4" s="235" t="s">
        <v>88</v>
      </c>
      <c r="AG4" s="234" t="s">
        <v>490</v>
      </c>
      <c r="AH4" s="235" t="s">
        <v>89</v>
      </c>
      <c r="AI4" s="235" t="s">
        <v>90</v>
      </c>
      <c r="AJ4" s="234" t="s">
        <v>91</v>
      </c>
      <c r="AK4" s="235" t="s">
        <v>92</v>
      </c>
      <c r="AL4" s="235" t="s">
        <v>93</v>
      </c>
      <c r="AM4" s="234" t="s">
        <v>94</v>
      </c>
      <c r="AN4" s="235" t="s">
        <v>95</v>
      </c>
      <c r="AO4" s="235" t="s">
        <v>96</v>
      </c>
      <c r="AP4" s="234" t="s">
        <v>97</v>
      </c>
      <c r="AQ4" s="235" t="s">
        <v>288</v>
      </c>
      <c r="AR4" s="235" t="s">
        <v>289</v>
      </c>
      <c r="AS4" s="234" t="s">
        <v>290</v>
      </c>
      <c r="AT4" s="235" t="s">
        <v>165</v>
      </c>
      <c r="AU4" s="235" t="s">
        <v>166</v>
      </c>
      <c r="AV4" s="234" t="s">
        <v>167</v>
      </c>
      <c r="AW4" s="235" t="s">
        <v>234</v>
      </c>
      <c r="AX4" s="235" t="s">
        <v>235</v>
      </c>
      <c r="AY4" s="234" t="s">
        <v>236</v>
      </c>
      <c r="AZ4" s="235" t="s">
        <v>237</v>
      </c>
      <c r="BA4" s="235" t="s">
        <v>238</v>
      </c>
      <c r="BB4" s="234" t="s">
        <v>239</v>
      </c>
      <c r="BC4" s="235" t="s">
        <v>240</v>
      </c>
      <c r="BD4" s="235" t="s">
        <v>241</v>
      </c>
      <c r="BE4" s="234" t="s">
        <v>242</v>
      </c>
      <c r="BF4" s="235" t="s">
        <v>243</v>
      </c>
      <c r="BG4" s="235" t="s">
        <v>244</v>
      </c>
      <c r="BH4" s="234" t="s">
        <v>382</v>
      </c>
      <c r="BI4" s="235" t="s">
        <v>383</v>
      </c>
      <c r="BJ4" s="235" t="s">
        <v>384</v>
      </c>
      <c r="BK4" s="234" t="s">
        <v>385</v>
      </c>
      <c r="BL4" s="235" t="s">
        <v>386</v>
      </c>
      <c r="BM4" s="235" t="s">
        <v>387</v>
      </c>
      <c r="BN4" s="234" t="s">
        <v>388</v>
      </c>
      <c r="BO4" s="235" t="s">
        <v>395</v>
      </c>
      <c r="BP4" s="235" t="s">
        <v>396</v>
      </c>
      <c r="BQ4" s="234" t="s">
        <v>397</v>
      </c>
      <c r="BR4" s="235" t="s">
        <v>611</v>
      </c>
      <c r="BS4" s="235" t="s">
        <v>612</v>
      </c>
      <c r="BT4" s="234" t="s">
        <v>613</v>
      </c>
      <c r="BU4" s="235" t="s">
        <v>614</v>
      </c>
      <c r="BV4" s="235" t="s">
        <v>615</v>
      </c>
      <c r="BW4" s="234" t="s">
        <v>616</v>
      </c>
      <c r="BX4" s="235" t="s">
        <v>617</v>
      </c>
      <c r="BY4" s="235" t="s">
        <v>618</v>
      </c>
      <c r="BZ4" s="234" t="s">
        <v>619</v>
      </c>
      <c r="CA4" s="235" t="s">
        <v>620</v>
      </c>
      <c r="CB4" s="235" t="s">
        <v>621</v>
      </c>
      <c r="CC4" s="234" t="s">
        <v>622</v>
      </c>
    </row>
    <row r="5" spans="1:81" s="397" customFormat="1">
      <c r="A5" s="435"/>
      <c r="B5" s="435"/>
      <c r="C5" s="435"/>
      <c r="D5" s="436"/>
      <c r="E5" s="436"/>
      <c r="F5" s="437"/>
      <c r="G5" s="436"/>
      <c r="H5" s="436"/>
      <c r="I5" s="437"/>
      <c r="J5" s="436"/>
      <c r="K5" s="436"/>
      <c r="L5" s="437"/>
      <c r="M5" s="436"/>
      <c r="N5" s="436"/>
      <c r="O5" s="437"/>
      <c r="P5" s="436"/>
      <c r="Q5" s="436"/>
      <c r="R5" s="437"/>
      <c r="S5" s="436"/>
      <c r="T5" s="436"/>
      <c r="U5" s="437"/>
      <c r="V5" s="436"/>
      <c r="W5" s="436"/>
      <c r="X5" s="437"/>
      <c r="Y5" s="436"/>
      <c r="Z5" s="436"/>
      <c r="AA5" s="437"/>
      <c r="AB5" s="436"/>
      <c r="AC5" s="436"/>
      <c r="AD5" s="437"/>
      <c r="AE5" s="436"/>
      <c r="AF5" s="436"/>
      <c r="AG5" s="437"/>
      <c r="AH5" s="436"/>
      <c r="AI5" s="436"/>
      <c r="AJ5" s="437"/>
      <c r="AK5" s="436"/>
      <c r="AL5" s="436"/>
      <c r="AM5" s="437"/>
      <c r="AN5" s="436"/>
      <c r="AO5" s="436"/>
      <c r="AP5" s="437"/>
      <c r="AQ5" s="436"/>
      <c r="AR5" s="436"/>
      <c r="AS5" s="437"/>
      <c r="AT5" s="436"/>
      <c r="AU5" s="436"/>
      <c r="AV5" s="437"/>
      <c r="AW5" s="436"/>
      <c r="AX5" s="436"/>
      <c r="AY5" s="437"/>
      <c r="AZ5" s="436"/>
      <c r="BA5" s="436"/>
      <c r="BB5" s="437"/>
      <c r="BC5" s="436"/>
      <c r="BD5" s="436"/>
      <c r="BE5" s="437"/>
      <c r="BF5" s="436"/>
      <c r="BG5" s="436"/>
      <c r="BH5" s="437"/>
      <c r="BI5" s="436"/>
      <c r="BJ5" s="436"/>
      <c r="BK5" s="437"/>
      <c r="BL5" s="436"/>
      <c r="BM5" s="436"/>
      <c r="BN5" s="437"/>
      <c r="BO5" s="436"/>
      <c r="BP5" s="436"/>
      <c r="BQ5" s="437"/>
      <c r="BR5" s="436"/>
      <c r="BS5" s="436"/>
      <c r="BT5" s="437"/>
      <c r="BU5" s="436"/>
      <c r="BV5" s="436"/>
      <c r="BW5" s="437"/>
      <c r="BX5" s="436"/>
      <c r="BY5" s="436"/>
      <c r="BZ5" s="437"/>
      <c r="CA5" s="436"/>
      <c r="CB5" s="436"/>
      <c r="CC5" s="437"/>
    </row>
    <row r="6" spans="1:81" s="397" customFormat="1">
      <c r="A6" s="236" t="s">
        <v>676</v>
      </c>
      <c r="B6" s="236"/>
      <c r="C6" s="236"/>
      <c r="D6" s="235"/>
      <c r="E6" s="235"/>
      <c r="F6" s="234"/>
      <c r="G6" s="235"/>
      <c r="H6" s="235"/>
      <c r="I6" s="234"/>
      <c r="J6" s="235"/>
      <c r="K6" s="235"/>
      <c r="L6" s="234"/>
      <c r="M6" s="235"/>
      <c r="N6" s="235"/>
      <c r="O6" s="234"/>
      <c r="P6" s="235"/>
      <c r="Q6" s="235"/>
      <c r="R6" s="234"/>
      <c r="S6" s="235"/>
      <c r="T6" s="235"/>
      <c r="U6" s="234"/>
      <c r="V6" s="235"/>
      <c r="W6" s="235"/>
      <c r="X6" s="234"/>
      <c r="Y6" s="235"/>
      <c r="Z6" s="235"/>
      <c r="AA6" s="234"/>
      <c r="AB6" s="235"/>
      <c r="AC6" s="235"/>
      <c r="AD6" s="234"/>
      <c r="AE6" s="235"/>
      <c r="AF6" s="235"/>
      <c r="AG6" s="234"/>
      <c r="AH6" s="235"/>
      <c r="AI6" s="235"/>
      <c r="AJ6" s="234"/>
      <c r="AK6" s="235"/>
      <c r="AL6" s="235"/>
      <c r="AM6" s="234"/>
      <c r="AN6" s="235"/>
      <c r="AO6" s="235"/>
      <c r="AP6" s="234"/>
      <c r="AQ6" s="235"/>
      <c r="AR6" s="235"/>
      <c r="AS6" s="234"/>
      <c r="AT6" s="235"/>
      <c r="AU6" s="235"/>
      <c r="AV6" s="234"/>
      <c r="AW6" s="235"/>
      <c r="AX6" s="235"/>
      <c r="AY6" s="234"/>
      <c r="AZ6" s="235"/>
      <c r="BA6" s="235"/>
      <c r="BB6" s="234"/>
      <c r="BC6" s="235"/>
      <c r="BD6" s="235"/>
      <c r="BE6" s="234"/>
      <c r="BF6" s="235"/>
      <c r="BG6" s="235"/>
      <c r="BH6" s="234"/>
      <c r="BI6" s="235"/>
      <c r="BJ6" s="235"/>
      <c r="BK6" s="234"/>
      <c r="BL6" s="235"/>
      <c r="BM6" s="235"/>
      <c r="BN6" s="234"/>
      <c r="BO6" s="235"/>
      <c r="BP6" s="235"/>
      <c r="BQ6" s="234"/>
      <c r="BR6" s="235"/>
      <c r="BS6" s="235"/>
      <c r="BT6" s="234"/>
      <c r="BU6" s="235"/>
      <c r="BV6" s="235"/>
      <c r="BW6" s="234"/>
      <c r="BX6" s="235"/>
      <c r="BY6" s="235"/>
      <c r="BZ6" s="234"/>
      <c r="CA6" s="235"/>
      <c r="CB6" s="235"/>
      <c r="CC6" s="234"/>
    </row>
    <row r="7" spans="1:81" ht="12.75" customHeight="1">
      <c r="A7" s="66"/>
      <c r="B7" s="67"/>
      <c r="T7" s="45"/>
      <c r="U7" s="45"/>
      <c r="V7" s="45"/>
      <c r="W7" s="45"/>
      <c r="X7" s="45"/>
      <c r="Y7" s="45"/>
      <c r="Z7" s="45"/>
      <c r="AA7" s="45"/>
      <c r="AB7" s="45"/>
      <c r="AC7" s="45"/>
    </row>
    <row r="8" spans="1:81">
      <c r="A8" s="72"/>
      <c r="B8" s="73" t="s">
        <v>401</v>
      </c>
      <c r="C8" s="74"/>
      <c r="D8" s="74"/>
      <c r="E8" s="74"/>
      <c r="F8" s="74"/>
      <c r="G8" s="75"/>
      <c r="H8" s="75"/>
      <c r="I8" s="75"/>
      <c r="J8" s="75"/>
      <c r="K8" s="75"/>
      <c r="L8" s="75"/>
      <c r="M8" s="75"/>
      <c r="N8" s="75"/>
      <c r="O8" s="75"/>
      <c r="P8" s="75"/>
      <c r="Q8" s="75"/>
      <c r="R8" s="75"/>
      <c r="S8" s="75"/>
      <c r="T8" s="75"/>
      <c r="U8" s="75"/>
      <c r="V8" s="75"/>
      <c r="W8" s="75"/>
      <c r="X8" s="75"/>
      <c r="Y8" s="75"/>
      <c r="Z8" s="75"/>
      <c r="AA8" s="75"/>
      <c r="AB8" s="75"/>
      <c r="AC8" s="75"/>
      <c r="AD8" s="75">
        <f>AD185</f>
        <v>1022.4</v>
      </c>
      <c r="AE8" s="75">
        <f>AE185</f>
        <v>463.20000000000005</v>
      </c>
      <c r="AF8" s="75">
        <f>AF185</f>
        <v>524</v>
      </c>
      <c r="AG8" s="75">
        <f>AG185</f>
        <v>987.19999999999982</v>
      </c>
      <c r="AH8" s="75">
        <f t="shared" ref="AH8:BN8" si="0">AH185</f>
        <v>519.4</v>
      </c>
      <c r="AI8" s="75">
        <f t="shared" si="0"/>
        <v>643.20344888455736</v>
      </c>
      <c r="AJ8" s="75">
        <f>AJ185</f>
        <v>1162.6034488845576</v>
      </c>
      <c r="AK8" s="75">
        <f>AK185</f>
        <v>499.5024236469369</v>
      </c>
      <c r="AL8" s="75">
        <f t="shared" si="0"/>
        <v>600.89757635306307</v>
      </c>
      <c r="AM8" s="75">
        <f t="shared" si="0"/>
        <v>1100.4000000000001</v>
      </c>
      <c r="AN8" s="75">
        <f t="shared" si="0"/>
        <v>550.28592454100794</v>
      </c>
      <c r="AO8" s="75">
        <f t="shared" si="0"/>
        <v>632.81407545899197</v>
      </c>
      <c r="AP8" s="75">
        <f t="shared" si="0"/>
        <v>1183.0999999999999</v>
      </c>
      <c r="AQ8" s="75">
        <f t="shared" si="0"/>
        <v>579.29999999999995</v>
      </c>
      <c r="AR8" s="75">
        <f t="shared" si="0"/>
        <v>648.69999999999982</v>
      </c>
      <c r="AS8" s="75">
        <f t="shared" si="0"/>
        <v>1227.9999999999998</v>
      </c>
      <c r="AT8" s="75">
        <f t="shared" si="0"/>
        <v>601.99999999999989</v>
      </c>
      <c r="AU8" s="75">
        <f t="shared" si="0"/>
        <v>786.70000000000016</v>
      </c>
      <c r="AV8" s="75">
        <f t="shared" si="0"/>
        <v>1337.8000000000002</v>
      </c>
      <c r="AW8" s="75">
        <f t="shared" si="0"/>
        <v>678.09999999999991</v>
      </c>
      <c r="AX8" s="75">
        <f t="shared" si="0"/>
        <v>735.00000000000023</v>
      </c>
      <c r="AY8" s="75">
        <f t="shared" si="0"/>
        <v>1413.1000000000001</v>
      </c>
      <c r="AZ8" s="75">
        <f t="shared" si="0"/>
        <v>686</v>
      </c>
      <c r="BA8" s="75">
        <f t="shared" si="0"/>
        <v>710.2</v>
      </c>
      <c r="BB8" s="75">
        <f t="shared" si="0"/>
        <v>1396.1999999999998</v>
      </c>
      <c r="BC8" s="75">
        <f t="shared" si="0"/>
        <v>715.6</v>
      </c>
      <c r="BD8" s="75">
        <f t="shared" si="0"/>
        <v>844.4</v>
      </c>
      <c r="BE8" s="75">
        <f t="shared" si="0"/>
        <v>1560</v>
      </c>
      <c r="BF8" s="75">
        <f t="shared" si="0"/>
        <v>749.50771349391584</v>
      </c>
      <c r="BG8" s="75">
        <f t="shared" si="0"/>
        <v>881.16700842463717</v>
      </c>
      <c r="BH8" s="75">
        <f t="shared" si="0"/>
        <v>1630.6747219185527</v>
      </c>
      <c r="BI8" s="75">
        <f t="shared" si="0"/>
        <v>790.94893247954371</v>
      </c>
      <c r="BJ8" s="75">
        <f t="shared" si="0"/>
        <v>892.0520372990436</v>
      </c>
      <c r="BK8" s="75">
        <f t="shared" si="0"/>
        <v>1683.0009697785874</v>
      </c>
      <c r="BL8" s="75">
        <f t="shared" si="0"/>
        <v>811.34190526942291</v>
      </c>
      <c r="BM8" s="75">
        <f t="shared" si="0"/>
        <v>915.77000623189303</v>
      </c>
      <c r="BN8" s="75">
        <f t="shared" si="0"/>
        <v>1727.1119115013159</v>
      </c>
      <c r="BO8" s="75">
        <f>BO185</f>
        <v>841.75090712075314</v>
      </c>
      <c r="BP8" s="75">
        <f>BP185</f>
        <v>936.83026543689311</v>
      </c>
      <c r="BQ8" s="75">
        <f>BQ185</f>
        <v>1778.5811725576461</v>
      </c>
      <c r="BR8" s="75">
        <f t="shared" ref="BR8:CC8" si="1">BR185</f>
        <v>847.23022043571405</v>
      </c>
      <c r="BS8" s="75">
        <f t="shared" si="1"/>
        <v>962.54985904488342</v>
      </c>
      <c r="BT8" s="75">
        <f t="shared" si="1"/>
        <v>1809.7800794805976</v>
      </c>
      <c r="BU8" s="75">
        <f t="shared" si="1"/>
        <v>878.58974884557267</v>
      </c>
      <c r="BV8" s="75">
        <f t="shared" si="1"/>
        <v>996.2912864256549</v>
      </c>
      <c r="BW8" s="75">
        <f t="shared" si="1"/>
        <v>1874.8810352712276</v>
      </c>
      <c r="BX8" s="75">
        <f t="shared" si="1"/>
        <v>908.31716519727775</v>
      </c>
      <c r="BY8" s="75">
        <f t="shared" si="1"/>
        <v>1009.1582302163313</v>
      </c>
      <c r="BZ8" s="75">
        <f t="shared" si="1"/>
        <v>1917.475395413609</v>
      </c>
      <c r="CA8" s="75">
        <f t="shared" si="1"/>
        <v>919.7354211286879</v>
      </c>
      <c r="CB8" s="75">
        <f t="shared" si="1"/>
        <v>1022.2323923329652</v>
      </c>
      <c r="CC8" s="75">
        <f t="shared" si="1"/>
        <v>1941.9678134616533</v>
      </c>
    </row>
    <row r="9" spans="1:81">
      <c r="A9" s="66"/>
      <c r="B9" s="45" t="s">
        <v>389</v>
      </c>
      <c r="K9" s="65"/>
      <c r="L9" s="65"/>
      <c r="M9" s="65"/>
      <c r="N9" s="65"/>
      <c r="O9" s="69"/>
      <c r="P9" s="69"/>
      <c r="Q9" s="69"/>
      <c r="R9" s="69"/>
      <c r="S9" s="69"/>
      <c r="T9" s="69"/>
      <c r="U9" s="69"/>
      <c r="V9" s="69"/>
      <c r="W9" s="69"/>
      <c r="X9" s="69"/>
      <c r="Y9" s="69"/>
      <c r="Z9" s="69"/>
      <c r="AA9" s="69"/>
      <c r="AB9" s="69"/>
      <c r="AC9" s="69"/>
      <c r="AD9" s="69"/>
      <c r="AE9" s="69"/>
      <c r="AF9" s="69"/>
      <c r="AG9" s="69">
        <f>AG8/AD8-1</f>
        <v>-3.4428794992175438E-2</v>
      </c>
      <c r="AH9" s="69">
        <f t="shared" ref="AH9:BN9" si="2">AH8/AE8-1</f>
        <v>0.12132987910189974</v>
      </c>
      <c r="AI9" s="69">
        <f t="shared" si="2"/>
        <v>0.22748749787129263</v>
      </c>
      <c r="AJ9" s="69">
        <f t="shared" si="2"/>
        <v>0.17767772374853918</v>
      </c>
      <c r="AK9" s="69">
        <f t="shared" si="2"/>
        <v>-3.8308772339359032E-2</v>
      </c>
      <c r="AL9" s="69">
        <f t="shared" si="2"/>
        <v>-6.5773702869381445E-2</v>
      </c>
      <c r="AM9" s="69">
        <f t="shared" si="2"/>
        <v>-5.3503581934354005E-2</v>
      </c>
      <c r="AN9" s="69">
        <f t="shared" si="2"/>
        <v>0.10166817714975962</v>
      </c>
      <c r="AO9" s="69">
        <f t="shared" si="2"/>
        <v>5.3114707667211603E-2</v>
      </c>
      <c r="AP9" s="69">
        <f t="shared" si="2"/>
        <v>7.515448927662649E-2</v>
      </c>
      <c r="AQ9" s="69">
        <f t="shared" si="2"/>
        <v>5.2725454468406818E-2</v>
      </c>
      <c r="AR9" s="69">
        <f t="shared" si="2"/>
        <v>2.5103620726965481E-2</v>
      </c>
      <c r="AS9" s="69">
        <f t="shared" si="2"/>
        <v>3.795114529625554E-2</v>
      </c>
      <c r="AT9" s="69">
        <f t="shared" si="2"/>
        <v>3.9185223545658454E-2</v>
      </c>
      <c r="AU9" s="69">
        <f t="shared" si="2"/>
        <v>0.2127331586249428</v>
      </c>
      <c r="AV9" s="69">
        <f t="shared" si="2"/>
        <v>8.9413680781759375E-2</v>
      </c>
      <c r="AW9" s="69">
        <f t="shared" si="2"/>
        <v>0.12641196013289036</v>
      </c>
      <c r="AX9" s="69">
        <f t="shared" si="2"/>
        <v>-6.5717554340917639E-2</v>
      </c>
      <c r="AY9" s="69">
        <f t="shared" si="2"/>
        <v>5.6286440424577533E-2</v>
      </c>
      <c r="AZ9" s="69">
        <f t="shared" si="2"/>
        <v>1.1650199085680768E-2</v>
      </c>
      <c r="BA9" s="69">
        <f t="shared" si="2"/>
        <v>-3.3741496598639675E-2</v>
      </c>
      <c r="BB9" s="69">
        <f t="shared" si="2"/>
        <v>-1.1959521619135494E-2</v>
      </c>
      <c r="BC9" s="69">
        <f t="shared" si="2"/>
        <v>4.3148688046647177E-2</v>
      </c>
      <c r="BD9" s="69">
        <f t="shared" si="2"/>
        <v>0.18896085609687407</v>
      </c>
      <c r="BE9" s="69">
        <f t="shared" si="2"/>
        <v>0.1173184357541901</v>
      </c>
      <c r="BF9" s="69">
        <f t="shared" si="2"/>
        <v>4.7383613043482153E-2</v>
      </c>
      <c r="BG9" s="69">
        <f t="shared" si="2"/>
        <v>4.3542170090759447E-2</v>
      </c>
      <c r="BH9" s="69">
        <f t="shared" si="2"/>
        <v>4.5304308922149206E-2</v>
      </c>
      <c r="BI9" s="69">
        <f t="shared" si="2"/>
        <v>5.5291250829754501E-2</v>
      </c>
      <c r="BJ9" s="69">
        <f t="shared" si="2"/>
        <v>1.2352969153789362E-2</v>
      </c>
      <c r="BK9" s="69">
        <f t="shared" si="2"/>
        <v>3.2088709757192246E-2</v>
      </c>
      <c r="BL9" s="69">
        <f t="shared" si="2"/>
        <v>2.5782919670868321E-2</v>
      </c>
      <c r="BM9" s="69">
        <f t="shared" si="2"/>
        <v>2.6588100179293139E-2</v>
      </c>
      <c r="BN9" s="69">
        <f t="shared" si="2"/>
        <v>2.6209694774288694E-2</v>
      </c>
      <c r="BO9" s="69">
        <f>BO8/BL8-1</f>
        <v>3.7479885673145752E-2</v>
      </c>
      <c r="BP9" s="69">
        <f>BP8/BM8-1</f>
        <v>2.2997323631133604E-2</v>
      </c>
      <c r="BQ9" s="69">
        <f>BQ8/BN8-1</f>
        <v>2.9800767809880835E-2</v>
      </c>
      <c r="BR9" s="69">
        <f t="shared" ref="BR9:CC9" si="3">BR8/BO8-1</f>
        <v>6.5094237126552823E-3</v>
      </c>
      <c r="BS9" s="69">
        <f t="shared" si="3"/>
        <v>2.7453845757209772E-2</v>
      </c>
      <c r="BT9" s="69">
        <f t="shared" si="3"/>
        <v>1.7541457991532949E-2</v>
      </c>
      <c r="BU9" s="69">
        <f t="shared" si="3"/>
        <v>3.7014175903370194E-2</v>
      </c>
      <c r="BV9" s="69">
        <f t="shared" si="3"/>
        <v>3.5054212583078392E-2</v>
      </c>
      <c r="BW9" s="69">
        <f t="shared" si="3"/>
        <v>3.5971749567115241E-2</v>
      </c>
      <c r="BX9" s="69">
        <f t="shared" si="3"/>
        <v>3.3835378105384839E-2</v>
      </c>
      <c r="BY9" s="69">
        <f t="shared" si="3"/>
        <v>1.291484123768516E-2</v>
      </c>
      <c r="BZ9" s="69">
        <f t="shared" si="3"/>
        <v>2.2718433511819791E-2</v>
      </c>
      <c r="CA9" s="69">
        <f t="shared" si="3"/>
        <v>1.2570780745875476E-2</v>
      </c>
      <c r="CB9" s="69">
        <f t="shared" si="3"/>
        <v>1.2955512550129278E-2</v>
      </c>
      <c r="CC9" s="69">
        <f t="shared" si="3"/>
        <v>1.2773263274526325E-2</v>
      </c>
    </row>
    <row r="10" spans="1:81">
      <c r="A10" s="66"/>
      <c r="K10" s="65"/>
      <c r="L10" s="65"/>
      <c r="M10" s="65"/>
      <c r="N10" s="65"/>
      <c r="O10" s="65"/>
      <c r="P10" s="65"/>
      <c r="Q10" s="65"/>
      <c r="R10" s="65"/>
      <c r="S10" s="65"/>
    </row>
    <row r="11" spans="1:81" s="615" customFormat="1">
      <c r="A11" s="76"/>
      <c r="B11" s="73" t="s">
        <v>440</v>
      </c>
      <c r="C11" s="77"/>
      <c r="D11" s="77"/>
      <c r="E11" s="77"/>
      <c r="F11" s="77"/>
      <c r="G11" s="77"/>
      <c r="H11" s="77"/>
      <c r="I11" s="77"/>
      <c r="J11" s="77"/>
      <c r="K11" s="77"/>
      <c r="L11" s="77"/>
      <c r="M11" s="77"/>
      <c r="N11" s="77"/>
      <c r="O11" s="77"/>
      <c r="P11" s="77"/>
      <c r="Q11" s="77"/>
      <c r="R11" s="77"/>
      <c r="S11" s="77"/>
      <c r="T11" s="77"/>
      <c r="U11" s="77"/>
      <c r="V11" s="77"/>
      <c r="W11" s="77"/>
      <c r="X11" s="77"/>
      <c r="Y11" s="77"/>
      <c r="Z11" s="77"/>
      <c r="AA11" s="77"/>
      <c r="AB11" s="77"/>
      <c r="AC11" s="77"/>
      <c r="AD11" s="77">
        <f t="shared" ref="AD11:AJ11" si="4">AD189</f>
        <v>189.10000000000002</v>
      </c>
      <c r="AE11" s="77">
        <f t="shared" si="4"/>
        <v>71.300000000000011</v>
      </c>
      <c r="AF11" s="77">
        <f t="shared" si="4"/>
        <v>114</v>
      </c>
      <c r="AG11" s="77">
        <f t="shared" si="4"/>
        <v>185.3</v>
      </c>
      <c r="AH11" s="77">
        <f t="shared" si="4"/>
        <v>98.7</v>
      </c>
      <c r="AI11" s="77">
        <f t="shared" si="4"/>
        <v>117.49999999999999</v>
      </c>
      <c r="AJ11" s="77">
        <f t="shared" si="4"/>
        <v>216.2</v>
      </c>
      <c r="AK11" s="77">
        <f t="shared" ref="AK11:BN11" si="5">AK189</f>
        <v>92.399999999999991</v>
      </c>
      <c r="AL11" s="77">
        <f t="shared" si="5"/>
        <v>131</v>
      </c>
      <c r="AM11" s="77">
        <f t="shared" si="5"/>
        <v>223.4</v>
      </c>
      <c r="AN11" s="77">
        <f t="shared" si="5"/>
        <v>98.5</v>
      </c>
      <c r="AO11" s="77">
        <f t="shared" si="5"/>
        <v>123.60000000000001</v>
      </c>
      <c r="AP11" s="77">
        <f t="shared" si="5"/>
        <v>222.10000000000002</v>
      </c>
      <c r="AQ11" s="77">
        <f t="shared" si="5"/>
        <v>92.600000000000009</v>
      </c>
      <c r="AR11" s="77">
        <f t="shared" si="5"/>
        <v>130.1</v>
      </c>
      <c r="AS11" s="77">
        <f t="shared" si="5"/>
        <v>222.70000000000002</v>
      </c>
      <c r="AT11" s="77">
        <f t="shared" si="5"/>
        <v>92.500000000000014</v>
      </c>
      <c r="AU11" s="77">
        <f t="shared" si="5"/>
        <v>152.69999999999993</v>
      </c>
      <c r="AV11" s="77">
        <f t="shared" si="5"/>
        <v>245.19999999999993</v>
      </c>
      <c r="AW11" s="77">
        <f t="shared" si="5"/>
        <v>117.3</v>
      </c>
      <c r="AX11" s="77">
        <f t="shared" si="5"/>
        <v>182.99999999999997</v>
      </c>
      <c r="AY11" s="77">
        <f t="shared" si="5"/>
        <v>300.29999999999995</v>
      </c>
      <c r="AZ11" s="77">
        <f t="shared" si="5"/>
        <v>110.80000000000001</v>
      </c>
      <c r="BA11" s="77">
        <f t="shared" si="5"/>
        <v>155.30000000000001</v>
      </c>
      <c r="BB11" s="77">
        <f t="shared" si="5"/>
        <v>266.10000000000002</v>
      </c>
      <c r="BC11" s="77">
        <f t="shared" si="5"/>
        <v>108.5</v>
      </c>
      <c r="BD11" s="77">
        <f t="shared" si="5"/>
        <v>180.30000000000007</v>
      </c>
      <c r="BE11" s="77">
        <f t="shared" si="5"/>
        <v>288.80000000000007</v>
      </c>
      <c r="BF11" s="77">
        <f t="shared" si="5"/>
        <v>109.16941499188907</v>
      </c>
      <c r="BG11" s="77">
        <f t="shared" si="5"/>
        <v>188.39369347368131</v>
      </c>
      <c r="BH11" s="77">
        <f t="shared" si="5"/>
        <v>297.56310846557039</v>
      </c>
      <c r="BI11" s="77">
        <f t="shared" si="5"/>
        <v>128.84743927478701</v>
      </c>
      <c r="BJ11" s="77">
        <f t="shared" si="5"/>
        <v>190.28092575702232</v>
      </c>
      <c r="BK11" s="77">
        <f t="shared" si="5"/>
        <v>319.12836503180932</v>
      </c>
      <c r="BL11" s="77">
        <f t="shared" si="5"/>
        <v>136.05605344052407</v>
      </c>
      <c r="BM11" s="77">
        <f t="shared" si="5"/>
        <v>199.69321567957496</v>
      </c>
      <c r="BN11" s="77">
        <f t="shared" si="5"/>
        <v>335.74926912009903</v>
      </c>
      <c r="BO11" s="77">
        <f>BO189</f>
        <v>147.72944388095414</v>
      </c>
      <c r="BP11" s="77">
        <f>BP189</f>
        <v>206.48296883277027</v>
      </c>
      <c r="BQ11" s="77">
        <f>BQ189</f>
        <v>354.2124127137244</v>
      </c>
      <c r="BR11" s="77">
        <f t="shared" ref="BR11:CC11" si="6">BR189</f>
        <v>145.20177554438774</v>
      </c>
      <c r="BS11" s="77">
        <f t="shared" si="6"/>
        <v>217.30170416577502</v>
      </c>
      <c r="BT11" s="77">
        <f t="shared" si="6"/>
        <v>362.50347971016276</v>
      </c>
      <c r="BU11" s="77">
        <f t="shared" si="6"/>
        <v>157.60544992542697</v>
      </c>
      <c r="BV11" s="77">
        <f t="shared" si="6"/>
        <v>233.7998427734195</v>
      </c>
      <c r="BW11" s="77">
        <f t="shared" si="6"/>
        <v>391.40529269884644</v>
      </c>
      <c r="BX11" s="77">
        <f t="shared" si="6"/>
        <v>170.2863568672347</v>
      </c>
      <c r="BY11" s="77">
        <f t="shared" si="6"/>
        <v>237.60205761505244</v>
      </c>
      <c r="BZ11" s="77">
        <f t="shared" si="6"/>
        <v>407.88841448228715</v>
      </c>
      <c r="CA11" s="77">
        <f t="shared" si="6"/>
        <v>171.92608403435463</v>
      </c>
      <c r="CB11" s="77">
        <f t="shared" si="6"/>
        <v>241.49650381731641</v>
      </c>
      <c r="CC11" s="77">
        <f t="shared" si="6"/>
        <v>413.42258785167104</v>
      </c>
    </row>
    <row r="12" spans="1:81">
      <c r="A12" s="66"/>
      <c r="B12" s="45" t="s">
        <v>512</v>
      </c>
      <c r="K12" s="65"/>
      <c r="L12" s="65"/>
      <c r="M12" s="65"/>
      <c r="N12" s="65"/>
      <c r="O12" s="65"/>
      <c r="P12" s="65"/>
      <c r="Q12" s="65"/>
      <c r="R12" s="65"/>
      <c r="S12" s="65"/>
      <c r="AD12" s="69">
        <f t="shared" ref="AD12:BN12" si="7">AD11/AD8</f>
        <v>0.1849569640062598</v>
      </c>
      <c r="AE12" s="69">
        <f t="shared" si="7"/>
        <v>0.15392918825561314</v>
      </c>
      <c r="AF12" s="69">
        <f t="shared" si="7"/>
        <v>0.21755725190839695</v>
      </c>
      <c r="AG12" s="69">
        <f t="shared" si="7"/>
        <v>0.18770259319286878</v>
      </c>
      <c r="AH12" s="69">
        <f t="shared" si="7"/>
        <v>0.19002695417789758</v>
      </c>
      <c r="AI12" s="69">
        <f t="shared" si="7"/>
        <v>0.18267936871882193</v>
      </c>
      <c r="AJ12" s="69">
        <f t="shared" si="7"/>
        <v>0.18596194618847023</v>
      </c>
      <c r="AK12" s="69">
        <f t="shared" si="7"/>
        <v>0.18498408741518149</v>
      </c>
      <c r="AL12" s="69">
        <f t="shared" si="7"/>
        <v>0.21800720314942609</v>
      </c>
      <c r="AM12" s="69">
        <f t="shared" si="7"/>
        <v>0.203017084696474</v>
      </c>
      <c r="AN12" s="69">
        <f t="shared" si="7"/>
        <v>0.17899785476460914</v>
      </c>
      <c r="AO12" s="69">
        <f t="shared" si="7"/>
        <v>0.19531803225197006</v>
      </c>
      <c r="AP12" s="69">
        <f t="shared" si="7"/>
        <v>0.18772715746766971</v>
      </c>
      <c r="AQ12" s="69">
        <f t="shared" si="7"/>
        <v>0.15984809252546178</v>
      </c>
      <c r="AR12" s="69">
        <f t="shared" si="7"/>
        <v>0.20055495606597815</v>
      </c>
      <c r="AS12" s="69">
        <f t="shared" si="7"/>
        <v>0.18135179153094466</v>
      </c>
      <c r="AT12" s="69">
        <f t="shared" si="7"/>
        <v>0.15365448504983395</v>
      </c>
      <c r="AU12" s="69">
        <f t="shared" si="7"/>
        <v>0.19410194483284593</v>
      </c>
      <c r="AV12" s="69">
        <f t="shared" si="7"/>
        <v>0.18328599192704431</v>
      </c>
      <c r="AW12" s="69">
        <f t="shared" si="7"/>
        <v>0.17298333579118125</v>
      </c>
      <c r="AX12" s="69">
        <f t="shared" si="7"/>
        <v>0.24897959183673457</v>
      </c>
      <c r="AY12" s="69">
        <f t="shared" si="7"/>
        <v>0.21251149954001836</v>
      </c>
      <c r="AZ12" s="69">
        <f t="shared" si="7"/>
        <v>0.16151603498542275</v>
      </c>
      <c r="BA12" s="69">
        <f t="shared" si="7"/>
        <v>0.21867079695860323</v>
      </c>
      <c r="BB12" s="69">
        <f t="shared" si="7"/>
        <v>0.19058874086807051</v>
      </c>
      <c r="BC12" s="69">
        <f t="shared" si="7"/>
        <v>0.15162101732811625</v>
      </c>
      <c r="BD12" s="69">
        <f t="shared" si="7"/>
        <v>0.21352439602084328</v>
      </c>
      <c r="BE12" s="69">
        <f t="shared" si="7"/>
        <v>0.18512820512820516</v>
      </c>
      <c r="BF12" s="69">
        <f t="shared" si="7"/>
        <v>0.14565482519583869</v>
      </c>
      <c r="BG12" s="69">
        <f t="shared" si="7"/>
        <v>0.21380021230083751</v>
      </c>
      <c r="BH12" s="69">
        <f t="shared" si="7"/>
        <v>0.18247851914664853</v>
      </c>
      <c r="BI12" s="69">
        <f t="shared" si="7"/>
        <v>0.16290234929689268</v>
      </c>
      <c r="BJ12" s="69">
        <f t="shared" si="7"/>
        <v>0.2133069796389403</v>
      </c>
      <c r="BK12" s="69">
        <f t="shared" si="7"/>
        <v>0.18961864595585662</v>
      </c>
      <c r="BL12" s="69">
        <f t="shared" si="7"/>
        <v>0.16769262447419603</v>
      </c>
      <c r="BM12" s="69">
        <f t="shared" si="7"/>
        <v>0.21806044565845747</v>
      </c>
      <c r="BN12" s="69">
        <f t="shared" si="7"/>
        <v>0.19439925512889569</v>
      </c>
      <c r="BO12" s="69">
        <f>BO11/BO8</f>
        <v>0.17550256570113995</v>
      </c>
      <c r="BP12" s="69">
        <f>BP11/BP8</f>
        <v>0.22040595447295505</v>
      </c>
      <c r="BQ12" s="69">
        <f>BQ11/BQ8</f>
        <v>0.1991544823362533</v>
      </c>
      <c r="BR12" s="69">
        <f t="shared" ref="BR12:CC12" si="8">BR11/BR8</f>
        <v>0.17138408432800389</v>
      </c>
      <c r="BS12" s="69">
        <f t="shared" si="8"/>
        <v>0.22575630978887537</v>
      </c>
      <c r="BT12" s="69">
        <f t="shared" si="8"/>
        <v>0.20030250295063495</v>
      </c>
      <c r="BU12" s="69">
        <f t="shared" si="8"/>
        <v>0.17938457639929606</v>
      </c>
      <c r="BV12" s="69">
        <f t="shared" si="8"/>
        <v>0.23467016720803779</v>
      </c>
      <c r="BW12" s="69">
        <f t="shared" si="8"/>
        <v>0.20876273498719572</v>
      </c>
      <c r="BX12" s="69">
        <f t="shared" si="8"/>
        <v>0.187474555575805</v>
      </c>
      <c r="BY12" s="69">
        <f t="shared" si="8"/>
        <v>0.23544579085890044</v>
      </c>
      <c r="BZ12" s="69">
        <f t="shared" si="8"/>
        <v>0.21272158978306138</v>
      </c>
      <c r="CA12" s="69">
        <f t="shared" si="8"/>
        <v>0.18692993668045216</v>
      </c>
      <c r="CB12" s="69">
        <f t="shared" si="8"/>
        <v>0.23624422942239859</v>
      </c>
      <c r="CC12" s="69">
        <f t="shared" si="8"/>
        <v>0.21288848609428027</v>
      </c>
    </row>
    <row r="13" spans="1:81">
      <c r="A13" s="66"/>
      <c r="B13" s="45" t="s">
        <v>389</v>
      </c>
      <c r="K13" s="65"/>
      <c r="L13" s="65"/>
      <c r="M13" s="65"/>
      <c r="N13" s="65"/>
      <c r="O13" s="65"/>
      <c r="P13" s="65"/>
      <c r="Q13" s="65"/>
      <c r="R13" s="65"/>
      <c r="S13" s="65"/>
      <c r="AG13" s="71">
        <f t="shared" ref="AG13:BN13" si="9">AG11/AD11-1</f>
        <v>-2.0095187731359099E-2</v>
      </c>
      <c r="AH13" s="71">
        <f t="shared" si="9"/>
        <v>0.38429172510518916</v>
      </c>
      <c r="AI13" s="71">
        <f t="shared" si="9"/>
        <v>3.0701754385964897E-2</v>
      </c>
      <c r="AJ13" s="71">
        <f t="shared" si="9"/>
        <v>0.16675661090124105</v>
      </c>
      <c r="AK13" s="71">
        <f t="shared" si="9"/>
        <v>-6.3829787234042645E-2</v>
      </c>
      <c r="AL13" s="71">
        <f t="shared" si="9"/>
        <v>0.11489361702127665</v>
      </c>
      <c r="AM13" s="71">
        <f t="shared" si="9"/>
        <v>3.3302497687326627E-2</v>
      </c>
      <c r="AN13" s="71">
        <f t="shared" si="9"/>
        <v>6.6017316017316086E-2</v>
      </c>
      <c r="AO13" s="71">
        <f t="shared" si="9"/>
        <v>-5.6488549618320505E-2</v>
      </c>
      <c r="AP13" s="71">
        <f t="shared" si="9"/>
        <v>-5.8191584601611224E-3</v>
      </c>
      <c r="AQ13" s="71">
        <f t="shared" si="9"/>
        <v>-5.9898477157360297E-2</v>
      </c>
      <c r="AR13" s="71">
        <f t="shared" si="9"/>
        <v>5.2588996763753837E-2</v>
      </c>
      <c r="AS13" s="71">
        <f t="shared" si="9"/>
        <v>2.7014858171994227E-3</v>
      </c>
      <c r="AT13" s="71">
        <f t="shared" si="9"/>
        <v>-1.0799136069113979E-3</v>
      </c>
      <c r="AU13" s="71">
        <f t="shared" si="9"/>
        <v>0.17371252882398114</v>
      </c>
      <c r="AV13" s="71">
        <f t="shared" si="9"/>
        <v>0.1010327795240229</v>
      </c>
      <c r="AW13" s="71">
        <f t="shared" si="9"/>
        <v>0.26810810810810781</v>
      </c>
      <c r="AX13" s="71">
        <f t="shared" si="9"/>
        <v>0.19842829076620849</v>
      </c>
      <c r="AY13" s="71">
        <f t="shared" si="9"/>
        <v>0.22471451876019599</v>
      </c>
      <c r="AZ13" s="71">
        <f t="shared" si="9"/>
        <v>-5.5413469735720255E-2</v>
      </c>
      <c r="BA13" s="71">
        <f t="shared" si="9"/>
        <v>-0.15136612021857909</v>
      </c>
      <c r="BB13" s="71">
        <f t="shared" si="9"/>
        <v>-0.11388611388611369</v>
      </c>
      <c r="BC13" s="71">
        <f t="shared" si="9"/>
        <v>-2.0758122743682383E-2</v>
      </c>
      <c r="BD13" s="71">
        <f t="shared" si="9"/>
        <v>0.1609787508048941</v>
      </c>
      <c r="BE13" s="71">
        <f t="shared" si="9"/>
        <v>8.5306275836152023E-2</v>
      </c>
      <c r="BF13" s="71">
        <f t="shared" si="9"/>
        <v>6.1697234275490676E-3</v>
      </c>
      <c r="BG13" s="71">
        <f t="shared" si="9"/>
        <v>4.4890146831288114E-2</v>
      </c>
      <c r="BH13" s="71">
        <f t="shared" si="9"/>
        <v>3.0343173357237907E-2</v>
      </c>
      <c r="BI13" s="71">
        <f t="shared" si="9"/>
        <v>0.18025217305011609</v>
      </c>
      <c r="BJ13" s="71">
        <f t="shared" si="9"/>
        <v>1.0017491820152991E-2</v>
      </c>
      <c r="BK13" s="71">
        <f t="shared" si="9"/>
        <v>7.2472883743698757E-2</v>
      </c>
      <c r="BL13" s="71">
        <f t="shared" si="9"/>
        <v>5.594689507459738E-2</v>
      </c>
      <c r="BM13" s="71">
        <f t="shared" si="9"/>
        <v>4.9465230869076171E-2</v>
      </c>
      <c r="BN13" s="71">
        <f t="shared" si="9"/>
        <v>5.2082189831772041E-2</v>
      </c>
      <c r="BO13" s="71">
        <f>BO11/BL11-1</f>
        <v>8.5798390775262412E-2</v>
      </c>
      <c r="BP13" s="71">
        <f>BP11/BM11-1</f>
        <v>3.4000920512442745E-2</v>
      </c>
      <c r="BQ13" s="71">
        <f>BQ11/BN11-1</f>
        <v>5.4990867566180768E-2</v>
      </c>
      <c r="BR13" s="71">
        <f t="shared" ref="BR13:CC13" si="10">BR11/BO11-1</f>
        <v>-1.7110118810189756E-2</v>
      </c>
      <c r="BS13" s="71">
        <f t="shared" si="10"/>
        <v>5.2395291457508986E-2</v>
      </c>
      <c r="BT13" s="71">
        <f t="shared" si="10"/>
        <v>2.3407048140741571E-2</v>
      </c>
      <c r="BU13" s="71">
        <f t="shared" si="10"/>
        <v>8.5423710106406148E-2</v>
      </c>
      <c r="BV13" s="71">
        <f t="shared" si="10"/>
        <v>7.592272997112981E-2</v>
      </c>
      <c r="BW13" s="71">
        <f t="shared" si="10"/>
        <v>7.9728373950484377E-2</v>
      </c>
      <c r="BX13" s="71">
        <f t="shared" si="10"/>
        <v>8.0459825138076591E-2</v>
      </c>
      <c r="BY13" s="71">
        <f t="shared" si="10"/>
        <v>1.6262692038325088E-2</v>
      </c>
      <c r="BZ13" s="71">
        <f t="shared" si="10"/>
        <v>4.2112669631483746E-2</v>
      </c>
      <c r="CA13" s="71">
        <f t="shared" si="10"/>
        <v>9.629233940323001E-3</v>
      </c>
      <c r="CB13" s="71">
        <f t="shared" si="10"/>
        <v>1.63906249017991E-2</v>
      </c>
      <c r="CC13" s="71">
        <f t="shared" si="10"/>
        <v>1.3567861142631754E-2</v>
      </c>
    </row>
    <row r="14" spans="1:81">
      <c r="A14" s="66"/>
      <c r="K14" s="65"/>
      <c r="L14" s="65"/>
      <c r="M14" s="65"/>
      <c r="N14" s="65"/>
      <c r="O14" s="65"/>
      <c r="P14" s="65"/>
      <c r="Q14" s="65"/>
      <c r="R14" s="65"/>
      <c r="S14" s="65"/>
    </row>
    <row r="15" spans="1:81">
      <c r="A15" s="66"/>
      <c r="B15" s="45" t="s">
        <v>157</v>
      </c>
      <c r="K15" s="65"/>
      <c r="L15" s="65"/>
      <c r="M15" s="65"/>
      <c r="N15" s="65"/>
      <c r="O15" s="65"/>
      <c r="P15" s="65"/>
      <c r="Q15" s="65"/>
      <c r="R15" s="65"/>
      <c r="S15" s="65"/>
      <c r="AD15" s="65">
        <f>AD192</f>
        <v>52.8</v>
      </c>
      <c r="AE15" s="65">
        <f t="shared" ref="AE15:BN15" si="11">AE192</f>
        <v>27</v>
      </c>
      <c r="AF15" s="65">
        <f t="shared" si="11"/>
        <v>25.700000000000003</v>
      </c>
      <c r="AG15" s="65">
        <f t="shared" si="11"/>
        <v>52.7</v>
      </c>
      <c r="AH15" s="65">
        <f t="shared" si="11"/>
        <v>23.7</v>
      </c>
      <c r="AI15" s="65">
        <f t="shared" si="11"/>
        <v>23.3</v>
      </c>
      <c r="AJ15" s="65">
        <f t="shared" si="11"/>
        <v>47</v>
      </c>
      <c r="AK15" s="65">
        <f t="shared" si="11"/>
        <v>24</v>
      </c>
      <c r="AL15" s="65">
        <f t="shared" si="11"/>
        <v>26.9</v>
      </c>
      <c r="AM15" s="65">
        <f t="shared" si="11"/>
        <v>50.9</v>
      </c>
      <c r="AN15" s="65">
        <f t="shared" si="11"/>
        <v>28.1</v>
      </c>
      <c r="AO15" s="65">
        <f t="shared" si="11"/>
        <v>35.199999999999996</v>
      </c>
      <c r="AP15" s="65">
        <f t="shared" si="11"/>
        <v>63.3</v>
      </c>
      <c r="AQ15" s="65">
        <f t="shared" si="11"/>
        <v>31.2</v>
      </c>
      <c r="AR15" s="65">
        <f t="shared" si="11"/>
        <v>31.2</v>
      </c>
      <c r="AS15" s="65">
        <f t="shared" si="11"/>
        <v>62.4</v>
      </c>
      <c r="AT15" s="65">
        <f t="shared" si="11"/>
        <v>30.4</v>
      </c>
      <c r="AU15" s="65">
        <f t="shared" si="11"/>
        <v>39.400000000000006</v>
      </c>
      <c r="AV15" s="65">
        <f t="shared" si="11"/>
        <v>69.8</v>
      </c>
      <c r="AW15" s="114">
        <f t="shared" si="11"/>
        <v>36.1</v>
      </c>
      <c r="AX15" s="114">
        <f t="shared" si="11"/>
        <v>37.799999999999997</v>
      </c>
      <c r="AY15" s="114">
        <f t="shared" si="11"/>
        <v>73.899999999999991</v>
      </c>
      <c r="AZ15" s="114">
        <f t="shared" si="11"/>
        <v>38</v>
      </c>
      <c r="BA15" s="114">
        <f t="shared" si="11"/>
        <v>35.5</v>
      </c>
      <c r="BB15" s="114">
        <f t="shared" si="11"/>
        <v>73.5</v>
      </c>
      <c r="BC15" s="114">
        <f t="shared" si="11"/>
        <v>38.299999999999997</v>
      </c>
      <c r="BD15" s="114">
        <f t="shared" si="11"/>
        <v>38.900000000000006</v>
      </c>
      <c r="BE15" s="114">
        <f t="shared" si="11"/>
        <v>77.2</v>
      </c>
      <c r="BF15" s="114">
        <f t="shared" si="11"/>
        <v>40.342500000000001</v>
      </c>
      <c r="BG15" s="114">
        <f t="shared" si="11"/>
        <v>41.217500000000001</v>
      </c>
      <c r="BH15" s="114">
        <f t="shared" si="11"/>
        <v>81.56</v>
      </c>
      <c r="BI15" s="114">
        <f t="shared" si="11"/>
        <v>42.1066875</v>
      </c>
      <c r="BJ15" s="114">
        <f t="shared" si="11"/>
        <v>42.1066875</v>
      </c>
      <c r="BK15" s="114">
        <f t="shared" si="11"/>
        <v>84.213374999999999</v>
      </c>
      <c r="BL15" s="114">
        <f t="shared" si="11"/>
        <v>43.018104687499999</v>
      </c>
      <c r="BM15" s="114">
        <f t="shared" si="11"/>
        <v>43.018104687499999</v>
      </c>
      <c r="BN15" s="114">
        <f t="shared" si="11"/>
        <v>86.036209374999999</v>
      </c>
      <c r="BO15" s="114">
        <f>BO192</f>
        <v>43.952307304687494</v>
      </c>
      <c r="BP15" s="114">
        <f>BP192</f>
        <v>43.952307304687494</v>
      </c>
      <c r="BQ15" s="114">
        <f>BQ192</f>
        <v>87.904614609374988</v>
      </c>
      <c r="BR15" s="114">
        <f t="shared" ref="BR15:CC15" si="12">BR192</f>
        <v>44.90986498730468</v>
      </c>
      <c r="BS15" s="114">
        <f t="shared" si="12"/>
        <v>44.90986498730468</v>
      </c>
      <c r="BT15" s="114">
        <f t="shared" si="12"/>
        <v>89.819729974609359</v>
      </c>
      <c r="BU15" s="114">
        <f t="shared" si="12"/>
        <v>45.891361611987293</v>
      </c>
      <c r="BV15" s="114">
        <f t="shared" si="12"/>
        <v>45.891361611987293</v>
      </c>
      <c r="BW15" s="114">
        <f t="shared" si="12"/>
        <v>91.782723223974585</v>
      </c>
      <c r="BX15" s="114">
        <f t="shared" si="12"/>
        <v>46.897395652286974</v>
      </c>
      <c r="BY15" s="114">
        <f t="shared" si="12"/>
        <v>46.897395652286974</v>
      </c>
      <c r="BZ15" s="114">
        <f t="shared" si="12"/>
        <v>93.794791304573948</v>
      </c>
      <c r="CA15" s="114">
        <f t="shared" si="12"/>
        <v>47.928580543594144</v>
      </c>
      <c r="CB15" s="114">
        <f t="shared" si="12"/>
        <v>47.928580543594144</v>
      </c>
      <c r="CC15" s="114">
        <f t="shared" si="12"/>
        <v>95.857161087188288</v>
      </c>
    </row>
    <row r="16" spans="1:81">
      <c r="A16" s="72"/>
      <c r="B16" s="73" t="s">
        <v>439</v>
      </c>
      <c r="C16" s="74"/>
      <c r="D16" s="74"/>
      <c r="E16" s="74"/>
      <c r="F16" s="74"/>
      <c r="G16" s="74"/>
      <c r="H16" s="74"/>
      <c r="I16" s="74"/>
      <c r="J16" s="74"/>
      <c r="K16" s="74"/>
      <c r="L16" s="74"/>
      <c r="M16" s="74"/>
      <c r="N16" s="74"/>
      <c r="O16" s="74"/>
      <c r="P16" s="74"/>
      <c r="Q16" s="74"/>
      <c r="R16" s="74"/>
      <c r="S16" s="74"/>
      <c r="T16" s="74"/>
      <c r="U16" s="74"/>
      <c r="V16" s="74"/>
      <c r="W16" s="74"/>
      <c r="X16" s="74"/>
      <c r="Y16" s="74"/>
      <c r="Z16" s="74"/>
      <c r="AA16" s="74"/>
      <c r="AB16" s="74"/>
      <c r="AC16" s="74"/>
      <c r="AD16" s="75">
        <f>AD195</f>
        <v>245.90000000000003</v>
      </c>
      <c r="AE16" s="75">
        <f t="shared" ref="AE16:BN16" si="13">AE195</f>
        <v>100.50000000000001</v>
      </c>
      <c r="AF16" s="75">
        <f t="shared" si="13"/>
        <v>141.60000000000002</v>
      </c>
      <c r="AG16" s="75">
        <f t="shared" si="13"/>
        <v>242.10000000000002</v>
      </c>
      <c r="AH16" s="75">
        <f t="shared" si="13"/>
        <v>125.4</v>
      </c>
      <c r="AI16" s="75">
        <f t="shared" si="13"/>
        <v>143.6</v>
      </c>
      <c r="AJ16" s="75">
        <f t="shared" si="13"/>
        <v>269</v>
      </c>
      <c r="AK16" s="75">
        <f t="shared" si="13"/>
        <v>119.29999999999998</v>
      </c>
      <c r="AL16" s="75">
        <f t="shared" si="13"/>
        <v>161.9</v>
      </c>
      <c r="AM16" s="75">
        <f t="shared" si="13"/>
        <v>281.2</v>
      </c>
      <c r="AN16" s="75">
        <f t="shared" si="13"/>
        <v>129.4</v>
      </c>
      <c r="AO16" s="75">
        <f t="shared" si="13"/>
        <v>157.9</v>
      </c>
      <c r="AP16" s="75">
        <f t="shared" si="13"/>
        <v>287.3</v>
      </c>
      <c r="AQ16" s="75">
        <f t="shared" si="13"/>
        <v>126.9</v>
      </c>
      <c r="AR16" s="75">
        <f t="shared" si="13"/>
        <v>166.5</v>
      </c>
      <c r="AS16" s="75">
        <f t="shared" si="13"/>
        <v>293.40000000000003</v>
      </c>
      <c r="AT16" s="75">
        <f t="shared" si="13"/>
        <v>127.20000000000002</v>
      </c>
      <c r="AU16" s="75">
        <f t="shared" si="13"/>
        <v>192.09999999999994</v>
      </c>
      <c r="AV16" s="75">
        <f t="shared" si="13"/>
        <v>318.19999999999993</v>
      </c>
      <c r="AW16" s="75">
        <f t="shared" si="13"/>
        <v>155.19999999999999</v>
      </c>
      <c r="AX16" s="75">
        <f t="shared" si="13"/>
        <v>222.89999999999998</v>
      </c>
      <c r="AY16" s="75">
        <f t="shared" si="13"/>
        <v>378.09999999999997</v>
      </c>
      <c r="AZ16" s="75">
        <f t="shared" si="13"/>
        <v>150.9</v>
      </c>
      <c r="BA16" s="75">
        <f t="shared" si="13"/>
        <v>193.3</v>
      </c>
      <c r="BB16" s="75">
        <f t="shared" si="13"/>
        <v>344.20000000000005</v>
      </c>
      <c r="BC16" s="75">
        <f t="shared" si="13"/>
        <v>150</v>
      </c>
      <c r="BD16" s="75">
        <f t="shared" si="13"/>
        <v>221.30000000000007</v>
      </c>
      <c r="BE16" s="75">
        <f t="shared" si="13"/>
        <v>371.30000000000007</v>
      </c>
      <c r="BF16" s="75">
        <f t="shared" si="13"/>
        <v>152.71191499188907</v>
      </c>
      <c r="BG16" s="75">
        <f t="shared" si="13"/>
        <v>231.71119347368131</v>
      </c>
      <c r="BH16" s="75">
        <f t="shared" si="13"/>
        <v>384.42310846557041</v>
      </c>
      <c r="BI16" s="75">
        <f t="shared" si="13"/>
        <v>174.15412677478702</v>
      </c>
      <c r="BJ16" s="75">
        <f t="shared" si="13"/>
        <v>234.4876132570223</v>
      </c>
      <c r="BK16" s="75">
        <f t="shared" si="13"/>
        <v>408.64174003180932</v>
      </c>
      <c r="BL16" s="75">
        <f t="shared" si="13"/>
        <v>182.27415812802406</v>
      </c>
      <c r="BM16" s="75">
        <f t="shared" si="13"/>
        <v>244.81132036707496</v>
      </c>
      <c r="BN16" s="75">
        <f t="shared" si="13"/>
        <v>427.08547849509904</v>
      </c>
      <c r="BO16" s="75">
        <f>BO195</f>
        <v>194.88175118564163</v>
      </c>
      <c r="BP16" s="75">
        <f>BP195</f>
        <v>252.53527613745777</v>
      </c>
      <c r="BQ16" s="75">
        <f>BQ195</f>
        <v>447.41702732309938</v>
      </c>
      <c r="BR16" s="75">
        <f t="shared" ref="BR16:CC16" si="14">BR195</f>
        <v>193.31164053169243</v>
      </c>
      <c r="BS16" s="75">
        <f t="shared" si="14"/>
        <v>264.31156915307969</v>
      </c>
      <c r="BT16" s="75">
        <f t="shared" si="14"/>
        <v>457.62320968477212</v>
      </c>
      <c r="BU16" s="75">
        <f t="shared" si="14"/>
        <v>206.69681153741425</v>
      </c>
      <c r="BV16" s="75">
        <f t="shared" si="14"/>
        <v>281.79120438540679</v>
      </c>
      <c r="BW16" s="75">
        <f t="shared" si="14"/>
        <v>488.48801592282103</v>
      </c>
      <c r="BX16" s="75">
        <f t="shared" si="14"/>
        <v>220.38375251952169</v>
      </c>
      <c r="BY16" s="75">
        <f t="shared" si="14"/>
        <v>286.59945326733941</v>
      </c>
      <c r="BZ16" s="75">
        <f t="shared" si="14"/>
        <v>506.98320578686111</v>
      </c>
      <c r="CA16" s="75">
        <f t="shared" si="14"/>
        <v>223.05466457794878</v>
      </c>
      <c r="CB16" s="75">
        <f t="shared" si="14"/>
        <v>291.52508436091057</v>
      </c>
      <c r="CC16" s="75">
        <f t="shared" si="14"/>
        <v>514.57974893885932</v>
      </c>
    </row>
    <row r="17" spans="1:81">
      <c r="A17" s="66"/>
      <c r="B17" s="45" t="s">
        <v>390</v>
      </c>
      <c r="K17" s="65"/>
      <c r="L17" s="65"/>
      <c r="M17" s="65"/>
      <c r="N17" s="65"/>
      <c r="O17" s="65"/>
      <c r="P17" s="65"/>
      <c r="Q17" s="65"/>
      <c r="R17" s="65"/>
      <c r="S17" s="65"/>
      <c r="AD17" s="69">
        <f>AD16/AD8</f>
        <v>0.24051251956181538</v>
      </c>
      <c r="AE17" s="69">
        <f t="shared" ref="AE17:BN17" si="15">AE16/AE8</f>
        <v>0.21696891191709847</v>
      </c>
      <c r="AF17" s="69">
        <f t="shared" si="15"/>
        <v>0.27022900763358781</v>
      </c>
      <c r="AG17" s="69">
        <f t="shared" si="15"/>
        <v>0.24523905996758516</v>
      </c>
      <c r="AH17" s="69">
        <f t="shared" si="15"/>
        <v>0.24143242202541396</v>
      </c>
      <c r="AI17" s="69">
        <f t="shared" si="15"/>
        <v>0.22325750934487515</v>
      </c>
      <c r="AJ17" s="69">
        <f t="shared" si="15"/>
        <v>0.23137725959620026</v>
      </c>
      <c r="AK17" s="69">
        <f t="shared" si="15"/>
        <v>0.23883767996354058</v>
      </c>
      <c r="AL17" s="69">
        <f t="shared" si="15"/>
        <v>0.26943027625871824</v>
      </c>
      <c r="AM17" s="69">
        <f t="shared" si="15"/>
        <v>0.2555434387495456</v>
      </c>
      <c r="AN17" s="69">
        <f t="shared" si="15"/>
        <v>0.23515048128467433</v>
      </c>
      <c r="AO17" s="69">
        <f t="shared" si="15"/>
        <v>0.24952036644487113</v>
      </c>
      <c r="AP17" s="69">
        <f t="shared" si="15"/>
        <v>0.24283661567069567</v>
      </c>
      <c r="AQ17" s="69">
        <f t="shared" si="15"/>
        <v>0.21905748316934234</v>
      </c>
      <c r="AR17" s="69">
        <f t="shared" si="15"/>
        <v>0.25666718051487597</v>
      </c>
      <c r="AS17" s="69">
        <f t="shared" si="15"/>
        <v>0.23892508143322483</v>
      </c>
      <c r="AT17" s="69">
        <f t="shared" si="15"/>
        <v>0.21129568106312299</v>
      </c>
      <c r="AU17" s="69">
        <f t="shared" si="15"/>
        <v>0.24418456845048925</v>
      </c>
      <c r="AV17" s="69">
        <f t="shared" si="15"/>
        <v>0.23785319180744496</v>
      </c>
      <c r="AW17" s="69">
        <f t="shared" si="15"/>
        <v>0.22887479722754758</v>
      </c>
      <c r="AX17" s="69">
        <f t="shared" si="15"/>
        <v>0.30326530612244884</v>
      </c>
      <c r="AY17" s="69">
        <f t="shared" si="15"/>
        <v>0.26756775882810835</v>
      </c>
      <c r="AZ17" s="69">
        <f t="shared" si="15"/>
        <v>0.21997084548104956</v>
      </c>
      <c r="BA17" s="69">
        <f t="shared" si="15"/>
        <v>0.27217685159110111</v>
      </c>
      <c r="BB17" s="69">
        <f t="shared" si="15"/>
        <v>0.24652628563243095</v>
      </c>
      <c r="BC17" s="69">
        <f t="shared" si="15"/>
        <v>0.20961430967020681</v>
      </c>
      <c r="BD17" s="69">
        <f t="shared" si="15"/>
        <v>0.26207958313595459</v>
      </c>
      <c r="BE17" s="69">
        <f t="shared" si="15"/>
        <v>0.23801282051282055</v>
      </c>
      <c r="BF17" s="69">
        <f t="shared" si="15"/>
        <v>0.20374962424336507</v>
      </c>
      <c r="BG17" s="69">
        <f t="shared" si="15"/>
        <v>0.26295945179329611</v>
      </c>
      <c r="BH17" s="69">
        <f t="shared" si="15"/>
        <v>0.23574481366417552</v>
      </c>
      <c r="BI17" s="69">
        <f t="shared" si="15"/>
        <v>0.22018378130789268</v>
      </c>
      <c r="BJ17" s="69">
        <f t="shared" si="15"/>
        <v>0.26286315534573995</v>
      </c>
      <c r="BK17" s="69">
        <f t="shared" si="15"/>
        <v>0.24280540972330486</v>
      </c>
      <c r="BL17" s="69">
        <f t="shared" si="15"/>
        <v>0.2246576405633777</v>
      </c>
      <c r="BM17" s="69">
        <f t="shared" si="15"/>
        <v>0.26732838889799082</v>
      </c>
      <c r="BN17" s="69">
        <f t="shared" si="15"/>
        <v>0.24728303687272302</v>
      </c>
      <c r="BO17" s="69">
        <f>BO16/BO8</f>
        <v>0.23151950242886393</v>
      </c>
      <c r="BP17" s="69">
        <f>BP16/BP8</f>
        <v>0.26956353296259844</v>
      </c>
      <c r="BQ17" s="69">
        <f>BQ16/BQ8</f>
        <v>0.2515583962241667</v>
      </c>
      <c r="BR17" s="69">
        <f t="shared" ref="BR17:CC17" si="16">BR16/BR8</f>
        <v>0.22816896266079367</v>
      </c>
      <c r="BS17" s="69">
        <f t="shared" si="16"/>
        <v>0.27459519802470295</v>
      </c>
      <c r="BT17" s="69">
        <f t="shared" si="16"/>
        <v>0.25286122599830407</v>
      </c>
      <c r="BU17" s="69">
        <f t="shared" si="16"/>
        <v>0.23525975782099046</v>
      </c>
      <c r="BV17" s="69">
        <f t="shared" si="16"/>
        <v>0.28284017759141022</v>
      </c>
      <c r="BW17" s="69">
        <f t="shared" si="16"/>
        <v>0.26054347275007478</v>
      </c>
      <c r="BX17" s="69">
        <f t="shared" si="16"/>
        <v>0.24262863343737037</v>
      </c>
      <c r="BY17" s="69">
        <f t="shared" si="16"/>
        <v>0.28399852935441217</v>
      </c>
      <c r="BZ17" s="69">
        <f t="shared" si="16"/>
        <v>0.26440141396312533</v>
      </c>
      <c r="CA17" s="69">
        <f t="shared" si="16"/>
        <v>0.24252046779302994</v>
      </c>
      <c r="CB17" s="69">
        <f t="shared" si="16"/>
        <v>0.28518474521785059</v>
      </c>
      <c r="CC17" s="69">
        <f t="shared" si="16"/>
        <v>0.26497851579815607</v>
      </c>
    </row>
    <row r="18" spans="1:81">
      <c r="A18" s="66"/>
      <c r="K18" s="65"/>
      <c r="L18" s="65"/>
      <c r="M18" s="65"/>
      <c r="N18" s="65"/>
      <c r="O18" s="65"/>
      <c r="P18" s="65"/>
      <c r="Q18" s="65"/>
      <c r="R18" s="65"/>
      <c r="S18" s="65"/>
    </row>
    <row r="19" spans="1:81">
      <c r="A19" s="66"/>
      <c r="B19" s="45" t="s">
        <v>391</v>
      </c>
      <c r="K19" s="65"/>
      <c r="L19" s="65"/>
      <c r="M19" s="65"/>
      <c r="N19" s="65"/>
      <c r="O19" s="65"/>
      <c r="P19" s="65"/>
      <c r="Q19" s="65"/>
      <c r="R19" s="65"/>
      <c r="S19" s="65"/>
      <c r="AD19" s="65">
        <f>AD151+AD172+1052.3</f>
        <v>1852.1</v>
      </c>
      <c r="AG19" s="65">
        <f>AG151+AG172+927.9</f>
        <v>1876.8</v>
      </c>
    </row>
    <row r="20" spans="1:81">
      <c r="A20" s="72"/>
      <c r="B20" s="78" t="s">
        <v>126</v>
      </c>
      <c r="C20" s="74"/>
      <c r="D20" s="74"/>
      <c r="E20" s="74"/>
      <c r="F20" s="74"/>
      <c r="G20" s="74"/>
      <c r="H20" s="74"/>
      <c r="I20" s="74"/>
      <c r="J20" s="74"/>
      <c r="K20" s="74"/>
      <c r="L20" s="74"/>
      <c r="M20" s="74"/>
      <c r="N20" s="74"/>
      <c r="O20" s="74"/>
      <c r="P20" s="74"/>
      <c r="Q20" s="74"/>
      <c r="R20" s="74"/>
      <c r="S20" s="74"/>
      <c r="T20" s="74"/>
      <c r="U20" s="74"/>
      <c r="V20" s="74"/>
      <c r="W20" s="74"/>
      <c r="X20" s="74"/>
      <c r="Y20" s="74"/>
      <c r="Z20" s="74"/>
      <c r="AA20" s="74"/>
      <c r="AB20" s="74"/>
      <c r="AC20" s="74"/>
      <c r="AD20" s="79">
        <f>AD11/AD19</f>
        <v>0.10210031855731334</v>
      </c>
      <c r="AE20" s="74"/>
      <c r="AF20" s="74"/>
      <c r="AG20" s="79">
        <f>AG11/AG19</f>
        <v>9.8731884057971023E-2</v>
      </c>
      <c r="AH20" s="74"/>
      <c r="AI20" s="74"/>
      <c r="AJ20" s="74"/>
      <c r="AK20" s="74"/>
      <c r="AL20" s="74"/>
      <c r="AM20" s="74"/>
      <c r="AN20" s="74"/>
      <c r="AO20" s="74"/>
      <c r="AP20" s="74"/>
      <c r="AQ20" s="74"/>
      <c r="AR20" s="74"/>
      <c r="AS20" s="74"/>
      <c r="AT20" s="74"/>
      <c r="AU20" s="74"/>
      <c r="AV20" s="74"/>
      <c r="AW20" s="74"/>
      <c r="AX20" s="74"/>
      <c r="AY20" s="74"/>
      <c r="AZ20" s="74"/>
      <c r="BA20" s="74"/>
      <c r="BB20" s="74"/>
      <c r="BC20" s="74"/>
      <c r="BD20" s="74"/>
      <c r="BE20" s="74"/>
      <c r="BF20" s="74"/>
      <c r="BG20" s="74"/>
      <c r="BH20" s="74"/>
      <c r="BI20" s="74"/>
      <c r="BJ20" s="74"/>
      <c r="BK20" s="74"/>
      <c r="BL20" s="74"/>
      <c r="BM20" s="74"/>
      <c r="BN20" s="74"/>
      <c r="BO20" s="74"/>
      <c r="BP20" s="74"/>
      <c r="BQ20" s="74"/>
      <c r="BR20" s="74"/>
      <c r="BS20" s="74"/>
      <c r="BT20" s="74"/>
      <c r="BU20" s="74"/>
      <c r="BV20" s="74"/>
      <c r="BW20" s="74"/>
      <c r="BX20" s="74"/>
      <c r="BY20" s="74"/>
      <c r="BZ20" s="74"/>
      <c r="CA20" s="74"/>
      <c r="CB20" s="74"/>
      <c r="CC20" s="74"/>
    </row>
    <row r="21" spans="1:81">
      <c r="A21" s="66"/>
      <c r="K21" s="65"/>
      <c r="L21" s="65"/>
      <c r="M21" s="65"/>
      <c r="N21" s="65"/>
      <c r="O21" s="65"/>
      <c r="P21" s="65"/>
      <c r="Q21" s="65"/>
      <c r="R21" s="65"/>
      <c r="S21" s="65"/>
    </row>
    <row r="22" spans="1:81">
      <c r="A22" s="66"/>
      <c r="K22" s="65"/>
      <c r="L22" s="65"/>
      <c r="M22" s="65"/>
      <c r="N22" s="65"/>
      <c r="O22" s="65"/>
      <c r="P22" s="65"/>
      <c r="Q22" s="65"/>
      <c r="R22" s="65"/>
      <c r="S22" s="65"/>
    </row>
    <row r="23" spans="1:81">
      <c r="A23" s="66"/>
      <c r="B23" s="41" t="s">
        <v>564</v>
      </c>
      <c r="K23" s="65"/>
      <c r="L23" s="65"/>
      <c r="M23" s="65"/>
      <c r="N23" s="65"/>
      <c r="O23" s="65"/>
      <c r="P23" s="65"/>
      <c r="Q23" s="65"/>
      <c r="R23" s="65"/>
      <c r="S23" s="65"/>
    </row>
    <row r="24" spans="1:81">
      <c r="A24" s="73"/>
      <c r="B24" s="73" t="s">
        <v>565</v>
      </c>
      <c r="C24" s="74"/>
      <c r="D24" s="74"/>
      <c r="E24" s="74"/>
      <c r="F24" s="74"/>
      <c r="G24" s="75"/>
      <c r="H24" s="75"/>
      <c r="I24" s="75"/>
      <c r="J24" s="75"/>
      <c r="K24" s="75"/>
      <c r="L24" s="75"/>
      <c r="M24" s="75"/>
      <c r="N24" s="75"/>
      <c r="O24" s="75"/>
      <c r="P24" s="75"/>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258"/>
      <c r="AU24" s="75"/>
      <c r="AV24" s="75"/>
      <c r="AW24" s="258">
        <v>16.2</v>
      </c>
      <c r="AX24" s="75">
        <f>AY24-AW24</f>
        <v>31.7</v>
      </c>
      <c r="AY24" s="258">
        <v>47.9</v>
      </c>
      <c r="AZ24" s="258">
        <v>0</v>
      </c>
      <c r="BA24" s="75">
        <f>BB24-AZ24</f>
        <v>20.6</v>
      </c>
      <c r="BB24" s="258">
        <v>20.6</v>
      </c>
      <c r="BC24" s="258">
        <v>1.5</v>
      </c>
      <c r="BD24" s="75">
        <f>BE24-BC24</f>
        <v>11.558823529411791</v>
      </c>
      <c r="BE24" s="259">
        <f>BE27/0.85</f>
        <v>13.058823529411791</v>
      </c>
      <c r="BF24" s="75">
        <f>BH24/2</f>
        <v>0</v>
      </c>
      <c r="BG24" s="75">
        <f>BH24/2</f>
        <v>0</v>
      </c>
      <c r="BH24" s="259">
        <v>0</v>
      </c>
      <c r="BI24" s="75">
        <f>BK24/2</f>
        <v>5</v>
      </c>
      <c r="BJ24" s="75">
        <f>BK24/2</f>
        <v>5</v>
      </c>
      <c r="BK24" s="259">
        <v>10</v>
      </c>
      <c r="BL24" s="75">
        <f>BN24/2</f>
        <v>5</v>
      </c>
      <c r="BM24" s="75">
        <f>BN24/2</f>
        <v>5</v>
      </c>
      <c r="BN24" s="259">
        <v>10</v>
      </c>
      <c r="BO24" s="75">
        <f>BQ24/2</f>
        <v>5</v>
      </c>
      <c r="BP24" s="75">
        <f>BQ24/2</f>
        <v>5</v>
      </c>
      <c r="BQ24" s="259">
        <v>10</v>
      </c>
      <c r="BR24" s="75">
        <f>BT24/2</f>
        <v>5</v>
      </c>
      <c r="BS24" s="75">
        <f>BT24/2</f>
        <v>5</v>
      </c>
      <c r="BT24" s="259">
        <v>10</v>
      </c>
      <c r="BU24" s="75">
        <f>BW24/2</f>
        <v>5</v>
      </c>
      <c r="BV24" s="75">
        <f>BW24/2</f>
        <v>5</v>
      </c>
      <c r="BW24" s="259">
        <v>10</v>
      </c>
      <c r="BX24" s="75">
        <f>BZ24/2</f>
        <v>5</v>
      </c>
      <c r="BY24" s="75">
        <f>BZ24/2</f>
        <v>5</v>
      </c>
      <c r="BZ24" s="259">
        <v>10</v>
      </c>
      <c r="CA24" s="75">
        <f>CC24/2</f>
        <v>5</v>
      </c>
      <c r="CB24" s="75">
        <f>CC24/2</f>
        <v>5</v>
      </c>
      <c r="CC24" s="259">
        <v>10</v>
      </c>
    </row>
    <row r="25" spans="1:81">
      <c r="A25" s="66"/>
      <c r="B25" s="40"/>
      <c r="C25" s="65"/>
      <c r="D25" s="65"/>
      <c r="E25" s="65"/>
      <c r="F25" s="65"/>
      <c r="G25" s="114"/>
      <c r="H25" s="114"/>
      <c r="I25" s="114"/>
      <c r="J25" s="114"/>
      <c r="K25" s="114"/>
      <c r="L25" s="114"/>
      <c r="M25" s="114"/>
      <c r="N25" s="114"/>
      <c r="O25" s="114"/>
      <c r="P25" s="114"/>
      <c r="Q25" s="114"/>
      <c r="R25" s="114"/>
      <c r="S25" s="114"/>
      <c r="T25" s="114"/>
      <c r="U25" s="114"/>
      <c r="V25" s="114"/>
      <c r="W25" s="114"/>
      <c r="X25" s="114"/>
      <c r="Y25" s="114"/>
      <c r="Z25" s="114"/>
      <c r="AA25" s="114"/>
      <c r="AB25" s="114"/>
      <c r="AC25" s="114"/>
      <c r="AD25" s="114"/>
      <c r="AE25" s="114"/>
      <c r="AF25" s="114"/>
      <c r="AG25" s="114"/>
      <c r="AH25" s="114"/>
      <c r="AI25" s="114"/>
      <c r="AJ25" s="114"/>
      <c r="AK25" s="114"/>
      <c r="AL25" s="114"/>
      <c r="AM25" s="114"/>
      <c r="AN25" s="114"/>
      <c r="AO25" s="114"/>
      <c r="AP25" s="114"/>
      <c r="AQ25" s="114"/>
      <c r="AR25" s="114"/>
      <c r="AS25" s="114"/>
      <c r="AT25" s="114"/>
      <c r="AU25" s="114"/>
      <c r="AV25" s="114"/>
      <c r="AW25" s="114"/>
      <c r="AX25" s="114"/>
      <c r="AY25" s="114"/>
      <c r="AZ25" s="114"/>
      <c r="BA25" s="114"/>
      <c r="BB25" s="114"/>
      <c r="BC25" s="114"/>
      <c r="BD25" s="114"/>
      <c r="BE25" s="114"/>
      <c r="BF25" s="114"/>
      <c r="BG25" s="114"/>
      <c r="BH25" s="114"/>
      <c r="BI25" s="114"/>
      <c r="BJ25" s="114"/>
      <c r="BK25" s="114"/>
      <c r="BL25" s="114"/>
      <c r="BM25" s="114"/>
      <c r="BN25" s="114"/>
      <c r="BO25" s="114"/>
      <c r="BP25" s="114"/>
      <c r="BQ25" s="114"/>
      <c r="BR25" s="114"/>
      <c r="BS25" s="114"/>
      <c r="BT25" s="114"/>
      <c r="BU25" s="114"/>
      <c r="BV25" s="114"/>
      <c r="BW25" s="114"/>
      <c r="BX25" s="114"/>
      <c r="BY25" s="114"/>
      <c r="BZ25" s="114"/>
      <c r="CA25" s="114"/>
      <c r="CB25" s="114"/>
      <c r="CC25" s="114"/>
    </row>
    <row r="26" spans="1:81">
      <c r="A26" s="66"/>
      <c r="B26" s="41"/>
      <c r="K26" s="65"/>
      <c r="L26" s="65"/>
      <c r="M26" s="65"/>
      <c r="N26" s="65"/>
      <c r="O26" s="65"/>
      <c r="P26" s="65"/>
      <c r="Q26" s="65"/>
      <c r="R26" s="65"/>
      <c r="S26" s="65"/>
    </row>
    <row r="27" spans="1:81">
      <c r="A27" s="73"/>
      <c r="B27" s="73" t="s">
        <v>440</v>
      </c>
      <c r="C27" s="74"/>
      <c r="D27" s="74"/>
      <c r="E27" s="74"/>
      <c r="F27" s="74"/>
      <c r="G27" s="75"/>
      <c r="H27" s="75"/>
      <c r="I27" s="75"/>
      <c r="J27" s="75"/>
      <c r="K27" s="75"/>
      <c r="L27" s="75"/>
      <c r="M27" s="75"/>
      <c r="N27" s="75"/>
      <c r="O27" s="75"/>
      <c r="P27" s="75"/>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258">
        <v>13.3</v>
      </c>
      <c r="AX27" s="75">
        <f>AY27-AW27</f>
        <v>31.7</v>
      </c>
      <c r="AY27" s="258">
        <v>45</v>
      </c>
      <c r="AZ27" s="258">
        <v>0.2</v>
      </c>
      <c r="BA27" s="75">
        <f>BB27-AZ27</f>
        <v>8.2000000000000348</v>
      </c>
      <c r="BB27" s="258">
        <f>266.1-257.7</f>
        <v>8.4000000000000341</v>
      </c>
      <c r="BC27" s="258">
        <v>0.1</v>
      </c>
      <c r="BD27" s="75">
        <f>BE27-BC27</f>
        <v>11.000000000000023</v>
      </c>
      <c r="BE27" s="258">
        <f>288.8-277.7</f>
        <v>11.100000000000023</v>
      </c>
      <c r="BF27" s="75">
        <f>BF24*0.85</f>
        <v>0</v>
      </c>
      <c r="BG27" s="75">
        <f>BG24*0.85</f>
        <v>0</v>
      </c>
      <c r="BH27" s="75">
        <f>BG27+BF27</f>
        <v>0</v>
      </c>
      <c r="BI27" s="75">
        <f>BI24*0.85</f>
        <v>4.25</v>
      </c>
      <c r="BJ27" s="75">
        <f>BJ24*0.85</f>
        <v>4.25</v>
      </c>
      <c r="BK27" s="75">
        <f>BJ27+BI27</f>
        <v>8.5</v>
      </c>
      <c r="BL27" s="75">
        <f>BL24*0.85</f>
        <v>4.25</v>
      </c>
      <c r="BM27" s="75">
        <f>BM24*0.85</f>
        <v>4.25</v>
      </c>
      <c r="BN27" s="75">
        <f>BM27+BL27</f>
        <v>8.5</v>
      </c>
      <c r="BO27" s="75">
        <f>BO24*0.85</f>
        <v>4.25</v>
      </c>
      <c r="BP27" s="75">
        <f>BP24*0.85</f>
        <v>4.25</v>
      </c>
      <c r="BQ27" s="75">
        <f>BP27+BO27</f>
        <v>8.5</v>
      </c>
      <c r="BR27" s="75">
        <f>BR24*0.85</f>
        <v>4.25</v>
      </c>
      <c r="BS27" s="75">
        <f>BS24*0.85</f>
        <v>4.25</v>
      </c>
      <c r="BT27" s="75">
        <f>BS27+BR27</f>
        <v>8.5</v>
      </c>
      <c r="BU27" s="75">
        <f>BU24*0.85</f>
        <v>4.25</v>
      </c>
      <c r="BV27" s="75">
        <f>BV24*0.85</f>
        <v>4.25</v>
      </c>
      <c r="BW27" s="75">
        <f>BV27+BU27</f>
        <v>8.5</v>
      </c>
      <c r="BX27" s="75">
        <f>BX24*0.85</f>
        <v>4.25</v>
      </c>
      <c r="BY27" s="75">
        <f>BY24*0.85</f>
        <v>4.25</v>
      </c>
      <c r="BZ27" s="75">
        <f>BY27+BX27</f>
        <v>8.5</v>
      </c>
      <c r="CA27" s="75">
        <f>CA24*0.85</f>
        <v>4.25</v>
      </c>
      <c r="CB27" s="75">
        <f>CB24*0.85</f>
        <v>4.25</v>
      </c>
      <c r="CC27" s="75">
        <f>CB27+CA27</f>
        <v>8.5</v>
      </c>
    </row>
    <row r="28" spans="1:81">
      <c r="A28" s="66"/>
      <c r="B28" s="257" t="s">
        <v>512</v>
      </c>
      <c r="C28" s="65"/>
      <c r="D28" s="65"/>
      <c r="E28" s="65"/>
      <c r="F28" s="65"/>
      <c r="G28" s="114"/>
      <c r="H28" s="114"/>
      <c r="I28" s="114"/>
      <c r="J28" s="114"/>
      <c r="K28" s="114"/>
      <c r="L28" s="114"/>
      <c r="M28" s="114"/>
      <c r="N28" s="114"/>
      <c r="O28" s="114"/>
      <c r="P28" s="114"/>
      <c r="Q28" s="114"/>
      <c r="R28" s="114"/>
      <c r="S28" s="114"/>
      <c r="T28" s="114"/>
      <c r="U28" s="114"/>
      <c r="V28" s="114"/>
      <c r="W28" s="114"/>
      <c r="X28" s="114"/>
      <c r="Y28" s="114"/>
      <c r="Z28" s="114"/>
      <c r="AA28" s="114"/>
      <c r="AB28" s="114"/>
      <c r="AC28" s="114"/>
      <c r="AD28" s="114"/>
      <c r="AE28" s="114"/>
      <c r="AF28" s="114"/>
      <c r="AG28" s="114"/>
      <c r="AH28" s="114"/>
      <c r="AI28" s="114"/>
      <c r="AJ28" s="114"/>
      <c r="AK28" s="114"/>
      <c r="AL28" s="114"/>
      <c r="AM28" s="114"/>
      <c r="AN28" s="114"/>
      <c r="AO28" s="114"/>
      <c r="AP28" s="114"/>
      <c r="AQ28" s="114"/>
      <c r="AR28" s="114"/>
      <c r="AS28" s="114"/>
      <c r="AT28" s="114"/>
      <c r="AU28" s="114"/>
      <c r="AV28" s="114"/>
      <c r="AW28" s="114"/>
      <c r="AX28" s="114"/>
      <c r="AY28" s="114"/>
      <c r="AZ28" s="114"/>
      <c r="BA28" s="114"/>
      <c r="BB28" s="114"/>
      <c r="BC28" s="114"/>
      <c r="BD28" s="114"/>
      <c r="BE28" s="114"/>
      <c r="BF28" s="114"/>
      <c r="BG28" s="114"/>
      <c r="BH28" s="114"/>
      <c r="BI28" s="114"/>
      <c r="BJ28" s="114"/>
      <c r="BK28" s="114"/>
      <c r="BL28" s="114"/>
      <c r="BM28" s="114"/>
      <c r="BN28" s="114"/>
      <c r="BO28" s="114"/>
      <c r="BP28" s="114"/>
      <c r="BQ28" s="114"/>
      <c r="BR28" s="114"/>
      <c r="BS28" s="114"/>
      <c r="BT28" s="114"/>
      <c r="BU28" s="114"/>
      <c r="BV28" s="114"/>
      <c r="BW28" s="114"/>
      <c r="BX28" s="114"/>
      <c r="BY28" s="114"/>
      <c r="BZ28" s="114"/>
      <c r="CA28" s="114"/>
      <c r="CB28" s="114"/>
      <c r="CC28" s="114"/>
    </row>
    <row r="29" spans="1:81">
      <c r="A29" s="66"/>
      <c r="K29" s="65"/>
      <c r="L29" s="65"/>
      <c r="M29" s="65"/>
      <c r="N29" s="65"/>
      <c r="O29" s="65"/>
      <c r="P29" s="65"/>
      <c r="Q29" s="65"/>
      <c r="R29" s="65"/>
      <c r="S29" s="65"/>
    </row>
    <row r="30" spans="1:81">
      <c r="A30" s="73"/>
      <c r="B30" s="73" t="s">
        <v>441</v>
      </c>
      <c r="C30" s="74"/>
      <c r="D30" s="74"/>
      <c r="E30" s="74"/>
      <c r="F30" s="74"/>
      <c r="G30" s="75"/>
      <c r="H30" s="75"/>
      <c r="I30" s="75"/>
      <c r="J30" s="75"/>
      <c r="K30" s="75"/>
      <c r="L30" s="75"/>
      <c r="M30" s="75"/>
      <c r="N30" s="75"/>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258">
        <v>12.3</v>
      </c>
      <c r="AX30" s="75">
        <f>AY30-AW30</f>
        <v>22.599999999999998</v>
      </c>
      <c r="AY30" s="258">
        <v>34.9</v>
      </c>
      <c r="AZ30" s="258">
        <v>1.3</v>
      </c>
      <c r="BA30" s="75">
        <f>BB30-AZ30</f>
        <v>6.6000000000000005</v>
      </c>
      <c r="BB30" s="258">
        <v>7.9</v>
      </c>
      <c r="BC30" s="258">
        <v>0.1</v>
      </c>
      <c r="BD30" s="75">
        <f>BE30-BC30</f>
        <v>8.2999999999999776</v>
      </c>
      <c r="BE30" s="258">
        <f>197.7-189.3</f>
        <v>8.3999999999999773</v>
      </c>
      <c r="BF30" s="75">
        <f>BF27*0.8</f>
        <v>0</v>
      </c>
      <c r="BG30" s="75">
        <f>BG27*0.8</f>
        <v>0</v>
      </c>
      <c r="BH30" s="75">
        <f>BF30+BG30</f>
        <v>0</v>
      </c>
      <c r="BI30" s="75">
        <f>BI27*0.8</f>
        <v>3.4000000000000004</v>
      </c>
      <c r="BJ30" s="75">
        <f>BJ27*0.8</f>
        <v>3.4000000000000004</v>
      </c>
      <c r="BK30" s="75">
        <f>BI30+BJ30</f>
        <v>6.8000000000000007</v>
      </c>
      <c r="BL30" s="75">
        <f>BL27*0.8</f>
        <v>3.4000000000000004</v>
      </c>
      <c r="BM30" s="75">
        <f>BM27*0.8</f>
        <v>3.4000000000000004</v>
      </c>
      <c r="BN30" s="75">
        <f>BL30+BM30</f>
        <v>6.8000000000000007</v>
      </c>
      <c r="BO30" s="75">
        <f>BO27*0.8</f>
        <v>3.4000000000000004</v>
      </c>
      <c r="BP30" s="75">
        <f>BP27*0.8</f>
        <v>3.4000000000000004</v>
      </c>
      <c r="BQ30" s="75">
        <f>BO30+BP30</f>
        <v>6.8000000000000007</v>
      </c>
      <c r="BR30" s="75">
        <f>BR27*0.8</f>
        <v>3.4000000000000004</v>
      </c>
      <c r="BS30" s="75">
        <f>BS27*0.8</f>
        <v>3.4000000000000004</v>
      </c>
      <c r="BT30" s="75">
        <f>BR30+BS30</f>
        <v>6.8000000000000007</v>
      </c>
      <c r="BU30" s="75">
        <f>BU27*0.8</f>
        <v>3.4000000000000004</v>
      </c>
      <c r="BV30" s="75">
        <f>BV27*0.8</f>
        <v>3.4000000000000004</v>
      </c>
      <c r="BW30" s="75">
        <f>BU30+BV30</f>
        <v>6.8000000000000007</v>
      </c>
      <c r="BX30" s="75">
        <f>BX27*0.8</f>
        <v>3.4000000000000004</v>
      </c>
      <c r="BY30" s="75">
        <f>BY27*0.8</f>
        <v>3.4000000000000004</v>
      </c>
      <c r="BZ30" s="75">
        <f>BX30+BY30</f>
        <v>6.8000000000000007</v>
      </c>
      <c r="CA30" s="75">
        <f>CA27*0.8</f>
        <v>3.4000000000000004</v>
      </c>
      <c r="CB30" s="75">
        <f>CB27*0.8</f>
        <v>3.4000000000000004</v>
      </c>
      <c r="CC30" s="75">
        <f>CA30+CB30</f>
        <v>6.8000000000000007</v>
      </c>
    </row>
    <row r="31" spans="1:81">
      <c r="A31" s="66"/>
      <c r="B31" s="40"/>
      <c r="C31" s="65"/>
      <c r="D31" s="65"/>
      <c r="E31" s="65"/>
      <c r="F31" s="65"/>
      <c r="G31" s="114"/>
      <c r="H31" s="114"/>
      <c r="I31" s="114"/>
      <c r="J31" s="114"/>
      <c r="K31" s="114"/>
      <c r="L31" s="114"/>
      <c r="M31" s="114"/>
      <c r="N31" s="114"/>
      <c r="O31" s="114"/>
      <c r="P31" s="114"/>
      <c r="Q31" s="114"/>
      <c r="R31" s="114"/>
      <c r="S31" s="114"/>
      <c r="T31" s="114"/>
      <c r="U31" s="114"/>
      <c r="V31" s="114"/>
      <c r="W31" s="114"/>
      <c r="X31" s="114"/>
      <c r="Y31" s="114"/>
      <c r="Z31" s="114"/>
      <c r="AA31" s="114"/>
      <c r="AB31" s="114"/>
      <c r="AC31" s="114"/>
      <c r="AD31" s="114"/>
      <c r="AE31" s="114"/>
      <c r="AF31" s="114"/>
      <c r="AG31" s="114"/>
      <c r="AH31" s="114"/>
      <c r="AI31" s="114"/>
      <c r="AJ31" s="114"/>
      <c r="AK31" s="114"/>
      <c r="AL31" s="114"/>
      <c r="AM31" s="114"/>
      <c r="AN31" s="114"/>
      <c r="AO31" s="114"/>
      <c r="AP31" s="114"/>
      <c r="AQ31" s="114"/>
      <c r="AR31" s="114"/>
      <c r="AS31" s="114"/>
      <c r="AT31" s="114"/>
      <c r="AU31" s="114"/>
      <c r="AV31" s="114"/>
      <c r="AW31" s="114"/>
      <c r="AX31" s="114"/>
      <c r="AY31" s="114"/>
      <c r="AZ31" s="114"/>
      <c r="BA31" s="114"/>
      <c r="BB31" s="260"/>
      <c r="BC31" s="114"/>
      <c r="BD31" s="114"/>
      <c r="BE31" s="260"/>
      <c r="BF31" s="114"/>
      <c r="BG31" s="114"/>
      <c r="BH31" s="260"/>
      <c r="BI31" s="114"/>
      <c r="BJ31" s="114"/>
      <c r="BK31" s="114"/>
      <c r="BL31" s="114"/>
      <c r="BM31" s="114"/>
      <c r="BN31" s="114"/>
      <c r="BO31" s="114"/>
      <c r="BP31" s="114"/>
      <c r="BQ31" s="114"/>
    </row>
    <row r="32" spans="1:81" s="11" customFormat="1">
      <c r="A32" s="413" t="s">
        <v>16</v>
      </c>
      <c r="B32" s="413"/>
      <c r="C32" s="433"/>
      <c r="D32" s="433"/>
      <c r="E32" s="433"/>
      <c r="F32" s="433"/>
      <c r="G32" s="433"/>
      <c r="H32" s="433"/>
      <c r="I32" s="433"/>
      <c r="J32" s="433"/>
      <c r="K32" s="433"/>
      <c r="L32" s="433"/>
      <c r="M32" s="433"/>
      <c r="N32" s="433"/>
      <c r="O32" s="433"/>
      <c r="P32" s="433"/>
      <c r="Q32" s="433"/>
      <c r="R32" s="433"/>
      <c r="S32" s="433"/>
      <c r="T32" s="433"/>
      <c r="U32" s="433"/>
      <c r="V32" s="433"/>
      <c r="W32" s="433"/>
      <c r="X32" s="433"/>
      <c r="Y32" s="433"/>
      <c r="Z32" s="433"/>
      <c r="AA32" s="433"/>
      <c r="AB32" s="433"/>
      <c r="AC32" s="433"/>
      <c r="AD32" s="434"/>
      <c r="AE32" s="434"/>
      <c r="AF32" s="434"/>
      <c r="AG32" s="434"/>
      <c r="AH32" s="434"/>
      <c r="AI32" s="434"/>
      <c r="AJ32" s="434"/>
      <c r="AK32" s="434"/>
      <c r="AL32" s="434"/>
      <c r="AM32" s="434"/>
      <c r="AN32" s="434"/>
      <c r="AO32" s="434"/>
      <c r="AP32" s="434"/>
      <c r="AQ32" s="434"/>
      <c r="AR32" s="434"/>
      <c r="AS32" s="434"/>
      <c r="AT32" s="434"/>
      <c r="AU32" s="434"/>
      <c r="AV32" s="434"/>
      <c r="AW32" s="434"/>
      <c r="AX32" s="434"/>
      <c r="AY32" s="434"/>
      <c r="AZ32" s="434"/>
      <c r="BA32" s="434"/>
      <c r="BB32" s="434"/>
      <c r="BC32" s="434"/>
      <c r="BD32" s="434"/>
      <c r="BE32" s="434"/>
      <c r="BF32" s="434"/>
      <c r="BG32" s="434"/>
      <c r="BH32" s="434"/>
      <c r="BI32" s="434"/>
      <c r="BJ32" s="434"/>
      <c r="BK32" s="434"/>
      <c r="BL32" s="434"/>
      <c r="BM32" s="434"/>
      <c r="BN32" s="434"/>
      <c r="BO32" s="434"/>
      <c r="BP32" s="434"/>
      <c r="BQ32" s="434"/>
      <c r="BR32" s="434"/>
      <c r="BS32" s="434"/>
      <c r="BT32" s="434"/>
      <c r="BU32" s="434"/>
      <c r="BV32" s="434"/>
      <c r="BW32" s="434"/>
      <c r="BX32" s="434"/>
      <c r="BY32" s="434"/>
      <c r="BZ32" s="434"/>
      <c r="CA32" s="434"/>
      <c r="CB32" s="434"/>
      <c r="CC32" s="434"/>
    </row>
    <row r="33" spans="1:81">
      <c r="A33" s="66"/>
      <c r="T33" s="45"/>
      <c r="U33" s="45"/>
      <c r="V33" s="45"/>
      <c r="W33" s="45"/>
      <c r="X33" s="45"/>
      <c r="Y33" s="45"/>
      <c r="Z33" s="45"/>
      <c r="AA33" s="45"/>
      <c r="AB33" s="45"/>
      <c r="AC33" s="45"/>
    </row>
    <row r="34" spans="1:81" s="605" customFormat="1">
      <c r="A34" s="80"/>
      <c r="B34" s="41" t="s">
        <v>226</v>
      </c>
      <c r="C34" s="81"/>
      <c r="D34" s="81"/>
      <c r="E34" s="81"/>
      <c r="F34" s="81"/>
      <c r="G34" s="81"/>
      <c r="H34" s="81"/>
      <c r="I34" s="81"/>
      <c r="J34" s="81"/>
      <c r="K34" s="81"/>
      <c r="L34" s="81"/>
      <c r="M34" s="81"/>
      <c r="N34" s="81"/>
      <c r="O34" s="81"/>
      <c r="P34" s="81"/>
      <c r="Q34" s="81"/>
      <c r="R34" s="81"/>
      <c r="S34" s="81"/>
      <c r="T34" s="81"/>
      <c r="U34" s="81"/>
      <c r="V34" s="81"/>
      <c r="W34" s="81"/>
      <c r="X34" s="81"/>
      <c r="Y34" s="81"/>
      <c r="Z34" s="81"/>
      <c r="AA34" s="81"/>
      <c r="AB34" s="81"/>
      <c r="AC34" s="81"/>
      <c r="AD34" s="80"/>
      <c r="AE34" s="80"/>
      <c r="AF34" s="80"/>
      <c r="AG34" s="80"/>
      <c r="AH34" s="80"/>
      <c r="AI34" s="80"/>
      <c r="AJ34" s="80"/>
      <c r="AK34" s="80"/>
      <c r="AL34" s="80"/>
      <c r="AM34" s="82"/>
      <c r="AN34" s="80"/>
      <c r="AO34" s="80"/>
      <c r="AP34" s="80"/>
      <c r="AQ34" s="80"/>
      <c r="AR34" s="80"/>
      <c r="AS34" s="80"/>
      <c r="AT34" s="80"/>
      <c r="AU34" s="80"/>
      <c r="AV34" s="80"/>
      <c r="AW34" s="80"/>
      <c r="AX34" s="82"/>
      <c r="AY34" s="80"/>
      <c r="AZ34" s="80"/>
      <c r="BA34" s="80"/>
      <c r="BB34" s="80"/>
      <c r="BC34" s="80"/>
      <c r="BD34" s="80"/>
      <c r="BE34" s="80"/>
      <c r="BF34" s="80"/>
      <c r="BG34" s="80"/>
      <c r="BH34" s="80"/>
      <c r="BI34" s="80"/>
      <c r="BJ34" s="80"/>
      <c r="BK34" s="80"/>
      <c r="BL34" s="80"/>
      <c r="BM34" s="80"/>
      <c r="BN34" s="80"/>
      <c r="BO34" s="80"/>
      <c r="BP34" s="80"/>
      <c r="BQ34" s="80"/>
      <c r="BR34" s="80"/>
      <c r="BS34" s="80"/>
      <c r="BT34" s="80"/>
      <c r="BU34" s="80"/>
      <c r="BV34" s="80"/>
      <c r="BW34" s="80"/>
      <c r="BX34" s="80"/>
      <c r="BY34" s="80"/>
      <c r="BZ34" s="80"/>
      <c r="CA34" s="80"/>
      <c r="CB34" s="80"/>
      <c r="CC34" s="80"/>
    </row>
    <row r="35" spans="1:81">
      <c r="A35" s="66"/>
      <c r="B35" s="45" t="s">
        <v>227</v>
      </c>
      <c r="C35" s="83">
        <f>'Market Drivers'!C9</f>
        <v>157658</v>
      </c>
      <c r="D35" s="83">
        <f>'Market Drivers'!D33</f>
        <v>86697</v>
      </c>
      <c r="E35" s="83">
        <f>'Market Drivers'!E33</f>
        <v>58171</v>
      </c>
      <c r="F35" s="83">
        <f>'Market Drivers'!F33</f>
        <v>144868</v>
      </c>
      <c r="G35" s="83">
        <f>'Market Drivers'!G33</f>
        <v>56455</v>
      </c>
      <c r="H35" s="83">
        <f>'Market Drivers'!H33</f>
        <v>82585</v>
      </c>
      <c r="I35" s="83">
        <f>'Market Drivers'!I33</f>
        <v>139040</v>
      </c>
      <c r="J35" s="83">
        <f>'Market Drivers'!J33</f>
        <v>81920</v>
      </c>
      <c r="K35" s="83">
        <f>'Market Drivers'!K33</f>
        <v>92806</v>
      </c>
      <c r="L35" s="83">
        <f>'Market Drivers'!L33</f>
        <v>174726</v>
      </c>
      <c r="M35" s="83">
        <f>'Market Drivers'!M33</f>
        <v>77649</v>
      </c>
      <c r="N35" s="83">
        <f>'Market Drivers'!N33</f>
        <v>91335</v>
      </c>
      <c r="O35" s="83">
        <f>'Market Drivers'!O33</f>
        <v>168984</v>
      </c>
      <c r="P35" s="83">
        <f>'Market Drivers'!P33</f>
        <v>83362</v>
      </c>
      <c r="Q35" s="83">
        <f>'Market Drivers'!Q33</f>
        <v>85010</v>
      </c>
      <c r="R35" s="83">
        <f>'Market Drivers'!R33</f>
        <v>168372</v>
      </c>
      <c r="S35" s="83">
        <f>'Market Drivers'!S33</f>
        <v>75377</v>
      </c>
      <c r="T35" s="83">
        <f>'Market Drivers'!T33</f>
        <v>79256</v>
      </c>
      <c r="U35" s="83">
        <f>'Market Drivers'!U33</f>
        <v>154633</v>
      </c>
      <c r="V35" s="83">
        <f>'Market Drivers'!V33</f>
        <v>73058</v>
      </c>
      <c r="W35" s="83">
        <f>'Market Drivers'!W33</f>
        <v>80786</v>
      </c>
      <c r="X35" s="83">
        <f>'Market Drivers'!X33</f>
        <v>153844</v>
      </c>
      <c r="Y35" s="83">
        <f>'Market Drivers'!Y33</f>
        <v>71391</v>
      </c>
      <c r="Z35" s="83">
        <f>'Market Drivers'!Z33</f>
        <v>82629</v>
      </c>
      <c r="AA35" s="83">
        <f>'Market Drivers'!AA33</f>
        <v>154020</v>
      </c>
      <c r="AB35" s="83">
        <f>'Market Drivers'!AB33</f>
        <v>75907</v>
      </c>
      <c r="AC35" s="83">
        <f>'Market Drivers'!AC33</f>
        <v>72115</v>
      </c>
      <c r="AD35" s="83">
        <f>'Market Drivers'!AD33</f>
        <v>148850</v>
      </c>
      <c r="AE35" s="83">
        <f>'Market Drivers'!AE33</f>
        <v>60493</v>
      </c>
      <c r="AF35" s="83">
        <f>'Market Drivers'!AF33</f>
        <v>81449</v>
      </c>
      <c r="AG35" s="83">
        <f>'Market Drivers'!AG33</f>
        <v>141942</v>
      </c>
      <c r="AH35" s="83">
        <f>'Market Drivers'!AH33</f>
        <v>88822</v>
      </c>
      <c r="AI35" s="83">
        <f>'Market Drivers'!AI33</f>
        <v>85577</v>
      </c>
      <c r="AJ35" s="83">
        <f>'Market Drivers'!AJ33</f>
        <v>174399</v>
      </c>
      <c r="AK35" s="83">
        <f>'Market Drivers'!AK33</f>
        <v>76922</v>
      </c>
      <c r="AL35" s="83">
        <f>'Market Drivers'!AL33</f>
        <v>77879</v>
      </c>
      <c r="AM35" s="83">
        <f>'Market Drivers'!AM33</f>
        <v>154801</v>
      </c>
      <c r="AN35" s="83">
        <f>'Market Drivers'!AN33</f>
        <v>67471</v>
      </c>
      <c r="AO35" s="83">
        <f>'Market Drivers'!AO33</f>
        <v>86651</v>
      </c>
      <c r="AP35" s="83">
        <f>'Market Drivers'!AP33</f>
        <v>154122</v>
      </c>
      <c r="AQ35" s="83">
        <f>'Market Drivers'!AQ33</f>
        <v>79285</v>
      </c>
      <c r="AR35" s="83">
        <f>'Market Drivers'!AR33</f>
        <v>92598</v>
      </c>
      <c r="AS35" s="83">
        <f>'Market Drivers'!AS33</f>
        <v>171883</v>
      </c>
      <c r="AT35" s="83">
        <f>'Market Drivers'!AT33</f>
        <v>92398</v>
      </c>
      <c r="AU35" s="83">
        <f>'Market Drivers'!AU33</f>
        <v>111457</v>
      </c>
      <c r="AV35" s="83">
        <f>'Market Drivers'!AV33</f>
        <v>203855</v>
      </c>
      <c r="AW35" s="83">
        <f>'Market Drivers'!AW33</f>
        <v>107848</v>
      </c>
      <c r="AX35" s="83">
        <f>'Market Drivers'!AX33</f>
        <v>119052</v>
      </c>
      <c r="AY35" s="83">
        <f>'Market Drivers'!AY33</f>
        <v>226900</v>
      </c>
      <c r="AZ35" s="83">
        <f>'Market Drivers'!AZ33</f>
        <v>114543</v>
      </c>
      <c r="BA35" s="83">
        <f>'Market Drivers'!BA33</f>
        <v>111486.25802761447</v>
      </c>
      <c r="BB35" s="83">
        <f>'Market Drivers'!BB33</f>
        <v>226029.25802761447</v>
      </c>
      <c r="BC35" s="83">
        <f>'Market Drivers'!BC33</f>
        <v>100433.20081236784</v>
      </c>
      <c r="BD35" s="83">
        <f>'Market Drivers'!BD33</f>
        <v>96343.166585405299</v>
      </c>
      <c r="BE35" s="83">
        <f>'Market Drivers'!BE33</f>
        <v>196776.36739777314</v>
      </c>
      <c r="BF35" s="83">
        <f>'Market Drivers'!BF33</f>
        <v>85872.921747378423</v>
      </c>
      <c r="BG35" s="83">
        <f>'Market Drivers'!BG33</f>
        <v>82361.6480751567</v>
      </c>
      <c r="BH35" s="83">
        <f>'Market Drivers'!BH33</f>
        <v>168234.56982253512</v>
      </c>
      <c r="BI35" s="83">
        <f>'Market Drivers'!BI33</f>
        <v>75739.429010009495</v>
      </c>
      <c r="BJ35" s="83">
        <f>'Market Drivers'!BJ33</f>
        <v>77963.245355544161</v>
      </c>
      <c r="BK35" s="83">
        <f>'Market Drivers'!BK33</f>
        <v>153702.67436555366</v>
      </c>
      <c r="BL35" s="83">
        <f>'Market Drivers'!BL33</f>
        <v>75739.429010009495</v>
      </c>
      <c r="BM35" s="83">
        <f>'Market Drivers'!BM33</f>
        <v>81861.407623321356</v>
      </c>
      <c r="BN35" s="83">
        <f>'Market Drivers'!BN33</f>
        <v>157600.83663333085</v>
      </c>
      <c r="BO35" s="83">
        <f>'Market Drivers'!BO33</f>
        <v>83313.371911010443</v>
      </c>
      <c r="BP35" s="83">
        <f>'Market Drivers'!BP33</f>
        <v>85954.478004487435</v>
      </c>
      <c r="BQ35" s="83">
        <f>'Market Drivers'!BQ33</f>
        <v>169267.84991549788</v>
      </c>
      <c r="BR35" s="83">
        <f>'Market Drivers'!BR33</f>
        <v>83313.371911010443</v>
      </c>
      <c r="BS35" s="83">
        <f>'Market Drivers'!BS33</f>
        <v>85954.478004487435</v>
      </c>
      <c r="BT35" s="83">
        <f>'Market Drivers'!BT33</f>
        <v>169267.84991549788</v>
      </c>
      <c r="BU35" s="83">
        <f>'Market Drivers'!BU33</f>
        <v>87479.040506560967</v>
      </c>
      <c r="BV35" s="83">
        <f>'Market Drivers'!BV33</f>
        <v>87673.567564577184</v>
      </c>
      <c r="BW35" s="83">
        <f>'Market Drivers'!BW33</f>
        <v>175152.60807113815</v>
      </c>
      <c r="BX35" s="83">
        <f>'Market Drivers'!BX33</f>
        <v>89228.621316692195</v>
      </c>
      <c r="BY35" s="83">
        <f>'Market Drivers'!BY33</f>
        <v>87673.56756457717</v>
      </c>
      <c r="BZ35" s="83">
        <f>'Market Drivers'!BZ33</f>
        <v>176902.18888126937</v>
      </c>
      <c r="CA35" s="83">
        <f>'Market Drivers'!CA33</f>
        <v>89228.621316692195</v>
      </c>
      <c r="CB35" s="83">
        <f>'Market Drivers'!CB33</f>
        <v>87673.56756457717</v>
      </c>
      <c r="CC35" s="83">
        <f>'Market Drivers'!CC33</f>
        <v>176902.18888126937</v>
      </c>
    </row>
    <row r="36" spans="1:81">
      <c r="A36" s="66"/>
      <c r="B36" s="84" t="s">
        <v>437</v>
      </c>
      <c r="C36" s="65"/>
      <c r="D36" s="65"/>
      <c r="E36" s="65"/>
      <c r="F36" s="275">
        <v>-8.1124966700072298E-2</v>
      </c>
      <c r="G36" s="275">
        <v>-0.34882406542325572</v>
      </c>
      <c r="H36" s="275">
        <v>0.41969366179023915</v>
      </c>
      <c r="I36" s="275">
        <v>-4.0229726371593499E-2</v>
      </c>
      <c r="J36" s="275">
        <v>0.45106722168098479</v>
      </c>
      <c r="K36" s="275">
        <v>0.12376339528970148</v>
      </c>
      <c r="L36" s="275">
        <v>0.25665995397008046</v>
      </c>
      <c r="M36" s="275">
        <v>-5.2136230468750003E-2</v>
      </c>
      <c r="N36" s="275">
        <v>-1.5850268301618398E-2</v>
      </c>
      <c r="O36" s="275">
        <v>-3.2862882455959586E-2</v>
      </c>
      <c r="P36" s="275">
        <v>7.3574675784620513E-2</v>
      </c>
      <c r="Q36" s="275">
        <v>-6.9250561121147469E-2</v>
      </c>
      <c r="R36" s="275">
        <v>-3.6216446527481683E-3</v>
      </c>
      <c r="S36" s="275">
        <v>-9.5787049255056211E-2</v>
      </c>
      <c r="T36" s="275">
        <v>-6.7686154570050561E-2</v>
      </c>
      <c r="U36" s="275">
        <v>-8.1599078231534894E-2</v>
      </c>
      <c r="V36" s="275">
        <v>-3.076535282645898E-2</v>
      </c>
      <c r="W36" s="275">
        <v>1.9304532148985531E-2</v>
      </c>
      <c r="X36" s="275">
        <v>-5.1024037559900259E-3</v>
      </c>
      <c r="Y36" s="275">
        <v>-2.2817487475704223E-2</v>
      </c>
      <c r="Z36" s="275">
        <v>2.2813358750278567E-2</v>
      </c>
      <c r="AA36" s="275">
        <v>1.1440160162241586E-3</v>
      </c>
      <c r="AB36" s="275">
        <v>6.3257273325769248E-2</v>
      </c>
      <c r="AC36" s="275">
        <v>-0.12724346173861478</v>
      </c>
      <c r="AD36" s="275">
        <v>-3.8942994416309551E-2</v>
      </c>
      <c r="AE36" s="275">
        <v>-0.21527658845692754</v>
      </c>
      <c r="AF36" s="275">
        <v>0.10201761076059079</v>
      </c>
      <c r="AG36" s="275">
        <v>-6.0693680669089756E-2</v>
      </c>
      <c r="AH36" s="275">
        <v>0.44506933485545441</v>
      </c>
      <c r="AI36" s="275">
        <v>3.6767666599557103E-2</v>
      </c>
      <c r="AJ36" s="275">
        <v>0.21169032926250386</v>
      </c>
      <c r="AK36" s="275">
        <v>-0.12696771495289105</v>
      </c>
      <c r="AL36" s="275">
        <v>-0.10896897832366448</v>
      </c>
      <c r="AM36" s="69">
        <f>+AM35/AJ35-1</f>
        <v>-0.11237449756019247</v>
      </c>
      <c r="AN36" s="69">
        <f>+AN35/AK35-1</f>
        <v>-0.12286472010608152</v>
      </c>
      <c r="AO36" s="69">
        <f>+AO35/AL35-1</f>
        <v>0.11263626908409208</v>
      </c>
      <c r="AP36" s="69">
        <f>+AP35/AM35-1</f>
        <v>-4.386276574440684E-3</v>
      </c>
      <c r="AQ36" s="69">
        <f>+AQ35/AN35-1</f>
        <v>0.17509744927450321</v>
      </c>
      <c r="AR36" s="69">
        <f>AR35/AO35-1</f>
        <v>6.8631637257504208E-2</v>
      </c>
      <c r="AS36" s="69">
        <f>AS35/AP35-1</f>
        <v>0.11523987490429666</v>
      </c>
      <c r="AT36" s="69">
        <f>AT35/AQ35-1</f>
        <v>0.16539067919530814</v>
      </c>
      <c r="AU36" s="69">
        <f>AU35/AR35-1</f>
        <v>0.20366530594613264</v>
      </c>
      <c r="AV36" s="69">
        <f>AV35/AS35-1</f>
        <v>0.18601025115921876</v>
      </c>
      <c r="AW36" s="69">
        <f t="shared" ref="AW36:BN36" si="17">AW35/AT35-1</f>
        <v>0.16721141150241348</v>
      </c>
      <c r="AX36" s="69">
        <f t="shared" si="17"/>
        <v>6.8142871241824166E-2</v>
      </c>
      <c r="AY36" s="69">
        <f t="shared" si="17"/>
        <v>0.11304603762478238</v>
      </c>
      <c r="AZ36" s="69">
        <f t="shared" si="17"/>
        <v>6.2078109932497627E-2</v>
      </c>
      <c r="BA36" s="69">
        <f t="shared" si="17"/>
        <v>-6.354989393194177E-2</v>
      </c>
      <c r="BB36" s="69">
        <f t="shared" si="17"/>
        <v>-3.8375582740657332E-3</v>
      </c>
      <c r="BC36" s="69">
        <f t="shared" si="17"/>
        <v>-0.12318342620354072</v>
      </c>
      <c r="BD36" s="69">
        <f t="shared" si="17"/>
        <v>-0.13582921976319562</v>
      </c>
      <c r="BE36" s="69">
        <f t="shared" si="17"/>
        <v>-0.12942081430125052</v>
      </c>
      <c r="BF36" s="69">
        <f t="shared" si="17"/>
        <v>-0.14497475881697075</v>
      </c>
      <c r="BG36" s="69">
        <f t="shared" si="17"/>
        <v>-0.14512205697385305</v>
      </c>
      <c r="BH36" s="69">
        <f t="shared" si="17"/>
        <v>-0.14504687708530706</v>
      </c>
      <c r="BI36" s="69">
        <f t="shared" si="17"/>
        <v>-0.11800568248020848</v>
      </c>
      <c r="BJ36" s="69">
        <f t="shared" si="17"/>
        <v>-5.340352970594886E-2</v>
      </c>
      <c r="BK36" s="69">
        <f t="shared" si="17"/>
        <v>-8.637877145173356E-2</v>
      </c>
      <c r="BL36" s="69">
        <f t="shared" si="17"/>
        <v>0</v>
      </c>
      <c r="BM36" s="69">
        <f t="shared" si="17"/>
        <v>4.9999999999999822E-2</v>
      </c>
      <c r="BN36" s="69">
        <f t="shared" si="17"/>
        <v>2.5361707490568097E-2</v>
      </c>
      <c r="BO36" s="69">
        <f>BO35/BL35-1</f>
        <v>0.10000000000000009</v>
      </c>
      <c r="BP36" s="69">
        <f>BP35/BM35-1</f>
        <v>5.0000000000000044E-2</v>
      </c>
      <c r="BQ36" s="69">
        <f>BQ35/BN35-1</f>
        <v>7.4028879106214029E-2</v>
      </c>
      <c r="BR36" s="69">
        <f t="shared" ref="BR36:CC36" si="18">BR35/BO35-1</f>
        <v>0</v>
      </c>
      <c r="BS36" s="69">
        <f t="shared" si="18"/>
        <v>0</v>
      </c>
      <c r="BT36" s="69">
        <f t="shared" si="18"/>
        <v>0</v>
      </c>
      <c r="BU36" s="69">
        <f t="shared" si="18"/>
        <v>5.0000000000000044E-2</v>
      </c>
      <c r="BV36" s="69">
        <f t="shared" si="18"/>
        <v>2.0000000000000018E-2</v>
      </c>
      <c r="BW36" s="69">
        <f t="shared" si="18"/>
        <v>3.4765953242615666E-2</v>
      </c>
      <c r="BX36" s="69">
        <f t="shared" si="18"/>
        <v>2.0000000000000018E-2</v>
      </c>
      <c r="BY36" s="69">
        <f t="shared" si="18"/>
        <v>0</v>
      </c>
      <c r="BZ36" s="69">
        <f t="shared" si="18"/>
        <v>9.9888938531855764E-3</v>
      </c>
      <c r="CA36" s="69">
        <f t="shared" si="18"/>
        <v>0</v>
      </c>
      <c r="CB36" s="69">
        <f t="shared" si="18"/>
        <v>0</v>
      </c>
      <c r="CC36" s="69">
        <f t="shared" si="18"/>
        <v>0</v>
      </c>
    </row>
    <row r="37" spans="1:81" ht="18">
      <c r="A37" s="66"/>
      <c r="C37" s="65"/>
      <c r="D37" s="65"/>
      <c r="E37" s="65"/>
      <c r="F37" s="65"/>
      <c r="G37" s="65"/>
      <c r="H37" s="65"/>
      <c r="I37" s="65"/>
      <c r="J37" s="65"/>
      <c r="K37" s="65"/>
      <c r="L37" s="65"/>
      <c r="M37" s="65"/>
      <c r="N37" s="65"/>
      <c r="O37" s="65"/>
      <c r="P37" s="65"/>
      <c r="Q37" s="65"/>
      <c r="R37" s="65"/>
      <c r="S37" s="65"/>
      <c r="AJ37" s="85"/>
      <c r="AK37" s="86"/>
    </row>
    <row r="38" spans="1:81">
      <c r="A38" s="66"/>
      <c r="B38" s="45" t="s">
        <v>228</v>
      </c>
      <c r="C38" s="65"/>
      <c r="D38" s="83">
        <f>'Market Drivers'!D36</f>
        <v>86401</v>
      </c>
      <c r="E38" s="83">
        <f>'Market Drivers'!E36</f>
        <v>72216</v>
      </c>
      <c r="F38" s="83">
        <f>'Market Drivers'!F36</f>
        <v>158617</v>
      </c>
      <c r="G38" s="83">
        <f>'Market Drivers'!G36</f>
        <v>55266</v>
      </c>
      <c r="H38" s="83">
        <f>'Market Drivers'!H36</f>
        <v>70153</v>
      </c>
      <c r="I38" s="83">
        <f>'Market Drivers'!I36</f>
        <v>125419</v>
      </c>
      <c r="J38" s="83">
        <f>'Market Drivers'!J36</f>
        <v>80728</v>
      </c>
      <c r="K38" s="83">
        <f>'Market Drivers'!K36</f>
        <v>91663</v>
      </c>
      <c r="L38" s="83">
        <f>'Market Drivers'!L36</f>
        <v>172391</v>
      </c>
      <c r="M38" s="83">
        <f>'Market Drivers'!M36</f>
        <v>83361</v>
      </c>
      <c r="N38" s="83">
        <f>'Market Drivers'!N36</f>
        <v>83300</v>
      </c>
      <c r="O38" s="83">
        <f>'Market Drivers'!O36</f>
        <v>166661</v>
      </c>
      <c r="P38" s="83">
        <f>'Market Drivers'!P36</f>
        <v>87892</v>
      </c>
      <c r="Q38" s="83">
        <f>'Market Drivers'!Q36</f>
        <v>85678</v>
      </c>
      <c r="R38" s="83">
        <f>'Market Drivers'!R36</f>
        <v>173570</v>
      </c>
      <c r="S38" s="83">
        <f>'Market Drivers'!S36</f>
        <v>76574</v>
      </c>
      <c r="T38" s="83">
        <f>'Market Drivers'!T36</f>
        <v>82441</v>
      </c>
      <c r="U38" s="83">
        <f>'Market Drivers'!U36</f>
        <v>159015</v>
      </c>
      <c r="V38" s="83">
        <f>'Market Drivers'!V36</f>
        <v>72545</v>
      </c>
      <c r="W38" s="83">
        <f>'Market Drivers'!W36</f>
        <v>78503</v>
      </c>
      <c r="X38" s="83">
        <f>'Market Drivers'!X36</f>
        <v>151048</v>
      </c>
      <c r="Y38" s="83">
        <f>'Market Drivers'!Y36</f>
        <v>74430</v>
      </c>
      <c r="Z38" s="83">
        <f>'Market Drivers'!Z36</f>
        <v>78127</v>
      </c>
      <c r="AA38" s="83">
        <f>'Market Drivers'!AA36</f>
        <v>152557</v>
      </c>
      <c r="AB38" s="83">
        <f>'Market Drivers'!AB36</f>
        <v>77805</v>
      </c>
      <c r="AC38" s="83">
        <f>'Market Drivers'!AC36</f>
        <v>78563</v>
      </c>
      <c r="AD38" s="83">
        <f>'Market Drivers'!AD36</f>
        <v>156368</v>
      </c>
      <c r="AE38" s="83">
        <f>'Market Drivers'!AE36</f>
        <v>62131</v>
      </c>
      <c r="AF38" s="83">
        <f>'Market Drivers'!AF36</f>
        <v>67737</v>
      </c>
      <c r="AG38" s="83">
        <f>'Market Drivers'!AG36</f>
        <v>129868</v>
      </c>
      <c r="AH38" s="83">
        <f>'Market Drivers'!AH36</f>
        <v>83602</v>
      </c>
      <c r="AI38" s="83">
        <f>'Market Drivers'!AI36</f>
        <v>87590</v>
      </c>
      <c r="AJ38" s="83">
        <f>'Market Drivers'!AJ36</f>
        <v>171192</v>
      </c>
      <c r="AK38" s="83">
        <f>'Market Drivers'!AK36</f>
        <v>76716</v>
      </c>
      <c r="AL38" s="83">
        <f>'Market Drivers'!AL36</f>
        <v>75253</v>
      </c>
      <c r="AM38" s="83">
        <f>'Market Drivers'!AM36</f>
        <v>151969</v>
      </c>
      <c r="AN38" s="83">
        <f>'Market Drivers'!AN36</f>
        <v>68980</v>
      </c>
      <c r="AO38" s="83">
        <f>'Market Drivers'!AO36</f>
        <v>79232</v>
      </c>
      <c r="AP38" s="83">
        <f>'Market Drivers'!AP36</f>
        <v>148212</v>
      </c>
      <c r="AQ38" s="83">
        <f>'Market Drivers'!AQ36</f>
        <v>81015</v>
      </c>
      <c r="AR38" s="83">
        <f>'Market Drivers'!AR36</f>
        <v>86783</v>
      </c>
      <c r="AS38" s="83">
        <f>'Market Drivers'!AS36</f>
        <v>167798</v>
      </c>
      <c r="AT38" s="83">
        <f>'Market Drivers'!AT36</f>
        <v>93270</v>
      </c>
      <c r="AU38" s="83">
        <f>'Market Drivers'!AU36</f>
        <v>104731</v>
      </c>
      <c r="AV38" s="83">
        <f>'Market Drivers'!AV36</f>
        <v>198001</v>
      </c>
      <c r="AW38" s="83">
        <f>'Market Drivers'!AW36</f>
        <v>105595</v>
      </c>
      <c r="AX38" s="83">
        <f>'Market Drivers'!AX36</f>
        <v>116040</v>
      </c>
      <c r="AY38" s="83">
        <f>'Market Drivers'!AY36</f>
        <v>221635</v>
      </c>
      <c r="AZ38" s="83">
        <f>'Market Drivers'!AZ36</f>
        <v>117576</v>
      </c>
      <c r="BA38" s="83">
        <f>'Market Drivers'!BA36</f>
        <v>115727</v>
      </c>
      <c r="BB38" s="83">
        <f>'Market Drivers'!BB36</f>
        <v>233303</v>
      </c>
      <c r="BC38" s="83">
        <f>'Market Drivers'!BC36</f>
        <v>102824.74444729259</v>
      </c>
      <c r="BD38" s="83">
        <f>'Market Drivers'!BD36</f>
        <v>101103.51439268974</v>
      </c>
      <c r="BE38" s="83">
        <f>'Market Drivers'!BE36</f>
        <v>203928.25883998233</v>
      </c>
      <c r="BF38" s="83">
        <f>'Market Drivers'!BF36</f>
        <v>88055.938691509189</v>
      </c>
      <c r="BG38" s="83">
        <f>'Market Drivers'!BG36</f>
        <v>86689.743241274555</v>
      </c>
      <c r="BH38" s="83">
        <f>'Market Drivers'!BH36</f>
        <v>174745.68193278374</v>
      </c>
      <c r="BI38" s="83">
        <f>'Market Drivers'!BI36</f>
        <v>76168.530525955372</v>
      </c>
      <c r="BJ38" s="83">
        <f>'Market Drivers'!BJ36</f>
        <v>79661.51219121083</v>
      </c>
      <c r="BK38" s="83">
        <f>'Market Drivers'!BK36</f>
        <v>155830.04271716619</v>
      </c>
      <c r="BL38" s="83">
        <f>'Market Drivers'!BL36</f>
        <v>74041.162174342826</v>
      </c>
      <c r="BM38" s="83">
        <f>'Market Drivers'!BM36</f>
        <v>81750.180152810834</v>
      </c>
      <c r="BN38" s="83">
        <f>'Market Drivers'!BN36</f>
        <v>155791.34232715366</v>
      </c>
      <c r="BO38" s="83">
        <f>'Market Drivers'!BO36</f>
        <v>79635.784085599866</v>
      </c>
      <c r="BP38" s="83">
        <f>'Market Drivers'!BP36</f>
        <v>87732.096808411923</v>
      </c>
      <c r="BQ38" s="83">
        <f>'Market Drivers'!BQ36</f>
        <v>167367.88089401179</v>
      </c>
      <c r="BR38" s="83">
        <f>'Market Drivers'!BR36</f>
        <v>79635.784085599866</v>
      </c>
      <c r="BS38" s="83">
        <f>'Market Drivers'!BS36</f>
        <v>90737.047792234109</v>
      </c>
      <c r="BT38" s="83">
        <f>'Market Drivers'!BT36</f>
        <v>170372.83187783399</v>
      </c>
      <c r="BU38" s="83">
        <f>'Market Drivers'!BU36</f>
        <v>85289.924755677523</v>
      </c>
      <c r="BV38" s="83">
        <f>'Market Drivers'!BV36</f>
        <v>91612.264125591886</v>
      </c>
      <c r="BW38" s="83">
        <f>'Market Drivers'!BW36</f>
        <v>176902.18888126942</v>
      </c>
      <c r="BX38" s="83">
        <f>'Market Drivers'!BX36</f>
        <v>85289.924755677479</v>
      </c>
      <c r="BY38" s="83">
        <f>'Market Drivers'!BY36</f>
        <v>91612.264125591886</v>
      </c>
      <c r="BZ38" s="83">
        <f>'Market Drivers'!BZ36</f>
        <v>176902.18888126937</v>
      </c>
      <c r="CA38" s="83">
        <f>'Market Drivers'!CA36</f>
        <v>85289.924755677479</v>
      </c>
      <c r="CB38" s="83">
        <f>'Market Drivers'!CB36</f>
        <v>91612.264125591886</v>
      </c>
      <c r="CC38" s="83">
        <f>'Market Drivers'!CC36</f>
        <v>176902.18888126937</v>
      </c>
    </row>
    <row r="39" spans="1:81">
      <c r="A39" s="66"/>
      <c r="B39" s="84" t="s">
        <v>437</v>
      </c>
      <c r="C39" s="65"/>
      <c r="D39" s="65"/>
      <c r="E39" s="65"/>
      <c r="F39" s="65"/>
      <c r="G39" s="536">
        <v>-0.3603546255251675</v>
      </c>
      <c r="H39" s="536">
        <v>-2.8567076548133397E-2</v>
      </c>
      <c r="I39" s="536">
        <v>-0.20929660755152346</v>
      </c>
      <c r="J39" s="536">
        <v>0.46071725835052302</v>
      </c>
      <c r="K39" s="536">
        <v>0.30661554031901694</v>
      </c>
      <c r="L39" s="536">
        <v>0.37452060692558553</v>
      </c>
      <c r="M39" s="536">
        <v>3.2615697155881529E-2</v>
      </c>
      <c r="N39" s="536">
        <v>-9.1236376727796387E-2</v>
      </c>
      <c r="O39" s="536">
        <v>-3.3238394115702063E-2</v>
      </c>
      <c r="P39" s="536">
        <v>5.4353954487110334E-2</v>
      </c>
      <c r="Q39" s="536">
        <v>2.8547418967586946E-2</v>
      </c>
      <c r="R39" s="536">
        <v>4.1455409483922345E-2</v>
      </c>
      <c r="S39" s="536">
        <v>-0.12877167432758385</v>
      </c>
      <c r="T39" s="536">
        <v>-3.7780993954107278E-2</v>
      </c>
      <c r="U39" s="536">
        <v>-8.3856657256438316E-2</v>
      </c>
      <c r="V39" s="536">
        <v>-5.2615770365920578E-2</v>
      </c>
      <c r="W39" s="536">
        <v>-4.776749432927796E-2</v>
      </c>
      <c r="X39" s="536">
        <v>-5.0102191617143021E-2</v>
      </c>
      <c r="Y39" s="536">
        <v>2.5983872079399006E-2</v>
      </c>
      <c r="Z39" s="536">
        <v>-4.7896258741704223E-3</v>
      </c>
      <c r="AA39" s="536">
        <v>9.9902017901594142E-3</v>
      </c>
      <c r="AB39" s="536">
        <v>4.5344619105199602E-2</v>
      </c>
      <c r="AC39" s="536">
        <v>5.5806571351773027E-3</v>
      </c>
      <c r="AD39" s="536">
        <v>2.4980826838493231E-2</v>
      </c>
      <c r="AE39" s="536">
        <v>-0.2014523488207699</v>
      </c>
      <c r="AF39" s="536">
        <v>-0.13780023675266984</v>
      </c>
      <c r="AG39" s="536">
        <v>-0.16947201473447249</v>
      </c>
      <c r="AH39" s="536">
        <v>0.34557628237111904</v>
      </c>
      <c r="AI39" s="536">
        <v>0.29308944889794342</v>
      </c>
      <c r="AJ39" s="536">
        <v>0.3182000184803031</v>
      </c>
      <c r="AK39" s="536">
        <v>-8.2366450563383653E-2</v>
      </c>
      <c r="AL39" s="536">
        <v>-0.14084941203333712</v>
      </c>
      <c r="AM39" s="536">
        <v>-0.11228912566007754</v>
      </c>
      <c r="AN39" s="501">
        <f>+AN38/AK38-1</f>
        <v>-0.10083945982585119</v>
      </c>
      <c r="AO39" s="536">
        <v>-8.8639703696996475E-2</v>
      </c>
      <c r="AP39" s="536">
        <v>-0.11013605236252788</v>
      </c>
      <c r="AQ39" s="176">
        <f>+AQ38/AN38-1</f>
        <v>0.17447086111916499</v>
      </c>
      <c r="AR39" s="71">
        <f t="shared" ref="AR39:BQ39" si="19">AR38/AO38-1</f>
        <v>9.5302403069466912E-2</v>
      </c>
      <c r="AS39" s="71">
        <f t="shared" si="19"/>
        <v>0.13214854397754561</v>
      </c>
      <c r="AT39" s="71">
        <f t="shared" si="19"/>
        <v>0.15126828365117562</v>
      </c>
      <c r="AU39" s="71">
        <f t="shared" si="19"/>
        <v>0.20681469873131841</v>
      </c>
      <c r="AV39" s="71">
        <f t="shared" si="19"/>
        <v>0.17999618589017752</v>
      </c>
      <c r="AW39" s="71">
        <f t="shared" si="19"/>
        <v>0.13214324005575206</v>
      </c>
      <c r="AX39" s="71">
        <f t="shared" si="19"/>
        <v>0.10798139996753586</v>
      </c>
      <c r="AY39" s="71">
        <f t="shared" si="19"/>
        <v>0.11936303352003264</v>
      </c>
      <c r="AZ39" s="71">
        <f t="shared" si="19"/>
        <v>0.11346181163880864</v>
      </c>
      <c r="BA39" s="71">
        <f t="shared" si="19"/>
        <v>-2.6973457428473013E-3</v>
      </c>
      <c r="BB39" s="71">
        <f t="shared" si="19"/>
        <v>5.2645114715636154E-2</v>
      </c>
      <c r="BC39" s="71">
        <f t="shared" si="19"/>
        <v>-0.12546145091436534</v>
      </c>
      <c r="BD39" s="71">
        <f t="shared" si="19"/>
        <v>-0.1263619173339865</v>
      </c>
      <c r="BE39" s="71">
        <f t="shared" si="19"/>
        <v>-0.12590811588371209</v>
      </c>
      <c r="BF39" s="71">
        <f t="shared" si="19"/>
        <v>-0.14363085301275713</v>
      </c>
      <c r="BG39" s="71">
        <f t="shared" si="19"/>
        <v>-0.14256449182796527</v>
      </c>
      <c r="BH39" s="71">
        <f t="shared" si="19"/>
        <v>-0.14310217266209024</v>
      </c>
      <c r="BI39" s="71">
        <f t="shared" si="19"/>
        <v>-0.13499836969769385</v>
      </c>
      <c r="BJ39" s="71">
        <f t="shared" si="19"/>
        <v>-8.1073386392468416E-2</v>
      </c>
      <c r="BK39" s="71">
        <f t="shared" si="19"/>
        <v>-0.10824667600595417</v>
      </c>
      <c r="BL39" s="71">
        <f t="shared" si="19"/>
        <v>-2.7929754413308805E-2</v>
      </c>
      <c r="BM39" s="71">
        <f t="shared" si="19"/>
        <v>2.6219285877810083E-2</v>
      </c>
      <c r="BN39" s="71">
        <f t="shared" si="19"/>
        <v>-2.4834999296485805E-4</v>
      </c>
      <c r="BO39" s="71">
        <f t="shared" si="19"/>
        <v>7.5560968344655643E-2</v>
      </c>
      <c r="BP39" s="71">
        <f t="shared" si="19"/>
        <v>7.3173131171325068E-2</v>
      </c>
      <c r="BQ39" s="71">
        <f t="shared" si="19"/>
        <v>7.4307971122991034E-2</v>
      </c>
      <c r="BR39" s="71">
        <f t="shared" ref="BR39:CC39" si="20">BR38/BO38-1</f>
        <v>0</v>
      </c>
      <c r="BS39" s="71">
        <f t="shared" si="20"/>
        <v>3.4251443806071924E-2</v>
      </c>
      <c r="BT39" s="71">
        <f t="shared" si="20"/>
        <v>1.7954167596380799E-2</v>
      </c>
      <c r="BU39" s="71">
        <f t="shared" si="20"/>
        <v>7.100000000000084E-2</v>
      </c>
      <c r="BV39" s="71">
        <f t="shared" si="20"/>
        <v>9.6456337808323855E-3</v>
      </c>
      <c r="BW39" s="71">
        <f t="shared" si="20"/>
        <v>3.8323933055930626E-2</v>
      </c>
      <c r="BX39" s="71">
        <f t="shared" si="20"/>
        <v>0</v>
      </c>
      <c r="BY39" s="71">
        <f t="shared" si="20"/>
        <v>0</v>
      </c>
      <c r="BZ39" s="71">
        <f t="shared" si="20"/>
        <v>0</v>
      </c>
      <c r="CA39" s="71">
        <f t="shared" si="20"/>
        <v>0</v>
      </c>
      <c r="CB39" s="71">
        <f t="shared" si="20"/>
        <v>0</v>
      </c>
      <c r="CC39" s="71">
        <f t="shared" si="20"/>
        <v>0</v>
      </c>
    </row>
    <row r="40" spans="1:81">
      <c r="A40" s="66"/>
      <c r="C40" s="65"/>
      <c r="D40" s="65"/>
      <c r="E40" s="65"/>
      <c r="F40" s="65"/>
      <c r="G40" s="65"/>
      <c r="H40" s="65"/>
      <c r="I40" s="65"/>
      <c r="J40" s="65"/>
      <c r="K40" s="65"/>
      <c r="L40" s="65"/>
      <c r="M40" s="65"/>
      <c r="N40" s="65"/>
      <c r="O40" s="65"/>
      <c r="P40" s="65"/>
      <c r="Q40" s="65"/>
      <c r="R40" s="65"/>
      <c r="S40" s="65"/>
    </row>
    <row r="41" spans="1:81">
      <c r="A41" s="66"/>
      <c r="B41" s="41" t="s">
        <v>229</v>
      </c>
      <c r="C41" s="65"/>
      <c r="D41" s="65"/>
      <c r="E41" s="65"/>
      <c r="F41" s="65"/>
      <c r="G41" s="65"/>
      <c r="H41" s="65"/>
      <c r="I41" s="65"/>
      <c r="J41" s="65"/>
      <c r="K41" s="65"/>
      <c r="L41" s="65"/>
      <c r="M41" s="65"/>
      <c r="N41" s="65"/>
      <c r="O41" s="65"/>
      <c r="P41" s="65"/>
      <c r="Q41" s="65"/>
      <c r="R41" s="65"/>
      <c r="S41" s="65"/>
    </row>
    <row r="42" spans="1:81">
      <c r="A42" s="66"/>
      <c r="B42" s="45" t="s">
        <v>230</v>
      </c>
      <c r="C42" s="65"/>
      <c r="D42" s="65"/>
      <c r="E42" s="65"/>
      <c r="F42" s="65"/>
      <c r="G42" s="65"/>
      <c r="H42" s="65"/>
      <c r="I42" s="65"/>
      <c r="J42" s="65"/>
      <c r="K42" s="65"/>
      <c r="L42" s="65"/>
      <c r="M42" s="65"/>
      <c r="N42" s="65"/>
      <c r="O42" s="65"/>
      <c r="P42" s="65"/>
      <c r="Q42" s="65"/>
      <c r="R42" s="65"/>
      <c r="S42" s="65"/>
    </row>
    <row r="43" spans="1:81" s="208" customFormat="1">
      <c r="A43" s="87"/>
      <c r="B43" s="84" t="s">
        <v>437</v>
      </c>
      <c r="C43" s="69"/>
      <c r="D43" s="69">
        <f>'Market Drivers'!D41</f>
        <v>0</v>
      </c>
      <c r="E43" s="69">
        <f>'Market Drivers'!E41</f>
        <v>0</v>
      </c>
      <c r="F43" s="69">
        <f>'Market Drivers'!F41</f>
        <v>0</v>
      </c>
      <c r="G43" s="69">
        <f>'Market Drivers'!G41</f>
        <v>0</v>
      </c>
      <c r="H43" s="69">
        <f>'Market Drivers'!H41</f>
        <v>0</v>
      </c>
      <c r="I43" s="69">
        <f>'Market Drivers'!I41</f>
        <v>0</v>
      </c>
      <c r="J43" s="69">
        <f>'Market Drivers'!J41</f>
        <v>0</v>
      </c>
      <c r="K43" s="69">
        <f>'Market Drivers'!K41</f>
        <v>0.18333818602790752</v>
      </c>
      <c r="L43" s="69" t="str">
        <f>'Market Drivers'!L41</f>
        <v>nm</v>
      </c>
      <c r="M43" s="69">
        <f>'Market Drivers'!M41</f>
        <v>0.11760922239820437</v>
      </c>
      <c r="N43" s="69">
        <f>'Market Drivers'!N41</f>
        <v>0.10818832734045403</v>
      </c>
      <c r="O43" s="69">
        <f>'Market Drivers'!O41</f>
        <v>0.11248510701976122</v>
      </c>
      <c r="P43" s="69">
        <f>'Market Drivers'!P41</f>
        <v>0.19900225729685306</v>
      </c>
      <c r="Q43" s="69">
        <f>'Market Drivers'!Q41</f>
        <v>0.14544447734634702</v>
      </c>
      <c r="R43" s="69">
        <f>'Market Drivers'!R41</f>
        <v>0.16998417779583552</v>
      </c>
      <c r="S43" s="69">
        <f>'Market Drivers'!S41</f>
        <v>0.15342493735437102</v>
      </c>
      <c r="T43" s="69">
        <f>'Market Drivers'!T41</f>
        <v>0.2023729701176491</v>
      </c>
      <c r="U43" s="69">
        <f>'Market Drivers'!U41</f>
        <v>0.17938916425325835</v>
      </c>
      <c r="V43" s="69">
        <f>'Market Drivers'!V41</f>
        <v>0.17178804945566761</v>
      </c>
      <c r="W43" s="69">
        <f>'Market Drivers'!W41</f>
        <v>0.17406401752943856</v>
      </c>
      <c r="X43" s="69">
        <f>'Market Drivers'!X41</f>
        <v>0.17301885201478373</v>
      </c>
      <c r="Y43" s="69">
        <f>'Market Drivers'!Y41</f>
        <v>0.13538574785481017</v>
      </c>
      <c r="Z43" s="69">
        <f>'Market Drivers'!Z41</f>
        <v>0.15683011136308322</v>
      </c>
      <c r="AA43" s="69">
        <f>'Market Drivers'!AA41</f>
        <v>0.14699280630761957</v>
      </c>
      <c r="AB43" s="69">
        <f>'Market Drivers'!AB41</f>
        <v>0.1760271045088857</v>
      </c>
      <c r="AC43" s="69">
        <f>'Market Drivers'!AC41</f>
        <v>0.12134968742898167</v>
      </c>
      <c r="AD43" s="69">
        <f>'Market Drivers'!AD41</f>
        <v>0.14617837213688922</v>
      </c>
      <c r="AE43" s="69">
        <f>'Market Drivers'!AE41</f>
        <v>-1.521881179144613E-2</v>
      </c>
      <c r="AF43" s="69">
        <f>'Market Drivers'!AF41</f>
        <v>-9.505499334503531E-2</v>
      </c>
      <c r="AG43" s="69">
        <f>'Market Drivers'!AG41</f>
        <v>-5.7857763178378985E-2</v>
      </c>
      <c r="AH43" s="69">
        <f>'Market Drivers'!AH41</f>
        <v>0.18524587293433425</v>
      </c>
      <c r="AI43" s="69">
        <f>'Market Drivers'!AI41</f>
        <v>0.16837878402149364</v>
      </c>
      <c r="AJ43" s="69">
        <f>'Market Drivers'!AJ41</f>
        <v>0.17659315379940033</v>
      </c>
      <c r="AK43" s="69">
        <f>'Market Drivers'!AK41</f>
        <v>-0.15472522455902749</v>
      </c>
      <c r="AL43" s="69">
        <f>'Market Drivers'!AL41</f>
        <v>-0.12917787521664204</v>
      </c>
      <c r="AM43" s="69">
        <f>'Market Drivers'!AM41</f>
        <v>-0.14195154988783476</v>
      </c>
      <c r="AN43" s="69">
        <f>'Market Drivers'!AN41</f>
        <v>-0.08</v>
      </c>
      <c r="AO43" s="69">
        <f>'Market Drivers'!AO41</f>
        <v>-4.1960889423171777E-2</v>
      </c>
      <c r="AP43" s="69">
        <f>'Market Drivers'!AP41</f>
        <v>-6.0980444711585889E-2</v>
      </c>
      <c r="AQ43" s="69">
        <f>'Market Drivers'!AQ41</f>
        <v>5.4441085064262928E-3</v>
      </c>
      <c r="AR43" s="69">
        <f>'Market Drivers'!AR41</f>
        <v>7.4676976858330857E-2</v>
      </c>
      <c r="AS43" s="69">
        <f>'Market Drivers'!AS41</f>
        <v>4.0060542682378575E-2</v>
      </c>
      <c r="AT43" s="69">
        <f>'Market Drivers'!AT41</f>
        <v>4.181781384414629E-2</v>
      </c>
      <c r="AU43" s="69">
        <f>'Market Drivers'!AU41</f>
        <v>1.8482484895346873E-2</v>
      </c>
      <c r="AV43" s="69">
        <f>'Market Drivers'!AV41</f>
        <v>3.0150149369746582E-2</v>
      </c>
      <c r="AW43" s="69">
        <f>'Market Drivers'!AW41</f>
        <v>2.3090032857568499E-2</v>
      </c>
      <c r="AX43" s="69">
        <f>'Market Drivers'!AX41</f>
        <v>1.1919232771340882E-2</v>
      </c>
      <c r="AY43" s="69">
        <f>'Market Drivers'!AY41</f>
        <v>1.750463281445469E-2</v>
      </c>
      <c r="AZ43" s="69">
        <f>'Market Drivers'!AZ41</f>
        <v>2.4283351019305677E-2</v>
      </c>
      <c r="BA43" s="69">
        <f>'Market Drivers'!BA41</f>
        <v>-2.8038391455940781E-2</v>
      </c>
      <c r="BB43" s="69">
        <f>'Market Drivers'!BB41</f>
        <v>-1.8775202183175521E-3</v>
      </c>
      <c r="BC43" s="69">
        <f>'Market Drivers'!BC41</f>
        <v>-3.9020890820533616E-3</v>
      </c>
      <c r="BD43" s="69">
        <f>'Market Drivers'!BD41</f>
        <v>-2.3057771742205468E-2</v>
      </c>
      <c r="BE43" s="69">
        <f>'Market Drivers'!BE41</f>
        <v>-1.3479930412129415E-2</v>
      </c>
      <c r="BF43" s="69">
        <f>'Market Drivers'!BF41</f>
        <v>-2.305777174220569E-2</v>
      </c>
      <c r="BG43" s="69">
        <f>'Market Drivers'!BG41</f>
        <v>1.7057137065245698E-2</v>
      </c>
      <c r="BH43" s="69">
        <f>'Market Drivers'!BH41</f>
        <v>-3.0003173384799964E-3</v>
      </c>
      <c r="BI43" s="69">
        <f>'Market Drivers'!BI41</f>
        <v>1.7057137065245698E-2</v>
      </c>
      <c r="BJ43" s="69">
        <f>'Market Drivers'!BJ41</f>
        <v>2.798974943052368E-2</v>
      </c>
      <c r="BK43" s="69">
        <f>'Market Drivers'!BK41</f>
        <v>2.2523443247884689E-2</v>
      </c>
      <c r="BL43" s="69">
        <f>'Market Drivers'!BL41</f>
        <v>2.798974943052368E-2</v>
      </c>
      <c r="BM43" s="69">
        <f>'Market Drivers'!BM41</f>
        <v>3.3764507104673047E-2</v>
      </c>
      <c r="BN43" s="69">
        <f>'Market Drivers'!BN41</f>
        <v>3.0877128267598364E-2</v>
      </c>
      <c r="BO43" s="69">
        <f>'Market Drivers'!BO41</f>
        <v>3.3764507104672825E-2</v>
      </c>
      <c r="BP43" s="69">
        <f>'Market Drivers'!BP41</f>
        <v>3.188467927763794E-2</v>
      </c>
      <c r="BQ43" s="69">
        <f>'Market Drivers'!BQ41</f>
        <v>3.2824593191155382E-2</v>
      </c>
      <c r="BR43" s="69">
        <f>'Market Drivers'!BR41</f>
        <v>3.1884679277638162E-2</v>
      </c>
      <c r="BS43" s="69">
        <f>'Market Drivers'!BS41</f>
        <v>2.1421894474449532E-2</v>
      </c>
      <c r="BT43" s="69">
        <f>'Market Drivers'!BT41</f>
        <v>2.6653286876043847E-2</v>
      </c>
      <c r="BU43" s="69">
        <f>'Market Drivers'!BU41</f>
        <v>2.142189447444931E-2</v>
      </c>
      <c r="BV43" s="69">
        <f>'Market Drivers'!BV41</f>
        <v>2.2752116328139005E-2</v>
      </c>
      <c r="BW43" s="69">
        <f>'Market Drivers'!BW41</f>
        <v>2.2087005401294157E-2</v>
      </c>
      <c r="BX43" s="69">
        <f>'Market Drivers'!BX41</f>
        <v>2.2752116328139227E-2</v>
      </c>
      <c r="BY43" s="69">
        <f>'Market Drivers'!BY41</f>
        <v>2.1574865778484664E-2</v>
      </c>
      <c r="BZ43" s="69">
        <f>'Market Drivers'!BZ41</f>
        <v>2.2163491053311946E-2</v>
      </c>
      <c r="CA43" s="69">
        <f>'Market Drivers'!CA41</f>
        <v>2.1574865778484886E-2</v>
      </c>
      <c r="CB43" s="69">
        <f>'Market Drivers'!CB41</f>
        <v>2.1574865778484664E-2</v>
      </c>
      <c r="CC43" s="69">
        <f>'Market Drivers'!CC41</f>
        <v>2.1574865778484775E-2</v>
      </c>
    </row>
    <row r="44" spans="1:81">
      <c r="A44" s="66"/>
      <c r="C44" s="65"/>
      <c r="D44" s="65"/>
      <c r="E44" s="65"/>
      <c r="F44" s="65"/>
      <c r="G44" s="65"/>
      <c r="H44" s="65"/>
      <c r="I44" s="65"/>
      <c r="J44" s="65"/>
      <c r="K44" s="65"/>
      <c r="L44" s="65"/>
      <c r="M44" s="65"/>
      <c r="N44" s="65"/>
      <c r="O44" s="65"/>
      <c r="P44" s="65"/>
      <c r="Q44" s="65"/>
      <c r="R44" s="65"/>
      <c r="S44" s="65"/>
    </row>
    <row r="45" spans="1:81">
      <c r="A45" s="66"/>
      <c r="B45" s="41" t="s">
        <v>232</v>
      </c>
      <c r="C45" s="65"/>
      <c r="D45" s="65"/>
      <c r="E45" s="65"/>
      <c r="F45" s="65"/>
      <c r="G45" s="65"/>
      <c r="H45" s="65"/>
      <c r="I45" s="65"/>
      <c r="J45" s="65"/>
      <c r="K45" s="65"/>
      <c r="L45" s="65"/>
      <c r="M45" s="65"/>
      <c r="N45" s="65"/>
      <c r="O45" s="65"/>
      <c r="P45" s="65"/>
      <c r="Q45" s="65"/>
      <c r="R45" s="65"/>
      <c r="S45" s="65"/>
    </row>
    <row r="46" spans="1:81">
      <c r="A46" s="66"/>
      <c r="B46" s="45" t="s">
        <v>230</v>
      </c>
      <c r="C46" s="65"/>
      <c r="D46" s="65"/>
      <c r="E46" s="65"/>
      <c r="F46" s="65"/>
      <c r="G46" s="65"/>
      <c r="H46" s="65"/>
      <c r="I46" s="65"/>
      <c r="J46" s="65"/>
      <c r="K46" s="65"/>
      <c r="L46" s="65"/>
      <c r="M46" s="65"/>
      <c r="N46" s="65"/>
      <c r="O46" s="65"/>
      <c r="P46" s="65"/>
      <c r="Q46" s="65"/>
      <c r="R46" s="65"/>
      <c r="S46" s="65"/>
      <c r="AP46" s="88"/>
    </row>
    <row r="47" spans="1:81" s="208" customFormat="1">
      <c r="A47" s="87"/>
      <c r="B47" s="84" t="s">
        <v>437</v>
      </c>
      <c r="C47" s="69"/>
      <c r="D47" s="69">
        <f>'Market Drivers'!D45</f>
        <v>0</v>
      </c>
      <c r="E47" s="69">
        <f>'Market Drivers'!E45</f>
        <v>0</v>
      </c>
      <c r="F47" s="69">
        <f>'Market Drivers'!F45</f>
        <v>0</v>
      </c>
      <c r="G47" s="69">
        <f>'Market Drivers'!G45</f>
        <v>0</v>
      </c>
      <c r="H47" s="69">
        <f>'Market Drivers'!H45</f>
        <v>0</v>
      </c>
      <c r="I47" s="69">
        <f>'Market Drivers'!I45</f>
        <v>0</v>
      </c>
      <c r="J47" s="69">
        <f>'Market Drivers'!J45</f>
        <v>0</v>
      </c>
      <c r="K47" s="69" t="str">
        <f>'Market Drivers'!K45</f>
        <v>nm</v>
      </c>
      <c r="L47" s="69" t="str">
        <f>'Market Drivers'!L45</f>
        <v>nm</v>
      </c>
      <c r="M47" s="69">
        <f>'Market Drivers'!M45</f>
        <v>0.19033422609321682</v>
      </c>
      <c r="N47" s="69">
        <f>'Market Drivers'!N45</f>
        <v>0.11239723922818734</v>
      </c>
      <c r="O47" s="69">
        <f>'Market Drivers'!O45</f>
        <v>0.11239723922818734</v>
      </c>
      <c r="P47" s="69">
        <f>'Market Drivers'!P45</f>
        <v>0.10451069002399138</v>
      </c>
      <c r="Q47" s="69">
        <f>'Market Drivers'!Q45</f>
        <v>0.16079956100990422</v>
      </c>
      <c r="R47" s="69">
        <f>'Market Drivers'!R45</f>
        <v>0.16079956100990422</v>
      </c>
      <c r="S47" s="69">
        <f>'Market Drivers'!S45</f>
        <v>0.24887122226907699</v>
      </c>
      <c r="T47" s="69">
        <f>'Market Drivers'!T45</f>
        <v>0.34316453389267032</v>
      </c>
      <c r="U47" s="69">
        <f>'Market Drivers'!U45</f>
        <v>0.34316453389267032</v>
      </c>
      <c r="V47" s="69">
        <f>'Market Drivers'!V45</f>
        <v>0.31586414850664157</v>
      </c>
      <c r="W47" s="69">
        <f>'Market Drivers'!W45</f>
        <v>0.19760116632258562</v>
      </c>
      <c r="X47" s="69">
        <f>'Market Drivers'!X45</f>
        <v>0.19760116632258562</v>
      </c>
      <c r="Y47" s="69">
        <f>'Market Drivers'!Y45</f>
        <v>0.19945822738286578</v>
      </c>
      <c r="Z47" s="69">
        <f>'Market Drivers'!Z45</f>
        <v>0.15461499599873174</v>
      </c>
      <c r="AA47" s="69">
        <f>'Market Drivers'!AA45</f>
        <v>0.15461499599873174</v>
      </c>
      <c r="AB47" s="69">
        <f>'Market Drivers'!AB45</f>
        <v>0.16572052341620958</v>
      </c>
      <c r="AC47" s="69">
        <f>'Market Drivers'!AC45</f>
        <v>0.34153718302147906</v>
      </c>
      <c r="AD47" s="69">
        <f>'Market Drivers'!AD45</f>
        <v>0.34153718302147906</v>
      </c>
      <c r="AE47" s="69">
        <f>'Market Drivers'!AE45</f>
        <v>0.15949756533097847</v>
      </c>
      <c r="AF47" s="69">
        <f>'Market Drivers'!AF45</f>
        <v>2.3978399670121497E-3</v>
      </c>
      <c r="AG47" s="69">
        <f>'Market Drivers'!AG45</f>
        <v>2.3978399670121497E-3</v>
      </c>
      <c r="AH47" s="69">
        <f>'Market Drivers'!AH45</f>
        <v>-3.5142396305073431E-3</v>
      </c>
      <c r="AI47" s="69">
        <f>'Market Drivers'!AI45</f>
        <v>5.1238200575887349E-2</v>
      </c>
      <c r="AJ47" s="69">
        <f>'Market Drivers'!AJ45</f>
        <v>5.1238200575887349E-2</v>
      </c>
      <c r="AK47" s="69">
        <f>'Market Drivers'!AK45</f>
        <v>0.21308652522093996</v>
      </c>
      <c r="AL47" s="69">
        <f>'Market Drivers'!AL45</f>
        <v>9.2918189321909317E-2</v>
      </c>
      <c r="AM47" s="69">
        <f>'Market Drivers'!AM45</f>
        <v>0.15300235727142464</v>
      </c>
      <c r="AN47" s="69">
        <f>'Market Drivers'!AN45</f>
        <v>-3.6063442132714507E-2</v>
      </c>
      <c r="AO47" s="69">
        <f>'Market Drivers'!AO45</f>
        <v>0.23366153491452324</v>
      </c>
      <c r="AP47" s="69">
        <f>'Market Drivers'!AP45</f>
        <v>9.8799046390904366E-2</v>
      </c>
      <c r="AQ47" s="69">
        <f>'Market Drivers'!AQ45</f>
        <v>5.0363554967043367E-3</v>
      </c>
      <c r="AR47" s="69">
        <f>'Market Drivers'!AR45</f>
        <v>1.1526267693453551E-3</v>
      </c>
      <c r="AS47" s="69">
        <f>'Market Drivers'!AS45</f>
        <v>3.0944911330248459E-3</v>
      </c>
      <c r="AT47" s="69">
        <f>'Market Drivers'!AT45</f>
        <v>-1.6357722231617133E-2</v>
      </c>
      <c r="AU47" s="69">
        <f>'Market Drivers'!AU45</f>
        <v>-0.15780795332201381</v>
      </c>
      <c r="AV47" s="69">
        <f>'Market Drivers'!AV45</f>
        <v>-8.7082837776815469E-2</v>
      </c>
      <c r="AW47" s="69">
        <f>'Market Drivers'!AW45</f>
        <v>-0.14823249626991908</v>
      </c>
      <c r="AX47" s="69">
        <f>'Market Drivers'!AX45</f>
        <v>-0.12420319351276088</v>
      </c>
      <c r="AY47" s="69">
        <f>'Market Drivers'!AY45</f>
        <v>-0.13621784489133998</v>
      </c>
      <c r="AZ47" s="69">
        <f>'Market Drivers'!AZ45</f>
        <v>-0.1741472666234597</v>
      </c>
      <c r="BA47" s="69">
        <f>'Market Drivers'!BA45</f>
        <v>-0.20876196541344094</v>
      </c>
      <c r="BB47" s="69">
        <f>'Market Drivers'!BB45</f>
        <v>-0.19145461601845032</v>
      </c>
      <c r="BC47" s="69">
        <f>'Market Drivers'!BC45</f>
        <v>-0.119656226104638</v>
      </c>
      <c r="BD47" s="69">
        <f>'Market Drivers'!BD45</f>
        <v>-0.11948624485875414</v>
      </c>
      <c r="BE47" s="69">
        <f>'Market Drivers'!BE45</f>
        <v>-0.11957123548169607</v>
      </c>
      <c r="BF47" s="69">
        <f>'Market Drivers'!BF45</f>
        <v>-0.11948624485875414</v>
      </c>
      <c r="BG47" s="69">
        <f>'Market Drivers'!BG45</f>
        <v>1.0600953806133795E-2</v>
      </c>
      <c r="BH47" s="69">
        <f>'Market Drivers'!BH45</f>
        <v>-5.4442645526310174E-2</v>
      </c>
      <c r="BI47" s="69">
        <f>'Market Drivers'!BI45</f>
        <v>1.0600953806134017E-2</v>
      </c>
      <c r="BJ47" s="69">
        <f>'Market Drivers'!BJ45</f>
        <v>3.4167808361357022E-2</v>
      </c>
      <c r="BK47" s="69">
        <f>'Market Drivers'!BK45</f>
        <v>2.2384381083745519E-2</v>
      </c>
      <c r="BL47" s="69">
        <f>'Market Drivers'!BL45</f>
        <v>3.41678083613568E-2</v>
      </c>
      <c r="BM47" s="69">
        <f>'Market Drivers'!BM45</f>
        <v>1.6445871805165213E-2</v>
      </c>
      <c r="BN47" s="69">
        <f>'Market Drivers'!BN45</f>
        <v>2.5306840083261006E-2</v>
      </c>
      <c r="BO47" s="69">
        <f>'Market Drivers'!BO45</f>
        <v>1.6445871805164991E-2</v>
      </c>
      <c r="BP47" s="69">
        <f>'Market Drivers'!BP45</f>
        <v>-8.8600429178899986E-3</v>
      </c>
      <c r="BQ47" s="69">
        <f>'Market Drivers'!BQ45</f>
        <v>3.7929144436374962E-3</v>
      </c>
      <c r="BR47" s="69">
        <f>'Market Drivers'!BR45</f>
        <v>-8.8600429178899986E-3</v>
      </c>
      <c r="BS47" s="69">
        <f>'Market Drivers'!BS45</f>
        <v>-3.931673883590614E-3</v>
      </c>
      <c r="BT47" s="69">
        <f>'Market Drivers'!BT45</f>
        <v>-6.3958584007403063E-3</v>
      </c>
      <c r="BU47" s="69">
        <f>'Market Drivers'!BU45</f>
        <v>-3.931673883590503E-3</v>
      </c>
      <c r="BV47" s="69">
        <f>'Market Drivers'!BV45</f>
        <v>3.0310708094412497E-2</v>
      </c>
      <c r="BW47" s="69">
        <f>'Market Drivers'!BW45</f>
        <v>1.3189517105410997E-2</v>
      </c>
      <c r="BX47" s="69">
        <f>'Market Drivers'!BX45</f>
        <v>3.0310708094412497E-2</v>
      </c>
      <c r="BY47" s="69">
        <f>'Market Drivers'!BY45</f>
        <v>-4.9195604623170075E-2</v>
      </c>
      <c r="BZ47" s="69">
        <f>'Market Drivers'!BZ45</f>
        <v>-9.4424482643787888E-3</v>
      </c>
      <c r="CA47" s="69">
        <f>'Market Drivers'!CA45</f>
        <v>-4.9195604623170075E-2</v>
      </c>
      <c r="CB47" s="69">
        <f>'Market Drivers'!CB45</f>
        <v>-4.9195604623170075E-2</v>
      </c>
      <c r="CC47" s="69">
        <f>'Market Drivers'!CC45</f>
        <v>-4.9195604623170075E-2</v>
      </c>
    </row>
    <row r="48" spans="1:81">
      <c r="A48" s="66"/>
      <c r="C48" s="65"/>
      <c r="D48" s="65"/>
      <c r="E48" s="65"/>
      <c r="F48" s="65"/>
      <c r="G48" s="65"/>
      <c r="H48" s="65"/>
      <c r="I48" s="65"/>
      <c r="J48" s="65"/>
      <c r="K48" s="65"/>
      <c r="L48" s="65"/>
      <c r="M48" s="65"/>
      <c r="N48" s="65"/>
      <c r="O48" s="65"/>
      <c r="P48" s="65"/>
      <c r="Q48" s="65"/>
      <c r="R48" s="65"/>
      <c r="S48" s="65"/>
    </row>
    <row r="49" spans="1:81">
      <c r="A49" s="66"/>
      <c r="B49" s="41" t="s">
        <v>233</v>
      </c>
      <c r="C49" s="65"/>
      <c r="D49" s="65"/>
      <c r="E49" s="65"/>
      <c r="F49" s="65"/>
      <c r="G49" s="65"/>
      <c r="H49" s="65"/>
      <c r="I49" s="65"/>
      <c r="J49" s="65"/>
      <c r="K49" s="65"/>
      <c r="L49" s="65"/>
      <c r="M49" s="65"/>
      <c r="N49" s="65"/>
      <c r="O49" s="65"/>
      <c r="P49" s="65"/>
      <c r="Q49" s="65"/>
      <c r="R49" s="65"/>
      <c r="S49" s="65"/>
    </row>
    <row r="50" spans="1:81">
      <c r="A50" s="66"/>
      <c r="B50" s="45" t="s">
        <v>230</v>
      </c>
      <c r="C50" s="65"/>
      <c r="D50" s="65"/>
      <c r="E50" s="65"/>
      <c r="F50" s="65"/>
      <c r="G50" s="65"/>
      <c r="H50" s="65"/>
      <c r="I50" s="65"/>
      <c r="J50" s="65"/>
      <c r="K50" s="65"/>
      <c r="L50" s="65"/>
      <c r="M50" s="65"/>
      <c r="N50" s="65"/>
      <c r="O50" s="65"/>
      <c r="P50" s="65"/>
      <c r="Q50" s="65"/>
      <c r="R50" s="65"/>
      <c r="S50" s="65"/>
    </row>
    <row r="51" spans="1:81">
      <c r="A51" s="66"/>
      <c r="B51" s="84" t="s">
        <v>437</v>
      </c>
      <c r="C51" s="65"/>
      <c r="D51" s="69">
        <f>'Market Drivers'!D49</f>
        <v>0</v>
      </c>
      <c r="E51" s="69">
        <f>'Market Drivers'!E49</f>
        <v>0</v>
      </c>
      <c r="F51" s="69">
        <f>'Market Drivers'!F49</f>
        <v>0</v>
      </c>
      <c r="G51" s="69">
        <f>'Market Drivers'!G49</f>
        <v>0</v>
      </c>
      <c r="H51" s="69">
        <f>'Market Drivers'!H49</f>
        <v>0</v>
      </c>
      <c r="I51" s="69">
        <f>'Market Drivers'!I49</f>
        <v>0</v>
      </c>
      <c r="J51" s="69">
        <f>'Market Drivers'!J49</f>
        <v>0</v>
      </c>
      <c r="K51" s="69" t="str">
        <f>'Market Drivers'!K49</f>
        <v>nm</v>
      </c>
      <c r="L51" s="69" t="str">
        <f>'Market Drivers'!L49</f>
        <v>nm</v>
      </c>
      <c r="M51" s="69">
        <f>'Market Drivers'!M49</f>
        <v>1.1553305216377114</v>
      </c>
      <c r="N51" s="69">
        <f>'Market Drivers'!N49</f>
        <v>0.22105815288846564</v>
      </c>
      <c r="O51" s="69">
        <f>'Market Drivers'!O49</f>
        <v>0.22105815288846564</v>
      </c>
      <c r="P51" s="69">
        <f>'Market Drivers'!P49</f>
        <v>-0.10731961083440733</v>
      </c>
      <c r="Q51" s="69">
        <f>'Market Drivers'!Q49</f>
        <v>0.14103371994224512</v>
      </c>
      <c r="R51" s="69">
        <f>'Market Drivers'!R49</f>
        <v>0.14103371994224512</v>
      </c>
      <c r="S51" s="69">
        <f>'Market Drivers'!S49</f>
        <v>0.73870076349238745</v>
      </c>
      <c r="T51" s="69">
        <f>'Market Drivers'!T49</f>
        <v>0.15083575725167586</v>
      </c>
      <c r="U51" s="69">
        <f>'Market Drivers'!U49</f>
        <v>0.15083575725167586</v>
      </c>
      <c r="V51" s="69">
        <f>'Market Drivers'!V49</f>
        <v>-0.31834657877216643</v>
      </c>
      <c r="W51" s="69">
        <f>'Market Drivers'!W49</f>
        <v>0.61499480795186257</v>
      </c>
      <c r="X51" s="69">
        <f>'Market Drivers'!X49</f>
        <v>0.61499480795186257</v>
      </c>
      <c r="Y51" s="69">
        <f>'Market Drivers'!Y49</f>
        <v>3.7659617235622056E-2</v>
      </c>
      <c r="Z51" s="69">
        <f>'Market Drivers'!Z49</f>
        <v>-6.6836283916279493E-2</v>
      </c>
      <c r="AA51" s="69">
        <f>'Market Drivers'!AA49</f>
        <v>-6.6836283916279493E-2</v>
      </c>
      <c r="AB51" s="69">
        <f>'Market Drivers'!AB49</f>
        <v>0.26805792105379478</v>
      </c>
      <c r="AC51" s="69">
        <f>'Market Drivers'!AC49</f>
        <v>0.62478025476445387</v>
      </c>
      <c r="AD51" s="69">
        <f>'Market Drivers'!AD49</f>
        <v>0.62478025476445387</v>
      </c>
      <c r="AE51" s="69">
        <f>'Market Drivers'!AE49</f>
        <v>8.4097573307804208E-3</v>
      </c>
      <c r="AF51" s="69">
        <f>'Market Drivers'!AF49</f>
        <v>-0.48594062445981423</v>
      </c>
      <c r="AG51" s="69">
        <f>'Market Drivers'!AG49</f>
        <v>-0.48594062445981423</v>
      </c>
      <c r="AH51" s="69">
        <f>'Market Drivers'!AH49</f>
        <v>1.175655692240718E-2</v>
      </c>
      <c r="AI51" s="69">
        <f>'Market Drivers'!AI49</f>
        <v>0.56081783361527027</v>
      </c>
      <c r="AJ51" s="69">
        <f>'Market Drivers'!AJ49</f>
        <v>0.56081783361527027</v>
      </c>
      <c r="AK51" s="69">
        <f>'Market Drivers'!AK49</f>
        <v>-8.7804487110485052E-2</v>
      </c>
      <c r="AL51" s="69">
        <f>'Market Drivers'!AL49</f>
        <v>-0.33601111237786108</v>
      </c>
      <c r="AM51" s="69">
        <f>'Market Drivers'!AM49</f>
        <v>-0.21190779974417306</v>
      </c>
      <c r="AN51" s="69">
        <f>'Market Drivers'!AN49</f>
        <v>-2.2642249955995526E-2</v>
      </c>
      <c r="AO51" s="69">
        <f>'Market Drivers'!AO49</f>
        <v>0.15803400632965656</v>
      </c>
      <c r="AP51" s="69">
        <f>'Market Drivers'!AP49</f>
        <v>6.769587818683051E-2</v>
      </c>
      <c r="AQ51" s="69">
        <f>'Market Drivers'!AQ49</f>
        <v>-4.1407958060394323E-2</v>
      </c>
      <c r="AR51" s="69">
        <f>'Market Drivers'!AR49</f>
        <v>-0.18814442353307836</v>
      </c>
      <c r="AS51" s="69">
        <f>'Market Drivers'!AS49</f>
        <v>-0.11477619079673634</v>
      </c>
      <c r="AT51" s="69">
        <f>'Market Drivers'!AT49</f>
        <v>-0.14113610575560342</v>
      </c>
      <c r="AU51" s="69">
        <f>'Market Drivers'!AU49</f>
        <v>-9.3156665751858214E-2</v>
      </c>
      <c r="AV51" s="69">
        <f>'Market Drivers'!AV49</f>
        <v>-0.11714638575373082</v>
      </c>
      <c r="AW51" s="69">
        <f>'Market Drivers'!AW49</f>
        <v>-1.8944828810556702E-2</v>
      </c>
      <c r="AX51" s="69">
        <f>'Market Drivers'!AX49</f>
        <v>1.7135777568095811E-2</v>
      </c>
      <c r="AY51" s="69">
        <f>'Market Drivers'!AY49</f>
        <v>-9.0452562123044533E-4</v>
      </c>
      <c r="AZ51" s="69">
        <f>'Market Drivers'!AZ49</f>
        <v>8.2435926527531178E-2</v>
      </c>
      <c r="BA51" s="69">
        <f>'Market Drivers'!BA49</f>
        <v>0.19694180035174846</v>
      </c>
      <c r="BB51" s="69">
        <f>'Market Drivers'!BB49</f>
        <v>0.13968886343963982</v>
      </c>
      <c r="BC51" s="69">
        <f>'Market Drivers'!BC49</f>
        <v>0.13844719633226399</v>
      </c>
      <c r="BD51" s="69">
        <f>'Market Drivers'!BD49</f>
        <v>0.15329355460252359</v>
      </c>
      <c r="BE51" s="69">
        <f>'Market Drivers'!BE49</f>
        <v>0.14587037546739379</v>
      </c>
      <c r="BF51" s="69">
        <f>'Market Drivers'!BF49</f>
        <v>0.15329355460252336</v>
      </c>
      <c r="BG51" s="69">
        <f>'Market Drivers'!BG49</f>
        <v>0.16810687890847076</v>
      </c>
      <c r="BH51" s="69">
        <f>'Market Drivers'!BH49</f>
        <v>0.16070021675549706</v>
      </c>
      <c r="BI51" s="69">
        <f>'Market Drivers'!BI49</f>
        <v>0.16810687890847098</v>
      </c>
      <c r="BJ51" s="69">
        <f>'Market Drivers'!BJ49</f>
        <v>-1.6401421132038907E-2</v>
      </c>
      <c r="BK51" s="69">
        <f>'Market Drivers'!BK49</f>
        <v>7.5852728888216037E-2</v>
      </c>
      <c r="BL51" s="69">
        <f>'Market Drivers'!BL49</f>
        <v>-1.6401421132038907E-2</v>
      </c>
      <c r="BM51" s="69">
        <f>'Market Drivers'!BM49</f>
        <v>-4.9727857496288941E-2</v>
      </c>
      <c r="BN51" s="69">
        <f>'Market Drivers'!BN49</f>
        <v>-3.3064639314163924E-2</v>
      </c>
      <c r="BO51" s="69">
        <f>'Market Drivers'!BO49</f>
        <v>-4.9727857496288719E-2</v>
      </c>
      <c r="BP51" s="69">
        <f>'Market Drivers'!BP49</f>
        <v>-6.9877636032283141E-2</v>
      </c>
      <c r="BQ51" s="69">
        <f>'Market Drivers'!BQ49</f>
        <v>-5.980274676428593E-2</v>
      </c>
      <c r="BR51" s="69">
        <f>'Market Drivers'!BR49</f>
        <v>-6.9877636032283363E-2</v>
      </c>
      <c r="BS51" s="69">
        <f>'Market Drivers'!BS49</f>
        <v>-2.0601242792364194E-2</v>
      </c>
      <c r="BT51" s="69">
        <f>'Market Drivers'!BT49</f>
        <v>-4.5239439412323779E-2</v>
      </c>
      <c r="BU51" s="69">
        <f>'Market Drivers'!BU49</f>
        <v>-2.0601242792363972E-2</v>
      </c>
      <c r="BV51" s="69">
        <f>'Market Drivers'!BV49</f>
        <v>-3.1437553586738387E-3</v>
      </c>
      <c r="BW51" s="69">
        <f>'Market Drivers'!BW49</f>
        <v>-1.1872499075518905E-2</v>
      </c>
      <c r="BX51" s="69">
        <f>'Market Drivers'!BX49</f>
        <v>-3.1437553586740608E-3</v>
      </c>
      <c r="BY51" s="69">
        <f>'Market Drivers'!BY49</f>
        <v>-3.5091743119265995E-2</v>
      </c>
      <c r="BZ51" s="69">
        <f>'Market Drivers'!BZ49</f>
        <v>-1.9117749238970028E-2</v>
      </c>
      <c r="CA51" s="69">
        <f>'Market Drivers'!CA49</f>
        <v>-3.5091743119266106E-2</v>
      </c>
      <c r="CB51" s="69">
        <f>'Market Drivers'!CB49</f>
        <v>-3.5091743119265995E-2</v>
      </c>
      <c r="CC51" s="69">
        <f>'Market Drivers'!CC49</f>
        <v>-3.509174311926605E-2</v>
      </c>
    </row>
    <row r="52" spans="1:81" collapsed="1">
      <c r="A52" s="66"/>
      <c r="B52" s="67"/>
      <c r="C52" s="65"/>
      <c r="D52" s="65"/>
      <c r="E52" s="65"/>
      <c r="F52" s="65"/>
      <c r="G52" s="65"/>
      <c r="H52" s="65"/>
      <c r="I52" s="65"/>
      <c r="J52" s="65"/>
      <c r="K52" s="65"/>
      <c r="L52" s="65"/>
      <c r="M52" s="65"/>
      <c r="N52" s="65"/>
      <c r="O52" s="65"/>
      <c r="P52" s="65"/>
      <c r="Q52" s="65"/>
      <c r="R52" s="65"/>
      <c r="S52" s="65"/>
      <c r="AK52" s="89"/>
      <c r="AN52" s="90"/>
    </row>
    <row r="53" spans="1:81" s="606" customFormat="1" hidden="1" outlineLevel="1">
      <c r="A53" s="66"/>
      <c r="B53" s="91"/>
      <c r="C53" s="91"/>
      <c r="D53" s="91"/>
      <c r="E53" s="91"/>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1"/>
      <c r="BG53" s="91"/>
      <c r="BH53" s="91"/>
      <c r="BI53" s="91"/>
      <c r="BJ53" s="91"/>
      <c r="BK53" s="91"/>
      <c r="BL53" s="91"/>
      <c r="BM53" s="91"/>
      <c r="BN53" s="91"/>
      <c r="BO53" s="91"/>
      <c r="BP53" s="91"/>
      <c r="BQ53" s="91"/>
      <c r="BR53" s="91"/>
      <c r="BS53" s="91"/>
      <c r="BT53" s="91"/>
      <c r="BU53" s="91"/>
      <c r="BV53" s="91"/>
      <c r="BW53" s="91"/>
      <c r="BX53" s="91"/>
      <c r="BY53" s="91"/>
      <c r="BZ53" s="91"/>
      <c r="CA53" s="91"/>
      <c r="CB53" s="91"/>
      <c r="CC53" s="91"/>
    </row>
    <row r="54" spans="1:81" hidden="1" outlineLevel="1">
      <c r="B54" s="41" t="s">
        <v>152</v>
      </c>
      <c r="C54" s="65"/>
      <c r="D54" s="65"/>
      <c r="E54" s="65"/>
      <c r="F54" s="65"/>
      <c r="G54" s="65"/>
      <c r="H54" s="65"/>
      <c r="I54" s="65"/>
      <c r="J54" s="65"/>
      <c r="K54" s="65"/>
      <c r="L54" s="65"/>
      <c r="M54" s="65"/>
      <c r="N54" s="65"/>
      <c r="O54" s="65"/>
      <c r="P54" s="65"/>
      <c r="Q54" s="65"/>
      <c r="R54" s="65"/>
      <c r="S54" s="65"/>
    </row>
    <row r="55" spans="1:81" hidden="1" outlineLevel="1">
      <c r="B55" s="45" t="s">
        <v>374</v>
      </c>
      <c r="C55" s="65"/>
      <c r="D55" s="65"/>
      <c r="E55" s="65"/>
      <c r="F55" s="65"/>
      <c r="G55" s="65"/>
      <c r="H55" s="65"/>
      <c r="I55" s="65"/>
      <c r="J55" s="65"/>
      <c r="K55" s="65"/>
      <c r="L55" s="65"/>
      <c r="M55" s="65"/>
      <c r="N55" s="65"/>
      <c r="O55" s="65"/>
      <c r="P55" s="65"/>
      <c r="Q55" s="65"/>
      <c r="R55" s="65"/>
      <c r="S55" s="65"/>
      <c r="U55" s="65">
        <v>2.0699999999999998</v>
      </c>
      <c r="X55" s="65">
        <v>2.0699999999999998</v>
      </c>
      <c r="AA55" s="65">
        <v>2.0699999999999998</v>
      </c>
      <c r="AD55" s="65">
        <v>2.0699999999999998</v>
      </c>
      <c r="AE55" s="65">
        <v>1.0349999999999999</v>
      </c>
      <c r="AF55" s="65">
        <v>1.0349999999999999</v>
      </c>
      <c r="AG55" s="65">
        <v>2.0699999999999998</v>
      </c>
      <c r="AJ55" s="65">
        <v>2.0699999999999998</v>
      </c>
      <c r="AP55" s="65">
        <v>2.0699999999999998</v>
      </c>
      <c r="AS55" s="65">
        <v>2.0699999999999998</v>
      </c>
      <c r="AV55" s="65">
        <v>2.0699999999999998</v>
      </c>
      <c r="AY55" s="65">
        <v>2.0699999999999998</v>
      </c>
      <c r="BB55" s="65">
        <v>2.0699999999999998</v>
      </c>
      <c r="BE55" s="65">
        <v>2.0699999999999998</v>
      </c>
    </row>
    <row r="56" spans="1:81" hidden="1" outlineLevel="1">
      <c r="A56" s="66"/>
      <c r="B56" s="65" t="s">
        <v>286</v>
      </c>
      <c r="C56" s="65"/>
      <c r="D56" s="65"/>
      <c r="E56" s="65"/>
      <c r="F56" s="65"/>
      <c r="G56" s="65"/>
      <c r="H56" s="65"/>
      <c r="I56" s="65"/>
      <c r="J56" s="65"/>
      <c r="K56" s="65"/>
      <c r="L56" s="65"/>
      <c r="M56" s="65"/>
      <c r="N56" s="65"/>
      <c r="O56" s="65"/>
      <c r="P56" s="65"/>
      <c r="Q56" s="65"/>
      <c r="R56" s="65"/>
      <c r="S56" s="65"/>
      <c r="U56" s="71">
        <v>0.98</v>
      </c>
      <c r="V56" s="71"/>
      <c r="W56" s="71"/>
      <c r="X56" s="71">
        <v>0.98</v>
      </c>
      <c r="Y56" s="71"/>
      <c r="Z56" s="71"/>
      <c r="AA56" s="71">
        <v>0.98</v>
      </c>
      <c r="AB56" s="71"/>
      <c r="AC56" s="71"/>
      <c r="AD56" s="71">
        <v>0.98</v>
      </c>
      <c r="AE56" s="71">
        <v>0.98</v>
      </c>
      <c r="AF56" s="71">
        <v>0.98</v>
      </c>
      <c r="AG56" s="71">
        <v>0.98</v>
      </c>
      <c r="AH56" s="71"/>
      <c r="AI56" s="71"/>
      <c r="AJ56" s="71">
        <v>0.98</v>
      </c>
      <c r="AK56" s="71">
        <v>0.98</v>
      </c>
      <c r="AL56" s="71">
        <v>0.98</v>
      </c>
      <c r="AM56" s="71"/>
      <c r="AN56" s="71"/>
      <c r="AO56" s="71"/>
      <c r="AP56" s="71">
        <v>0.98</v>
      </c>
      <c r="AQ56" s="71"/>
      <c r="AR56" s="71"/>
      <c r="AS56" s="71">
        <v>0.98</v>
      </c>
      <c r="AT56" s="71"/>
      <c r="AU56" s="71"/>
      <c r="AV56" s="71">
        <v>0.98</v>
      </c>
      <c r="AW56" s="71"/>
      <c r="AX56" s="71"/>
      <c r="AY56" s="71">
        <v>0.98</v>
      </c>
      <c r="AZ56" s="71"/>
      <c r="BA56" s="71"/>
      <c r="BB56" s="71">
        <v>0.98</v>
      </c>
      <c r="BC56" s="71"/>
      <c r="BD56" s="71"/>
      <c r="BE56" s="71">
        <v>0.98</v>
      </c>
    </row>
    <row r="57" spans="1:81" s="607" customFormat="1" hidden="1" outlineLevel="1">
      <c r="A57" s="94"/>
      <c r="B57" s="95" t="s">
        <v>377</v>
      </c>
      <c r="C57" s="96"/>
      <c r="D57" s="96"/>
      <c r="E57" s="96"/>
      <c r="F57" s="96">
        <v>2.14</v>
      </c>
      <c r="G57" s="96"/>
      <c r="H57" s="96"/>
      <c r="I57" s="96">
        <v>1.972</v>
      </c>
      <c r="J57" s="96"/>
      <c r="K57" s="96"/>
      <c r="L57" s="96"/>
      <c r="M57" s="96"/>
      <c r="N57" s="96"/>
      <c r="O57" s="96"/>
      <c r="P57" s="96"/>
      <c r="Q57" s="96"/>
      <c r="R57" s="96"/>
      <c r="S57" s="96"/>
      <c r="T57" s="96"/>
      <c r="U57" s="96">
        <v>2.0286</v>
      </c>
      <c r="V57" s="96"/>
      <c r="W57" s="96"/>
      <c r="X57" s="96">
        <v>2.0286</v>
      </c>
      <c r="Y57" s="96"/>
      <c r="Z57" s="96"/>
      <c r="AA57" s="96">
        <v>2.0286</v>
      </c>
      <c r="AB57" s="96"/>
      <c r="AC57" s="96"/>
      <c r="AD57" s="96">
        <v>2.0286</v>
      </c>
      <c r="AE57" s="96"/>
      <c r="AF57" s="96"/>
      <c r="AG57" s="96">
        <v>2.0286</v>
      </c>
      <c r="AH57" s="96"/>
      <c r="AI57" s="96"/>
      <c r="AJ57" s="96">
        <v>2.0286</v>
      </c>
      <c r="AK57" s="96"/>
      <c r="AL57" s="96"/>
      <c r="AM57" s="96"/>
      <c r="AN57" s="96"/>
      <c r="AO57" s="96"/>
      <c r="AP57" s="96">
        <f>AP55*AP56</f>
        <v>2.0286</v>
      </c>
      <c r="AQ57" s="96"/>
      <c r="AR57" s="96"/>
      <c r="AS57" s="96">
        <f>AS55*AS56</f>
        <v>2.0286</v>
      </c>
      <c r="AT57" s="96"/>
      <c r="AU57" s="96"/>
      <c r="AV57" s="96">
        <f>AV55*AV56</f>
        <v>2.0286</v>
      </c>
      <c r="AW57" s="96"/>
      <c r="AX57" s="96"/>
      <c r="AY57" s="96">
        <f>AY55*AY56</f>
        <v>2.0286</v>
      </c>
      <c r="AZ57" s="96"/>
      <c r="BA57" s="96"/>
      <c r="BB57" s="96">
        <f>BB55*BB56</f>
        <v>2.0286</v>
      </c>
      <c r="BC57" s="96"/>
      <c r="BD57" s="96"/>
      <c r="BE57" s="96">
        <f>BE55*BE56</f>
        <v>2.0286</v>
      </c>
      <c r="BF57" s="96"/>
      <c r="BG57" s="96"/>
      <c r="BH57" s="96"/>
      <c r="BI57" s="96"/>
      <c r="BJ57" s="96"/>
      <c r="BK57" s="96"/>
      <c r="BL57" s="96"/>
      <c r="BM57" s="96"/>
      <c r="BN57" s="96"/>
      <c r="BO57" s="96"/>
      <c r="BP57" s="96"/>
      <c r="BQ57" s="96"/>
      <c r="BR57" s="96"/>
      <c r="BS57" s="96"/>
      <c r="BT57" s="96"/>
      <c r="BU57" s="96"/>
      <c r="BV57" s="96"/>
      <c r="BW57" s="96"/>
      <c r="BX57" s="96"/>
      <c r="BY57" s="96"/>
      <c r="BZ57" s="96"/>
      <c r="CA57" s="96"/>
      <c r="CB57" s="96"/>
      <c r="CC57" s="96"/>
    </row>
    <row r="58" spans="1:81" s="607" customFormat="1" hidden="1" outlineLevel="1">
      <c r="A58" s="94"/>
      <c r="B58" s="95"/>
      <c r="C58" s="96"/>
      <c r="D58" s="96"/>
      <c r="E58" s="96"/>
      <c r="F58" s="96"/>
      <c r="G58" s="96"/>
      <c r="H58" s="96"/>
      <c r="I58" s="96"/>
      <c r="J58" s="96"/>
      <c r="K58" s="96"/>
      <c r="L58" s="96"/>
      <c r="M58" s="96"/>
      <c r="N58" s="96"/>
      <c r="O58" s="96"/>
      <c r="P58" s="96"/>
      <c r="Q58" s="96"/>
      <c r="R58" s="96"/>
      <c r="S58" s="96"/>
      <c r="T58" s="96"/>
      <c r="U58" s="96"/>
      <c r="V58" s="96"/>
      <c r="W58" s="96"/>
      <c r="X58" s="96"/>
      <c r="Y58" s="96"/>
      <c r="Z58" s="96"/>
      <c r="AA58" s="96"/>
      <c r="AB58" s="96"/>
      <c r="AC58" s="96"/>
      <c r="AD58" s="96"/>
      <c r="AE58" s="96"/>
      <c r="AF58" s="96"/>
      <c r="AG58" s="96"/>
      <c r="AH58" s="96"/>
      <c r="AI58" s="96"/>
      <c r="AJ58" s="96"/>
      <c r="AK58" s="96"/>
      <c r="AL58" s="96"/>
      <c r="AM58" s="96"/>
      <c r="AN58" s="96"/>
      <c r="AO58" s="96"/>
      <c r="AP58" s="96"/>
      <c r="AQ58" s="96"/>
      <c r="AR58" s="96"/>
      <c r="AS58" s="96"/>
      <c r="AT58" s="96"/>
      <c r="AU58" s="96"/>
      <c r="AV58" s="96"/>
      <c r="AW58" s="96"/>
      <c r="AX58" s="96"/>
      <c r="AY58" s="96"/>
      <c r="AZ58" s="96"/>
      <c r="BA58" s="96"/>
      <c r="BB58" s="96"/>
      <c r="BC58" s="96"/>
      <c r="BD58" s="96"/>
      <c r="BE58" s="96"/>
      <c r="BF58" s="96"/>
      <c r="BG58" s="96"/>
      <c r="BH58" s="96"/>
      <c r="BI58" s="96"/>
      <c r="BJ58" s="96"/>
      <c r="BK58" s="96"/>
      <c r="BL58" s="96"/>
      <c r="BM58" s="96"/>
      <c r="BN58" s="96"/>
      <c r="BO58" s="96"/>
      <c r="BP58" s="96"/>
      <c r="BQ58" s="96"/>
      <c r="BR58" s="96"/>
      <c r="BS58" s="96"/>
      <c r="BT58" s="96"/>
      <c r="BU58" s="96"/>
      <c r="BV58" s="96"/>
      <c r="BW58" s="96"/>
      <c r="BX58" s="96"/>
      <c r="BY58" s="96"/>
      <c r="BZ58" s="96"/>
      <c r="CA58" s="96"/>
      <c r="CB58" s="96"/>
      <c r="CC58" s="96"/>
    </row>
    <row r="59" spans="1:81" s="608" customFormat="1" hidden="1" outlineLevel="1">
      <c r="A59" s="97"/>
      <c r="B59" s="97" t="s">
        <v>376</v>
      </c>
      <c r="C59" s="98"/>
      <c r="D59" s="98"/>
      <c r="E59" s="98"/>
      <c r="F59" s="98"/>
      <c r="G59" s="98"/>
      <c r="H59" s="98"/>
      <c r="I59" s="98"/>
      <c r="J59" s="98"/>
      <c r="K59" s="98"/>
      <c r="L59" s="98"/>
      <c r="M59" s="98"/>
      <c r="N59" s="98"/>
      <c r="O59" s="98"/>
      <c r="P59" s="98"/>
      <c r="Q59" s="98"/>
      <c r="R59" s="98"/>
      <c r="S59" s="98"/>
      <c r="T59" s="98"/>
      <c r="U59" s="98">
        <v>3.3</v>
      </c>
      <c r="V59" s="98"/>
      <c r="W59" s="98"/>
      <c r="X59" s="98">
        <v>3.3</v>
      </c>
      <c r="Y59" s="98"/>
      <c r="Z59" s="98"/>
      <c r="AA59" s="98">
        <v>3.3</v>
      </c>
      <c r="AB59" s="98"/>
      <c r="AC59" s="98"/>
      <c r="AD59" s="98">
        <v>3.3</v>
      </c>
      <c r="AE59" s="98"/>
      <c r="AF59" s="98"/>
      <c r="AG59" s="98">
        <v>3.55</v>
      </c>
      <c r="AH59" s="98"/>
      <c r="AI59" s="98"/>
      <c r="AJ59" s="98">
        <v>3.55</v>
      </c>
      <c r="AK59" s="98"/>
      <c r="AL59" s="98"/>
      <c r="AM59" s="98"/>
      <c r="AN59" s="98"/>
      <c r="AO59" s="98"/>
      <c r="AP59" s="98">
        <v>3.55</v>
      </c>
      <c r="AQ59" s="98"/>
      <c r="AR59" s="98"/>
      <c r="AS59" s="98">
        <v>3.55</v>
      </c>
      <c r="AT59" s="98"/>
      <c r="AU59" s="98"/>
      <c r="AV59" s="98">
        <v>3.55</v>
      </c>
      <c r="AW59" s="98"/>
      <c r="AX59" s="98"/>
      <c r="AY59" s="98">
        <v>3.55</v>
      </c>
      <c r="AZ59" s="98"/>
      <c r="BA59" s="98"/>
      <c r="BB59" s="98">
        <v>3.55</v>
      </c>
      <c r="BC59" s="98"/>
      <c r="BD59" s="98"/>
      <c r="BE59" s="98">
        <v>3.55</v>
      </c>
      <c r="BF59" s="98"/>
      <c r="BG59" s="98"/>
      <c r="BH59" s="98"/>
      <c r="BI59" s="98"/>
      <c r="BJ59" s="98"/>
      <c r="BK59" s="98"/>
      <c r="BL59" s="98"/>
      <c r="BM59" s="98"/>
      <c r="BN59" s="98"/>
      <c r="BO59" s="98"/>
      <c r="BP59" s="98"/>
      <c r="BQ59" s="98"/>
      <c r="BR59" s="98"/>
      <c r="BS59" s="98"/>
      <c r="BT59" s="98"/>
      <c r="BU59" s="98"/>
      <c r="BV59" s="98"/>
      <c r="BW59" s="98"/>
      <c r="BX59" s="98"/>
      <c r="BY59" s="98"/>
      <c r="BZ59" s="98"/>
      <c r="CA59" s="98"/>
      <c r="CB59" s="98"/>
      <c r="CC59" s="98"/>
    </row>
    <row r="60" spans="1:81" s="607" customFormat="1" hidden="1" outlineLevel="1">
      <c r="A60" s="94"/>
      <c r="B60" s="95" t="s">
        <v>375</v>
      </c>
      <c r="C60" s="96"/>
      <c r="D60" s="96"/>
      <c r="E60" s="96"/>
      <c r="F60" s="96">
        <v>1.8</v>
      </c>
      <c r="G60" s="96"/>
      <c r="H60" s="96"/>
      <c r="I60" s="96">
        <v>1.724</v>
      </c>
      <c r="J60" s="96"/>
      <c r="K60" s="96"/>
      <c r="L60" s="96"/>
      <c r="M60" s="96"/>
      <c r="N60" s="96"/>
      <c r="O60" s="96"/>
      <c r="P60" s="96"/>
      <c r="Q60" s="96"/>
      <c r="R60" s="96"/>
      <c r="S60" s="96"/>
      <c r="T60" s="96"/>
      <c r="U60" s="99">
        <v>2.2314600000000002</v>
      </c>
      <c r="V60" s="99"/>
      <c r="W60" s="99"/>
      <c r="X60" s="99">
        <v>2.2314600000000002</v>
      </c>
      <c r="Y60" s="99"/>
      <c r="Z60" s="99"/>
      <c r="AA60" s="99">
        <v>2.2314600000000002</v>
      </c>
      <c r="AB60" s="99"/>
      <c r="AC60" s="99"/>
      <c r="AD60" s="99">
        <v>2.2314600000000002</v>
      </c>
      <c r="AE60" s="99"/>
      <c r="AF60" s="99"/>
      <c r="AG60" s="99">
        <v>2.2314600000000002</v>
      </c>
      <c r="AH60" s="99"/>
      <c r="AI60" s="99"/>
      <c r="AJ60" s="99">
        <v>2.2314600000000002</v>
      </c>
      <c r="AK60" s="99"/>
      <c r="AL60" s="99"/>
      <c r="AM60" s="99"/>
      <c r="AN60" s="99"/>
      <c r="AO60" s="99"/>
      <c r="AP60" s="99">
        <f>AP57*1.1</f>
        <v>2.2314600000000002</v>
      </c>
      <c r="AQ60" s="99"/>
      <c r="AR60" s="99"/>
      <c r="AS60" s="99">
        <f>AS57*1.1</f>
        <v>2.2314600000000002</v>
      </c>
      <c r="AT60" s="99"/>
      <c r="AU60" s="99"/>
      <c r="AV60" s="99">
        <f>AV57*1.1</f>
        <v>2.2314600000000002</v>
      </c>
      <c r="AW60" s="99"/>
      <c r="AX60" s="99"/>
      <c r="AY60" s="99">
        <f>AY57*1.1</f>
        <v>2.2314600000000002</v>
      </c>
      <c r="AZ60" s="99"/>
      <c r="BA60" s="99"/>
      <c r="BB60" s="99">
        <f>BB57*1.1</f>
        <v>2.2314600000000002</v>
      </c>
      <c r="BC60" s="99"/>
      <c r="BD60" s="99"/>
      <c r="BE60" s="99">
        <f>BE57*1.1</f>
        <v>2.2314600000000002</v>
      </c>
      <c r="BF60" s="96"/>
      <c r="BG60" s="96"/>
      <c r="BH60" s="96"/>
      <c r="BI60" s="96"/>
      <c r="BJ60" s="96"/>
      <c r="BK60" s="96"/>
      <c r="BL60" s="96"/>
      <c r="BM60" s="96"/>
      <c r="BN60" s="96"/>
      <c r="BO60" s="96"/>
      <c r="BP60" s="96"/>
      <c r="BQ60" s="96"/>
      <c r="BR60" s="96"/>
      <c r="BS60" s="96"/>
      <c r="BT60" s="96"/>
      <c r="BU60" s="96"/>
      <c r="BV60" s="96"/>
      <c r="BW60" s="96"/>
      <c r="BX60" s="96"/>
      <c r="BY60" s="96"/>
      <c r="BZ60" s="96"/>
      <c r="CA60" s="96"/>
      <c r="CB60" s="96"/>
      <c r="CC60" s="96"/>
    </row>
    <row r="61" spans="1:81" s="607" customFormat="1" hidden="1" outlineLevel="1">
      <c r="A61" s="94"/>
      <c r="B61" s="95" t="s">
        <v>378</v>
      </c>
      <c r="C61" s="96"/>
      <c r="D61" s="96"/>
      <c r="E61" s="96"/>
      <c r="F61" s="96"/>
      <c r="G61" s="96"/>
      <c r="H61" s="96"/>
      <c r="I61" s="96"/>
      <c r="J61" s="96"/>
      <c r="K61" s="96"/>
      <c r="L61" s="96"/>
      <c r="M61" s="96"/>
      <c r="N61" s="96"/>
      <c r="O61" s="96"/>
      <c r="P61" s="96"/>
      <c r="Q61" s="96"/>
      <c r="R61" s="96"/>
      <c r="S61" s="96"/>
      <c r="T61" s="96"/>
      <c r="U61" s="99">
        <v>0.62433000000000005</v>
      </c>
      <c r="V61" s="99"/>
      <c r="W61" s="99"/>
      <c r="X61" s="99">
        <v>0.66118499999999969</v>
      </c>
      <c r="Y61" s="99"/>
      <c r="Z61" s="99"/>
      <c r="AA61" s="99">
        <v>0.81269999999999998</v>
      </c>
      <c r="AB61" s="99"/>
      <c r="AC61" s="99"/>
      <c r="AD61" s="99">
        <v>1.0866744000000002</v>
      </c>
      <c r="AE61" s="99"/>
      <c r="AF61" s="99"/>
      <c r="AG61" s="99">
        <v>0.7216796160000003</v>
      </c>
      <c r="AH61" s="99"/>
      <c r="AI61" s="99"/>
      <c r="AJ61" s="99">
        <v>0.64785112560000035</v>
      </c>
      <c r="AK61" s="99"/>
      <c r="AL61" s="99"/>
      <c r="AM61" s="99"/>
      <c r="AN61" s="99"/>
      <c r="AO61" s="99"/>
      <c r="AP61" s="99">
        <f>AP63-AP60</f>
        <v>-2.2314600000000002</v>
      </c>
      <c r="AQ61" s="99"/>
      <c r="AR61" s="99"/>
      <c r="AS61" s="99">
        <f>AS63-AS60</f>
        <v>-2.2314600000000002</v>
      </c>
      <c r="AT61" s="99"/>
      <c r="AU61" s="99"/>
      <c r="AV61" s="99">
        <f>AV63-AV60</f>
        <v>-2.2314600000000002</v>
      </c>
      <c r="AW61" s="99"/>
      <c r="AX61" s="99"/>
      <c r="AY61" s="99">
        <f>AY63-AY60</f>
        <v>-2.2314600000000002</v>
      </c>
      <c r="AZ61" s="99"/>
      <c r="BA61" s="99"/>
      <c r="BB61" s="99">
        <f>BB63-BB60</f>
        <v>-2.2314600000000002</v>
      </c>
      <c r="BC61" s="99"/>
      <c r="BD61" s="99"/>
      <c r="BE61" s="99">
        <f>BE63-BE60</f>
        <v>-2.2314600000000002</v>
      </c>
      <c r="BF61" s="96"/>
      <c r="BG61" s="96"/>
      <c r="BH61" s="96"/>
      <c r="BI61" s="96"/>
      <c r="BJ61" s="96"/>
      <c r="BK61" s="96"/>
      <c r="BL61" s="96"/>
      <c r="BM61" s="96"/>
      <c r="BN61" s="96"/>
      <c r="BO61" s="96"/>
      <c r="BP61" s="96"/>
      <c r="BQ61" s="96"/>
      <c r="BR61" s="96"/>
      <c r="BS61" s="96"/>
      <c r="BT61" s="96"/>
      <c r="BU61" s="96"/>
      <c r="BV61" s="96"/>
      <c r="BW61" s="96"/>
      <c r="BX61" s="96"/>
      <c r="BY61" s="96"/>
      <c r="BZ61" s="96"/>
      <c r="CA61" s="96"/>
      <c r="CB61" s="96"/>
      <c r="CC61" s="96"/>
    </row>
    <row r="62" spans="1:81" s="607" customFormat="1" hidden="1" outlineLevel="1">
      <c r="A62" s="94"/>
      <c r="B62" s="95" t="s">
        <v>199</v>
      </c>
      <c r="C62" s="96"/>
      <c r="D62" s="96"/>
      <c r="E62" s="96"/>
      <c r="F62" s="96"/>
      <c r="G62" s="96"/>
      <c r="H62" s="96"/>
      <c r="I62" s="96"/>
      <c r="J62" s="96"/>
      <c r="K62" s="96"/>
      <c r="L62" s="96"/>
      <c r="M62" s="96"/>
      <c r="N62" s="96"/>
      <c r="O62" s="96"/>
      <c r="P62" s="96"/>
      <c r="Q62" s="96"/>
      <c r="R62" s="96"/>
      <c r="S62" s="96"/>
      <c r="T62" s="96"/>
      <c r="U62" s="100" t="s">
        <v>351</v>
      </c>
      <c r="V62" s="99"/>
      <c r="W62" s="99"/>
      <c r="X62" s="100" t="s">
        <v>351</v>
      </c>
      <c r="Y62" s="99"/>
      <c r="Z62" s="99"/>
      <c r="AA62" s="100" t="s">
        <v>351</v>
      </c>
      <c r="AB62" s="99"/>
      <c r="AC62" s="99"/>
      <c r="AD62" s="99">
        <v>1.813440000000055E-2</v>
      </c>
      <c r="AE62" s="99"/>
      <c r="AF62" s="99"/>
      <c r="AG62" s="100" t="s">
        <v>351</v>
      </c>
      <c r="AH62" s="99"/>
      <c r="AI62" s="99"/>
      <c r="AJ62" s="100" t="s">
        <v>351</v>
      </c>
      <c r="AK62" s="99"/>
      <c r="AL62" s="99"/>
      <c r="AM62" s="100"/>
      <c r="AN62" s="99"/>
      <c r="AO62" s="99"/>
      <c r="AP62" s="100" t="str">
        <f>IF(SUM(AP60:AP61)&gt;AP59,SUM(AP60:AP61)-AP59,"0")</f>
        <v>0</v>
      </c>
      <c r="AQ62" s="99"/>
      <c r="AR62" s="99"/>
      <c r="AS62" s="100" t="str">
        <f>IF(SUM(AS60:AS61)&gt;AS59,SUM(AS60:AS61)-AS59,"0")</f>
        <v>0</v>
      </c>
      <c r="AT62" s="99"/>
      <c r="AU62" s="99"/>
      <c r="AV62" s="100" t="str">
        <f>IF(SUM(AV60:AV61)&gt;AV59,SUM(AV60:AV61)-AV59,"0")</f>
        <v>0</v>
      </c>
      <c r="AW62" s="99"/>
      <c r="AX62" s="99"/>
      <c r="AY62" s="100" t="str">
        <f>IF(SUM(AY60:AY61)&gt;AY59,SUM(AY60:AY61)-AY59,"0")</f>
        <v>0</v>
      </c>
      <c r="AZ62" s="99"/>
      <c r="BA62" s="99"/>
      <c r="BB62" s="100" t="str">
        <f>IF(SUM(BB60:BB61)&gt;BB59,SUM(BB60:BB61)-BB59,"0")</f>
        <v>0</v>
      </c>
      <c r="BC62" s="99"/>
      <c r="BD62" s="99"/>
      <c r="BE62" s="100" t="str">
        <f>IF(SUM(BE60:BE61)&gt;BE59,SUM(BE60:BE61)-BE59,"0")</f>
        <v>0</v>
      </c>
      <c r="BF62" s="96"/>
      <c r="BG62" s="96"/>
      <c r="BH62" s="96"/>
      <c r="BI62" s="96"/>
      <c r="BJ62" s="96"/>
      <c r="BK62" s="96"/>
      <c r="BL62" s="96"/>
      <c r="BM62" s="96"/>
      <c r="BN62" s="96"/>
      <c r="BO62" s="96"/>
      <c r="BP62" s="96"/>
      <c r="BQ62" s="96"/>
      <c r="BR62" s="96"/>
      <c r="BS62" s="96"/>
      <c r="BT62" s="96"/>
      <c r="BU62" s="96"/>
      <c r="BV62" s="96"/>
      <c r="BW62" s="96"/>
      <c r="BX62" s="96"/>
      <c r="BY62" s="96"/>
      <c r="BZ62" s="96"/>
      <c r="CA62" s="96"/>
      <c r="CB62" s="96"/>
      <c r="CC62" s="96"/>
    </row>
    <row r="63" spans="1:81" s="607" customFormat="1" hidden="1" outlineLevel="1">
      <c r="A63" s="95"/>
      <c r="B63" s="101" t="s">
        <v>310</v>
      </c>
      <c r="C63" s="96"/>
      <c r="D63" s="96"/>
      <c r="E63" s="96"/>
      <c r="F63" s="96"/>
      <c r="G63" s="96"/>
      <c r="H63" s="96"/>
      <c r="I63" s="96"/>
      <c r="J63" s="96"/>
      <c r="K63" s="96"/>
      <c r="L63" s="96"/>
      <c r="M63" s="96"/>
      <c r="N63" s="96"/>
      <c r="O63" s="96">
        <v>2.5326</v>
      </c>
      <c r="P63" s="96"/>
      <c r="Q63" s="96"/>
      <c r="R63" s="96">
        <v>2.7112049999999996</v>
      </c>
      <c r="S63" s="96"/>
      <c r="T63" s="96"/>
      <c r="U63" s="102">
        <v>2.8557900000000003</v>
      </c>
      <c r="V63" s="102"/>
      <c r="W63" s="102"/>
      <c r="X63" s="102">
        <v>2.8926449999999999</v>
      </c>
      <c r="Y63" s="102"/>
      <c r="Z63" s="102"/>
      <c r="AA63" s="102">
        <v>3.0441600000000002</v>
      </c>
      <c r="AB63" s="102"/>
      <c r="AC63" s="102"/>
      <c r="AD63" s="102">
        <v>3.3181344000000004</v>
      </c>
      <c r="AE63" s="102"/>
      <c r="AF63" s="102"/>
      <c r="AG63" s="102">
        <v>2.9531396160000005</v>
      </c>
      <c r="AH63" s="102"/>
      <c r="AI63" s="102"/>
      <c r="AJ63" s="102">
        <v>2.8793111256000006</v>
      </c>
      <c r="AK63" s="102"/>
      <c r="AL63" s="102"/>
      <c r="AM63" s="102"/>
      <c r="AN63" s="102"/>
      <c r="AO63" s="102"/>
      <c r="AP63" s="102">
        <f>AM63*(1+AP64)</f>
        <v>0</v>
      </c>
      <c r="AQ63" s="102"/>
      <c r="AR63" s="102"/>
      <c r="AS63" s="102">
        <f>AP63*(1+AS64)</f>
        <v>0</v>
      </c>
      <c r="AT63" s="102"/>
      <c r="AU63" s="102"/>
      <c r="AV63" s="102">
        <f>AS63*(1+AV64)</f>
        <v>0</v>
      </c>
      <c r="AW63" s="102"/>
      <c r="AX63" s="102"/>
      <c r="AY63" s="102">
        <f>AV63*(1+AY64)</f>
        <v>0</v>
      </c>
      <c r="AZ63" s="102"/>
      <c r="BA63" s="102"/>
      <c r="BB63" s="102">
        <f>AY63*(1+BB64)</f>
        <v>0</v>
      </c>
      <c r="BC63" s="102"/>
      <c r="BD63" s="102"/>
      <c r="BE63" s="102">
        <f>BB63*(1+BE64)</f>
        <v>0</v>
      </c>
      <c r="BF63" s="96"/>
      <c r="BG63" s="96"/>
      <c r="BH63" s="96"/>
      <c r="BI63" s="96"/>
      <c r="BJ63" s="96"/>
      <c r="BK63" s="96"/>
      <c r="BL63" s="96"/>
      <c r="BM63" s="96"/>
      <c r="BN63" s="96"/>
      <c r="BO63" s="96"/>
      <c r="BP63" s="96"/>
      <c r="BQ63" s="96"/>
      <c r="BR63" s="96"/>
      <c r="BS63" s="96"/>
      <c r="BT63" s="96"/>
      <c r="BU63" s="96"/>
      <c r="BV63" s="96"/>
      <c r="BW63" s="96"/>
      <c r="BX63" s="96"/>
      <c r="BY63" s="96"/>
      <c r="BZ63" s="96"/>
      <c r="CA63" s="96"/>
      <c r="CB63" s="96"/>
      <c r="CC63" s="96"/>
    </row>
    <row r="64" spans="1:81" s="609" customFormat="1" hidden="1" outlineLevel="1">
      <c r="A64" s="103"/>
      <c r="B64" s="104" t="s">
        <v>287</v>
      </c>
      <c r="C64" s="103"/>
      <c r="D64" s="103"/>
      <c r="E64" s="103"/>
      <c r="F64" s="103"/>
      <c r="G64" s="103"/>
      <c r="H64" s="103"/>
      <c r="I64" s="103"/>
      <c r="J64" s="103"/>
      <c r="K64" s="103"/>
      <c r="L64" s="103"/>
      <c r="M64" s="103"/>
      <c r="N64" s="103"/>
      <c r="O64" s="104"/>
      <c r="P64" s="104"/>
      <c r="Q64" s="104"/>
      <c r="R64" s="104">
        <v>7.0522388059701457E-2</v>
      </c>
      <c r="S64" s="104"/>
      <c r="T64" s="104"/>
      <c r="U64" s="104">
        <v>5.3328685953293986E-2</v>
      </c>
      <c r="V64" s="104"/>
      <c r="W64" s="104"/>
      <c r="X64" s="104">
        <v>1.290536068828585E-2</v>
      </c>
      <c r="Y64" s="104"/>
      <c r="Z64" s="104"/>
      <c r="AA64" s="104">
        <v>5.2379396711314419E-2</v>
      </c>
      <c r="AB64" s="104"/>
      <c r="AC64" s="104"/>
      <c r="AD64" s="104">
        <v>0.09</v>
      </c>
      <c r="AE64" s="104"/>
      <c r="AF64" s="104"/>
      <c r="AG64" s="104">
        <v>-0.11</v>
      </c>
      <c r="AH64" s="104"/>
      <c r="AI64" s="104"/>
      <c r="AJ64" s="104">
        <v>-2.5000000000000001E-2</v>
      </c>
      <c r="AK64" s="104"/>
      <c r="AL64" s="104"/>
      <c r="AM64" s="104"/>
      <c r="AN64" s="104"/>
      <c r="AO64" s="104"/>
      <c r="AP64" s="104"/>
      <c r="AQ64" s="104"/>
      <c r="AR64" s="104"/>
      <c r="AS64" s="104"/>
      <c r="AT64" s="104"/>
      <c r="AU64" s="104"/>
      <c r="AV64" s="104"/>
      <c r="AW64" s="104"/>
      <c r="AX64" s="104"/>
      <c r="AY64" s="104"/>
      <c r="AZ64" s="104"/>
      <c r="BA64" s="104"/>
      <c r="BB64" s="104"/>
      <c r="BC64" s="104"/>
      <c r="BD64" s="104"/>
      <c r="BE64" s="104"/>
      <c r="BF64" s="103"/>
      <c r="BG64" s="103"/>
      <c r="BH64" s="103"/>
      <c r="BI64" s="103"/>
      <c r="BJ64" s="103"/>
      <c r="BK64" s="103"/>
      <c r="BL64" s="103"/>
      <c r="BM64" s="103"/>
      <c r="BN64" s="103"/>
      <c r="BO64" s="103"/>
      <c r="BP64" s="103"/>
      <c r="BQ64" s="103"/>
      <c r="BR64" s="103"/>
      <c r="BS64" s="103"/>
      <c r="BT64" s="103"/>
      <c r="BU64" s="103"/>
      <c r="BV64" s="103"/>
      <c r="BW64" s="103"/>
      <c r="BX64" s="103"/>
      <c r="BY64" s="103"/>
      <c r="BZ64" s="103"/>
      <c r="CA64" s="103"/>
      <c r="CB64" s="103"/>
      <c r="CC64" s="103"/>
    </row>
    <row r="65" spans="1:81" s="606" customFormat="1" hidden="1" outlineLevel="1">
      <c r="A65" s="105"/>
      <c r="B65" s="106"/>
      <c r="C65" s="107"/>
      <c r="D65" s="107"/>
      <c r="E65" s="107"/>
      <c r="F65" s="107"/>
      <c r="G65" s="107"/>
      <c r="H65" s="107"/>
      <c r="I65" s="107"/>
      <c r="J65" s="107"/>
      <c r="K65" s="107"/>
      <c r="L65" s="107"/>
      <c r="M65" s="107"/>
      <c r="N65" s="107"/>
      <c r="O65" s="108"/>
      <c r="P65" s="108"/>
      <c r="Q65" s="108"/>
      <c r="R65" s="108"/>
      <c r="S65" s="108"/>
      <c r="T65" s="108"/>
      <c r="U65" s="108"/>
      <c r="V65" s="108"/>
      <c r="W65" s="108"/>
      <c r="X65" s="108"/>
      <c r="Y65" s="108"/>
      <c r="Z65" s="108"/>
      <c r="AA65" s="108"/>
      <c r="AB65" s="108"/>
      <c r="AC65" s="108"/>
      <c r="AD65" s="108"/>
      <c r="AE65" s="108"/>
      <c r="AF65" s="108"/>
      <c r="AG65" s="108"/>
      <c r="AH65" s="108"/>
      <c r="AI65" s="108"/>
      <c r="AJ65" s="108"/>
      <c r="AK65" s="108"/>
      <c r="AL65" s="108"/>
      <c r="AM65" s="108"/>
      <c r="AN65" s="108"/>
      <c r="AO65" s="108"/>
      <c r="AP65" s="108"/>
      <c r="AQ65" s="108"/>
      <c r="AR65" s="108"/>
      <c r="AS65" s="108"/>
      <c r="AT65" s="108"/>
      <c r="AU65" s="108"/>
      <c r="AV65" s="108"/>
      <c r="AW65" s="108"/>
      <c r="AX65" s="108"/>
      <c r="AY65" s="108"/>
      <c r="AZ65" s="108"/>
      <c r="BA65" s="108"/>
      <c r="BB65" s="108"/>
      <c r="BC65" s="108"/>
      <c r="BD65" s="108"/>
      <c r="BE65" s="108"/>
      <c r="BF65" s="91"/>
      <c r="BG65" s="91"/>
      <c r="BH65" s="91"/>
      <c r="BI65" s="91"/>
      <c r="BJ65" s="91"/>
      <c r="BK65" s="91"/>
      <c r="BL65" s="91"/>
      <c r="BM65" s="91"/>
      <c r="BN65" s="91"/>
      <c r="BO65" s="91"/>
      <c r="BP65" s="91"/>
      <c r="BQ65" s="91"/>
      <c r="BR65" s="91"/>
      <c r="BS65" s="91"/>
      <c r="BT65" s="91"/>
      <c r="BU65" s="91"/>
      <c r="BV65" s="91"/>
      <c r="BW65" s="91"/>
      <c r="BX65" s="91"/>
      <c r="BY65" s="91"/>
      <c r="BZ65" s="91"/>
      <c r="CA65" s="91"/>
      <c r="CB65" s="91"/>
      <c r="CC65" s="91"/>
    </row>
    <row r="66" spans="1:81" s="441" customFormat="1" hidden="1" outlineLevel="1">
      <c r="A66" s="109"/>
      <c r="B66" s="109" t="s">
        <v>173</v>
      </c>
      <c r="C66" s="110"/>
      <c r="D66" s="110"/>
      <c r="E66" s="110"/>
      <c r="F66" s="110"/>
      <c r="G66" s="110"/>
      <c r="H66" s="110"/>
      <c r="I66" s="110"/>
      <c r="J66" s="110"/>
      <c r="K66" s="110"/>
      <c r="L66" s="110"/>
      <c r="M66" s="110"/>
      <c r="N66" s="110"/>
      <c r="O66" s="110">
        <v>133.32662086393429</v>
      </c>
      <c r="P66" s="110"/>
      <c r="Q66" s="110"/>
      <c r="R66" s="110">
        <v>139.77179888647302</v>
      </c>
      <c r="S66" s="110"/>
      <c r="T66" s="110"/>
      <c r="U66" s="110">
        <v>146.8791472762353</v>
      </c>
      <c r="V66" s="110"/>
      <c r="W66" s="110"/>
      <c r="X66" s="110">
        <v>161.37756274966338</v>
      </c>
      <c r="Y66" s="110"/>
      <c r="Z66" s="110"/>
      <c r="AA66" s="110">
        <v>172.18411647219591</v>
      </c>
      <c r="AB66" s="110"/>
      <c r="AC66" s="110"/>
      <c r="AD66" s="110">
        <v>179.32975730579204</v>
      </c>
      <c r="AE66" s="110"/>
      <c r="AF66" s="110"/>
      <c r="AG66" s="110">
        <v>179.39252272084909</v>
      </c>
      <c r="AH66" s="110"/>
      <c r="AI66" s="110"/>
      <c r="AJ66" s="110">
        <v>175.80467226643211</v>
      </c>
      <c r="AK66" s="110"/>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row>
    <row r="67" spans="1:81" s="609" customFormat="1" hidden="1" outlineLevel="1">
      <c r="A67" s="111"/>
      <c r="B67" s="112" t="s">
        <v>174</v>
      </c>
      <c r="C67" s="103"/>
      <c r="D67" s="103"/>
      <c r="E67" s="103"/>
      <c r="F67" s="103"/>
      <c r="G67" s="103"/>
      <c r="H67" s="103"/>
      <c r="I67" s="103"/>
      <c r="J67" s="103"/>
      <c r="K67" s="103"/>
      <c r="L67" s="103"/>
      <c r="M67" s="103"/>
      <c r="N67" s="103"/>
      <c r="O67" s="104"/>
      <c r="P67" s="104"/>
      <c r="Q67" s="104"/>
      <c r="R67" s="104">
        <v>4.8341268838698825E-2</v>
      </c>
      <c r="S67" s="104"/>
      <c r="T67" s="104"/>
      <c r="U67" s="104">
        <v>5.0849659562120175E-2</v>
      </c>
      <c r="V67" s="104"/>
      <c r="W67" s="104"/>
      <c r="X67" s="104">
        <v>9.8709828742135519E-2</v>
      </c>
      <c r="Y67" s="104"/>
      <c r="Z67" s="104"/>
      <c r="AA67" s="104">
        <v>6.6964412762238634E-2</v>
      </c>
      <c r="AB67" s="104"/>
      <c r="AC67" s="104"/>
      <c r="AD67" s="104">
        <v>4.1500000000000002E-2</v>
      </c>
      <c r="AE67" s="104"/>
      <c r="AF67" s="104"/>
      <c r="AG67" s="104">
        <v>3.5E-4</v>
      </c>
      <c r="AH67" s="104"/>
      <c r="AI67" s="104"/>
      <c r="AJ67" s="104">
        <v>-0.02</v>
      </c>
      <c r="AK67" s="104"/>
      <c r="AL67" s="104"/>
      <c r="AM67" s="104"/>
      <c r="AN67" s="104"/>
      <c r="AO67" s="104"/>
      <c r="AP67" s="104"/>
      <c r="AQ67" s="104"/>
      <c r="AR67" s="104"/>
      <c r="AS67" s="104"/>
      <c r="AT67" s="104"/>
      <c r="AU67" s="104"/>
      <c r="AV67" s="104"/>
      <c r="AW67" s="104"/>
      <c r="AX67" s="104"/>
      <c r="AY67" s="104"/>
      <c r="AZ67" s="104"/>
      <c r="BA67" s="104"/>
      <c r="BB67" s="104"/>
      <c r="BC67" s="104"/>
      <c r="BD67" s="104"/>
      <c r="BE67" s="104"/>
      <c r="BF67" s="103"/>
      <c r="BG67" s="103"/>
      <c r="BH67" s="103"/>
      <c r="BI67" s="103"/>
      <c r="BJ67" s="103"/>
      <c r="BK67" s="103"/>
      <c r="BL67" s="103"/>
      <c r="BM67" s="103"/>
      <c r="BN67" s="103"/>
      <c r="BO67" s="103"/>
      <c r="BP67" s="103"/>
      <c r="BQ67" s="103"/>
      <c r="BR67" s="103"/>
      <c r="BS67" s="103"/>
      <c r="BT67" s="103"/>
      <c r="BU67" s="103"/>
      <c r="BV67" s="103"/>
      <c r="BW67" s="103"/>
      <c r="BX67" s="103"/>
      <c r="BY67" s="103"/>
      <c r="BZ67" s="103"/>
      <c r="CA67" s="103"/>
      <c r="CB67" s="103"/>
      <c r="CC67" s="103"/>
    </row>
    <row r="68" spans="1:81" s="8" customFormat="1" hidden="1" outlineLevel="1">
      <c r="A68" s="113" t="s">
        <v>284</v>
      </c>
      <c r="B68" s="68" t="s">
        <v>171</v>
      </c>
      <c r="C68" s="114"/>
      <c r="D68" s="114"/>
      <c r="E68" s="114"/>
      <c r="F68" s="114"/>
      <c r="G68" s="114"/>
      <c r="H68" s="114"/>
      <c r="I68" s="114"/>
      <c r="J68" s="114"/>
      <c r="K68" s="114"/>
      <c r="L68" s="114"/>
      <c r="M68" s="114">
        <v>144.42500000000001</v>
      </c>
      <c r="N68" s="114">
        <v>193.238</v>
      </c>
      <c r="O68" s="114">
        <v>337.66300000000001</v>
      </c>
      <c r="P68" s="114">
        <v>174.20400000000004</v>
      </c>
      <c r="Q68" s="114">
        <v>204.74600000000001</v>
      </c>
      <c r="R68" s="114">
        <v>378.95</v>
      </c>
      <c r="S68" s="114">
        <v>204.84799999999998</v>
      </c>
      <c r="T68" s="114">
        <v>214.60800000000003</v>
      </c>
      <c r="U68" s="114">
        <v>419.45600000000002</v>
      </c>
      <c r="V68" s="114">
        <v>217.98</v>
      </c>
      <c r="W68" s="114">
        <v>248.828</v>
      </c>
      <c r="X68" s="114">
        <v>466.80799999999999</v>
      </c>
      <c r="Y68" s="114">
        <v>240.06199999999998</v>
      </c>
      <c r="Z68" s="114">
        <v>284.09399999999994</v>
      </c>
      <c r="AA68" s="114">
        <v>524.15599999999995</v>
      </c>
      <c r="AB68" s="114">
        <v>281.37</v>
      </c>
      <c r="AC68" s="114">
        <v>321.846</v>
      </c>
      <c r="AD68" s="114">
        <v>603.21600000000001</v>
      </c>
      <c r="AE68" s="114">
        <v>254.8</v>
      </c>
      <c r="AF68" s="114">
        <v>282.23680000000007</v>
      </c>
      <c r="AG68" s="114">
        <v>537.03680000000008</v>
      </c>
      <c r="AH68" s="114">
        <v>239.4308729772915</v>
      </c>
      <c r="AI68" s="114">
        <v>266.76547581190835</v>
      </c>
      <c r="AJ68" s="114">
        <v>506.19634878919982</v>
      </c>
      <c r="AK68" s="114">
        <v>0</v>
      </c>
      <c r="AL68" s="114">
        <v>0</v>
      </c>
      <c r="AM68" s="114"/>
      <c r="AN68" s="114"/>
      <c r="AO68" s="114"/>
      <c r="AP68" s="114"/>
      <c r="AQ68" s="114"/>
      <c r="AR68" s="114"/>
      <c r="AS68" s="114"/>
      <c r="AT68" s="114"/>
      <c r="AU68" s="114"/>
      <c r="AV68" s="114"/>
      <c r="AW68" s="114"/>
      <c r="AX68" s="114"/>
      <c r="AY68" s="114"/>
      <c r="AZ68" s="114"/>
      <c r="BA68" s="114"/>
      <c r="BB68" s="114"/>
      <c r="BC68" s="114"/>
      <c r="BD68" s="114"/>
      <c r="BE68" s="114"/>
      <c r="BF68" s="114"/>
      <c r="BG68" s="114"/>
      <c r="BH68" s="114"/>
      <c r="BI68" s="114"/>
      <c r="BJ68" s="114"/>
      <c r="BK68" s="114"/>
      <c r="BL68" s="114"/>
      <c r="BM68" s="114"/>
      <c r="BN68" s="114"/>
      <c r="BO68" s="114"/>
      <c r="BP68" s="114"/>
      <c r="BQ68" s="114"/>
      <c r="BR68" s="114"/>
      <c r="BS68" s="114"/>
      <c r="BT68" s="114"/>
      <c r="BU68" s="114"/>
      <c r="BV68" s="114"/>
      <c r="BW68" s="114"/>
      <c r="BX68" s="114"/>
      <c r="BY68" s="114"/>
      <c r="BZ68" s="114"/>
      <c r="CA68" s="114"/>
      <c r="CB68" s="114"/>
      <c r="CC68" s="114"/>
    </row>
    <row r="69" spans="1:81" s="610" customFormat="1" hidden="1" outlineLevel="1">
      <c r="A69" s="115"/>
      <c r="B69" s="115" t="s">
        <v>371</v>
      </c>
      <c r="C69" s="116"/>
      <c r="D69" s="116"/>
      <c r="E69" s="116"/>
      <c r="F69" s="116"/>
      <c r="G69" s="116"/>
      <c r="H69" s="116"/>
      <c r="I69" s="116"/>
      <c r="J69" s="116"/>
      <c r="K69" s="116"/>
      <c r="L69" s="116"/>
      <c r="M69" s="116">
        <v>144.42500000000001</v>
      </c>
      <c r="N69" s="116">
        <v>193.238</v>
      </c>
      <c r="O69" s="116">
        <v>337.66300000000001</v>
      </c>
      <c r="P69" s="116">
        <v>174.20400000000004</v>
      </c>
      <c r="Q69" s="116">
        <v>204.74600000000001</v>
      </c>
      <c r="R69" s="116">
        <v>378.95</v>
      </c>
      <c r="S69" s="116">
        <v>204.84799999999998</v>
      </c>
      <c r="T69" s="116">
        <v>214.60800000000003</v>
      </c>
      <c r="U69" s="116">
        <v>419.45600000000002</v>
      </c>
      <c r="V69" s="116">
        <v>217.98</v>
      </c>
      <c r="W69" s="116">
        <v>248.828</v>
      </c>
      <c r="X69" s="116">
        <v>466.80799999999999</v>
      </c>
      <c r="Y69" s="116">
        <v>240.06199999999998</v>
      </c>
      <c r="Z69" s="116">
        <v>284.09399999999994</v>
      </c>
      <c r="AA69" s="116">
        <v>524.15599999999995</v>
      </c>
      <c r="AB69" s="116">
        <v>281.37099999999998</v>
      </c>
      <c r="AC69" s="116">
        <v>321.84500000000003</v>
      </c>
      <c r="AD69" s="116">
        <v>603.21600000000001</v>
      </c>
      <c r="AE69" s="116">
        <v>254.76</v>
      </c>
      <c r="AF69" s="116">
        <v>282.27680000000009</v>
      </c>
      <c r="AG69" s="116">
        <v>537.03680000000008</v>
      </c>
      <c r="AH69" s="116"/>
      <c r="AI69" s="116"/>
      <c r="AJ69" s="116"/>
      <c r="AK69" s="116"/>
      <c r="AL69" s="116"/>
      <c r="AM69" s="116"/>
      <c r="AN69" s="116"/>
      <c r="AO69" s="116"/>
      <c r="AP69" s="116"/>
      <c r="AQ69" s="116"/>
      <c r="AR69" s="116"/>
      <c r="AS69" s="116"/>
      <c r="AT69" s="116"/>
      <c r="AU69" s="116"/>
      <c r="AV69" s="116"/>
      <c r="AW69" s="116"/>
      <c r="AX69" s="116"/>
      <c r="AY69" s="116"/>
      <c r="AZ69" s="116"/>
      <c r="BA69" s="116"/>
      <c r="BB69" s="116"/>
      <c r="BC69" s="116"/>
      <c r="BD69" s="116"/>
      <c r="BE69" s="116"/>
      <c r="BF69" s="116"/>
      <c r="BG69" s="116"/>
      <c r="BH69" s="116"/>
      <c r="BI69" s="116"/>
      <c r="BJ69" s="116"/>
      <c r="BK69" s="116"/>
      <c r="BL69" s="116"/>
      <c r="BM69" s="116"/>
      <c r="BN69" s="116"/>
      <c r="BO69" s="116"/>
      <c r="BP69" s="116"/>
      <c r="BQ69" s="116"/>
      <c r="BR69" s="116"/>
      <c r="BS69" s="116"/>
      <c r="BT69" s="116"/>
      <c r="BU69" s="116"/>
      <c r="BV69" s="116"/>
      <c r="BW69" s="116"/>
      <c r="BX69" s="116"/>
      <c r="BY69" s="116"/>
      <c r="BZ69" s="116"/>
      <c r="CA69" s="116"/>
      <c r="CB69" s="116"/>
      <c r="CC69" s="116"/>
    </row>
    <row r="70" spans="1:81" s="611" customFormat="1" hidden="1" outlineLevel="1">
      <c r="A70" s="117"/>
      <c r="B70" s="112" t="s">
        <v>455</v>
      </c>
      <c r="C70" s="118"/>
      <c r="D70" s="118"/>
      <c r="E70" s="118"/>
      <c r="F70" s="118"/>
      <c r="G70" s="118"/>
      <c r="H70" s="118"/>
      <c r="I70" s="118"/>
      <c r="J70" s="118"/>
      <c r="K70" s="118"/>
      <c r="L70" s="118"/>
      <c r="M70" s="118"/>
      <c r="N70" s="118"/>
      <c r="O70" s="118"/>
      <c r="P70" s="118"/>
      <c r="Q70" s="118"/>
      <c r="R70" s="103">
        <v>0.1222727986187413</v>
      </c>
      <c r="S70" s="119"/>
      <c r="T70" s="118"/>
      <c r="U70" s="103">
        <v>0.10689009104103442</v>
      </c>
      <c r="V70" s="103"/>
      <c r="W70" s="104"/>
      <c r="X70" s="103">
        <v>0.11288907537381743</v>
      </c>
      <c r="Y70" s="104"/>
      <c r="Z70" s="103"/>
      <c r="AA70" s="103">
        <v>0.1228513650151668</v>
      </c>
      <c r="AB70" s="103"/>
      <c r="AC70" s="103"/>
      <c r="AD70" s="103">
        <v>0.15083295812697006</v>
      </c>
      <c r="AE70" s="103"/>
      <c r="AF70" s="103"/>
      <c r="AG70" s="103">
        <v>-0.10971061775549706</v>
      </c>
      <c r="AH70" s="103"/>
      <c r="AI70" s="103"/>
      <c r="AJ70" s="103">
        <v>-5.7427072429301451E-2</v>
      </c>
      <c r="AK70" s="103"/>
      <c r="AL70" s="103"/>
      <c r="AM70" s="103"/>
      <c r="AN70" s="103"/>
      <c r="AO70" s="103"/>
      <c r="AP70" s="103"/>
      <c r="AQ70" s="103"/>
      <c r="AR70" s="103"/>
      <c r="AS70" s="103"/>
      <c r="AT70" s="103"/>
      <c r="AU70" s="103"/>
      <c r="AV70" s="103"/>
      <c r="AW70" s="103"/>
      <c r="AX70" s="103"/>
      <c r="AY70" s="103"/>
      <c r="AZ70" s="103"/>
      <c r="BA70" s="103"/>
      <c r="BB70" s="103"/>
      <c r="BC70" s="103"/>
      <c r="BD70" s="103"/>
      <c r="BE70" s="103"/>
      <c r="BF70" s="118"/>
      <c r="BG70" s="118"/>
      <c r="BH70" s="118"/>
      <c r="BI70" s="118"/>
      <c r="BJ70" s="118"/>
      <c r="BK70" s="118"/>
      <c r="BL70" s="118"/>
      <c r="BM70" s="118"/>
      <c r="BN70" s="118"/>
      <c r="BO70" s="118"/>
      <c r="BP70" s="118"/>
      <c r="BQ70" s="118"/>
      <c r="BR70" s="118"/>
      <c r="BS70" s="118"/>
      <c r="BT70" s="118"/>
      <c r="BU70" s="118"/>
      <c r="BV70" s="118"/>
      <c r="BW70" s="118"/>
      <c r="BX70" s="118"/>
      <c r="BY70" s="118"/>
      <c r="BZ70" s="118"/>
      <c r="CA70" s="118"/>
      <c r="CB70" s="118"/>
      <c r="CC70" s="118"/>
    </row>
    <row r="71" spans="1:81" s="612" customFormat="1" hidden="1" outlineLevel="1">
      <c r="A71" s="120"/>
      <c r="B71" s="120" t="s">
        <v>400</v>
      </c>
      <c r="C71" s="121"/>
      <c r="D71" s="12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21"/>
      <c r="AJ71" s="121"/>
      <c r="AK71" s="121"/>
      <c r="AL71" s="121"/>
      <c r="AM71" s="121"/>
      <c r="AN71" s="121"/>
      <c r="AO71" s="121"/>
      <c r="AP71" s="121"/>
      <c r="AQ71" s="121"/>
      <c r="AR71" s="121"/>
      <c r="AS71" s="121"/>
      <c r="AT71" s="121"/>
      <c r="AU71" s="121"/>
      <c r="AV71" s="121"/>
      <c r="AW71" s="121"/>
      <c r="AX71" s="121"/>
      <c r="AY71" s="121"/>
      <c r="AZ71" s="121"/>
      <c r="BA71" s="121"/>
      <c r="BB71" s="121"/>
      <c r="BC71" s="121"/>
      <c r="BD71" s="121"/>
      <c r="BE71" s="121"/>
      <c r="BF71" s="121"/>
      <c r="BG71" s="121"/>
      <c r="BH71" s="121"/>
      <c r="BI71" s="121"/>
      <c r="BJ71" s="121"/>
      <c r="BK71" s="121"/>
      <c r="BL71" s="121"/>
      <c r="BM71" s="121"/>
      <c r="BN71" s="121"/>
      <c r="BO71" s="121"/>
      <c r="BP71" s="121"/>
      <c r="BQ71" s="121"/>
      <c r="BR71" s="121"/>
      <c r="BS71" s="121"/>
      <c r="BT71" s="121"/>
      <c r="BU71" s="121"/>
      <c r="BV71" s="121"/>
      <c r="BW71" s="121"/>
      <c r="BX71" s="121"/>
      <c r="BY71" s="121"/>
      <c r="BZ71" s="121"/>
      <c r="CA71" s="121"/>
      <c r="CB71" s="121"/>
      <c r="CC71" s="121"/>
    </row>
    <row r="72" spans="1:81" hidden="1" outlineLevel="1">
      <c r="B72" s="122" t="s">
        <v>398</v>
      </c>
      <c r="C72" s="65"/>
      <c r="D72" s="65"/>
      <c r="E72" s="65"/>
      <c r="F72" s="65"/>
      <c r="G72" s="65"/>
      <c r="H72" s="65"/>
      <c r="I72" s="65"/>
      <c r="J72" s="65"/>
      <c r="K72" s="65"/>
      <c r="L72" s="65"/>
      <c r="M72" s="65"/>
      <c r="N72" s="65"/>
      <c r="O72" s="65"/>
      <c r="P72" s="65"/>
      <c r="Q72" s="65"/>
      <c r="R72" s="65"/>
      <c r="S72" s="65">
        <v>59.2</v>
      </c>
      <c r="V72" s="65">
        <v>59.3</v>
      </c>
      <c r="Y72" s="65">
        <v>71.099999999999994</v>
      </c>
      <c r="AA72" s="114"/>
      <c r="AD72" s="114"/>
      <c r="AG72" s="114"/>
      <c r="AJ72" s="114"/>
      <c r="AM72" s="114"/>
      <c r="AP72" s="114"/>
      <c r="AS72" s="114"/>
      <c r="AV72" s="114"/>
      <c r="AY72" s="114"/>
      <c r="BB72" s="114"/>
      <c r="BE72" s="114"/>
    </row>
    <row r="73" spans="1:81" hidden="1" outlineLevel="1">
      <c r="B73" s="45" t="s">
        <v>152</v>
      </c>
      <c r="C73" s="65"/>
      <c r="D73" s="65"/>
      <c r="E73" s="65"/>
      <c r="F73" s="71"/>
      <c r="G73" s="71"/>
      <c r="H73" s="71"/>
      <c r="I73" s="71"/>
      <c r="J73" s="71"/>
      <c r="K73" s="71"/>
      <c r="L73" s="71"/>
      <c r="M73" s="71">
        <v>0.53</v>
      </c>
      <c r="N73" s="71"/>
      <c r="O73" s="71">
        <v>0.53</v>
      </c>
      <c r="P73" s="71">
        <v>0.54</v>
      </c>
      <c r="Q73" s="65"/>
      <c r="R73" s="71">
        <v>0.55000000000000004</v>
      </c>
      <c r="S73" s="71">
        <v>0.59</v>
      </c>
      <c r="T73" s="71"/>
      <c r="U73" s="71">
        <v>0.57999999999999996</v>
      </c>
      <c r="V73" s="71">
        <v>0.6</v>
      </c>
      <c r="W73" s="71"/>
      <c r="X73" s="71">
        <v>0.59</v>
      </c>
      <c r="Y73" s="71">
        <v>0.57999999999999996</v>
      </c>
      <c r="Z73" s="71"/>
      <c r="AA73" s="71">
        <v>0.59</v>
      </c>
      <c r="AB73" s="71">
        <v>0.59</v>
      </c>
      <c r="AC73" s="71"/>
      <c r="AD73" s="71">
        <v>0.59</v>
      </c>
      <c r="AE73" s="71">
        <v>0.55000000000000004</v>
      </c>
      <c r="AF73" s="71">
        <v>0.55000000000000004</v>
      </c>
      <c r="AG73" s="71">
        <v>0.54400000000000004</v>
      </c>
      <c r="AH73" s="71">
        <v>0.56999999999999995</v>
      </c>
      <c r="AI73" s="71"/>
      <c r="AJ73" s="71"/>
      <c r="AK73" s="71"/>
      <c r="AL73" s="71"/>
      <c r="AM73" s="71"/>
      <c r="AN73" s="71"/>
      <c r="AO73" s="71"/>
      <c r="AP73" s="71"/>
      <c r="AQ73" s="71"/>
      <c r="AR73" s="71"/>
      <c r="AS73" s="71"/>
      <c r="AT73" s="71"/>
      <c r="AU73" s="71"/>
      <c r="AV73" s="71"/>
      <c r="AW73" s="71"/>
      <c r="AX73" s="71"/>
      <c r="AY73" s="71"/>
      <c r="AZ73" s="71"/>
      <c r="BA73" s="71"/>
      <c r="BB73" s="71"/>
      <c r="BC73" s="71"/>
      <c r="BD73" s="71"/>
      <c r="BE73" s="71"/>
    </row>
    <row r="74" spans="1:81" hidden="1" outlineLevel="1">
      <c r="B74" s="45" t="s">
        <v>279</v>
      </c>
      <c r="C74" s="65"/>
      <c r="D74" s="65"/>
      <c r="E74" s="65"/>
      <c r="F74" s="71"/>
      <c r="G74" s="71"/>
      <c r="H74" s="71"/>
      <c r="I74" s="71"/>
      <c r="J74" s="71"/>
      <c r="K74" s="71"/>
      <c r="L74" s="71"/>
      <c r="M74" s="71">
        <v>0.16</v>
      </c>
      <c r="N74" s="71"/>
      <c r="O74" s="71">
        <v>0.16</v>
      </c>
      <c r="P74" s="71">
        <v>0.16</v>
      </c>
      <c r="Q74" s="65"/>
      <c r="R74" s="71">
        <v>0.15</v>
      </c>
      <c r="S74" s="71">
        <v>0.15</v>
      </c>
      <c r="T74" s="71"/>
      <c r="U74" s="71">
        <v>0.15</v>
      </c>
      <c r="V74" s="71">
        <v>0.14000000000000001</v>
      </c>
      <c r="W74" s="71"/>
      <c r="X74" s="71">
        <v>0.16</v>
      </c>
      <c r="Y74" s="71">
        <v>0.15</v>
      </c>
      <c r="Z74" s="71"/>
      <c r="AA74" s="71">
        <v>0.16</v>
      </c>
      <c r="AB74" s="71">
        <v>0.16</v>
      </c>
      <c r="AC74" s="71"/>
      <c r="AD74" s="71">
        <v>0.14499999999999999</v>
      </c>
      <c r="AE74" s="71">
        <v>0.16</v>
      </c>
      <c r="AF74" s="71">
        <v>0.16</v>
      </c>
      <c r="AG74" s="71">
        <v>0.16</v>
      </c>
      <c r="AH74" s="71">
        <v>0.13</v>
      </c>
      <c r="AI74" s="71"/>
      <c r="AJ74" s="71"/>
      <c r="AK74" s="71"/>
      <c r="AL74" s="71"/>
      <c r="AM74" s="71"/>
      <c r="AN74" s="71"/>
      <c r="AO74" s="71"/>
      <c r="AP74" s="71"/>
      <c r="AQ74" s="71"/>
      <c r="AR74" s="71"/>
      <c r="AS74" s="71"/>
      <c r="AT74" s="71"/>
      <c r="AU74" s="71"/>
      <c r="AV74" s="71"/>
      <c r="AW74" s="71"/>
      <c r="AX74" s="71"/>
      <c r="AY74" s="71"/>
      <c r="AZ74" s="71"/>
      <c r="BA74" s="71"/>
      <c r="BB74" s="71"/>
      <c r="BC74" s="71"/>
      <c r="BD74" s="71"/>
      <c r="BE74" s="71"/>
    </row>
    <row r="75" spans="1:81" hidden="1" outlineLevel="1">
      <c r="B75" s="45" t="s">
        <v>496</v>
      </c>
      <c r="C75" s="65"/>
      <c r="D75" s="65"/>
      <c r="E75" s="65"/>
      <c r="F75" s="71"/>
      <c r="G75" s="71"/>
      <c r="H75" s="71"/>
      <c r="I75" s="71"/>
      <c r="J75" s="71"/>
      <c r="K75" s="71"/>
      <c r="L75" s="71"/>
      <c r="M75" s="71">
        <v>0.18</v>
      </c>
      <c r="N75" s="71"/>
      <c r="O75" s="71">
        <v>0.18</v>
      </c>
      <c r="P75" s="71">
        <v>0.17</v>
      </c>
      <c r="Q75" s="65"/>
      <c r="R75" s="71">
        <v>0.17</v>
      </c>
      <c r="S75" s="71">
        <v>0.14000000000000001</v>
      </c>
      <c r="T75" s="71"/>
      <c r="U75" s="71">
        <v>0.15</v>
      </c>
      <c r="V75" s="71">
        <v>0.15</v>
      </c>
      <c r="W75" s="71"/>
      <c r="X75" s="71">
        <v>0.14000000000000001</v>
      </c>
      <c r="Y75" s="71">
        <v>0.15</v>
      </c>
      <c r="Z75" s="71"/>
      <c r="AA75" s="71">
        <v>0.15</v>
      </c>
      <c r="AB75" s="71">
        <v>0.15</v>
      </c>
      <c r="AC75" s="71"/>
      <c r="AD75" s="71">
        <v>0.14499999999999999</v>
      </c>
      <c r="AE75" s="71">
        <v>0.154</v>
      </c>
      <c r="AF75" s="71">
        <v>0.154</v>
      </c>
      <c r="AG75" s="71">
        <v>0.16</v>
      </c>
      <c r="AH75" s="71">
        <v>0.17</v>
      </c>
      <c r="AI75" s="71"/>
      <c r="AJ75" s="71"/>
      <c r="AK75" s="71"/>
      <c r="AL75" s="71"/>
      <c r="AM75" s="71"/>
      <c r="AN75" s="71"/>
      <c r="AO75" s="71"/>
      <c r="AP75" s="71"/>
      <c r="AQ75" s="71"/>
      <c r="AR75" s="71"/>
      <c r="AS75" s="71"/>
      <c r="AT75" s="71"/>
      <c r="AU75" s="71"/>
      <c r="AV75" s="71"/>
      <c r="AW75" s="71"/>
      <c r="AX75" s="71"/>
      <c r="AY75" s="71"/>
      <c r="AZ75" s="71"/>
      <c r="BA75" s="71"/>
      <c r="BB75" s="71"/>
      <c r="BC75" s="71"/>
      <c r="BD75" s="71"/>
      <c r="BE75" s="71"/>
    </row>
    <row r="76" spans="1:81" hidden="1" outlineLevel="1">
      <c r="B76" s="45" t="s">
        <v>356</v>
      </c>
      <c r="C76" s="65"/>
      <c r="D76" s="65"/>
      <c r="E76" s="65"/>
      <c r="F76" s="71"/>
      <c r="G76" s="71"/>
      <c r="H76" s="71"/>
      <c r="I76" s="71"/>
      <c r="J76" s="71"/>
      <c r="K76" s="71"/>
      <c r="L76" s="71"/>
      <c r="M76" s="71">
        <v>0.13</v>
      </c>
      <c r="N76" s="71"/>
      <c r="O76" s="71">
        <v>0.13</v>
      </c>
      <c r="P76" s="71">
        <v>0.13</v>
      </c>
      <c r="Q76" s="65"/>
      <c r="R76" s="71">
        <v>0.13</v>
      </c>
      <c r="S76" s="71">
        <v>0.12</v>
      </c>
      <c r="T76" s="71"/>
      <c r="U76" s="71">
        <v>0.12</v>
      </c>
      <c r="V76" s="71">
        <v>0.11</v>
      </c>
      <c r="W76" s="71"/>
      <c r="X76" s="71">
        <v>0.11</v>
      </c>
      <c r="Y76" s="71">
        <v>0.12</v>
      </c>
      <c r="Z76" s="71"/>
      <c r="AA76" s="71">
        <v>0.1</v>
      </c>
      <c r="AB76" s="71">
        <v>0.1</v>
      </c>
      <c r="AC76" s="71"/>
      <c r="AD76" s="71">
        <v>0.12</v>
      </c>
      <c r="AE76" s="71">
        <v>0.12</v>
      </c>
      <c r="AF76" s="71">
        <v>0.13600000000000001</v>
      </c>
      <c r="AG76" s="71">
        <v>0.13600000000000001</v>
      </c>
      <c r="AH76" s="71">
        <v>0.13</v>
      </c>
      <c r="AI76" s="71"/>
      <c r="AJ76" s="71"/>
      <c r="AK76" s="71"/>
      <c r="AL76" s="71"/>
      <c r="AM76" s="71"/>
      <c r="AN76" s="71"/>
      <c r="AO76" s="71"/>
      <c r="AP76" s="71"/>
      <c r="AQ76" s="71"/>
      <c r="AR76" s="71"/>
      <c r="AS76" s="71"/>
      <c r="AT76" s="71"/>
      <c r="AU76" s="71"/>
      <c r="AV76" s="71"/>
      <c r="AW76" s="71"/>
      <c r="AX76" s="71"/>
      <c r="AY76" s="71"/>
      <c r="AZ76" s="71"/>
      <c r="BA76" s="71"/>
      <c r="BB76" s="71"/>
      <c r="BC76" s="71"/>
      <c r="BD76" s="71"/>
      <c r="BE76" s="71"/>
    </row>
    <row r="77" spans="1:81" hidden="1" outlineLevel="1">
      <c r="B77" s="45" t="s">
        <v>330</v>
      </c>
      <c r="C77" s="65"/>
      <c r="D77" s="65"/>
      <c r="E77" s="65"/>
      <c r="F77" s="65"/>
      <c r="G77" s="65"/>
      <c r="H77" s="65"/>
      <c r="I77" s="65"/>
      <c r="J77" s="65"/>
      <c r="K77" s="65"/>
      <c r="L77" s="65"/>
      <c r="M77" s="71">
        <v>1</v>
      </c>
      <c r="N77" s="65"/>
      <c r="O77" s="71">
        <v>1</v>
      </c>
      <c r="P77" s="71">
        <v>1</v>
      </c>
      <c r="Q77" s="65"/>
      <c r="R77" s="71">
        <v>1</v>
      </c>
      <c r="S77" s="71"/>
      <c r="T77" s="71"/>
      <c r="U77" s="71">
        <v>1</v>
      </c>
      <c r="V77" s="71"/>
      <c r="W77" s="71"/>
      <c r="X77" s="71">
        <v>1</v>
      </c>
      <c r="Y77" s="71">
        <v>1</v>
      </c>
      <c r="Z77" s="71"/>
      <c r="AA77" s="71">
        <v>1</v>
      </c>
      <c r="AB77" s="71">
        <v>1</v>
      </c>
      <c r="AC77" s="71"/>
      <c r="AD77" s="71">
        <v>1</v>
      </c>
      <c r="AE77" s="71">
        <v>1</v>
      </c>
      <c r="AF77" s="69">
        <v>1</v>
      </c>
      <c r="AG77" s="69">
        <v>1</v>
      </c>
      <c r="AH77" s="69">
        <v>1</v>
      </c>
      <c r="AI77" s="71"/>
      <c r="AJ77" s="71"/>
      <c r="AK77" s="71"/>
      <c r="AL77" s="71"/>
      <c r="AM77" s="71"/>
      <c r="AN77" s="71"/>
      <c r="AO77" s="71"/>
      <c r="AP77" s="71"/>
      <c r="AQ77" s="71"/>
      <c r="AR77" s="71"/>
      <c r="AS77" s="71"/>
      <c r="AT77" s="71"/>
      <c r="AU77" s="71"/>
      <c r="AV77" s="71"/>
      <c r="AW77" s="71"/>
      <c r="AX77" s="71"/>
      <c r="AY77" s="71"/>
      <c r="AZ77" s="71"/>
      <c r="BA77" s="71"/>
      <c r="BB77" s="71"/>
      <c r="BC77" s="71"/>
      <c r="BD77" s="71"/>
      <c r="BE77" s="71"/>
    </row>
    <row r="78" spans="1:81" hidden="1" outlineLevel="1">
      <c r="C78" s="65"/>
      <c r="D78" s="65"/>
      <c r="E78" s="65"/>
      <c r="F78" s="65"/>
      <c r="G78" s="65"/>
      <c r="H78" s="65"/>
      <c r="I78" s="65"/>
      <c r="J78" s="65"/>
      <c r="K78" s="65"/>
      <c r="L78" s="65"/>
      <c r="M78" s="65"/>
      <c r="N78" s="65"/>
      <c r="O78" s="65"/>
      <c r="P78" s="65"/>
      <c r="Q78" s="65"/>
      <c r="R78" s="65"/>
      <c r="S78" s="65"/>
    </row>
    <row r="79" spans="1:81" hidden="1" outlineLevel="1">
      <c r="B79" s="122" t="s">
        <v>399</v>
      </c>
      <c r="C79" s="65"/>
      <c r="D79" s="65"/>
      <c r="E79" s="65"/>
      <c r="F79" s="65"/>
      <c r="G79" s="65"/>
      <c r="H79" s="65"/>
      <c r="I79" s="65"/>
      <c r="J79" s="65"/>
      <c r="K79" s="65"/>
      <c r="L79" s="65"/>
      <c r="M79" s="65"/>
      <c r="N79" s="65"/>
      <c r="O79" s="88"/>
      <c r="P79" s="88"/>
      <c r="Q79" s="65"/>
      <c r="R79" s="88"/>
      <c r="S79" s="65"/>
      <c r="U79" s="88"/>
      <c r="X79" s="88"/>
      <c r="Y79" s="71"/>
    </row>
    <row r="80" spans="1:81" hidden="1" outlineLevel="1">
      <c r="B80" s="45" t="s">
        <v>152</v>
      </c>
      <c r="C80" s="65"/>
      <c r="D80" s="65"/>
      <c r="E80" s="65"/>
      <c r="F80" s="123"/>
      <c r="G80" s="123"/>
      <c r="H80" s="123"/>
      <c r="I80" s="123"/>
      <c r="J80" s="123"/>
      <c r="K80" s="123"/>
      <c r="L80" s="123"/>
      <c r="M80" s="123">
        <v>144.42500000000001</v>
      </c>
      <c r="N80" s="123">
        <v>193.238</v>
      </c>
      <c r="O80" s="123">
        <v>337.66300000000001</v>
      </c>
      <c r="P80" s="123">
        <v>174.20400000000004</v>
      </c>
      <c r="Q80" s="123">
        <v>204.74600000000001</v>
      </c>
      <c r="R80" s="123">
        <v>378.95</v>
      </c>
      <c r="S80" s="123">
        <v>204.84799999999998</v>
      </c>
      <c r="T80" s="123">
        <v>214.60800000000003</v>
      </c>
      <c r="U80" s="123">
        <v>419.45600000000002</v>
      </c>
      <c r="V80" s="123">
        <v>217.98</v>
      </c>
      <c r="W80" s="123">
        <v>248.828</v>
      </c>
      <c r="X80" s="123">
        <v>466.80799999999999</v>
      </c>
      <c r="Y80" s="123">
        <v>240.06199999999998</v>
      </c>
      <c r="Z80" s="123">
        <v>284.09399999999994</v>
      </c>
      <c r="AA80" s="123">
        <v>524.15599999999995</v>
      </c>
      <c r="AB80" s="123">
        <v>281.37099999999998</v>
      </c>
      <c r="AC80" s="123">
        <v>321.84500000000003</v>
      </c>
      <c r="AD80" s="123">
        <v>603.21600000000001</v>
      </c>
      <c r="AE80" s="123">
        <v>254.76</v>
      </c>
      <c r="AF80" s="123">
        <v>282.27680000000009</v>
      </c>
      <c r="AG80" s="123">
        <v>537.03680000000008</v>
      </c>
      <c r="AH80" s="123"/>
      <c r="AI80" s="123"/>
      <c r="AJ80" s="123"/>
      <c r="AK80" s="123"/>
      <c r="AL80" s="123"/>
      <c r="AM80" s="123"/>
      <c r="AN80" s="123"/>
      <c r="AO80" s="123"/>
      <c r="AP80" s="123"/>
      <c r="AQ80" s="123"/>
      <c r="AR80" s="123"/>
      <c r="AS80" s="123"/>
      <c r="AT80" s="123"/>
      <c r="AU80" s="123"/>
      <c r="AV80" s="123"/>
      <c r="AW80" s="123"/>
      <c r="AX80" s="123"/>
      <c r="AY80" s="123"/>
      <c r="AZ80" s="123"/>
      <c r="BA80" s="123"/>
      <c r="BB80" s="123"/>
      <c r="BC80" s="123"/>
      <c r="BD80" s="123"/>
      <c r="BE80" s="123"/>
    </row>
    <row r="81" spans="1:84" hidden="1" outlineLevel="1">
      <c r="B81" s="45" t="s">
        <v>279</v>
      </c>
      <c r="C81" s="65"/>
      <c r="D81" s="65"/>
      <c r="E81" s="65"/>
      <c r="F81" s="123"/>
      <c r="G81" s="123"/>
      <c r="H81" s="123"/>
      <c r="I81" s="123"/>
      <c r="J81" s="123"/>
      <c r="K81" s="123"/>
      <c r="L81" s="123"/>
      <c r="M81" s="123">
        <v>43.6</v>
      </c>
      <c r="N81" s="123">
        <v>58.336000000000006</v>
      </c>
      <c r="O81" s="123">
        <v>101.93600000000001</v>
      </c>
      <c r="P81" s="123">
        <v>51.616000000000007</v>
      </c>
      <c r="Q81" s="123">
        <v>51.733999999999988</v>
      </c>
      <c r="R81" s="123">
        <v>103.35</v>
      </c>
      <c r="S81" s="123">
        <v>52.08</v>
      </c>
      <c r="T81" s="123">
        <v>56.4</v>
      </c>
      <c r="U81" s="123">
        <v>108.48</v>
      </c>
      <c r="V81" s="123">
        <v>50.862000000000009</v>
      </c>
      <c r="W81" s="123">
        <v>75.73</v>
      </c>
      <c r="X81" s="123">
        <v>126.59200000000001</v>
      </c>
      <c r="Y81" s="123">
        <v>62.085000000000001</v>
      </c>
      <c r="Z81" s="123">
        <v>80.059000000000012</v>
      </c>
      <c r="AA81" s="123">
        <v>142.14400000000001</v>
      </c>
      <c r="AB81" s="123">
        <v>76.304000000000002</v>
      </c>
      <c r="AC81" s="123">
        <v>71.943999999999988</v>
      </c>
      <c r="AD81" s="123">
        <v>148.24799999999999</v>
      </c>
      <c r="AE81" s="123">
        <v>74.111999999999995</v>
      </c>
      <c r="AF81" s="123">
        <v>83.84</v>
      </c>
      <c r="AG81" s="123">
        <v>157.952</v>
      </c>
      <c r="AH81" s="123"/>
      <c r="AI81" s="123"/>
      <c r="AJ81" s="123"/>
      <c r="AK81" s="123"/>
      <c r="AL81" s="123"/>
      <c r="AM81" s="123"/>
      <c r="AN81" s="123"/>
      <c r="AO81" s="123"/>
      <c r="AP81" s="123"/>
      <c r="AQ81" s="123"/>
      <c r="AR81" s="123"/>
      <c r="AS81" s="123"/>
      <c r="AT81" s="123"/>
      <c r="AU81" s="123"/>
      <c r="AV81" s="123"/>
      <c r="AW81" s="123"/>
      <c r="AX81" s="123"/>
      <c r="AY81" s="123"/>
      <c r="AZ81" s="123"/>
      <c r="BA81" s="123"/>
      <c r="BB81" s="123"/>
      <c r="BC81" s="123"/>
      <c r="BD81" s="123"/>
      <c r="BE81" s="123"/>
    </row>
    <row r="82" spans="1:84" hidden="1" outlineLevel="1">
      <c r="B82" s="45" t="s">
        <v>496</v>
      </c>
      <c r="C82" s="65"/>
      <c r="D82" s="65"/>
      <c r="E82" s="65"/>
      <c r="F82" s="123"/>
      <c r="G82" s="123"/>
      <c r="H82" s="123"/>
      <c r="I82" s="123"/>
      <c r="J82" s="123"/>
      <c r="K82" s="123"/>
      <c r="L82" s="123"/>
      <c r="M82" s="123">
        <v>49.05</v>
      </c>
      <c r="N82" s="123">
        <v>65.628</v>
      </c>
      <c r="O82" s="123">
        <v>114.678</v>
      </c>
      <c r="P82" s="123">
        <v>54.842000000000006</v>
      </c>
      <c r="Q82" s="123">
        <v>62.288000000000004</v>
      </c>
      <c r="R82" s="123">
        <v>117.13</v>
      </c>
      <c r="S82" s="123">
        <v>48.608000000000004</v>
      </c>
      <c r="T82" s="123">
        <v>59.872</v>
      </c>
      <c r="U82" s="123">
        <v>108.48</v>
      </c>
      <c r="V82" s="123">
        <v>54.494999999999997</v>
      </c>
      <c r="W82" s="123">
        <v>56.273000000000017</v>
      </c>
      <c r="X82" s="123">
        <v>110.76800000000001</v>
      </c>
      <c r="Y82" s="123">
        <v>62.085000000000001</v>
      </c>
      <c r="Z82" s="123">
        <v>71.174999999999997</v>
      </c>
      <c r="AA82" s="123">
        <v>133.26</v>
      </c>
      <c r="AB82" s="123">
        <v>71.534999999999997</v>
      </c>
      <c r="AC82" s="123">
        <v>76.712999999999994</v>
      </c>
      <c r="AD82" s="123">
        <v>148.24799999999999</v>
      </c>
      <c r="AE82" s="123">
        <v>71.332799999999992</v>
      </c>
      <c r="AF82" s="123">
        <v>86.619200000000006</v>
      </c>
      <c r="AG82" s="123">
        <v>157.952</v>
      </c>
      <c r="AH82" s="123"/>
      <c r="AI82" s="123"/>
      <c r="AJ82" s="123"/>
      <c r="AK82" s="123"/>
      <c r="AL82" s="123"/>
      <c r="AM82" s="123"/>
      <c r="AN82" s="123"/>
      <c r="AO82" s="123"/>
      <c r="AP82" s="123"/>
      <c r="AQ82" s="123"/>
      <c r="AR82" s="123"/>
      <c r="AS82" s="123"/>
      <c r="AT82" s="123"/>
      <c r="AU82" s="123"/>
      <c r="AV82" s="123"/>
      <c r="AW82" s="123"/>
      <c r="AX82" s="123"/>
      <c r="AY82" s="123"/>
      <c r="AZ82" s="123"/>
      <c r="BA82" s="123"/>
      <c r="BB82" s="123"/>
      <c r="BC82" s="123"/>
      <c r="BD82" s="123"/>
      <c r="BE82" s="123"/>
    </row>
    <row r="83" spans="1:84" hidden="1" outlineLevel="1">
      <c r="B83" s="45" t="s">
        <v>356</v>
      </c>
      <c r="C83" s="65"/>
      <c r="D83" s="65"/>
      <c r="E83" s="65"/>
      <c r="F83" s="123"/>
      <c r="G83" s="123"/>
      <c r="H83" s="123"/>
      <c r="I83" s="123"/>
      <c r="J83" s="123"/>
      <c r="K83" s="123"/>
      <c r="L83" s="123"/>
      <c r="M83" s="123">
        <v>35.424999999999997</v>
      </c>
      <c r="N83" s="123">
        <v>47.398000000000003</v>
      </c>
      <c r="O83" s="123">
        <v>82.823000000000008</v>
      </c>
      <c r="P83" s="123">
        <v>41.938000000000002</v>
      </c>
      <c r="Q83" s="123">
        <v>47.632000000000005</v>
      </c>
      <c r="R83" s="123">
        <v>89.57</v>
      </c>
      <c r="S83" s="123">
        <v>41.663999999999994</v>
      </c>
      <c r="T83" s="123">
        <v>45.12</v>
      </c>
      <c r="U83" s="123">
        <v>86.784000000000006</v>
      </c>
      <c r="V83" s="123">
        <v>39.963000000000001</v>
      </c>
      <c r="W83" s="123">
        <v>47.06900000000001</v>
      </c>
      <c r="X83" s="123">
        <v>87.032000000000011</v>
      </c>
      <c r="Y83" s="123">
        <v>49.667999999999992</v>
      </c>
      <c r="Z83" s="123">
        <v>39.172000000000011</v>
      </c>
      <c r="AA83" s="123">
        <v>88.84</v>
      </c>
      <c r="AB83" s="123">
        <v>47.69</v>
      </c>
      <c r="AC83" s="123">
        <v>74.998000000000047</v>
      </c>
      <c r="AD83" s="123">
        <v>122.68799999999999</v>
      </c>
      <c r="AE83" s="123">
        <v>62.995200000000011</v>
      </c>
      <c r="AF83" s="123"/>
      <c r="AG83" s="123">
        <v>134.25920000000002</v>
      </c>
      <c r="AH83" s="123"/>
      <c r="AI83" s="123"/>
      <c r="AJ83" s="123"/>
      <c r="AK83" s="123"/>
      <c r="AL83" s="123"/>
      <c r="AM83" s="123"/>
      <c r="AN83" s="123"/>
      <c r="AO83" s="123"/>
      <c r="AP83" s="123"/>
      <c r="AQ83" s="123"/>
      <c r="AR83" s="123"/>
      <c r="AS83" s="123"/>
      <c r="AT83" s="123"/>
      <c r="AU83" s="123"/>
      <c r="AV83" s="123"/>
      <c r="AW83" s="123"/>
      <c r="AX83" s="123"/>
      <c r="AY83" s="123"/>
      <c r="AZ83" s="123"/>
      <c r="BA83" s="123"/>
      <c r="BB83" s="123"/>
      <c r="BC83" s="123"/>
      <c r="BD83" s="123"/>
      <c r="BE83" s="123"/>
    </row>
    <row r="84" spans="1:84" hidden="1" outlineLevel="1">
      <c r="B84" s="45" t="s">
        <v>330</v>
      </c>
      <c r="C84" s="65"/>
      <c r="D84" s="65"/>
      <c r="E84" s="65"/>
      <c r="F84" s="123"/>
      <c r="G84" s="123"/>
      <c r="H84" s="123"/>
      <c r="I84" s="123"/>
      <c r="J84" s="123"/>
      <c r="K84" s="123"/>
      <c r="L84" s="123"/>
      <c r="M84" s="123">
        <v>272.5</v>
      </c>
      <c r="N84" s="123">
        <v>364.6</v>
      </c>
      <c r="O84" s="123">
        <v>637.1</v>
      </c>
      <c r="P84" s="123">
        <v>322.60000000000002</v>
      </c>
      <c r="Q84" s="123">
        <v>366.4</v>
      </c>
      <c r="R84" s="123">
        <v>689</v>
      </c>
      <c r="S84" s="123">
        <v>347.2</v>
      </c>
      <c r="T84" s="123">
        <v>376</v>
      </c>
      <c r="U84" s="123">
        <v>723.2</v>
      </c>
      <c r="V84" s="123">
        <v>363.3</v>
      </c>
      <c r="W84" s="123">
        <v>427.9</v>
      </c>
      <c r="X84" s="123">
        <v>791.2</v>
      </c>
      <c r="Y84" s="123">
        <v>413.9</v>
      </c>
      <c r="Z84" s="123">
        <v>474.5</v>
      </c>
      <c r="AA84" s="123">
        <v>888.4</v>
      </c>
      <c r="AB84" s="123">
        <v>476.9</v>
      </c>
      <c r="AC84" s="123">
        <v>545.5</v>
      </c>
      <c r="AD84" s="123">
        <v>1022.4</v>
      </c>
      <c r="AE84" s="123">
        <v>463.2</v>
      </c>
      <c r="AF84" s="123"/>
      <c r="AG84" s="123">
        <v>987.2</v>
      </c>
      <c r="AH84" s="123"/>
      <c r="AI84" s="123"/>
      <c r="AJ84" s="123"/>
      <c r="AK84" s="123"/>
      <c r="AL84" s="123"/>
      <c r="AM84" s="123"/>
      <c r="AN84" s="123"/>
      <c r="AO84" s="123"/>
      <c r="AP84" s="123"/>
      <c r="AQ84" s="123"/>
      <c r="AR84" s="123"/>
      <c r="AS84" s="123"/>
      <c r="AT84" s="123"/>
      <c r="AU84" s="123"/>
      <c r="AV84" s="123"/>
      <c r="AW84" s="123"/>
      <c r="AX84" s="123"/>
      <c r="AY84" s="123"/>
      <c r="AZ84" s="123"/>
      <c r="BA84" s="123"/>
      <c r="BB84" s="123"/>
      <c r="BC84" s="123"/>
      <c r="BD84" s="123"/>
      <c r="BE84" s="123"/>
    </row>
    <row r="85" spans="1:84" hidden="1" outlineLevel="1">
      <c r="C85" s="65"/>
      <c r="D85" s="65"/>
      <c r="E85" s="65"/>
      <c r="F85" s="65"/>
      <c r="G85" s="65"/>
      <c r="H85" s="65"/>
      <c r="I85" s="65"/>
      <c r="J85" s="65"/>
      <c r="K85" s="65"/>
      <c r="L85" s="65"/>
      <c r="M85" s="65"/>
      <c r="N85" s="65"/>
      <c r="O85" s="65"/>
      <c r="P85" s="65"/>
      <c r="Q85" s="65"/>
      <c r="R85" s="65"/>
      <c r="S85" s="65"/>
    </row>
    <row r="86" spans="1:84" collapsed="1">
      <c r="A86" s="66"/>
      <c r="B86" s="65"/>
      <c r="C86" s="65"/>
      <c r="D86" s="65"/>
      <c r="E86" s="65"/>
      <c r="F86" s="65"/>
      <c r="G86" s="65"/>
      <c r="H86" s="65"/>
      <c r="I86" s="65"/>
      <c r="J86" s="65"/>
      <c r="K86" s="65"/>
      <c r="L86" s="65"/>
      <c r="M86" s="65"/>
      <c r="N86" s="65"/>
      <c r="O86" s="65"/>
      <c r="P86" s="65"/>
      <c r="Q86" s="65"/>
      <c r="R86" s="65"/>
      <c r="S86" s="65"/>
      <c r="AH86" s="71"/>
      <c r="AI86" s="90"/>
      <c r="AJ86" s="124"/>
      <c r="AK86" s="125"/>
      <c r="AN86" s="114"/>
      <c r="AW86" s="123"/>
    </row>
    <row r="87" spans="1:84">
      <c r="A87" s="66"/>
      <c r="B87" s="65"/>
      <c r="C87" s="65"/>
      <c r="D87" s="65"/>
      <c r="E87" s="65"/>
      <c r="F87" s="65"/>
      <c r="G87" s="65"/>
      <c r="H87" s="65"/>
      <c r="I87" s="65"/>
      <c r="J87" s="65"/>
      <c r="K87" s="65"/>
      <c r="L87" s="65"/>
      <c r="M87" s="65"/>
      <c r="N87" s="65"/>
      <c r="O87" s="65"/>
      <c r="P87" s="65"/>
      <c r="Q87" s="65"/>
      <c r="R87" s="65"/>
      <c r="S87" s="65"/>
      <c r="AH87" s="71"/>
      <c r="AI87" s="90"/>
      <c r="AJ87" s="124"/>
      <c r="AK87" s="175"/>
      <c r="AL87" s="175"/>
      <c r="AM87" s="175"/>
      <c r="AN87" s="114"/>
      <c r="AV87" s="123"/>
      <c r="BC87" s="69"/>
    </row>
    <row r="88" spans="1:84" s="613" customFormat="1">
      <c r="A88" s="238" t="s">
        <v>303</v>
      </c>
      <c r="B88" s="238"/>
      <c r="C88" s="237"/>
      <c r="D88" s="237"/>
      <c r="E88" s="237"/>
      <c r="F88" s="237"/>
      <c r="G88" s="237"/>
      <c r="H88" s="237"/>
      <c r="I88" s="237"/>
      <c r="J88" s="237"/>
      <c r="K88" s="237"/>
      <c r="L88" s="237"/>
      <c r="M88" s="237"/>
      <c r="N88" s="237"/>
      <c r="O88" s="237"/>
      <c r="P88" s="237"/>
      <c r="Q88" s="237"/>
      <c r="R88" s="237"/>
      <c r="S88" s="237"/>
      <c r="T88" s="237"/>
      <c r="U88" s="237"/>
      <c r="V88" s="237"/>
      <c r="W88" s="237"/>
      <c r="X88" s="237"/>
      <c r="Y88" s="237"/>
      <c r="Z88" s="237"/>
      <c r="AA88" s="237"/>
      <c r="AB88" s="237"/>
      <c r="AC88" s="237"/>
      <c r="AD88" s="237"/>
      <c r="AE88" s="237"/>
      <c r="AF88" s="237"/>
      <c r="AG88" s="237"/>
      <c r="AH88" s="239"/>
      <c r="AI88" s="237"/>
      <c r="AJ88" s="236"/>
      <c r="AK88" s="240"/>
      <c r="AL88" s="237"/>
      <c r="AM88" s="237"/>
      <c r="AN88" s="241"/>
      <c r="AO88" s="237"/>
      <c r="AP88" s="239">
        <f>+AP96/AM96-1</f>
        <v>-1.561583039564407E-2</v>
      </c>
      <c r="AQ88" s="237"/>
      <c r="AR88" s="237"/>
      <c r="AS88" s="237"/>
      <c r="AT88" s="237"/>
      <c r="AU88" s="237"/>
      <c r="AV88" s="237"/>
      <c r="AW88" s="237"/>
      <c r="AX88" s="237"/>
      <c r="AY88" s="237"/>
      <c r="AZ88" s="237"/>
      <c r="BA88" s="237"/>
      <c r="BB88" s="237"/>
      <c r="BC88" s="237"/>
      <c r="BD88" s="237"/>
      <c r="BE88" s="237"/>
      <c r="BF88" s="237"/>
      <c r="BG88" s="237"/>
      <c r="BH88" s="237"/>
      <c r="BI88" s="237"/>
      <c r="BJ88" s="237"/>
      <c r="BK88" s="237"/>
      <c r="BL88" s="237"/>
      <c r="BM88" s="237"/>
      <c r="BN88" s="237"/>
      <c r="BO88" s="237"/>
      <c r="BP88" s="237"/>
      <c r="BQ88" s="237"/>
      <c r="BR88" s="237"/>
      <c r="BS88" s="237"/>
      <c r="BT88" s="237"/>
      <c r="BU88" s="237"/>
      <c r="BV88" s="237"/>
      <c r="BW88" s="237"/>
      <c r="BX88" s="237"/>
      <c r="BY88" s="237"/>
      <c r="BZ88" s="237"/>
      <c r="CA88" s="237"/>
      <c r="CB88" s="237"/>
      <c r="CC88" s="237"/>
    </row>
    <row r="89" spans="1:84">
      <c r="B89" s="122"/>
      <c r="C89" s="65"/>
      <c r="D89" s="65"/>
      <c r="E89" s="65"/>
      <c r="F89" s="65"/>
      <c r="G89" s="65"/>
      <c r="H89" s="65"/>
      <c r="I89" s="65"/>
      <c r="J89" s="65"/>
      <c r="K89" s="65"/>
      <c r="L89" s="65"/>
      <c r="M89" s="65"/>
      <c r="N89" s="65"/>
      <c r="O89" s="65"/>
      <c r="P89" s="65"/>
      <c r="Q89" s="65"/>
      <c r="R89" s="65"/>
      <c r="S89" s="65"/>
      <c r="AH89" s="71"/>
      <c r="AI89" s="90"/>
      <c r="AJ89" s="124"/>
      <c r="AK89" s="125"/>
      <c r="AN89" s="114"/>
      <c r="AP89" s="71"/>
      <c r="BC89" s="65" t="s">
        <v>706</v>
      </c>
    </row>
    <row r="90" spans="1:84" s="7" customFormat="1">
      <c r="A90" s="126"/>
      <c r="B90" s="438" t="s">
        <v>152</v>
      </c>
      <c r="C90" s="40"/>
      <c r="D90" s="40"/>
      <c r="E90" s="40"/>
      <c r="F90" s="40"/>
      <c r="G90" s="40"/>
      <c r="H90" s="40"/>
      <c r="I90" s="40"/>
      <c r="J90" s="40"/>
      <c r="K90" s="40"/>
      <c r="L90" s="40"/>
      <c r="M90" s="40"/>
      <c r="N90" s="40"/>
      <c r="O90" s="40"/>
      <c r="P90" s="40"/>
      <c r="Q90" s="40"/>
      <c r="R90" s="40"/>
      <c r="S90" s="40"/>
      <c r="T90" s="40"/>
      <c r="U90" s="40"/>
      <c r="V90" s="40"/>
      <c r="W90" s="40"/>
      <c r="X90" s="40"/>
      <c r="Y90" s="40"/>
      <c r="Z90" s="40"/>
      <c r="AA90" s="40"/>
      <c r="AB90" s="40"/>
      <c r="AC90" s="40"/>
      <c r="AD90" s="173">
        <v>710.88295454545448</v>
      </c>
      <c r="AE90" s="173">
        <v>297.08912037037038</v>
      </c>
      <c r="AF90" s="173">
        <v>344.06828703703701</v>
      </c>
      <c r="AG90" s="173">
        <v>634.16296296296298</v>
      </c>
      <c r="AH90" s="173">
        <v>340.16551724137935</v>
      </c>
      <c r="AI90" s="172">
        <v>423.10372762673705</v>
      </c>
      <c r="AJ90" s="172">
        <v>763.2692448681164</v>
      </c>
      <c r="AK90" s="172">
        <v>346.21818566491584</v>
      </c>
      <c r="AL90" s="172">
        <v>434.12258395364347</v>
      </c>
      <c r="AM90" s="172">
        <v>780.34076961855931</v>
      </c>
      <c r="AN90" s="172">
        <v>328.72650651682409</v>
      </c>
      <c r="AO90" s="127">
        <f>+AP90-AN90</f>
        <v>367.388100224749</v>
      </c>
      <c r="AP90" s="172">
        <f>(54/89)*AP108</f>
        <v>696.11460674157308</v>
      </c>
      <c r="AQ90" s="172">
        <f>(54/89)*AQ108</f>
        <v>343.23370786516858</v>
      </c>
      <c r="AR90" s="127">
        <f>+AS90-AQ90</f>
        <v>391.50518102372035</v>
      </c>
      <c r="AS90" s="217">
        <f>(55/90)*AS108</f>
        <v>734.73888888888894</v>
      </c>
      <c r="AT90" s="216">
        <f>AQ90*(1+AT94)</f>
        <v>352.15778426966295</v>
      </c>
      <c r="AU90" s="217">
        <f>AV90-AT90</f>
        <v>494.56221573033707</v>
      </c>
      <c r="AV90" s="217">
        <f>0.6*AV108</f>
        <v>846.72</v>
      </c>
      <c r="AW90" s="216">
        <f>0.6*AW108</f>
        <v>441.23999999999995</v>
      </c>
      <c r="AX90" s="127">
        <f>AY90-AW90</f>
        <v>361.25888888888898</v>
      </c>
      <c r="AY90" s="127">
        <f>(47/90)*AY108</f>
        <v>802.49888888888893</v>
      </c>
      <c r="AZ90" s="127">
        <f>(47/90)*AZ108</f>
        <v>399.34333333333336</v>
      </c>
      <c r="BA90" s="127">
        <f>BB90-AZ90</f>
        <v>378.76106227106231</v>
      </c>
      <c r="BB90" s="127">
        <f>(45/91)*BB108</f>
        <v>778.10439560439568</v>
      </c>
      <c r="BC90" s="127">
        <f>BC178*0.45</f>
        <v>320.80500000000001</v>
      </c>
      <c r="BD90" s="127">
        <f>BE90-BC90</f>
        <v>314.28499999999991</v>
      </c>
      <c r="BE90" s="127">
        <f>1549*0.41</f>
        <v>635.08999999999992</v>
      </c>
      <c r="BF90" s="127">
        <f>BC90*(1+BF94)</f>
        <v>329.20310740640559</v>
      </c>
      <c r="BG90" s="127">
        <f>BD90*(1+BG94)</f>
        <v>331.20582281918621</v>
      </c>
      <c r="BH90" s="127">
        <f>BG90+BF90</f>
        <v>660.4089302255918</v>
      </c>
      <c r="BI90" s="127">
        <f>BF90*(1+BI94)</f>
        <v>354.09685305993088</v>
      </c>
      <c r="BJ90" s="127">
        <f>BG90*(1+BJ94)</f>
        <v>335.60529891494355</v>
      </c>
      <c r="BK90" s="127">
        <f>BJ90+BI90</f>
        <v>689.70215197487437</v>
      </c>
      <c r="BL90" s="127">
        <f>BI90*(1+BL94)</f>
        <v>363.52790094250264</v>
      </c>
      <c r="BM90" s="127">
        <f>BJ90*(1+BM94)</f>
        <v>343.49871968073001</v>
      </c>
      <c r="BN90" s="127">
        <f>BM90+BL90</f>
        <v>707.0266206232327</v>
      </c>
      <c r="BO90" s="127">
        <f>BL90*(1+BO94)</f>
        <v>376.62215874980467</v>
      </c>
      <c r="BP90" s="127">
        <f>BM90*(1+BP94)</f>
        <v>347.46475430062372</v>
      </c>
      <c r="BQ90" s="127">
        <f>BP90+BO90</f>
        <v>724.08691305042839</v>
      </c>
      <c r="BR90" s="127">
        <f>BO90*(1+BR94)</f>
        <v>376.2628594587672</v>
      </c>
      <c r="BS90" s="127">
        <f>BP90*(1+BS94)</f>
        <v>354.28223941387643</v>
      </c>
      <c r="BT90" s="127">
        <f>BS90+BR90</f>
        <v>730.54509887264362</v>
      </c>
      <c r="BU90" s="127">
        <f>BR90*(1+BU94)</f>
        <v>388.34866792202047</v>
      </c>
      <c r="BV90" s="127">
        <f>BS90*(1+BV94)</f>
        <v>367.09549578542305</v>
      </c>
      <c r="BW90" s="127">
        <f>BV90+BU90</f>
        <v>755.44416370744352</v>
      </c>
      <c r="BX90" s="127">
        <f>BU90*(1+BX94)</f>
        <v>402.39399814197668</v>
      </c>
      <c r="BY90" s="127">
        <f>BV90*(1+BY94)</f>
        <v>370.25403252573562</v>
      </c>
      <c r="BZ90" s="127">
        <f>BY90+BX90</f>
        <v>772.64803066771231</v>
      </c>
      <c r="CA90" s="127">
        <f>BX90*(1+CA94)</f>
        <v>405.85624772499966</v>
      </c>
      <c r="CB90" s="127">
        <f>BY90*(1+CB94)</f>
        <v>373.4397457213696</v>
      </c>
      <c r="CC90" s="127">
        <f>CB90+CA90</f>
        <v>779.29599344636927</v>
      </c>
    </row>
    <row r="91" spans="1:84">
      <c r="B91" s="45" t="s">
        <v>69</v>
      </c>
      <c r="C91" s="65"/>
      <c r="D91" s="65"/>
      <c r="E91" s="65"/>
      <c r="F91" s="65"/>
      <c r="G91" s="65"/>
      <c r="H91" s="65"/>
      <c r="I91" s="65"/>
      <c r="J91" s="65"/>
      <c r="K91" s="65"/>
      <c r="L91" s="65"/>
      <c r="M91" s="65"/>
      <c r="N91" s="65"/>
      <c r="O91" s="65"/>
      <c r="P91" s="65"/>
      <c r="Q91" s="65"/>
      <c r="R91" s="65"/>
      <c r="S91" s="65"/>
      <c r="AD91" s="70"/>
      <c r="AE91" s="70"/>
      <c r="AF91" s="70"/>
      <c r="AG91" s="128"/>
      <c r="AH91" s="129"/>
      <c r="AI91" s="128"/>
      <c r="AJ91" s="69">
        <f>(AH91+AI91)/2</f>
        <v>0</v>
      </c>
      <c r="AK91" s="274">
        <v>4.2300000000000003E-3</v>
      </c>
      <c r="AL91" s="274">
        <v>0.03</v>
      </c>
      <c r="AM91" s="69">
        <f>(AK91+AL91)/2</f>
        <v>1.7114999999999998E-2</v>
      </c>
      <c r="AN91" s="274">
        <v>0.02</v>
      </c>
      <c r="AO91" s="128">
        <f>AN91</f>
        <v>0.02</v>
      </c>
      <c r="AP91" s="69">
        <f>(AN91+AO91)/2</f>
        <v>0.02</v>
      </c>
      <c r="AQ91" s="274">
        <v>0.02</v>
      </c>
      <c r="AR91" s="274">
        <v>0.02</v>
      </c>
      <c r="AS91" s="208">
        <f>(AQ91+AR91)/2</f>
        <v>0.02</v>
      </c>
      <c r="AT91" s="651">
        <v>4.4999999999999998E-2</v>
      </c>
      <c r="AU91" s="651">
        <v>0.02</v>
      </c>
      <c r="AV91" s="208">
        <f>(AT91+AU91)/2</f>
        <v>3.2500000000000001E-2</v>
      </c>
      <c r="AW91" s="651">
        <v>0.02</v>
      </c>
      <c r="AX91" s="274">
        <v>0.02</v>
      </c>
      <c r="AY91" s="69">
        <f>(AW91+AX91)/2</f>
        <v>0.02</v>
      </c>
      <c r="AZ91" s="274">
        <v>-0.02</v>
      </c>
      <c r="BA91" s="274">
        <v>3.5000000000000003E-2</v>
      </c>
      <c r="BB91" s="69">
        <f>(AZ91+BA91)/2</f>
        <v>7.5000000000000015E-3</v>
      </c>
      <c r="BC91" s="274">
        <v>2.5000000000000001E-2</v>
      </c>
      <c r="BD91" s="274">
        <v>3.5000000000000003E-2</v>
      </c>
      <c r="BE91" s="274">
        <f>(BC91+BD91)/2</f>
        <v>3.0000000000000002E-2</v>
      </c>
      <c r="BF91" s="128">
        <v>0.01</v>
      </c>
      <c r="BG91" s="128">
        <v>0.01</v>
      </c>
      <c r="BH91" s="69">
        <f>(BF91+BG91)/2</f>
        <v>0.01</v>
      </c>
      <c r="BI91" s="128">
        <v>2.5000000000000001E-2</v>
      </c>
      <c r="BJ91" s="128">
        <v>2.5000000000000001E-2</v>
      </c>
      <c r="BK91" s="69">
        <f>(BI91+BJ91)/2</f>
        <v>2.5000000000000001E-2</v>
      </c>
      <c r="BL91" s="128">
        <v>2.5000000000000001E-2</v>
      </c>
      <c r="BM91" s="128">
        <v>2.5000000000000001E-2</v>
      </c>
      <c r="BN91" s="69">
        <f>(BL91+BM91)/2</f>
        <v>2.5000000000000001E-2</v>
      </c>
      <c r="BO91" s="128">
        <v>2.5000000000000001E-2</v>
      </c>
      <c r="BP91" s="128">
        <v>2.5000000000000001E-2</v>
      </c>
      <c r="BQ91" s="69">
        <f>(BO91+BP91)/2</f>
        <v>2.5000000000000001E-2</v>
      </c>
      <c r="BR91" s="128">
        <v>2.5000000000000001E-2</v>
      </c>
      <c r="BS91" s="128">
        <v>2.5000000000000001E-2</v>
      </c>
      <c r="BT91" s="69">
        <f>(BR91+BS91)/2</f>
        <v>2.5000000000000001E-2</v>
      </c>
      <c r="BU91" s="128">
        <v>2.5000000000000001E-2</v>
      </c>
      <c r="BV91" s="128">
        <v>2.5000000000000001E-2</v>
      </c>
      <c r="BW91" s="69">
        <f>(BU91+BV91)/2</f>
        <v>2.5000000000000001E-2</v>
      </c>
      <c r="BX91" s="128">
        <v>2.5000000000000001E-2</v>
      </c>
      <c r="BY91" s="128">
        <v>2.5000000000000001E-2</v>
      </c>
      <c r="BZ91" s="69">
        <f>(BX91+BY91)/2</f>
        <v>2.5000000000000001E-2</v>
      </c>
      <c r="CA91" s="128">
        <v>2.5000000000000001E-2</v>
      </c>
      <c r="CB91" s="128">
        <v>2.5000000000000001E-2</v>
      </c>
      <c r="CC91" s="69">
        <f>(CA91+CB91)/2</f>
        <v>2.5000000000000001E-2</v>
      </c>
      <c r="CF91" s="613">
        <f>1722.7-1365.8</f>
        <v>356.90000000000009</v>
      </c>
    </row>
    <row r="92" spans="1:84">
      <c r="B92" s="45" t="s">
        <v>70</v>
      </c>
      <c r="C92" s="65"/>
      <c r="D92" s="65"/>
      <c r="E92" s="65"/>
      <c r="F92" s="65"/>
      <c r="G92" s="65"/>
      <c r="H92" s="65"/>
      <c r="I92" s="65"/>
      <c r="J92" s="65"/>
      <c r="K92" s="65"/>
      <c r="L92" s="65"/>
      <c r="M92" s="65"/>
      <c r="N92" s="65"/>
      <c r="O92" s="65"/>
      <c r="P92" s="65"/>
      <c r="Q92" s="65"/>
      <c r="R92" s="65"/>
      <c r="S92" s="65"/>
      <c r="AD92" s="70"/>
      <c r="AE92" s="70"/>
      <c r="AF92" s="70"/>
      <c r="AG92" s="129"/>
      <c r="AH92" s="129"/>
      <c r="AI92" s="69">
        <f>AI47*0.4+AI43*0.3+AI51*0.1+AI39*0.2</f>
        <v>0.18570858857791875</v>
      </c>
      <c r="AJ92" s="69">
        <f>(AH92+AI92)/2</f>
        <v>9.2854294288959374E-2</v>
      </c>
      <c r="AK92" s="69">
        <f>AK47*0.4+AK43*0.3+AK51*0.1+AK39*0.2</f>
        <v>1.3563303896942505E-2</v>
      </c>
      <c r="AL92" s="69">
        <f>AL47*0.4+AL43*0.3+AL51*0.1+AL39*0.2</f>
        <v>-6.3357080480682407E-2</v>
      </c>
      <c r="AM92" s="69">
        <f>(AK92+AL92)/2</f>
        <v>-2.4896888291869951E-2</v>
      </c>
      <c r="AN92" s="69">
        <f>AN47*0.4+AN43*0.3+AN51*0.1+AN39*0.2</f>
        <v>-6.0857493813855593E-2</v>
      </c>
      <c r="AO92" s="69">
        <f>AO47*0.4+AO43*0.3+AO51*0.1+AO36*0.2</f>
        <v>0.11920700158864184</v>
      </c>
      <c r="AP92" s="69">
        <f>(AN92+AO92)/2</f>
        <v>2.9174753887393122E-2</v>
      </c>
      <c r="AQ92" s="69">
        <f>AQ47*0.4+AQ43*0.3+AQ51*0.1+AQ39*0.2</f>
        <v>3.4401151168403192E-2</v>
      </c>
      <c r="AR92" s="69">
        <f>AR47*0.4+AR43*0.3+AR51*0.1+AR39*0.2</f>
        <v>2.3110182025822948E-2</v>
      </c>
      <c r="AS92" s="208">
        <f>(AQ92+AR92)/2</f>
        <v>2.875566659711307E-2</v>
      </c>
      <c r="AT92" s="652">
        <v>-1.9E-2</v>
      </c>
      <c r="AU92" s="208">
        <f>AU47*0.4+AU43*0.3+AU51*0.1+AU39*0.2</f>
        <v>-2.5531162689123595E-2</v>
      </c>
      <c r="AV92" s="208">
        <f>(AT92+AU92)/2</f>
        <v>-2.2265581344561795E-2</v>
      </c>
      <c r="AW92" s="208">
        <f>AW47*0.4+AW43*0.3+AW51*0.1+AW39*0.2</f>
        <v>-2.7831823520602338E-2</v>
      </c>
      <c r="AX92" s="69">
        <f>AX47*0.2+AX43*0.3+AX51*0.1+AX39*0.2+0.2*AX51</f>
        <v>5.4721443927860033E-3</v>
      </c>
      <c r="AY92" s="69">
        <f>(AW92+AX92)/2</f>
        <v>-1.1179839563908167E-2</v>
      </c>
      <c r="AZ92" s="69">
        <f>AZ47*0.2+AZ43*0.3+AZ51*0.1+AZ39*0.2+0.2*AZ51</f>
        <v>1.9878692267120839E-2</v>
      </c>
      <c r="BA92" s="69">
        <f>BA47*0.2+BA43*0.3+BA51*0.1+BA39*0.2+0.2*BA51</f>
        <v>8.3791604374846597E-3</v>
      </c>
      <c r="BB92" s="275">
        <v>-0.04</v>
      </c>
      <c r="BC92" s="275">
        <v>0.03</v>
      </c>
      <c r="BD92" s="275">
        <v>0.11</v>
      </c>
      <c r="BE92" s="275">
        <v>0.09</v>
      </c>
      <c r="BF92" s="69">
        <f>BF47*0.1+BF43*0.2+BF36*0.25+BF51*0.45</f>
        <v>1.6178231032576276E-2</v>
      </c>
      <c r="BG92" s="69">
        <f>BG47*0.1+BG43*0.2+BG36*0.25+BG51*0.45</f>
        <v>4.3839104059011091E-2</v>
      </c>
      <c r="BH92" s="69">
        <f>(BF92+BG92)/2</f>
        <v>3.0008667545793684E-2</v>
      </c>
      <c r="BI92" s="69">
        <f>BI47*0.1+BI43*0.2+BI36*0.25+BI51*0.45</f>
        <v>5.0618197682422372E-2</v>
      </c>
      <c r="BJ92" s="69">
        <f>BJ47*0.1+BJ43*0.2+BJ36*0.25+BJ51*0.45</f>
        <v>-1.1716791213664285E-2</v>
      </c>
      <c r="BK92" s="69">
        <f>(BI92+BJ92)/2</f>
        <v>1.9450703234379044E-2</v>
      </c>
      <c r="BL92" s="69">
        <f>BL47*0.1+BL43*0.2+BL36*0.25+BL51*0.45</f>
        <v>1.6340912128229067E-3</v>
      </c>
      <c r="BM92" s="69">
        <f>BM47*0.1+BM43*0.2+BM36*0.25+BM51*0.45</f>
        <v>-1.4800472718789377E-3</v>
      </c>
      <c r="BN92" s="69">
        <f>(BL92+BM92)/2</f>
        <v>7.7021970471984492E-5</v>
      </c>
      <c r="BO92" s="69">
        <f>BO47*0.1+BO43*0.2+BO36*0.25+BO51*0.45</f>
        <v>1.1019952728121164E-2</v>
      </c>
      <c r="BP92" s="69">
        <f>BP47*0.1+BP43*0.2+BP36*0.25+BP51*0.45</f>
        <v>-1.3454004650788817E-2</v>
      </c>
      <c r="BQ92" s="69">
        <f>(BO92+BP92)/2</f>
        <v>-1.2170259613338268E-3</v>
      </c>
      <c r="BR92" s="69">
        <f>BR47*0.1+BR43*0.2+BR36*0.25+BR51*0.45</f>
        <v>-2.595400465078888E-2</v>
      </c>
      <c r="BS92" s="69">
        <f>BS47*0.1+BS43*0.2+BS36*0.25+BS51*0.45</f>
        <v>-5.3793477500330422E-3</v>
      </c>
      <c r="BT92" s="69">
        <f>(BR92+BS92)/2</f>
        <v>-1.5666676200410963E-2</v>
      </c>
      <c r="BU92" s="69">
        <f>BU47*0.1+BU43*0.2+BU36*0.25+BU51*0.45</f>
        <v>7.1206522499670365E-3</v>
      </c>
      <c r="BV92" s="69">
        <f>BV47*0.1+BV43*0.2+BV36*0.25+BV51*0.45</f>
        <v>1.1166804163665828E-2</v>
      </c>
      <c r="BW92" s="69">
        <f>(BU92+BV92)/2</f>
        <v>9.1437282068164323E-3</v>
      </c>
      <c r="BX92" s="69">
        <f>BX47*0.1+BX43*0.2+BX36*0.25+BX51*0.45</f>
        <v>1.1166804163665773E-2</v>
      </c>
      <c r="BY92" s="69">
        <f>BY47*0.1+BY43*0.2+BY36*0.25+BY51*0.45</f>
        <v>-1.6395871710289771E-2</v>
      </c>
      <c r="BZ92" s="69">
        <f>(BX92+BY92)/2</f>
        <v>-2.6145337733119991E-3</v>
      </c>
      <c r="CA92" s="69">
        <f>CA47*0.1+CA43*0.2+CA36*0.25+CA51*0.45</f>
        <v>-1.6395871710289778E-2</v>
      </c>
      <c r="CB92" s="69">
        <f>CB47*0.1+CB43*0.2+CB36*0.25+CB51*0.45</f>
        <v>-1.6395871710289771E-2</v>
      </c>
      <c r="CC92" s="69">
        <f>(CA92+CB92)/2</f>
        <v>-1.6395871710289774E-2</v>
      </c>
    </row>
    <row r="93" spans="1:84">
      <c r="B93" s="45" t="s">
        <v>182</v>
      </c>
      <c r="C93" s="65"/>
      <c r="D93" s="65"/>
      <c r="E93" s="65"/>
      <c r="F93" s="65"/>
      <c r="G93" s="65"/>
      <c r="H93" s="65"/>
      <c r="I93" s="65"/>
      <c r="J93" s="65"/>
      <c r="K93" s="65"/>
      <c r="L93" s="65"/>
      <c r="M93" s="65"/>
      <c r="N93" s="65"/>
      <c r="O93" s="65"/>
      <c r="P93" s="65"/>
      <c r="Q93" s="65"/>
      <c r="R93" s="65"/>
      <c r="S93" s="65"/>
      <c r="AD93" s="70"/>
      <c r="AE93" s="70"/>
      <c r="AF93" s="70"/>
      <c r="AG93" s="129"/>
      <c r="AH93" s="129"/>
      <c r="AI93" s="69">
        <v>4.3999999999999997E-2</v>
      </c>
      <c r="AJ93" s="128">
        <f>AJ94-AJ91-AJ92</f>
        <v>0.11073104488306922</v>
      </c>
      <c r="AK93" s="275">
        <v>0</v>
      </c>
      <c r="AL93" s="69">
        <f>-1%+6.94%</f>
        <v>5.9400000000000001E-2</v>
      </c>
      <c r="AM93" s="128">
        <f>AM94-AM91-AM92</f>
        <v>3.0148209043327233E-2</v>
      </c>
      <c r="AN93" s="275">
        <v>2E-3</v>
      </c>
      <c r="AO93" s="69">
        <f>+AO94-AO92-AO91</f>
        <v>-0.29292967392955038</v>
      </c>
      <c r="AP93" s="128">
        <f>AP94-AP91-AP92</f>
        <v>-0.15710985885205753</v>
      </c>
      <c r="AQ93" s="69">
        <f>+AQ94-AQ92-AQ91</f>
        <v>-1.0269628273999718E-2</v>
      </c>
      <c r="AR93" s="128">
        <f>+AR94-AR92-AR91</f>
        <v>2.2534515731719499E-2</v>
      </c>
      <c r="AS93" s="212">
        <f>AS94-AS91-AS92</f>
        <v>6.7298551449336101E-3</v>
      </c>
      <c r="AT93" s="652">
        <v>0</v>
      </c>
      <c r="AU93" s="128">
        <f>+AU94-AU92-AU91</f>
        <v>0.26876403852780306</v>
      </c>
      <c r="AV93" s="212">
        <f>AV94-AV91-AV92</f>
        <v>0.14217497848489133</v>
      </c>
      <c r="AW93" s="208">
        <f>+AW94-AW92-AW91</f>
        <v>0.2607929100264248</v>
      </c>
      <c r="AX93" s="128">
        <f>AX94-AX91-AX92</f>
        <v>-0.2950101774279108</v>
      </c>
      <c r="AY93" s="128">
        <f>AY94-AY91-AY92</f>
        <v>-6.1046529378730605E-2</v>
      </c>
      <c r="AZ93" s="128">
        <f>AZ94-AZ91-AZ92</f>
        <v>-9.4830796941825335E-2</v>
      </c>
      <c r="BA93" s="128">
        <f>BA94-BA91-BA92</f>
        <v>5.0685703187165719E-3</v>
      </c>
      <c r="BB93" s="128">
        <f>BB94-BB91-BB92</f>
        <v>2.1018354389637228E-3</v>
      </c>
      <c r="BC93" s="128"/>
      <c r="BD93" s="128">
        <v>0</v>
      </c>
      <c r="BE93" s="128">
        <f>BE94-BE91-BE92</f>
        <v>-0.30379846767644691</v>
      </c>
      <c r="BF93" s="69">
        <v>0</v>
      </c>
      <c r="BG93" s="69">
        <v>0</v>
      </c>
      <c r="BH93" s="128">
        <f>BH94-BH91-BH92</f>
        <v>-1.4198687755462291E-4</v>
      </c>
      <c r="BI93" s="69">
        <v>0</v>
      </c>
      <c r="BJ93" s="69">
        <v>0</v>
      </c>
      <c r="BK93" s="128">
        <f>BK94-BK91-BK92</f>
        <v>-9.4516622432198882E-5</v>
      </c>
      <c r="BL93" s="69">
        <v>0</v>
      </c>
      <c r="BM93" s="69">
        <v>0</v>
      </c>
      <c r="BN93" s="128">
        <f>BN94-BN91-BN92</f>
        <v>4.174647000901267E-5</v>
      </c>
      <c r="BO93" s="69">
        <v>0</v>
      </c>
      <c r="BP93" s="69">
        <v>0</v>
      </c>
      <c r="BQ93" s="128">
        <f>BQ94-BQ91-BQ92</f>
        <v>3.4665832532795003E-4</v>
      </c>
      <c r="BR93" s="69">
        <v>0</v>
      </c>
      <c r="BS93" s="69">
        <v>0</v>
      </c>
      <c r="BT93" s="128">
        <f>BT94-BT91-BT92</f>
        <v>-4.1424833251810234E-4</v>
      </c>
      <c r="BU93" s="69">
        <v>0</v>
      </c>
      <c r="BV93" s="69">
        <v>0</v>
      </c>
      <c r="BW93" s="128">
        <f>BW94-BW91-BW92</f>
        <v>-6.087025153966516E-5</v>
      </c>
      <c r="BX93" s="69">
        <v>0</v>
      </c>
      <c r="BY93" s="69">
        <v>0</v>
      </c>
      <c r="BZ93" s="128">
        <f>BZ94-BZ91-BZ92</f>
        <v>3.8771515026316591E-4</v>
      </c>
      <c r="CA93" s="69">
        <v>0</v>
      </c>
      <c r="CB93" s="69">
        <v>0</v>
      </c>
      <c r="CC93" s="128">
        <f>CC94-CC91-CC92</f>
        <v>0</v>
      </c>
    </row>
    <row r="94" spans="1:84" s="7" customFormat="1">
      <c r="A94" s="146"/>
      <c r="B94" s="145" t="s">
        <v>414</v>
      </c>
      <c r="C94" s="145"/>
      <c r="D94" s="145"/>
      <c r="E94" s="145"/>
      <c r="F94" s="145"/>
      <c r="G94" s="145"/>
      <c r="H94" s="145"/>
      <c r="I94" s="145"/>
      <c r="J94" s="145"/>
      <c r="K94" s="145"/>
      <c r="L94" s="145"/>
      <c r="M94" s="145"/>
      <c r="N94" s="145"/>
      <c r="O94" s="145"/>
      <c r="P94" s="145"/>
      <c r="Q94" s="145"/>
      <c r="R94" s="145"/>
      <c r="S94" s="145"/>
      <c r="T94" s="145"/>
      <c r="U94" s="145"/>
      <c r="V94" s="145"/>
      <c r="W94" s="145"/>
      <c r="X94" s="145"/>
      <c r="Y94" s="145"/>
      <c r="Z94" s="145"/>
      <c r="AA94" s="145"/>
      <c r="AB94" s="145"/>
      <c r="AC94" s="145"/>
      <c r="AD94" s="170"/>
      <c r="AE94" s="170"/>
      <c r="AF94" s="170"/>
      <c r="AG94" s="171">
        <f>AG90/AD90-1</f>
        <v>-0.10792211445208588</v>
      </c>
      <c r="AH94" s="171">
        <f>AH90/AE90-1</f>
        <v>0.14499486489881264</v>
      </c>
      <c r="AI94" s="171">
        <f>SUM(AI91:AI93)</f>
        <v>0.22970858857791876</v>
      </c>
      <c r="AJ94" s="171">
        <f>AJ90/AG90-1</f>
        <v>0.20358533917202859</v>
      </c>
      <c r="AK94" s="171">
        <f>SUM(AK91:AK93)</f>
        <v>1.7793303896942506E-2</v>
      </c>
      <c r="AL94" s="171">
        <f>SUM(AL91:AL93)</f>
        <v>2.6042919519317594E-2</v>
      </c>
      <c r="AM94" s="171">
        <f>AM90/AJ90-1</f>
        <v>2.236632075145728E-2</v>
      </c>
      <c r="AN94" s="171">
        <f>SUM(AN91:AN93)</f>
        <v>-3.8857493813855587E-2</v>
      </c>
      <c r="AO94" s="171">
        <f>+AO90/AL90-1</f>
        <v>-0.15372267234090853</v>
      </c>
      <c r="AP94" s="171">
        <f>AP90/AM90-1</f>
        <v>-0.10793510496466441</v>
      </c>
      <c r="AQ94" s="171">
        <f>+AQ90/AN90-1</f>
        <v>4.4131522894403474E-2</v>
      </c>
      <c r="AR94" s="171">
        <f>+AR90/AO90-1</f>
        <v>6.5644697757542447E-2</v>
      </c>
      <c r="AS94" s="213">
        <f>AS90/AP90-1</f>
        <v>5.5485521742046684E-2</v>
      </c>
      <c r="AT94" s="213">
        <f>SUM(AT91:AT93)</f>
        <v>2.5999999999999999E-2</v>
      </c>
      <c r="AU94" s="213">
        <f t="shared" ref="AU94:BB94" si="21">AU90/AR90-1</f>
        <v>0.26323287583867949</v>
      </c>
      <c r="AV94" s="213">
        <f t="shared" si="21"/>
        <v>0.15240939714032953</v>
      </c>
      <c r="AW94" s="213">
        <f t="shared" si="21"/>
        <v>0.2529610865058225</v>
      </c>
      <c r="AX94" s="213">
        <f t="shared" si="21"/>
        <v>-0.2695380330351248</v>
      </c>
      <c r="AY94" s="171">
        <f t="shared" si="21"/>
        <v>-5.2226368942638768E-2</v>
      </c>
      <c r="AZ94" s="171">
        <f t="shared" si="21"/>
        <v>-9.4952104674704496E-2</v>
      </c>
      <c r="BA94" s="171">
        <f t="shared" si="21"/>
        <v>4.8447730756201235E-2</v>
      </c>
      <c r="BB94" s="171">
        <f t="shared" si="21"/>
        <v>-3.0398164561036278E-2</v>
      </c>
      <c r="BC94" s="171">
        <f>SUM(BC91:BC93)</f>
        <v>5.5E-2</v>
      </c>
      <c r="BD94" s="171">
        <f>SUM(BD91:BD93)</f>
        <v>0.14500000000000002</v>
      </c>
      <c r="BE94" s="171">
        <f>BE90/BB90-1</f>
        <v>-0.18379846767644692</v>
      </c>
      <c r="BF94" s="171">
        <f>SUM(BF91:BF93)</f>
        <v>2.6178231032576278E-2</v>
      </c>
      <c r="BG94" s="171">
        <f>SUM(BG91:BG93)</f>
        <v>5.3839104059011093E-2</v>
      </c>
      <c r="BH94" s="171">
        <f>BH90/BE90-1</f>
        <v>3.9866680668239063E-2</v>
      </c>
      <c r="BI94" s="171">
        <f>SUM(BI91:BI93)</f>
        <v>7.5618197682422367E-2</v>
      </c>
      <c r="BJ94" s="171">
        <f>SUM(BJ91:BJ93)</f>
        <v>1.3283208786335717E-2</v>
      </c>
      <c r="BK94" s="171">
        <f>BK90/BH90-1</f>
        <v>4.4356186611946846E-2</v>
      </c>
      <c r="BL94" s="171">
        <f>SUM(BL91:BL93)</f>
        <v>2.6634091212822907E-2</v>
      </c>
      <c r="BM94" s="171">
        <f>SUM(BM91:BM93)</f>
        <v>2.3519952728121064E-2</v>
      </c>
      <c r="BN94" s="171">
        <f>BN90/BK90-1</f>
        <v>2.5118768440480999E-2</v>
      </c>
      <c r="BO94" s="171">
        <f>SUM(BO91:BO93)</f>
        <v>3.6019952728121168E-2</v>
      </c>
      <c r="BP94" s="171">
        <f>SUM(BP91:BP93)</f>
        <v>1.1545995349211184E-2</v>
      </c>
      <c r="BQ94" s="171">
        <f>BQ90/BN90-1</f>
        <v>2.4129632363994125E-2</v>
      </c>
      <c r="BR94" s="171">
        <f>SUM(BR91:BR93)</f>
        <v>-9.54004650788879E-4</v>
      </c>
      <c r="BS94" s="171">
        <f>SUM(BS91:BS93)</f>
        <v>1.9620652249966959E-2</v>
      </c>
      <c r="BT94" s="171">
        <f>BT90/BQ90-1</f>
        <v>8.919075467070936E-3</v>
      </c>
      <c r="BU94" s="171">
        <f>SUM(BU91:BU93)</f>
        <v>3.212065224996704E-2</v>
      </c>
      <c r="BV94" s="171">
        <f>SUM(BV91:BV93)</f>
        <v>3.6166804163665828E-2</v>
      </c>
      <c r="BW94" s="171">
        <f>BW90/BT90-1</f>
        <v>3.4082857955276769E-2</v>
      </c>
      <c r="BX94" s="171">
        <f>SUM(BX91:BX93)</f>
        <v>3.6166804163665772E-2</v>
      </c>
      <c r="BY94" s="171">
        <f>SUM(BY91:BY93)</f>
        <v>8.6041282897102306E-3</v>
      </c>
      <c r="BZ94" s="171">
        <f>BZ90/BW90-1</f>
        <v>2.2773181376951168E-2</v>
      </c>
      <c r="CA94" s="171">
        <f>SUM(CA91:CA93)</f>
        <v>8.6041282897102236E-3</v>
      </c>
      <c r="CB94" s="171">
        <f>SUM(CB91:CB93)</f>
        <v>8.6041282897102306E-3</v>
      </c>
      <c r="CC94" s="171">
        <f>CC90/BZ90-1</f>
        <v>8.6041282897102445E-3</v>
      </c>
    </row>
    <row r="95" spans="1:84" s="7" customFormat="1">
      <c r="A95" s="130"/>
      <c r="B95" s="40"/>
      <c r="C95" s="40"/>
      <c r="D95" s="40"/>
      <c r="E95" s="40"/>
      <c r="F95" s="40"/>
      <c r="G95" s="40"/>
      <c r="H95" s="40"/>
      <c r="I95" s="40"/>
      <c r="J95" s="40"/>
      <c r="K95" s="40"/>
      <c r="L95" s="40"/>
      <c r="M95" s="40"/>
      <c r="N95" s="40"/>
      <c r="O95" s="40"/>
      <c r="P95" s="40"/>
      <c r="Q95" s="40"/>
      <c r="R95" s="40"/>
      <c r="S95" s="40"/>
      <c r="T95" s="40"/>
      <c r="U95" s="40"/>
      <c r="V95" s="40"/>
      <c r="W95" s="40"/>
      <c r="X95" s="40"/>
      <c r="Y95" s="40"/>
      <c r="Z95" s="40"/>
      <c r="AA95" s="40"/>
      <c r="AB95" s="40"/>
      <c r="AC95" s="40"/>
      <c r="AD95" s="131"/>
      <c r="AE95" s="131"/>
      <c r="AF95" s="131"/>
      <c r="AG95" s="132"/>
      <c r="AH95" s="132"/>
      <c r="AI95" s="132"/>
      <c r="AJ95" s="132"/>
      <c r="AK95" s="132"/>
      <c r="AL95" s="132"/>
      <c r="AM95" s="132"/>
      <c r="AN95" s="132"/>
      <c r="AO95" s="132"/>
      <c r="AP95" s="132"/>
      <c r="AQ95" s="132"/>
      <c r="AR95" s="132"/>
      <c r="AS95" s="214"/>
      <c r="AT95" s="214"/>
      <c r="AU95" s="214"/>
      <c r="AV95" s="214"/>
      <c r="AW95" s="214"/>
      <c r="AX95" s="132"/>
      <c r="AY95" s="132"/>
      <c r="AZ95" s="65"/>
      <c r="BA95" s="132"/>
      <c r="BB95" s="132"/>
      <c r="BC95" s="132"/>
      <c r="BD95" s="132"/>
      <c r="BE95" s="132"/>
      <c r="BF95" s="132"/>
      <c r="BG95" s="132"/>
      <c r="BH95" s="132"/>
      <c r="BI95" s="132"/>
      <c r="BJ95" s="132"/>
      <c r="BK95" s="132"/>
      <c r="BL95" s="132"/>
      <c r="BM95" s="132"/>
      <c r="BN95" s="132"/>
      <c r="BO95" s="132"/>
      <c r="BP95" s="132"/>
      <c r="BQ95" s="132"/>
      <c r="BR95" s="132"/>
      <c r="BS95" s="132"/>
      <c r="BT95" s="132"/>
      <c r="BU95" s="132"/>
      <c r="BV95" s="132"/>
      <c r="BW95" s="132"/>
      <c r="BX95" s="132"/>
      <c r="BY95" s="132"/>
      <c r="BZ95" s="132"/>
      <c r="CA95" s="132"/>
      <c r="CB95" s="132"/>
      <c r="CC95" s="132"/>
    </row>
    <row r="96" spans="1:84">
      <c r="B96" s="438" t="s">
        <v>279</v>
      </c>
      <c r="C96" s="65"/>
      <c r="D96" s="65"/>
      <c r="E96" s="65"/>
      <c r="F96" s="65"/>
      <c r="G96" s="65"/>
      <c r="H96" s="65"/>
      <c r="I96" s="65"/>
      <c r="J96" s="65"/>
      <c r="K96" s="65"/>
      <c r="L96" s="65"/>
      <c r="M96" s="65"/>
      <c r="N96" s="65"/>
      <c r="O96" s="65"/>
      <c r="P96" s="65"/>
      <c r="Q96" s="65"/>
      <c r="R96" s="65"/>
      <c r="S96" s="65"/>
      <c r="AD96" s="173">
        <v>174.70852272727271</v>
      </c>
      <c r="AE96" s="173">
        <v>86.425925925925924</v>
      </c>
      <c r="AF96" s="173">
        <v>100.09259259259258</v>
      </c>
      <c r="AG96" s="173">
        <v>186.5185185185185</v>
      </c>
      <c r="AH96" s="173">
        <v>77.581609195402308</v>
      </c>
      <c r="AI96" s="172">
        <v>107.72347174282721</v>
      </c>
      <c r="AJ96" s="172">
        <v>185.30508093822954</v>
      </c>
      <c r="AK96" s="172">
        <v>83.788137931034498</v>
      </c>
      <c r="AL96" s="172">
        <v>86.45347224720598</v>
      </c>
      <c r="AM96" s="172">
        <v>170.24161017824048</v>
      </c>
      <c r="AN96" s="172">
        <v>89.653307586206921</v>
      </c>
      <c r="AO96" s="127">
        <f>+AP96-AN96</f>
        <v>77.929838481208805</v>
      </c>
      <c r="AP96" s="172">
        <f>(13/89)*AP108</f>
        <v>167.58314606741573</v>
      </c>
      <c r="AQ96" s="172">
        <f>(13/89)*AQ108</f>
        <v>82.630337078651692</v>
      </c>
      <c r="AR96" s="127">
        <f>+AS96-AQ96</f>
        <v>104.39410736579275</v>
      </c>
      <c r="AS96" s="217">
        <f>(14/90)*AS108</f>
        <v>187.02444444444444</v>
      </c>
      <c r="AT96" s="216">
        <f>AT108-AT90-AT102</f>
        <v>82.826027451393969</v>
      </c>
      <c r="AU96" s="217">
        <f>AV96-AT96</f>
        <v>100.62997254860605</v>
      </c>
      <c r="AV96" s="217">
        <f>0.13*AV108</f>
        <v>183.45600000000002</v>
      </c>
      <c r="AW96" s="216">
        <f>0.1333*AW108</f>
        <v>98.028819999999996</v>
      </c>
      <c r="AX96" s="127">
        <f>AY96-AW96</f>
        <v>106.86451333333335</v>
      </c>
      <c r="AY96" s="127">
        <f>(12/90)*AY108</f>
        <v>204.89333333333335</v>
      </c>
      <c r="AZ96" s="127">
        <f>(12/90)*AZ108</f>
        <v>101.96000000000001</v>
      </c>
      <c r="BA96" s="127">
        <f>BB96-AZ96</f>
        <v>88.243296703296693</v>
      </c>
      <c r="BB96" s="127">
        <f>(11/91)*BB108</f>
        <v>190.2032967032967</v>
      </c>
      <c r="BC96" s="127">
        <f>BC178*0.11</f>
        <v>78.418999999999997</v>
      </c>
      <c r="BD96" s="127">
        <f>BE96-BC96</f>
        <v>91.971000000000018</v>
      </c>
      <c r="BE96" s="127">
        <f>1549*0.11</f>
        <v>170.39000000000001</v>
      </c>
      <c r="BF96" s="127">
        <f>BC96*(1+BF100)</f>
        <v>78.418999999999997</v>
      </c>
      <c r="BG96" s="127">
        <f>BD96*(1+BG100)</f>
        <v>91.971000000000018</v>
      </c>
      <c r="BH96" s="127">
        <f>BG96+BF96</f>
        <v>170.39000000000001</v>
      </c>
      <c r="BI96" s="127">
        <f>BF96*(1+BI100)</f>
        <v>81.555760000000006</v>
      </c>
      <c r="BJ96" s="127">
        <f>BG96*(1+BJ100)</f>
        <v>95.649840000000026</v>
      </c>
      <c r="BK96" s="127">
        <f>BJ96+BI96</f>
        <v>177.20560000000003</v>
      </c>
      <c r="BL96" s="127">
        <f>BI96*(1+BL100)</f>
        <v>84.817990400000014</v>
      </c>
      <c r="BM96" s="127">
        <f>BJ96*(1+BM100)</f>
        <v>99.47583360000003</v>
      </c>
      <c r="BN96" s="127">
        <f>BM96+BL96</f>
        <v>184.29382400000003</v>
      </c>
      <c r="BO96" s="127">
        <f>BL96*(1+BO100)</f>
        <v>87.362530112000016</v>
      </c>
      <c r="BP96" s="127">
        <f>BM96*(1+BP100)</f>
        <v>102.46010860800003</v>
      </c>
      <c r="BQ96" s="127">
        <f>BP96+BO96</f>
        <v>189.82263872000004</v>
      </c>
      <c r="BR96" s="127">
        <f>BO96*(1+BR100)</f>
        <v>89.983406015360018</v>
      </c>
      <c r="BS96" s="127">
        <f>BP96*(1+BS100)</f>
        <v>105.53391186624003</v>
      </c>
      <c r="BT96" s="127">
        <f>BS96+BR96</f>
        <v>195.51731788160004</v>
      </c>
      <c r="BU96" s="127">
        <f>BR96*(1+BU100)</f>
        <v>92.682908195820815</v>
      </c>
      <c r="BV96" s="127">
        <f>BS96*(1+BV100)</f>
        <v>108.69992922222724</v>
      </c>
      <c r="BW96" s="127">
        <f>BV96+BU96</f>
        <v>201.38283741804804</v>
      </c>
      <c r="BX96" s="127">
        <f>BU96*(1+BX100)</f>
        <v>95.46339544169544</v>
      </c>
      <c r="BY96" s="127">
        <f>BV96*(1+BY100)</f>
        <v>111.96092709889406</v>
      </c>
      <c r="BZ96" s="127">
        <f>BY96+BX96</f>
        <v>207.42432254058951</v>
      </c>
      <c r="CA96" s="127">
        <f>BX96*(1+CA100)</f>
        <v>98.327297304946299</v>
      </c>
      <c r="CB96" s="127">
        <f>BY96*(1+CB100)</f>
        <v>115.31975491186088</v>
      </c>
      <c r="CC96" s="127">
        <f>CB96+CA96</f>
        <v>213.6470522168072</v>
      </c>
    </row>
    <row r="97" spans="1:82">
      <c r="B97" s="45" t="s">
        <v>69</v>
      </c>
      <c r="C97" s="65"/>
      <c r="D97" s="65"/>
      <c r="E97" s="65"/>
      <c r="F97" s="65"/>
      <c r="G97" s="65"/>
      <c r="H97" s="65"/>
      <c r="I97" s="65"/>
      <c r="J97" s="65"/>
      <c r="K97" s="65"/>
      <c r="L97" s="65"/>
      <c r="M97" s="65"/>
      <c r="N97" s="65"/>
      <c r="O97" s="65"/>
      <c r="P97" s="65"/>
      <c r="Q97" s="65"/>
      <c r="R97" s="65"/>
      <c r="S97" s="65"/>
      <c r="AD97" s="70"/>
      <c r="AE97" s="70"/>
      <c r="AF97" s="70"/>
      <c r="AG97" s="129"/>
      <c r="AH97" s="129"/>
      <c r="AI97" s="128"/>
      <c r="AJ97" s="69">
        <f>(AH97+AI97)/2</f>
        <v>0</v>
      </c>
      <c r="AK97" s="274">
        <v>0.04</v>
      </c>
      <c r="AL97" s="274">
        <v>8.8550000000000004E-2</v>
      </c>
      <c r="AM97" s="69">
        <f>(AK97+AL97)/2</f>
        <v>6.4274999999999999E-2</v>
      </c>
      <c r="AN97" s="274">
        <v>0.06</v>
      </c>
      <c r="AO97" s="274">
        <v>0.06</v>
      </c>
      <c r="AP97" s="69">
        <f>(AN97+AO97)/2</f>
        <v>0.06</v>
      </c>
      <c r="AQ97" s="274">
        <v>0</v>
      </c>
      <c r="AR97" s="274">
        <v>0.04</v>
      </c>
      <c r="AS97" s="208">
        <f>(AQ97+AR97)/2</f>
        <v>0.02</v>
      </c>
      <c r="AT97" s="651">
        <v>-0.01</v>
      </c>
      <c r="AU97" s="651">
        <v>0.05</v>
      </c>
      <c r="AV97" s="208">
        <f>(AT97+AU97)/2</f>
        <v>0.02</v>
      </c>
      <c r="AW97" s="651">
        <v>0.02</v>
      </c>
      <c r="AX97" s="274">
        <v>0.02</v>
      </c>
      <c r="AY97" s="69">
        <f>(AW97+AX97)/2</f>
        <v>0.02</v>
      </c>
      <c r="AZ97" s="274">
        <v>1.4999999999999999E-2</v>
      </c>
      <c r="BA97" s="274">
        <v>0.02</v>
      </c>
      <c r="BB97" s="69">
        <f>(AZ97+BA97)/2</f>
        <v>1.7500000000000002E-2</v>
      </c>
      <c r="BC97" s="274">
        <v>-0.02</v>
      </c>
      <c r="BD97" s="274">
        <f>-2%</f>
        <v>-0.02</v>
      </c>
      <c r="BE97" s="274">
        <f>(BC97+BD97)/2</f>
        <v>-0.02</v>
      </c>
      <c r="BF97" s="128">
        <v>0.01</v>
      </c>
      <c r="BG97" s="128">
        <v>0.01</v>
      </c>
      <c r="BH97" s="69">
        <f>(BF97+BG97)/2</f>
        <v>0.01</v>
      </c>
      <c r="BI97" s="128">
        <v>0.02</v>
      </c>
      <c r="BJ97" s="128">
        <v>0.02</v>
      </c>
      <c r="BK97" s="69">
        <f>(BI97+BJ97)/2</f>
        <v>0.02</v>
      </c>
      <c r="BL97" s="128">
        <v>0.02</v>
      </c>
      <c r="BM97" s="128">
        <v>0.02</v>
      </c>
      <c r="BN97" s="69">
        <f>(BL97+BM97)/2</f>
        <v>0.02</v>
      </c>
      <c r="BO97" s="128">
        <v>0.02</v>
      </c>
      <c r="BP97" s="128">
        <v>0.02</v>
      </c>
      <c r="BQ97" s="69">
        <f>(BO97+BP97)/2</f>
        <v>0.02</v>
      </c>
      <c r="BR97" s="128">
        <v>0.02</v>
      </c>
      <c r="BS97" s="128">
        <v>0.02</v>
      </c>
      <c r="BT97" s="69">
        <f>(BR97+BS97)/2</f>
        <v>0.02</v>
      </c>
      <c r="BU97" s="128">
        <v>0.02</v>
      </c>
      <c r="BV97" s="128">
        <v>0.02</v>
      </c>
      <c r="BW97" s="69">
        <f>(BU97+BV97)/2</f>
        <v>0.02</v>
      </c>
      <c r="BX97" s="128">
        <v>0.02</v>
      </c>
      <c r="BY97" s="128">
        <v>0.02</v>
      </c>
      <c r="BZ97" s="69">
        <f>(BX97+BY97)/2</f>
        <v>0.02</v>
      </c>
      <c r="CA97" s="128">
        <v>0.02</v>
      </c>
      <c r="CB97" s="128">
        <v>0.02</v>
      </c>
      <c r="CC97" s="69">
        <f>(CA97+CB97)/2</f>
        <v>0.02</v>
      </c>
    </row>
    <row r="98" spans="1:82">
      <c r="B98" s="45" t="s">
        <v>70</v>
      </c>
      <c r="C98" s="65"/>
      <c r="D98" s="65"/>
      <c r="E98" s="65"/>
      <c r="F98" s="65"/>
      <c r="G98" s="65"/>
      <c r="H98" s="65"/>
      <c r="I98" s="65"/>
      <c r="J98" s="65"/>
      <c r="K98" s="65"/>
      <c r="L98" s="65"/>
      <c r="M98" s="65"/>
      <c r="N98" s="65"/>
      <c r="O98" s="65"/>
      <c r="P98" s="65"/>
      <c r="Q98" s="65"/>
      <c r="R98" s="65"/>
      <c r="S98" s="65"/>
      <c r="AD98" s="70"/>
      <c r="AE98" s="70"/>
      <c r="AF98" s="70"/>
      <c r="AG98" s="129"/>
      <c r="AH98" s="129"/>
      <c r="AI98" s="128">
        <f>AI47</f>
        <v>5.1238200575887349E-2</v>
      </c>
      <c r="AJ98" s="69">
        <f>(AH98+AI98)/2</f>
        <v>2.5619100287943675E-2</v>
      </c>
      <c r="AK98" s="274">
        <v>0.04</v>
      </c>
      <c r="AL98" s="274">
        <v>0.04</v>
      </c>
      <c r="AM98" s="69">
        <f>(AK98+AL98)/2</f>
        <v>0.04</v>
      </c>
      <c r="AN98" s="274">
        <v>0.02</v>
      </c>
      <c r="AO98" s="274">
        <v>0.02</v>
      </c>
      <c r="AP98" s="69">
        <f>(AN98+AO98)/2</f>
        <v>0.02</v>
      </c>
      <c r="AQ98" s="274">
        <v>0.04</v>
      </c>
      <c r="AR98" s="274">
        <v>0.06</v>
      </c>
      <c r="AS98" s="208">
        <f>(AQ98+AR98)/2</f>
        <v>0.05</v>
      </c>
      <c r="AT98" s="651">
        <v>-0.02</v>
      </c>
      <c r="AU98" s="651">
        <v>0.03</v>
      </c>
      <c r="AV98" s="208">
        <f>(AT98+AU98)/2</f>
        <v>4.9999999999999992E-3</v>
      </c>
      <c r="AW98" s="651">
        <v>0</v>
      </c>
      <c r="AX98" s="274">
        <v>0</v>
      </c>
      <c r="AY98" s="69">
        <f>(AW98+AX98)/2</f>
        <v>0</v>
      </c>
      <c r="AZ98" s="274">
        <v>-0.02</v>
      </c>
      <c r="BA98" s="274">
        <v>0.02</v>
      </c>
      <c r="BB98" s="69">
        <f>(AZ98+BA98)/2</f>
        <v>0</v>
      </c>
      <c r="BC98" s="128"/>
      <c r="BD98" s="274">
        <v>0</v>
      </c>
      <c r="BE98" s="128">
        <f>(BC98+BD98)/2</f>
        <v>0</v>
      </c>
      <c r="BF98" s="128">
        <v>-0.01</v>
      </c>
      <c r="BG98" s="128">
        <v>-0.01</v>
      </c>
      <c r="BH98" s="69">
        <f>(BF98+BG98)/2</f>
        <v>-0.01</v>
      </c>
      <c r="BI98" s="128">
        <v>0.02</v>
      </c>
      <c r="BJ98" s="128">
        <v>0.02</v>
      </c>
      <c r="BK98" s="69">
        <f>(BI98+BJ98)/2</f>
        <v>0.02</v>
      </c>
      <c r="BL98" s="128">
        <v>0.02</v>
      </c>
      <c r="BM98" s="128">
        <v>0.02</v>
      </c>
      <c r="BN98" s="69">
        <f>(BL98+BM98)/2</f>
        <v>0.02</v>
      </c>
      <c r="BO98" s="128">
        <v>0.01</v>
      </c>
      <c r="BP98" s="128">
        <v>0.01</v>
      </c>
      <c r="BQ98" s="69">
        <f>(BO98+BP98)/2</f>
        <v>0.01</v>
      </c>
      <c r="BR98" s="128">
        <v>0.01</v>
      </c>
      <c r="BS98" s="128">
        <v>0.01</v>
      </c>
      <c r="BT98" s="69">
        <f>(BR98+BS98)/2</f>
        <v>0.01</v>
      </c>
      <c r="BU98" s="128">
        <v>0.01</v>
      </c>
      <c r="BV98" s="128">
        <v>0.01</v>
      </c>
      <c r="BW98" s="69">
        <f>(BU98+BV98)/2</f>
        <v>0.01</v>
      </c>
      <c r="BX98" s="128">
        <v>0.01</v>
      </c>
      <c r="BY98" s="128">
        <v>0.01</v>
      </c>
      <c r="BZ98" s="69">
        <f>(BX98+BY98)/2</f>
        <v>0.01</v>
      </c>
      <c r="CA98" s="128">
        <v>0.01</v>
      </c>
      <c r="CB98" s="128">
        <v>0.01</v>
      </c>
      <c r="CC98" s="69">
        <f>(CA98+CB98)/2</f>
        <v>0.01</v>
      </c>
    </row>
    <row r="99" spans="1:82">
      <c r="B99" s="45" t="s">
        <v>182</v>
      </c>
      <c r="C99" s="65"/>
      <c r="D99" s="65"/>
      <c r="E99" s="65"/>
      <c r="F99" s="65"/>
      <c r="G99" s="65"/>
      <c r="H99" s="65"/>
      <c r="I99" s="65"/>
      <c r="J99" s="65"/>
      <c r="K99" s="65"/>
      <c r="L99" s="65"/>
      <c r="M99" s="65"/>
      <c r="N99" s="65"/>
      <c r="O99" s="65"/>
      <c r="P99" s="65"/>
      <c r="Q99" s="65"/>
      <c r="R99" s="65"/>
      <c r="S99" s="65"/>
      <c r="AD99" s="70"/>
      <c r="AE99" s="70"/>
      <c r="AF99" s="70"/>
      <c r="AG99" s="129"/>
      <c r="AH99" s="129"/>
      <c r="AI99" s="128">
        <v>2.5000000000000001E-2</v>
      </c>
      <c r="AJ99" s="128">
        <f>AJ100-AJ97-AJ98</f>
        <v>-3.2124822024997335E-2</v>
      </c>
      <c r="AK99" s="274">
        <v>0</v>
      </c>
      <c r="AL99" s="274">
        <v>-0.32600000000000001</v>
      </c>
      <c r="AM99" s="128">
        <f>AM100-AM97-AM98</f>
        <v>-0.18556511187237978</v>
      </c>
      <c r="AN99" s="274">
        <v>-0.01</v>
      </c>
      <c r="AO99" s="69">
        <f>+AO100-AO98-AO97</f>
        <v>-0.17859215071922857</v>
      </c>
      <c r="AP99" s="69">
        <f>+AP100-AP98-AP97</f>
        <v>-9.5615830395644072E-2</v>
      </c>
      <c r="AQ99" s="128">
        <f>+AQ100-AQ98-AQ97</f>
        <v>-0.11833476194731837</v>
      </c>
      <c r="AR99" s="128">
        <f>+AR100-AR98-AR97</f>
        <v>0.23959096285006751</v>
      </c>
      <c r="AS99" s="212">
        <f>AS100-AS97-AS98</f>
        <v>4.6009866345436745E-2</v>
      </c>
      <c r="AT99" s="212">
        <f>AT100-AT97-AT98</f>
        <v>3.2368263033418526E-2</v>
      </c>
      <c r="AU99" s="128">
        <f>+AU100-AU98-AU97</f>
        <v>-0.11605696635728029</v>
      </c>
      <c r="AV99" s="212">
        <f>AV100-AV97-AV98</f>
        <v>-4.4080096481743249E-2</v>
      </c>
      <c r="AW99" s="212">
        <f>+AW100-AW98-AW97</f>
        <v>0.16355090804672126</v>
      </c>
      <c r="AX99" s="128">
        <f>AX100-AX97-AX98</f>
        <v>4.1955107676451955E-2</v>
      </c>
      <c r="AY99" s="128">
        <f>AY100-AY97-AY98</f>
        <v>9.6852723995580994E-2</v>
      </c>
      <c r="AZ99" s="128">
        <f>AZ100-AZ97-AZ98</f>
        <v>4.5102288286240744E-2</v>
      </c>
      <c r="BA99" s="128">
        <f>BA100-BA97-BA98</f>
        <v>-0.21425070352356429</v>
      </c>
      <c r="BB99" s="128">
        <f>BB100-BB97-BB98</f>
        <v>-8.9196020514918192E-2</v>
      </c>
      <c r="BC99" s="274">
        <v>0</v>
      </c>
      <c r="BD99" s="128">
        <v>0</v>
      </c>
      <c r="BE99" s="274">
        <f>BE100-BE97-BE98</f>
        <v>-8.4169049888782835E-2</v>
      </c>
      <c r="BF99" s="128">
        <v>0</v>
      </c>
      <c r="BG99" s="128">
        <v>0</v>
      </c>
      <c r="BH99" s="128">
        <f>BH100-BH97-BH98</f>
        <v>0</v>
      </c>
      <c r="BI99" s="128">
        <v>0</v>
      </c>
      <c r="BJ99" s="128">
        <v>0</v>
      </c>
      <c r="BK99" s="128">
        <f>BK100-BK97-BK98</f>
        <v>3.4694469519536142E-17</v>
      </c>
      <c r="BL99" s="128">
        <v>0</v>
      </c>
      <c r="BM99" s="128">
        <v>0</v>
      </c>
      <c r="BN99" s="128">
        <f>BN100-BN97-BN98</f>
        <v>3.4694469519536142E-17</v>
      </c>
      <c r="BO99" s="128">
        <v>0</v>
      </c>
      <c r="BP99" s="128">
        <v>0</v>
      </c>
      <c r="BQ99" s="128">
        <f>BQ100-BQ97-BQ98</f>
        <v>2.6020852139652106E-17</v>
      </c>
      <c r="BR99" s="128">
        <v>0</v>
      </c>
      <c r="BS99" s="128">
        <v>0</v>
      </c>
      <c r="BT99" s="128">
        <f>BT100-BT97-BT98</f>
        <v>2.6020852139652106E-17</v>
      </c>
      <c r="BU99" s="128">
        <v>0</v>
      </c>
      <c r="BV99" s="128">
        <v>0</v>
      </c>
      <c r="BW99" s="128">
        <f>BW100-BW97-BW98</f>
        <v>2.6020852139652106E-17</v>
      </c>
      <c r="BX99" s="128">
        <v>0</v>
      </c>
      <c r="BY99" s="128">
        <v>0</v>
      </c>
      <c r="BZ99" s="128">
        <f>BZ100-BZ97-BZ98</f>
        <v>2.4806545706468341E-16</v>
      </c>
      <c r="CA99" s="128">
        <v>0</v>
      </c>
      <c r="CB99" s="128">
        <v>0</v>
      </c>
      <c r="CC99" s="128">
        <f>CC100-CC97-CC98</f>
        <v>2.6020852139652106E-17</v>
      </c>
    </row>
    <row r="100" spans="1:82" s="7" customFormat="1">
      <c r="A100" s="146"/>
      <c r="B100" s="145" t="s">
        <v>414</v>
      </c>
      <c r="C100" s="145"/>
      <c r="D100" s="145"/>
      <c r="E100" s="145"/>
      <c r="F100" s="145"/>
      <c r="G100" s="145"/>
      <c r="H100" s="145"/>
      <c r="I100" s="145"/>
      <c r="J100" s="145"/>
      <c r="K100" s="145"/>
      <c r="L100" s="145"/>
      <c r="M100" s="145"/>
      <c r="N100" s="145"/>
      <c r="O100" s="145"/>
      <c r="P100" s="145"/>
      <c r="Q100" s="145"/>
      <c r="R100" s="145"/>
      <c r="S100" s="145"/>
      <c r="T100" s="145"/>
      <c r="U100" s="145"/>
      <c r="V100" s="145"/>
      <c r="W100" s="145"/>
      <c r="X100" s="145"/>
      <c r="Y100" s="145"/>
      <c r="Z100" s="145"/>
      <c r="AA100" s="145"/>
      <c r="AB100" s="145"/>
      <c r="AC100" s="145"/>
      <c r="AD100" s="170"/>
      <c r="AE100" s="170"/>
      <c r="AF100" s="170"/>
      <c r="AG100" s="171">
        <f>AG96/AD96-1</f>
        <v>6.7598280878842454E-2</v>
      </c>
      <c r="AH100" s="171">
        <f>AH96/AE96-1</f>
        <v>-0.10233406973393511</v>
      </c>
      <c r="AI100" s="171">
        <f>SUM(AI97:AI99)</f>
        <v>7.6238200575887344E-2</v>
      </c>
      <c r="AJ100" s="171">
        <f>AJ96/AG96-1</f>
        <v>-6.5057217370536602E-3</v>
      </c>
      <c r="AK100" s="171">
        <f>SUM(AK97:AK99)</f>
        <v>0.08</v>
      </c>
      <c r="AL100" s="171">
        <f>SUM(AL97:AL99)</f>
        <v>-0.19745000000000001</v>
      </c>
      <c r="AM100" s="171">
        <f>AM96/AJ96-1</f>
        <v>-8.1290111872379778E-2</v>
      </c>
      <c r="AN100" s="171">
        <f>SUM(AN97:AN99)</f>
        <v>7.0000000000000007E-2</v>
      </c>
      <c r="AO100" s="171">
        <f>+AO96/AL96-1</f>
        <v>-9.8592150719228555E-2</v>
      </c>
      <c r="AP100" s="171">
        <f>+AP96/AM96-1</f>
        <v>-1.561583039564407E-2</v>
      </c>
      <c r="AQ100" s="171">
        <f>+AQ96/AN96-1</f>
        <v>-7.8334761947318365E-2</v>
      </c>
      <c r="AR100" s="171">
        <f>+AR96/AO96-1</f>
        <v>0.33959096285006751</v>
      </c>
      <c r="AS100" s="213">
        <f t="shared" ref="AS100:AY100" si="22">AS96/AP96-1</f>
        <v>0.11600986634543675</v>
      </c>
      <c r="AT100" s="213">
        <f t="shared" si="22"/>
        <v>2.3682630334185273E-3</v>
      </c>
      <c r="AU100" s="213">
        <f t="shared" si="22"/>
        <v>-3.6056966357280285E-2</v>
      </c>
      <c r="AV100" s="213">
        <f t="shared" si="22"/>
        <v>-1.9080096481743247E-2</v>
      </c>
      <c r="AW100" s="213">
        <f t="shared" si="22"/>
        <v>0.18355090804672125</v>
      </c>
      <c r="AX100" s="213">
        <f t="shared" si="22"/>
        <v>6.1955107676451959E-2</v>
      </c>
      <c r="AY100" s="171">
        <f t="shared" si="22"/>
        <v>0.116852723995581</v>
      </c>
      <c r="AZ100" s="171">
        <f>AZ96/AW96-1</f>
        <v>4.0102288286240739E-2</v>
      </c>
      <c r="BA100" s="171">
        <f>BA96/AX96-1</f>
        <v>-0.17425070352356431</v>
      </c>
      <c r="BB100" s="171">
        <f>BB96/AY96-1</f>
        <v>-7.1696020514918191E-2</v>
      </c>
      <c r="BC100" s="171">
        <f>SUM(BC97:BC99)</f>
        <v>-0.02</v>
      </c>
      <c r="BD100" s="171">
        <f>SUM(BD97:BD99)</f>
        <v>-0.02</v>
      </c>
      <c r="BE100" s="171">
        <f>BE96/BB96-1</f>
        <v>-0.10416904988878284</v>
      </c>
      <c r="BF100" s="171">
        <f>SUM(BF97:BF99)</f>
        <v>0</v>
      </c>
      <c r="BG100" s="171">
        <f>SUM(BG97:BG99)</f>
        <v>0</v>
      </c>
      <c r="BH100" s="171">
        <f>BH96/BE96-1</f>
        <v>0</v>
      </c>
      <c r="BI100" s="171">
        <f>SUM(BI97:BI99)</f>
        <v>0.04</v>
      </c>
      <c r="BJ100" s="171">
        <f>SUM(BJ97:BJ99)</f>
        <v>0.04</v>
      </c>
      <c r="BK100" s="171">
        <f>BK96/BH96-1</f>
        <v>4.0000000000000036E-2</v>
      </c>
      <c r="BL100" s="171">
        <f>SUM(BL97:BL99)</f>
        <v>0.04</v>
      </c>
      <c r="BM100" s="171">
        <f>SUM(BM97:BM99)</f>
        <v>0.04</v>
      </c>
      <c r="BN100" s="171">
        <f>BN96/BK96-1</f>
        <v>4.0000000000000036E-2</v>
      </c>
      <c r="BO100" s="171">
        <f>SUM(BO97:BO99)</f>
        <v>0.03</v>
      </c>
      <c r="BP100" s="171">
        <f>SUM(BP97:BP99)</f>
        <v>0.03</v>
      </c>
      <c r="BQ100" s="171">
        <f>BQ96/BN96-1</f>
        <v>3.0000000000000027E-2</v>
      </c>
      <c r="BR100" s="171">
        <f>SUM(BR97:BR99)</f>
        <v>0.03</v>
      </c>
      <c r="BS100" s="171">
        <f>SUM(BS97:BS99)</f>
        <v>0.03</v>
      </c>
      <c r="BT100" s="171">
        <f>BT96/BQ96-1</f>
        <v>3.0000000000000027E-2</v>
      </c>
      <c r="BU100" s="171">
        <f>SUM(BU97:BU99)</f>
        <v>0.03</v>
      </c>
      <c r="BV100" s="171">
        <f>SUM(BV97:BV99)</f>
        <v>0.03</v>
      </c>
      <c r="BW100" s="171">
        <f>BW96/BT96-1</f>
        <v>3.0000000000000027E-2</v>
      </c>
      <c r="BX100" s="171">
        <f>SUM(BX97:BX99)</f>
        <v>0.03</v>
      </c>
      <c r="BY100" s="171">
        <f>SUM(BY97:BY99)</f>
        <v>0.03</v>
      </c>
      <c r="BZ100" s="171">
        <f>BZ96/BW96-1</f>
        <v>3.0000000000000249E-2</v>
      </c>
      <c r="CA100" s="171">
        <f>SUM(CA97:CA99)</f>
        <v>0.03</v>
      </c>
      <c r="CB100" s="171">
        <f>SUM(CB97:CB99)</f>
        <v>0.03</v>
      </c>
      <c r="CC100" s="171">
        <f>CC96/BZ96-1</f>
        <v>3.0000000000000027E-2</v>
      </c>
    </row>
    <row r="101" spans="1:82" s="7" customFormat="1">
      <c r="A101" s="130"/>
      <c r="B101" s="247"/>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c r="AA101" s="40"/>
      <c r="AB101" s="40"/>
      <c r="AC101" s="40"/>
      <c r="AD101" s="131"/>
      <c r="AE101" s="131"/>
      <c r="AF101" s="131"/>
      <c r="AG101" s="132"/>
      <c r="AH101" s="132"/>
      <c r="AI101" s="132"/>
      <c r="AJ101" s="132"/>
      <c r="AK101" s="132"/>
      <c r="AL101" s="132"/>
      <c r="AM101" s="132"/>
      <c r="AN101" s="132"/>
      <c r="AO101" s="132"/>
      <c r="AP101" s="132"/>
      <c r="AQ101" s="132"/>
      <c r="AR101" s="132"/>
      <c r="AS101" s="214"/>
      <c r="AT101" s="214"/>
      <c r="AU101" s="214"/>
      <c r="AV101" s="214"/>
      <c r="AW101" s="214"/>
      <c r="AX101" s="132"/>
      <c r="AY101" s="132"/>
      <c r="AZ101" s="65"/>
      <c r="BA101" s="132"/>
      <c r="BB101" s="132"/>
      <c r="BC101" s="132"/>
      <c r="BD101" s="132"/>
      <c r="BE101" s="132"/>
      <c r="BF101" s="132"/>
      <c r="BG101" s="132"/>
      <c r="BH101" s="132"/>
      <c r="BI101" s="132"/>
      <c r="BJ101" s="132"/>
      <c r="BK101" s="132"/>
      <c r="BL101" s="132"/>
      <c r="BM101" s="132"/>
      <c r="BN101" s="132"/>
      <c r="BO101" s="132"/>
      <c r="BP101" s="132"/>
      <c r="BQ101" s="132"/>
      <c r="BR101" s="132"/>
      <c r="BS101" s="132"/>
      <c r="BT101" s="132"/>
      <c r="BU101" s="132"/>
      <c r="BV101" s="132"/>
      <c r="BW101" s="132"/>
      <c r="BX101" s="132"/>
      <c r="BY101" s="132"/>
      <c r="BZ101" s="132"/>
      <c r="CA101" s="132"/>
      <c r="CB101" s="132"/>
      <c r="CC101" s="132"/>
    </row>
    <row r="102" spans="1:82">
      <c r="B102" s="438" t="s">
        <v>496</v>
      </c>
      <c r="C102" s="65"/>
      <c r="D102" s="65"/>
      <c r="E102" s="65"/>
      <c r="F102" s="65"/>
      <c r="G102" s="65"/>
      <c r="H102" s="65"/>
      <c r="I102" s="65"/>
      <c r="J102" s="65"/>
      <c r="K102" s="65"/>
      <c r="L102" s="65"/>
      <c r="M102" s="65"/>
      <c r="N102" s="65"/>
      <c r="O102" s="65"/>
      <c r="P102" s="65"/>
      <c r="Q102" s="65"/>
      <c r="R102" s="65"/>
      <c r="S102" s="65"/>
      <c r="AD102" s="173">
        <v>174.70852272727271</v>
      </c>
      <c r="AE102" s="173">
        <v>83.184953703703698</v>
      </c>
      <c r="AF102" s="173">
        <v>96.339120370370367</v>
      </c>
      <c r="AG102" s="173">
        <v>186.5185185185185</v>
      </c>
      <c r="AH102" s="173">
        <v>101.4528735632184</v>
      </c>
      <c r="AI102" s="172">
        <v>111.65085073100533</v>
      </c>
      <c r="AJ102" s="172">
        <v>213.10372429422375</v>
      </c>
      <c r="AK102" s="172">
        <v>95.670059770114946</v>
      </c>
      <c r="AL102" s="172">
        <v>150.41145841868502</v>
      </c>
      <c r="AM102" s="172">
        <v>246.08151818879998</v>
      </c>
      <c r="AN102" s="172">
        <v>125.50245608168699</v>
      </c>
      <c r="AO102" s="127">
        <f>+AP102-AN102</f>
        <v>158.09979110932414</v>
      </c>
      <c r="AP102" s="172">
        <f>+(0.247191011235955)*AP108</f>
        <v>283.60224719101114</v>
      </c>
      <c r="AQ102" s="172">
        <f>(22/89)*AQ108</f>
        <v>139.83595505617978</v>
      </c>
      <c r="AR102" s="127">
        <f>+AS102-AQ102</f>
        <v>140.70071161048685</v>
      </c>
      <c r="AS102" s="217">
        <f>(21/90)*AS108</f>
        <v>280.53666666666663</v>
      </c>
      <c r="AT102" s="216">
        <f>AQ102*(1+AT106)</f>
        <v>151.21618827894312</v>
      </c>
      <c r="AU102" s="217">
        <f>AV102-AT102</f>
        <v>229.80781172105694</v>
      </c>
      <c r="AV102" s="217">
        <f>0.27*AV108</f>
        <v>381.02400000000006</v>
      </c>
      <c r="AW102" s="216">
        <f>AW108*0.2667</f>
        <v>196.13118</v>
      </c>
      <c r="AX102" s="127">
        <f>AY102-AW102</f>
        <v>333.17659777777783</v>
      </c>
      <c r="AY102" s="127">
        <f>(31/90)*AY108</f>
        <v>529.3077777777778</v>
      </c>
      <c r="AZ102" s="127">
        <f>AZ108-AZ96-AZ90</f>
        <v>263.39666666666665</v>
      </c>
      <c r="BA102" s="127">
        <f>BB102-AZ102</f>
        <v>341.79564102564098</v>
      </c>
      <c r="BB102" s="127">
        <f>BB108-BB96-BB90</f>
        <v>605.19230769230762</v>
      </c>
      <c r="BC102" s="127">
        <f>BC108-BC96-BC90</f>
        <v>244.67599999999999</v>
      </c>
      <c r="BD102" s="127">
        <f>BE102-BC102</f>
        <v>351.24400000000009</v>
      </c>
      <c r="BE102" s="127">
        <f>BE108-BE96-BE90</f>
        <v>595.92000000000007</v>
      </c>
      <c r="BF102" s="127">
        <f>BC102*(1+BF106)+(60*3/12)</f>
        <v>276.23974337402842</v>
      </c>
      <c r="BG102" s="127">
        <f>BD102*(1+BG106)</f>
        <v>374.75135884292985</v>
      </c>
      <c r="BH102" s="127">
        <f>BG102+BF102</f>
        <v>650.99110221695832</v>
      </c>
      <c r="BI102" s="127">
        <f>BF102*(1+BI106)</f>
        <v>292.48748519413459</v>
      </c>
      <c r="BJ102" s="127">
        <f>BG102*(1+BJ106)</f>
        <v>377.96871286178538</v>
      </c>
      <c r="BK102" s="127">
        <f>BJ102+BI102</f>
        <v>670.45619805591991</v>
      </c>
      <c r="BL102" s="127">
        <f>BI102*(1+BL106)</f>
        <v>298.88454073792815</v>
      </c>
      <c r="BM102" s="127">
        <f>BJ102*(1+BM106)</f>
        <v>386.18930272317942</v>
      </c>
      <c r="BN102" s="127">
        <f>BM102+BL102</f>
        <v>685.07384346110757</v>
      </c>
      <c r="BO102" s="127">
        <f>BL102*(1+BO106)</f>
        <v>309.07196443082182</v>
      </c>
      <c r="BP102" s="127">
        <f>BM102*(1+BP106)</f>
        <v>394.85052233822984</v>
      </c>
      <c r="BQ102" s="127">
        <f>BP102+BO102</f>
        <v>703.9224867690516</v>
      </c>
      <c r="BR102" s="127">
        <f>BO102*(1+BR106)</f>
        <v>310.34970227421968</v>
      </c>
      <c r="BS102" s="127">
        <f>BP102*(1+BS106)</f>
        <v>406.80844013216716</v>
      </c>
      <c r="BT102" s="127">
        <f>BS102+BR102</f>
        <v>717.15814240638679</v>
      </c>
      <c r="BU102" s="127">
        <f>BR102*(1+BU106)</f>
        <v>322.59976648075963</v>
      </c>
      <c r="BV102" s="127">
        <f>BS102*(1+BV106)</f>
        <v>420.99507338434819</v>
      </c>
      <c r="BW102" s="127">
        <f>BV102+BU102</f>
        <v>743.59483986510782</v>
      </c>
      <c r="BX102" s="127">
        <f>BU102*(1+BX106)</f>
        <v>333.0718703338589</v>
      </c>
      <c r="BY102" s="127">
        <f>BV102*(1+BY106)</f>
        <v>425.81018716365065</v>
      </c>
      <c r="BZ102" s="127">
        <f>BY102+BX102</f>
        <v>758.88205749750955</v>
      </c>
      <c r="CA102" s="127">
        <f>BX102*(1+CA106)</f>
        <v>336.88136610645773</v>
      </c>
      <c r="CB102" s="127">
        <f>BY102*(1+CB106)</f>
        <v>430.68037360810627</v>
      </c>
      <c r="CC102" s="127">
        <f>CB102+CA102</f>
        <v>767.56173971456406</v>
      </c>
    </row>
    <row r="103" spans="1:82">
      <c r="B103" s="45" t="s">
        <v>69</v>
      </c>
      <c r="C103" s="65"/>
      <c r="D103" s="65"/>
      <c r="E103" s="65"/>
      <c r="F103" s="65"/>
      <c r="G103" s="65"/>
      <c r="H103" s="65"/>
      <c r="I103" s="65"/>
      <c r="J103" s="65"/>
      <c r="K103" s="65"/>
      <c r="L103" s="65"/>
      <c r="M103" s="65"/>
      <c r="N103" s="65"/>
      <c r="O103" s="65"/>
      <c r="P103" s="65"/>
      <c r="Q103" s="65"/>
      <c r="R103" s="65"/>
      <c r="S103" s="65"/>
      <c r="AD103" s="70"/>
      <c r="AE103" s="70"/>
      <c r="AF103" s="70"/>
      <c r="AG103" s="129"/>
      <c r="AH103" s="129"/>
      <c r="AI103" s="128">
        <v>0</v>
      </c>
      <c r="AJ103" s="69">
        <f>(AH103+AI103)/2</f>
        <v>0</v>
      </c>
      <c r="AK103" s="274">
        <v>0</v>
      </c>
      <c r="AL103" s="274">
        <v>0</v>
      </c>
      <c r="AM103" s="69">
        <f>(AK103+AL103)/2</f>
        <v>0</v>
      </c>
      <c r="AN103" s="274">
        <v>0.04</v>
      </c>
      <c r="AO103" s="274">
        <v>0.04</v>
      </c>
      <c r="AP103" s="69">
        <f>(AN103+AO103)/2</f>
        <v>0.04</v>
      </c>
      <c r="AQ103" s="274">
        <v>0.02</v>
      </c>
      <c r="AR103" s="274">
        <v>0.02</v>
      </c>
      <c r="AS103" s="208">
        <f>(AQ103+AR103)/2</f>
        <v>0.02</v>
      </c>
      <c r="AT103" s="651">
        <v>0.03</v>
      </c>
      <c r="AU103" s="651">
        <v>0.02</v>
      </c>
      <c r="AV103" s="208">
        <f>(AT103+AU103)/2</f>
        <v>2.5000000000000001E-2</v>
      </c>
      <c r="AW103" s="651">
        <v>0.02</v>
      </c>
      <c r="AX103" s="274">
        <v>0.05</v>
      </c>
      <c r="AY103" s="69">
        <f>(AW103+AX103)/2</f>
        <v>3.5000000000000003E-2</v>
      </c>
      <c r="AZ103" s="274">
        <v>3.5000000000000003E-2</v>
      </c>
      <c r="BA103" s="274">
        <v>3.5000000000000003E-2</v>
      </c>
      <c r="BB103" s="69">
        <f>(AZ103+BA103)/2</f>
        <v>3.5000000000000003E-2</v>
      </c>
      <c r="BC103" s="274">
        <v>3.5000000000000003E-2</v>
      </c>
      <c r="BD103" s="274">
        <f>BC103</f>
        <v>3.5000000000000003E-2</v>
      </c>
      <c r="BE103" s="274">
        <f>(BC103+BD103)/2</f>
        <v>3.5000000000000003E-2</v>
      </c>
      <c r="BF103" s="289">
        <v>0.03</v>
      </c>
      <c r="BG103" s="69">
        <v>0.03</v>
      </c>
      <c r="BH103" s="69">
        <f>BH91</f>
        <v>0.01</v>
      </c>
      <c r="BI103" s="69">
        <f>(BG103+BH103)/2</f>
        <v>0.02</v>
      </c>
      <c r="BJ103" s="69">
        <f>BJ91</f>
        <v>2.5000000000000001E-2</v>
      </c>
      <c r="BK103" s="69">
        <f>BK91</f>
        <v>2.5000000000000001E-2</v>
      </c>
      <c r="BL103" s="69">
        <f>(BJ103+BK103)/2</f>
        <v>2.5000000000000001E-2</v>
      </c>
      <c r="BM103" s="69">
        <f>BM91</f>
        <v>2.5000000000000001E-2</v>
      </c>
      <c r="BN103" s="69">
        <f>BN91</f>
        <v>2.5000000000000001E-2</v>
      </c>
      <c r="BO103" s="69">
        <f>(BM103+BN103)/2</f>
        <v>2.5000000000000001E-2</v>
      </c>
      <c r="BP103" s="69">
        <f>BP91</f>
        <v>2.5000000000000001E-2</v>
      </c>
      <c r="BQ103" s="69">
        <f>BQ91</f>
        <v>2.5000000000000001E-2</v>
      </c>
      <c r="BR103" s="69">
        <f>(BP103+BQ103)/2</f>
        <v>2.5000000000000001E-2</v>
      </c>
      <c r="BS103" s="69">
        <f>BS91</f>
        <v>2.5000000000000001E-2</v>
      </c>
      <c r="BT103" s="69">
        <f>BT91</f>
        <v>2.5000000000000001E-2</v>
      </c>
      <c r="BU103" s="69">
        <f>(BS103+BT103)/2</f>
        <v>2.5000000000000001E-2</v>
      </c>
      <c r="BV103" s="69">
        <f>BV91</f>
        <v>2.5000000000000001E-2</v>
      </c>
      <c r="BW103" s="69">
        <f>BW91</f>
        <v>2.5000000000000001E-2</v>
      </c>
      <c r="BX103" s="69">
        <f>(BV103+BW103)/2</f>
        <v>2.5000000000000001E-2</v>
      </c>
      <c r="BY103" s="69">
        <f>BY91</f>
        <v>2.5000000000000001E-2</v>
      </c>
      <c r="BZ103" s="69">
        <f>BZ91</f>
        <v>2.5000000000000001E-2</v>
      </c>
      <c r="CA103" s="69">
        <f>(BY103+BZ103)/2</f>
        <v>2.5000000000000001E-2</v>
      </c>
      <c r="CB103" s="69">
        <f>CB91</f>
        <v>2.5000000000000001E-2</v>
      </c>
      <c r="CC103" s="69">
        <f>CC91</f>
        <v>2.5000000000000001E-2</v>
      </c>
    </row>
    <row r="104" spans="1:82">
      <c r="B104" s="45" t="s">
        <v>70</v>
      </c>
      <c r="C104" s="65"/>
      <c r="D104" s="65"/>
      <c r="E104" s="65"/>
      <c r="F104" s="65"/>
      <c r="G104" s="65"/>
      <c r="H104" s="65"/>
      <c r="I104" s="65"/>
      <c r="J104" s="65"/>
      <c r="K104" s="65"/>
      <c r="L104" s="65"/>
      <c r="M104" s="65"/>
      <c r="N104" s="65"/>
      <c r="O104" s="65"/>
      <c r="P104" s="65"/>
      <c r="Q104" s="65"/>
      <c r="R104" s="65"/>
      <c r="S104" s="65"/>
      <c r="AD104" s="70"/>
      <c r="AE104" s="70"/>
      <c r="AF104" s="70"/>
      <c r="AG104" s="129"/>
      <c r="AH104" s="129"/>
      <c r="AI104" s="69">
        <f>0.4*AI47+0.3*AI43+0.3*AI39</f>
        <v>0.15893575010618605</v>
      </c>
      <c r="AJ104" s="69">
        <f>(AH104+AI104)/2</f>
        <v>7.9467875053093023E-2</v>
      </c>
      <c r="AK104" s="275">
        <v>0</v>
      </c>
      <c r="AL104" s="69">
        <f>0.4*AL47+0.3*AL43+0.3*AL39</f>
        <v>-4.3840910446230015E-2</v>
      </c>
      <c r="AM104" s="69">
        <f>(AK104+AL104)/2</f>
        <v>-2.1920455223115008E-2</v>
      </c>
      <c r="AN104" s="69">
        <f>0.4*AN47+0.3*AN43+0.3*AN39</f>
        <v>-6.8677214800841158E-2</v>
      </c>
      <c r="AO104" s="69">
        <f>0.4*AO47+0.3*AO43+0.3*AO36</f>
        <v>0.11466722786408538</v>
      </c>
      <c r="AP104" s="69">
        <f>(AN104+AO104)/2</f>
        <v>2.2995006531622113E-2</v>
      </c>
      <c r="AQ104" s="69">
        <f>0.4*AQ47+0.3*AQ43+0.3*AQ39</f>
        <v>5.5989033086359115E-2</v>
      </c>
      <c r="AR104" s="69">
        <f>0.4*AR47+0.3*AR43+0.3*AR39</f>
        <v>5.1454864686077476E-2</v>
      </c>
      <c r="AS104" s="208">
        <f>(AQ104+AR104)/2</f>
        <v>5.3721948886218299E-2</v>
      </c>
      <c r="AT104" s="208">
        <f>0.4*AT47+0.3*AT43+0.3*AT39</f>
        <v>5.1382740355949717E-2</v>
      </c>
      <c r="AU104" s="208">
        <f>0.4*AU47+0.3*AU43+0.3*AU39</f>
        <v>4.4659737591940599E-3</v>
      </c>
      <c r="AV104" s="208">
        <f>(AT104+AU104)/2</f>
        <v>2.7924357057571889E-2</v>
      </c>
      <c r="AW104" s="208">
        <f>0.4*AW47+0.3*AW43+0.3*AW39</f>
        <v>-1.2723016633971462E-2</v>
      </c>
      <c r="AX104" s="208">
        <f>0.2*AX47+0.3*AX43+0.3*AX39+AX51*0.2</f>
        <v>1.4556706632730003E-2</v>
      </c>
      <c r="AY104" s="69">
        <f>(AW104+AX104)/2</f>
        <v>9.168449993792703E-4</v>
      </c>
      <c r="AZ104" s="208">
        <f>0.2*AZ47+0.3*AZ43+0.3*AZ39+AZ51*0.2</f>
        <v>2.2981280778248587E-2</v>
      </c>
      <c r="BA104" s="208">
        <f>0.2*BA47+0.3*BA43+0.3*BA39+BA51*0.2</f>
        <v>-1.1584754171974916E-2</v>
      </c>
      <c r="BB104" s="69">
        <f>(AZ104+BA104)/2</f>
        <v>5.6982633031368354E-3</v>
      </c>
      <c r="BC104" s="69">
        <f>0.2*BC47+0.3*BC43+0.3*BC39+BC51*0.2</f>
        <v>-3.5050867953400414E-2</v>
      </c>
      <c r="BD104" s="208">
        <f>0.1*BD47+0.25*BD43+0.25*BD39+BD51*0.4</f>
        <v>1.2013875086086034E-2</v>
      </c>
      <c r="BE104" s="69">
        <f>(BC104+BD104)/2</f>
        <v>-1.151849643365719E-2</v>
      </c>
      <c r="BF104" s="208">
        <f>0.1*BF47+0.25*BF43+0.25*BF39+BF51*0.4</f>
        <v>7.6966411663932296E-3</v>
      </c>
      <c r="BG104" s="208">
        <f>0.1*BG47+0.25*BG43+0.25*BG39+BG51*0.4</f>
        <v>3.6926008253321797E-2</v>
      </c>
      <c r="BH104" s="69">
        <f>(BF104+BG104)/2</f>
        <v>2.2311324709857513E-2</v>
      </c>
      <c r="BI104" s="208">
        <f>0.1*BI47+0.25*BI43+0.25*BI39+BI51*0.4</f>
        <v>3.8817538785889755E-2</v>
      </c>
      <c r="BJ104" s="208">
        <f>0.1*BJ47+0.25*BJ43+0.25*BJ39+BJ51*0.4</f>
        <v>-1.6414696857166046E-2</v>
      </c>
      <c r="BK104" s="69">
        <f>(BI104+BJ104)/2</f>
        <v>1.1201420964361854E-2</v>
      </c>
      <c r="BL104" s="208">
        <f>0.1*BL47+0.25*BL43+0.25*BL39+BL51*0.4</f>
        <v>-3.1287888623761648E-3</v>
      </c>
      <c r="BM104" s="208">
        <f>0.1*BM47+0.25*BM43+0.25*BM39+BM51*0.4</f>
        <v>-3.2506075723782724E-3</v>
      </c>
      <c r="BN104" s="69">
        <f>(BL104+BM104)/2</f>
        <v>-3.1896982173772186E-3</v>
      </c>
      <c r="BO104" s="208">
        <f>0.1*BO47+0.25*BO43+0.25*BO39+BO51*0.4</f>
        <v>9.0848130443331281E-3</v>
      </c>
      <c r="BP104" s="208">
        <f>0.1*BP47+0.25*BP43+0.25*BP39+BP51*0.4</f>
        <v>-2.5726060924615053E-3</v>
      </c>
      <c r="BQ104" s="69">
        <f>(BO104+BP104)/2</f>
        <v>3.2561034759358114E-3</v>
      </c>
      <c r="BR104" s="208">
        <f>0.1*BR47+0.25*BR43+0.25*BR39+BR51*0.4</f>
        <v>-2.0865888885292803E-2</v>
      </c>
      <c r="BS104" s="208">
        <f>0.1*BS47+0.25*BS43+0.25*BS39+BS51*0.4</f>
        <v>5.284670064825624E-3</v>
      </c>
      <c r="BT104" s="69">
        <f>(BR104+BS104)/2</f>
        <v>-7.7906094102335897E-3</v>
      </c>
      <c r="BU104" s="208">
        <f>0.1*BU47+0.25*BU43+0.25*BU39+BU51*0.4</f>
        <v>1.4471809113307898E-2</v>
      </c>
      <c r="BV104" s="208">
        <f>0.1*BV47+0.25*BV43+0.25*BV39+BV51*0.4</f>
        <v>9.8730061932145625E-3</v>
      </c>
      <c r="BW104" s="69">
        <f>(BU104+BV104)/2</f>
        <v>1.217240765326123E-2</v>
      </c>
      <c r="BX104" s="208">
        <f>0.1*BX47+0.25*BX43+0.25*BX39+BX51*0.4</f>
        <v>7.4615977480064332E-3</v>
      </c>
      <c r="BY104" s="208">
        <f>0.1*BY47+0.25*BY43+0.25*BY39+BY51*0.4</f>
        <v>-1.3562541265402239E-2</v>
      </c>
      <c r="BZ104" s="69">
        <f>(BX104+BY104)/2</f>
        <v>-3.050471758697903E-3</v>
      </c>
      <c r="CA104" s="208">
        <f>0.1*CA47+0.25*CA43+0.25*CA39+CA51*0.4</f>
        <v>-1.3562541265402229E-2</v>
      </c>
      <c r="CB104" s="208">
        <f>0.1*CB47+0.25*CB43+0.25*CB39+CB51*0.4</f>
        <v>-1.3562541265402239E-2</v>
      </c>
      <c r="CC104" s="69">
        <f>(CA104+CB104)/2</f>
        <v>-1.3562541265402234E-2</v>
      </c>
    </row>
    <row r="105" spans="1:82">
      <c r="B105" s="45" t="s">
        <v>182</v>
      </c>
      <c r="C105" s="65"/>
      <c r="D105" s="65"/>
      <c r="E105" s="65"/>
      <c r="F105" s="65"/>
      <c r="G105" s="65"/>
      <c r="H105" s="65"/>
      <c r="I105" s="65"/>
      <c r="J105" s="65"/>
      <c r="K105" s="65"/>
      <c r="L105" s="65"/>
      <c r="M105" s="65"/>
      <c r="N105" s="65"/>
      <c r="O105" s="65"/>
      <c r="P105" s="65"/>
      <c r="Q105" s="65"/>
      <c r="R105" s="65"/>
      <c r="S105" s="65"/>
      <c r="AD105" s="70"/>
      <c r="AE105" s="70"/>
      <c r="AF105" s="70"/>
      <c r="AG105" s="129"/>
      <c r="AH105" s="129"/>
      <c r="AI105" s="69">
        <v>0</v>
      </c>
      <c r="AJ105" s="128">
        <f>AJ106-AJ103-AJ104</f>
        <v>6.3065992290839007E-2</v>
      </c>
      <c r="AK105" s="275">
        <v>-7.0000000000000007E-2</v>
      </c>
      <c r="AL105" s="69">
        <f>6%+33.1%</f>
        <v>0.39100000000000001</v>
      </c>
      <c r="AM105" s="128">
        <f>AM106-AM103-AM104</f>
        <v>0.17667042031075039</v>
      </c>
      <c r="AN105" s="275">
        <v>0.35799999999999998</v>
      </c>
      <c r="AO105" s="128">
        <f>AO106-AO103-AO104</f>
        <v>-0.10355188883693567</v>
      </c>
      <c r="AP105" s="128">
        <f>AP106-AP103-AP104</f>
        <v>8.9477756471344622E-2</v>
      </c>
      <c r="AQ105" s="69">
        <f>+AQ106-AQ104-AQ103</f>
        <v>3.8219879009858418E-2</v>
      </c>
      <c r="AR105" s="69">
        <f>+AR106-AR104-AR103</f>
        <v>-0.18150611381648288</v>
      </c>
      <c r="AS105" s="212">
        <f>AS106-AS103-AS104</f>
        <v>-8.453138553458095E-2</v>
      </c>
      <c r="AT105" s="652">
        <v>0</v>
      </c>
      <c r="AU105" s="69">
        <f>+AU106-AU104-AU103</f>
        <v>0.60884354607644453</v>
      </c>
      <c r="AV105" s="212">
        <f>AV106-AV103-AV104</f>
        <v>0.30527243242924529</v>
      </c>
      <c r="AW105" s="208">
        <f>+AW106-AW104-AW103</f>
        <v>0.28974803910182911</v>
      </c>
      <c r="AX105" s="128">
        <f>AX106-AX103-AX104</f>
        <v>0.38524865586813645</v>
      </c>
      <c r="AY105" s="128">
        <f>AY106-AY103-AY104</f>
        <v>0.35325490737784027</v>
      </c>
      <c r="AZ105" s="128">
        <f>AZ106-AZ103-AZ104</f>
        <v>0.28498043834599585</v>
      </c>
      <c r="BA105" s="128">
        <f>BA106-BA103-BA104</f>
        <v>2.4540478299043614E-3</v>
      </c>
      <c r="BB105" s="128">
        <f>BB106-BB103-BB104</f>
        <v>0.10266734192775565</v>
      </c>
      <c r="BC105" s="274">
        <f>10%</f>
        <v>0.1</v>
      </c>
      <c r="BD105" s="128">
        <v>0.08</v>
      </c>
      <c r="BE105" s="274">
        <f>BE106-BE103-BE104</f>
        <v>-3.8802761907619991E-2</v>
      </c>
      <c r="BF105" s="289">
        <v>0.03</v>
      </c>
      <c r="BG105" s="69">
        <v>0</v>
      </c>
      <c r="BH105" s="128">
        <f>BH106-BH103-BH104</f>
        <v>6.0102258014263527E-2</v>
      </c>
      <c r="BI105" s="69">
        <v>0</v>
      </c>
      <c r="BJ105" s="69">
        <v>0</v>
      </c>
      <c r="BK105" s="128">
        <f>BK106-BK103-BK104</f>
        <v>-6.3007114574685809E-3</v>
      </c>
      <c r="BL105" s="69">
        <v>0</v>
      </c>
      <c r="BM105" s="69">
        <v>0</v>
      </c>
      <c r="BN105" s="128">
        <f>BN106-BN103-BN104</f>
        <v>-7.7657667376727739E-6</v>
      </c>
      <c r="BO105" s="69">
        <v>0</v>
      </c>
      <c r="BP105" s="69">
        <v>0</v>
      </c>
      <c r="BQ105" s="128">
        <f>BQ106-BQ103-BQ104</f>
        <v>-7.4280182553636623E-4</v>
      </c>
      <c r="BR105" s="69">
        <v>0</v>
      </c>
      <c r="BS105" s="69">
        <v>0</v>
      </c>
      <c r="BT105" s="128">
        <f>BT106-BT103-BT104</f>
        <v>1.5933268771605542E-3</v>
      </c>
      <c r="BU105" s="69">
        <v>0</v>
      </c>
      <c r="BV105" s="69">
        <v>0</v>
      </c>
      <c r="BW105" s="128">
        <f>BW106-BW103-BW104</f>
        <v>-3.0927259909573415E-4</v>
      </c>
      <c r="BX105" s="69">
        <v>0</v>
      </c>
      <c r="BY105" s="69">
        <v>0</v>
      </c>
      <c r="BZ105" s="128">
        <f>BZ106-BZ103-BZ104</f>
        <v>-1.3909971530888373E-3</v>
      </c>
      <c r="CA105" s="69">
        <v>0</v>
      </c>
      <c r="CB105" s="69">
        <v>0</v>
      </c>
      <c r="CC105" s="128">
        <f>CC106-CC103-CC104</f>
        <v>1.5612511283791264E-17</v>
      </c>
    </row>
    <row r="106" spans="1:82" s="7" customFormat="1">
      <c r="A106" s="446"/>
      <c r="B106" s="447" t="s">
        <v>414</v>
      </c>
      <c r="C106" s="447"/>
      <c r="D106" s="447"/>
      <c r="E106" s="447"/>
      <c r="F106" s="447"/>
      <c r="G106" s="447"/>
      <c r="H106" s="447"/>
      <c r="I106" s="447"/>
      <c r="J106" s="447"/>
      <c r="K106" s="447"/>
      <c r="L106" s="447"/>
      <c r="M106" s="447"/>
      <c r="N106" s="447"/>
      <c r="O106" s="447"/>
      <c r="P106" s="447"/>
      <c r="Q106" s="447"/>
      <c r="R106" s="447"/>
      <c r="S106" s="447"/>
      <c r="T106" s="447"/>
      <c r="U106" s="447"/>
      <c r="V106" s="447"/>
      <c r="W106" s="447"/>
      <c r="X106" s="447"/>
      <c r="Y106" s="447"/>
      <c r="Z106" s="447"/>
      <c r="AA106" s="447"/>
      <c r="AB106" s="447"/>
      <c r="AC106" s="447"/>
      <c r="AD106" s="448"/>
      <c r="AE106" s="443"/>
      <c r="AF106" s="443"/>
      <c r="AG106" s="444">
        <f>AG102/AD102-1</f>
        <v>6.7598280878842454E-2</v>
      </c>
      <c r="AH106" s="444">
        <f>AH102/AE102-1</f>
        <v>0.21960605910274555</v>
      </c>
      <c r="AI106" s="444">
        <f>SUM(AI103:AI105)</f>
        <v>0.15893575010618605</v>
      </c>
      <c r="AJ106" s="444">
        <f>AJ102/AG102-1</f>
        <v>0.14253386734393203</v>
      </c>
      <c r="AK106" s="653">
        <v>-5.7000000000000002E-2</v>
      </c>
      <c r="AL106" s="444">
        <f>SUM(AL103:AL105)</f>
        <v>0.34715908955377001</v>
      </c>
      <c r="AM106" s="444">
        <f>AM102/AJ102-1</f>
        <v>0.15474996508763539</v>
      </c>
      <c r="AN106" s="444">
        <f>SUM(AN103:AN105)</f>
        <v>0.32932278519915881</v>
      </c>
      <c r="AO106" s="444">
        <f>+AO102/AL102-1</f>
        <v>5.1115339027149709E-2</v>
      </c>
      <c r="AP106" s="444">
        <f>AP102/AM102-1</f>
        <v>0.15247276300296675</v>
      </c>
      <c r="AQ106" s="444">
        <f>+AQ102/AN102-1</f>
        <v>0.11420891209621753</v>
      </c>
      <c r="AR106" s="444">
        <f>+AR102/AO102-1</f>
        <v>-0.11005124913040543</v>
      </c>
      <c r="AS106" s="445">
        <f>AS102/AP102-1</f>
        <v>-1.0809436648362647E-2</v>
      </c>
      <c r="AT106" s="445">
        <f>SUM(AT103:AT105)</f>
        <v>8.1382740355949723E-2</v>
      </c>
      <c r="AU106" s="445">
        <f t="shared" ref="AU106:AZ106" si="23">AU102/AR102-1</f>
        <v>0.63330951983563866</v>
      </c>
      <c r="AV106" s="445">
        <f t="shared" si="23"/>
        <v>0.35819678948681721</v>
      </c>
      <c r="AW106" s="445">
        <f t="shared" si="23"/>
        <v>0.29702502246785767</v>
      </c>
      <c r="AX106" s="445">
        <f t="shared" si="23"/>
        <v>0.44980536250086645</v>
      </c>
      <c r="AY106" s="444">
        <f t="shared" si="23"/>
        <v>0.38917175237721957</v>
      </c>
      <c r="AZ106" s="444">
        <f t="shared" si="23"/>
        <v>0.34296171912424445</v>
      </c>
      <c r="BA106" s="444">
        <f>BA102/AX102-1</f>
        <v>2.5869293657929449E-2</v>
      </c>
      <c r="BB106" s="444">
        <f>BB102/AY102-1</f>
        <v>0.14336560523089248</v>
      </c>
      <c r="BC106" s="444">
        <f>BC102/AZ102-1</f>
        <v>-7.1074045482731996E-2</v>
      </c>
      <c r="BD106" s="444">
        <f>SUM(BD103:BD105)</f>
        <v>0.12701387508608603</v>
      </c>
      <c r="BE106" s="444">
        <f>BE102/BB102-1</f>
        <v>-1.5321258341277177E-2</v>
      </c>
      <c r="BF106" s="444">
        <f>SUM(BF103:BF105)</f>
        <v>6.7696641166393234E-2</v>
      </c>
      <c r="BG106" s="444">
        <f>SUM(BG103:BG105)</f>
        <v>6.6926008253321789E-2</v>
      </c>
      <c r="BH106" s="444">
        <f>BH102/BE102-1</f>
        <v>9.2413582724121035E-2</v>
      </c>
      <c r="BI106" s="449">
        <f>SUM(BI103:BI105)</f>
        <v>5.8817538785889759E-2</v>
      </c>
      <c r="BJ106" s="449">
        <f>SUM(BJ103:BJ105)</f>
        <v>8.5853031428339555E-3</v>
      </c>
      <c r="BK106" s="449">
        <f>BK102/BH102-1</f>
        <v>2.9900709506893275E-2</v>
      </c>
      <c r="BL106" s="449">
        <f>SUM(BL103:BL105)</f>
        <v>2.1871211137623837E-2</v>
      </c>
      <c r="BM106" s="449">
        <f>SUM(BM103:BM105)</f>
        <v>2.1749392427621729E-2</v>
      </c>
      <c r="BN106" s="449">
        <f>BN102/BK102-1</f>
        <v>2.180253601588511E-2</v>
      </c>
      <c r="BO106" s="449">
        <f>SUM(BO103:BO105)</f>
        <v>3.4084813044333126E-2</v>
      </c>
      <c r="BP106" s="449">
        <f>SUM(BP103:BP105)</f>
        <v>2.2427393907538496E-2</v>
      </c>
      <c r="BQ106" s="449">
        <f>BQ102/BN102-1</f>
        <v>2.7513301650399447E-2</v>
      </c>
      <c r="BR106" s="449">
        <f>SUM(BR103:BR105)</f>
        <v>4.1341111147071979E-3</v>
      </c>
      <c r="BS106" s="449">
        <f>SUM(BS103:BS105)</f>
        <v>3.0284670064825624E-2</v>
      </c>
      <c r="BT106" s="449">
        <f>BT102/BQ102-1</f>
        <v>1.8802717466926966E-2</v>
      </c>
      <c r="BU106" s="449">
        <f>SUM(BU103:BU105)</f>
        <v>3.9471809113307901E-2</v>
      </c>
      <c r="BV106" s="449">
        <f>SUM(BV103:BV105)</f>
        <v>3.4873006193214567E-2</v>
      </c>
      <c r="BW106" s="449">
        <f>BW102/BT102-1</f>
        <v>3.6863135054165497E-2</v>
      </c>
      <c r="BX106" s="449">
        <f>SUM(BX103:BX105)</f>
        <v>3.2461597748006436E-2</v>
      </c>
      <c r="BY106" s="449">
        <f>SUM(BY103:BY105)</f>
        <v>1.1437458734597762E-2</v>
      </c>
      <c r="BZ106" s="449">
        <f>BZ102/BW102-1</f>
        <v>2.0558531088213261E-2</v>
      </c>
      <c r="CA106" s="449">
        <f>SUM(CA103:CA105)</f>
        <v>1.1437458734597773E-2</v>
      </c>
      <c r="CB106" s="449">
        <f>SUM(CB103:CB105)</f>
        <v>1.1437458734597762E-2</v>
      </c>
      <c r="CC106" s="449">
        <f>CC102/BZ102-1</f>
        <v>1.1437458734597783E-2</v>
      </c>
    </row>
    <row r="107" spans="1:82" s="7" customFormat="1">
      <c r="A107" s="126"/>
      <c r="B107" s="41"/>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c r="AA107" s="40"/>
      <c r="AB107" s="40"/>
      <c r="AC107" s="40"/>
      <c r="AD107" s="131"/>
      <c r="AE107" s="131"/>
      <c r="AF107" s="131"/>
      <c r="AG107" s="132"/>
      <c r="AH107" s="132"/>
      <c r="AI107" s="132"/>
      <c r="AJ107" s="132"/>
      <c r="AK107" s="132"/>
      <c r="AL107" s="132"/>
      <c r="AM107" s="132"/>
      <c r="AN107" s="132"/>
      <c r="AO107" s="132"/>
      <c r="AP107" s="132"/>
      <c r="AQ107" s="132"/>
      <c r="AR107" s="132"/>
      <c r="AS107" s="132"/>
      <c r="AT107" s="214"/>
      <c r="AU107" s="132"/>
      <c r="AV107" s="132"/>
      <c r="AW107" s="214"/>
      <c r="AX107" s="132"/>
      <c r="AY107" s="132"/>
      <c r="AZ107" s="132"/>
      <c r="BA107" s="132"/>
      <c r="BB107" s="132"/>
      <c r="BC107" s="551"/>
      <c r="BD107" s="132"/>
      <c r="BE107" s="132"/>
      <c r="BF107" s="132"/>
      <c r="BG107" s="132"/>
      <c r="BH107" s="132"/>
      <c r="BI107" s="132"/>
      <c r="BJ107" s="132"/>
      <c r="BK107" s="132"/>
      <c r="BL107" s="132"/>
      <c r="BM107" s="132"/>
      <c r="BN107" s="132"/>
      <c r="BO107" s="132"/>
      <c r="BP107" s="132"/>
      <c r="BQ107" s="132"/>
      <c r="BR107" s="132"/>
      <c r="BS107" s="132"/>
      <c r="BT107" s="132"/>
      <c r="BU107" s="132"/>
      <c r="BV107" s="132"/>
      <c r="BW107" s="132"/>
      <c r="BX107" s="132"/>
      <c r="BY107" s="132"/>
      <c r="BZ107" s="132"/>
      <c r="CA107" s="132"/>
      <c r="CB107" s="132"/>
      <c r="CC107" s="132"/>
      <c r="CD107" s="216"/>
    </row>
    <row r="108" spans="1:82" s="7" customFormat="1">
      <c r="A108" s="130"/>
      <c r="B108" s="439" t="s">
        <v>415</v>
      </c>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c r="AA108" s="40"/>
      <c r="AB108" s="40"/>
      <c r="AC108" s="40"/>
      <c r="AD108" s="131">
        <v>1060.3</v>
      </c>
      <c r="AE108" s="131">
        <v>466.7</v>
      </c>
      <c r="AF108" s="131">
        <f>AG108-AE108</f>
        <v>540.5</v>
      </c>
      <c r="AG108" s="131">
        <v>1007.2</v>
      </c>
      <c r="AH108" s="131">
        <v>519.20000000000005</v>
      </c>
      <c r="AI108" s="110">
        <f>AI90+AI96+AI102</f>
        <v>642.47805010056959</v>
      </c>
      <c r="AJ108" s="150">
        <f>AI108+AH108</f>
        <v>1161.6780501005696</v>
      </c>
      <c r="AK108" s="110">
        <f>AK90+AK96+AK102</f>
        <v>525.67638336606524</v>
      </c>
      <c r="AL108" s="110">
        <f>+AM108-AK108</f>
        <v>599.22361663393485</v>
      </c>
      <c r="AM108" s="440">
        <v>1124.9000000000001</v>
      </c>
      <c r="AN108" s="110">
        <f>AN90+AN96+AN102</f>
        <v>543.88227018471798</v>
      </c>
      <c r="AO108" s="110">
        <f>AO90+AO96+AO102</f>
        <v>603.41772981528197</v>
      </c>
      <c r="AP108" s="440">
        <v>1147.3</v>
      </c>
      <c r="AQ108" s="174">
        <v>565.70000000000005</v>
      </c>
      <c r="AR108" s="110">
        <f>AR90+AR96+AR102</f>
        <v>636.59999999999991</v>
      </c>
      <c r="AS108" s="440">
        <v>1202.3</v>
      </c>
      <c r="AT108" s="174">
        <v>586.20000000000005</v>
      </c>
      <c r="AU108" s="441">
        <f>AU90+AU96+AU102</f>
        <v>825.00000000000011</v>
      </c>
      <c r="AV108" s="442">
        <f>1411.2</f>
        <v>1411.2</v>
      </c>
      <c r="AW108" s="174">
        <f>735.4</f>
        <v>735.4</v>
      </c>
      <c r="AX108" s="110">
        <f>AX90+AX96+AX102</f>
        <v>801.30000000000018</v>
      </c>
      <c r="AY108" s="440">
        <v>1536.7</v>
      </c>
      <c r="AZ108" s="174">
        <v>764.7</v>
      </c>
      <c r="BA108" s="110">
        <f>BA90+BA96+BA102</f>
        <v>808.8</v>
      </c>
      <c r="BB108" s="440">
        <v>1573.5</v>
      </c>
      <c r="BC108" s="174">
        <v>643.9</v>
      </c>
      <c r="BD108" s="110">
        <f>BD90+BD96+BD102</f>
        <v>757.5</v>
      </c>
      <c r="BE108" s="174">
        <v>1401.4</v>
      </c>
      <c r="BF108" s="110">
        <f>BF90+BF96+BF102</f>
        <v>683.861850780434</v>
      </c>
      <c r="BG108" s="110">
        <f>BG90+BG96+BG102</f>
        <v>797.928181662116</v>
      </c>
      <c r="BH108" s="150">
        <f>BG108+BF108</f>
        <v>1481.79003244255</v>
      </c>
      <c r="BI108" s="110">
        <f>BI90+BI96+BI102</f>
        <v>728.14009825406549</v>
      </c>
      <c r="BJ108" s="110">
        <f>BJ90+BJ96+BJ102</f>
        <v>809.22385177672891</v>
      </c>
      <c r="BK108" s="150">
        <f>BJ108+BI108</f>
        <v>1537.3639500307945</v>
      </c>
      <c r="BL108" s="110">
        <f>BL90+BL96+BL102</f>
        <v>747.23043208043077</v>
      </c>
      <c r="BM108" s="110">
        <f>BM90+BM96+BM102</f>
        <v>829.16385600390947</v>
      </c>
      <c r="BN108" s="150">
        <f>BM108+BL108</f>
        <v>1576.3942880843401</v>
      </c>
      <c r="BO108" s="110">
        <f>BO90+BO96+BO102</f>
        <v>773.05665329262649</v>
      </c>
      <c r="BP108" s="110">
        <f>BP90+BP96+BP102</f>
        <v>844.7753852468536</v>
      </c>
      <c r="BQ108" s="150">
        <f>BP108+BO108</f>
        <v>1617.83203853948</v>
      </c>
      <c r="BR108" s="110">
        <f>BR90+BR96+BR102</f>
        <v>776.59596774834688</v>
      </c>
      <c r="BS108" s="110">
        <f>BS90+BS96+BS102</f>
        <v>866.62459141228362</v>
      </c>
      <c r="BT108" s="150">
        <f>BS108+BR108</f>
        <v>1643.2205591606305</v>
      </c>
      <c r="BU108" s="110">
        <f>BU90+BU96+BU102</f>
        <v>803.6313425986009</v>
      </c>
      <c r="BV108" s="110">
        <f>BV90+BV96+BV102</f>
        <v>896.79049839199843</v>
      </c>
      <c r="BW108" s="150">
        <f>BV108+BU108</f>
        <v>1700.4218409905993</v>
      </c>
      <c r="BX108" s="110">
        <f>BX90+BX96+BX102</f>
        <v>830.92926391753099</v>
      </c>
      <c r="BY108" s="110">
        <f>BY90+BY96+BY102</f>
        <v>908.02514678828038</v>
      </c>
      <c r="BZ108" s="150">
        <f>BY108+BX108</f>
        <v>1738.9544107058114</v>
      </c>
      <c r="CA108" s="110">
        <f>CA90+CA96+CA102</f>
        <v>841.06491113640368</v>
      </c>
      <c r="CB108" s="110">
        <f>CB90+CB96+CB102</f>
        <v>919.43987424133672</v>
      </c>
      <c r="CC108" s="150">
        <f>CB108+CA108</f>
        <v>1760.5047853777405</v>
      </c>
    </row>
    <row r="109" spans="1:82" s="552" customFormat="1">
      <c r="A109" s="133"/>
      <c r="B109" s="84" t="s">
        <v>414</v>
      </c>
      <c r="C109" s="134"/>
      <c r="D109" s="134"/>
      <c r="E109" s="134"/>
      <c r="F109" s="134"/>
      <c r="G109" s="134"/>
      <c r="H109" s="134"/>
      <c r="I109" s="134"/>
      <c r="J109" s="134"/>
      <c r="K109" s="134"/>
      <c r="L109" s="134"/>
      <c r="M109" s="134"/>
      <c r="N109" s="134"/>
      <c r="O109" s="134"/>
      <c r="P109" s="134"/>
      <c r="Q109" s="134"/>
      <c r="R109" s="134"/>
      <c r="S109" s="134"/>
      <c r="T109" s="134"/>
      <c r="U109" s="134"/>
      <c r="V109" s="134"/>
      <c r="W109" s="134"/>
      <c r="X109" s="134"/>
      <c r="Y109" s="134"/>
      <c r="Z109" s="134"/>
      <c r="AA109" s="134"/>
      <c r="AB109" s="134"/>
      <c r="AC109" s="134"/>
      <c r="AD109" s="135"/>
      <c r="AE109" s="135"/>
      <c r="AF109" s="135"/>
      <c r="AG109" s="136">
        <f t="shared" ref="AG109:BL109" si="24">AG108/AD108-1</f>
        <v>-5.0080165990757264E-2</v>
      </c>
      <c r="AH109" s="136">
        <f t="shared" si="24"/>
        <v>0.11249196485965296</v>
      </c>
      <c r="AI109" s="136">
        <f t="shared" si="24"/>
        <v>0.18867354320179386</v>
      </c>
      <c r="AJ109" s="136">
        <f t="shared" si="24"/>
        <v>0.15337375903551398</v>
      </c>
      <c r="AK109" s="136">
        <f t="shared" si="24"/>
        <v>1.2473773817536893E-2</v>
      </c>
      <c r="AL109" s="136">
        <f t="shared" si="24"/>
        <v>-6.732437545510539E-2</v>
      </c>
      <c r="AM109" s="136">
        <f t="shared" si="24"/>
        <v>-3.1659417251953426E-2</v>
      </c>
      <c r="AN109" s="136">
        <f t="shared" si="24"/>
        <v>3.4633259919486736E-2</v>
      </c>
      <c r="AO109" s="136">
        <f t="shared" si="24"/>
        <v>6.9992454651688352E-3</v>
      </c>
      <c r="AP109" s="136">
        <f t="shared" si="24"/>
        <v>1.9912881144990457E-2</v>
      </c>
      <c r="AQ109" s="136">
        <f t="shared" si="24"/>
        <v>4.0114802433019348E-2</v>
      </c>
      <c r="AR109" s="136">
        <f t="shared" si="24"/>
        <v>5.4990545595794194E-2</v>
      </c>
      <c r="AS109" s="136">
        <f t="shared" si="24"/>
        <v>4.7938638542665446E-2</v>
      </c>
      <c r="AT109" s="136">
        <f t="shared" si="24"/>
        <v>3.6238288845677813E-2</v>
      </c>
      <c r="AU109" s="136">
        <f t="shared" si="24"/>
        <v>0.29594721960414749</v>
      </c>
      <c r="AV109" s="136">
        <f t="shared" si="24"/>
        <v>0.17375031190218748</v>
      </c>
      <c r="AW109" s="136">
        <f t="shared" si="24"/>
        <v>0.25452064141931063</v>
      </c>
      <c r="AX109" s="136">
        <f t="shared" si="24"/>
        <v>-2.8727272727272601E-2</v>
      </c>
      <c r="AY109" s="136">
        <f t="shared" si="24"/>
        <v>8.8931405895691595E-2</v>
      </c>
      <c r="AZ109" s="136">
        <f t="shared" si="24"/>
        <v>3.9842262714169241E-2</v>
      </c>
      <c r="BA109" s="136">
        <f t="shared" si="24"/>
        <v>9.3597903406961169E-3</v>
      </c>
      <c r="BB109" s="136">
        <f t="shared" si="24"/>
        <v>2.3947419795665947E-2</v>
      </c>
      <c r="BC109" s="136">
        <f t="shared" si="24"/>
        <v>-0.15797044592650722</v>
      </c>
      <c r="BD109" s="136">
        <f t="shared" si="24"/>
        <v>-6.3427299703263995E-2</v>
      </c>
      <c r="BE109" s="127">
        <f t="shared" si="24"/>
        <v>-0.10937400699078481</v>
      </c>
      <c r="BF109" s="136">
        <f t="shared" si="24"/>
        <v>6.2062200311281179E-2</v>
      </c>
      <c r="BG109" s="136">
        <f t="shared" si="24"/>
        <v>5.3370536847677785E-2</v>
      </c>
      <c r="BH109" s="136">
        <f t="shared" si="24"/>
        <v>5.736408765702139E-2</v>
      </c>
      <c r="BI109" s="136">
        <f t="shared" si="24"/>
        <v>6.474735712059454E-2</v>
      </c>
      <c r="BJ109" s="136">
        <f t="shared" si="24"/>
        <v>1.4156249113903341E-2</v>
      </c>
      <c r="BK109" s="136">
        <f t="shared" si="24"/>
        <v>3.7504583221306786E-2</v>
      </c>
      <c r="BL109" s="136">
        <f t="shared" si="24"/>
        <v>2.6217940575089971E-2</v>
      </c>
      <c r="BM109" s="136">
        <f t="shared" ref="BM109:CC109" si="25">BM108/BJ108-1</f>
        <v>2.4640900269313981E-2</v>
      </c>
      <c r="BN109" s="136">
        <f t="shared" si="25"/>
        <v>2.5387832238920272E-2</v>
      </c>
      <c r="BO109" s="136">
        <f t="shared" si="25"/>
        <v>3.4562592880874377E-2</v>
      </c>
      <c r="BP109" s="136">
        <f t="shared" si="25"/>
        <v>1.8828038788596846E-2</v>
      </c>
      <c r="BQ109" s="136">
        <f t="shared" si="25"/>
        <v>2.6286412459344488E-2</v>
      </c>
      <c r="BR109" s="136">
        <f t="shared" si="25"/>
        <v>4.5783377461996455E-3</v>
      </c>
      <c r="BS109" s="136">
        <f t="shared" si="25"/>
        <v>2.5863923768381758E-2</v>
      </c>
      <c r="BT109" s="136">
        <f t="shared" si="25"/>
        <v>1.5692927335071438E-2</v>
      </c>
      <c r="BU109" s="136">
        <f t="shared" si="25"/>
        <v>3.4812664465204479E-2</v>
      </c>
      <c r="BV109" s="136">
        <f t="shared" si="25"/>
        <v>3.4808505642051291E-2</v>
      </c>
      <c r="BW109" s="136">
        <f t="shared" si="25"/>
        <v>3.4810471127008968E-2</v>
      </c>
      <c r="BX109" s="136">
        <f t="shared" si="25"/>
        <v>3.3968213871126807E-2</v>
      </c>
      <c r="BY109" s="136">
        <f t="shared" si="25"/>
        <v>1.2527617561098658E-2</v>
      </c>
      <c r="BZ109" s="136">
        <f t="shared" si="25"/>
        <v>2.26605944397682E-2</v>
      </c>
      <c r="CA109" s="136">
        <f t="shared" si="25"/>
        <v>1.2197966372115454E-2</v>
      </c>
      <c r="CB109" s="136">
        <f t="shared" si="25"/>
        <v>1.2570937592896625E-2</v>
      </c>
      <c r="CC109" s="136">
        <f t="shared" si="25"/>
        <v>1.2392719751164849E-2</v>
      </c>
    </row>
    <row r="110" spans="1:82" s="7" customFormat="1">
      <c r="A110" s="126"/>
      <c r="B110" s="126"/>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c r="AA110" s="40"/>
      <c r="AB110" s="40"/>
      <c r="AC110" s="40"/>
      <c r="AD110" s="131"/>
      <c r="AE110" s="131"/>
      <c r="AF110" s="131"/>
      <c r="AG110" s="131"/>
      <c r="AH110" s="131"/>
      <c r="AI110" s="137"/>
      <c r="AJ110" s="40"/>
      <c r="AK110" s="124"/>
      <c r="AL110" s="40"/>
      <c r="AM110" s="90"/>
      <c r="AN110" s="124"/>
      <c r="AO110" s="40"/>
      <c r="AP110" s="40"/>
      <c r="AQ110" s="40"/>
      <c r="AR110" s="40"/>
      <c r="AS110" s="40"/>
      <c r="AT110" s="127"/>
      <c r="AU110" s="40"/>
      <c r="AV110" s="40"/>
      <c r="AW110" s="40"/>
      <c r="AX110" s="40"/>
      <c r="AY110" s="137"/>
      <c r="AZ110" s="40"/>
      <c r="BA110" s="40"/>
      <c r="BB110" s="40"/>
      <c r="BC110" s="40"/>
      <c r="BD110" s="40"/>
      <c r="BE110" s="40"/>
      <c r="BF110" s="40"/>
      <c r="BG110" s="40"/>
      <c r="BH110" s="40"/>
      <c r="BI110" s="40"/>
      <c r="BJ110" s="40"/>
      <c r="BK110" s="40"/>
      <c r="BL110" s="40"/>
      <c r="BM110" s="40"/>
      <c r="BN110" s="40"/>
      <c r="BO110" s="40"/>
      <c r="BP110" s="40"/>
      <c r="BQ110" s="40"/>
      <c r="BR110" s="40"/>
      <c r="BS110" s="40"/>
      <c r="BT110" s="40"/>
      <c r="BU110" s="40"/>
      <c r="BV110" s="40"/>
      <c r="BW110" s="40"/>
      <c r="BX110" s="40"/>
      <c r="BY110" s="40"/>
      <c r="BZ110" s="40"/>
      <c r="CA110" s="40"/>
      <c r="CB110" s="40"/>
      <c r="CC110" s="40"/>
    </row>
    <row r="111" spans="1:82">
      <c r="B111" s="45" t="s">
        <v>393</v>
      </c>
      <c r="C111" s="65"/>
      <c r="D111" s="65"/>
      <c r="E111" s="65"/>
      <c r="F111" s="65"/>
      <c r="G111" s="65"/>
      <c r="H111" s="65"/>
      <c r="I111" s="65"/>
      <c r="J111" s="65"/>
      <c r="K111" s="65"/>
      <c r="L111" s="65"/>
      <c r="M111" s="65"/>
      <c r="N111" s="65"/>
      <c r="O111" s="65"/>
      <c r="P111" s="65"/>
      <c r="Q111" s="65"/>
      <c r="R111" s="65"/>
      <c r="S111" s="65"/>
      <c r="AD111" s="123">
        <v>-30.6</v>
      </c>
      <c r="AE111" s="123">
        <v>-13.2</v>
      </c>
      <c r="AF111" s="123">
        <f>AG111-AE111</f>
        <v>-18</v>
      </c>
      <c r="AG111" s="123">
        <v>-31.2</v>
      </c>
      <c r="AH111" s="123">
        <v>-17.7</v>
      </c>
      <c r="AI111" s="123">
        <f>-35.3-AH111</f>
        <v>-17.599999999999998</v>
      </c>
      <c r="AJ111" s="123">
        <f>AI111+AH111</f>
        <v>-35.299999999999997</v>
      </c>
      <c r="AK111" s="123">
        <v>-18.100000000000001</v>
      </c>
      <c r="AL111" s="123">
        <f>-40.7-AK111</f>
        <v>-22.6</v>
      </c>
      <c r="AM111" s="123">
        <f>AL111+AK111</f>
        <v>-40.700000000000003</v>
      </c>
      <c r="AN111" s="180">
        <v>-17.399999999999999</v>
      </c>
      <c r="AO111" s="123">
        <f>+AP111-AN111</f>
        <v>-19.700000000000003</v>
      </c>
      <c r="AP111" s="180">
        <v>-37.1</v>
      </c>
      <c r="AQ111" s="180">
        <v>-10.5</v>
      </c>
      <c r="AR111" s="123">
        <f>+AS111-AQ111</f>
        <v>-15.2</v>
      </c>
      <c r="AS111" s="180">
        <v>-25.7</v>
      </c>
      <c r="AT111" s="180">
        <v>-14.7</v>
      </c>
      <c r="AU111" s="123">
        <f>AV111-AT111</f>
        <v>-26.099999999999998</v>
      </c>
      <c r="AV111" s="180">
        <f>-40.8</f>
        <v>-40.799999999999997</v>
      </c>
      <c r="AW111" s="180">
        <f>-31</f>
        <v>-31</v>
      </c>
      <c r="AX111" s="123">
        <f>AY111-AW111</f>
        <v>-33</v>
      </c>
      <c r="AY111" s="180">
        <v>-64</v>
      </c>
      <c r="AZ111" s="180">
        <v>-37.1</v>
      </c>
      <c r="BA111" s="123">
        <f>BB111-AZ111</f>
        <v>-37.800000000000004</v>
      </c>
      <c r="BB111" s="180">
        <v>-74.900000000000006</v>
      </c>
      <c r="BC111" s="180">
        <v>-38.5</v>
      </c>
      <c r="BD111" s="123">
        <f>BE111-BC111</f>
        <v>-57</v>
      </c>
      <c r="BE111" s="180">
        <f>-95.5</f>
        <v>-95.5</v>
      </c>
      <c r="BF111" s="123">
        <f>BC111*(1+BF109)</f>
        <v>-40.889394711984323</v>
      </c>
      <c r="BG111" s="123">
        <f>BD111*(1+BG109)</f>
        <v>-60.042120600317631</v>
      </c>
      <c r="BH111" s="123">
        <f>BG111+BF111</f>
        <v>-100.93151531230195</v>
      </c>
      <c r="BI111" s="123">
        <f>BF111*(1+BI109)</f>
        <v>-43.536874953846123</v>
      </c>
      <c r="BJ111" s="123">
        <f>BG111*(1+BJ109)</f>
        <v>-60.892091816862752</v>
      </c>
      <c r="BK111" s="123">
        <f>BJ111+BI111</f>
        <v>-104.42896677070888</v>
      </c>
      <c r="BL111" s="123">
        <f>BI111*(1+BL109)</f>
        <v>-44.67832215421118</v>
      </c>
      <c r="BM111" s="123">
        <f>BJ111*(1+BM109)</f>
        <v>-62.392527778511976</v>
      </c>
      <c r="BN111" s="123">
        <f>BM111+BL111</f>
        <v>-107.07084993272315</v>
      </c>
      <c r="BO111" s="123">
        <f>BL111*(1+BO109)</f>
        <v>-46.222520813427728</v>
      </c>
      <c r="BP111" s="123">
        <f>BM111*(1+BP109)</f>
        <v>-63.567256711644404</v>
      </c>
      <c r="BQ111" s="123">
        <f>BP111+BO111</f>
        <v>-109.78977752507214</v>
      </c>
      <c r="BR111" s="123">
        <f>BO111*(1+BR109)</f>
        <v>-46.434143125192342</v>
      </c>
      <c r="BS111" s="123">
        <f>BP111*(1+BS109)</f>
        <v>-65.211355393399529</v>
      </c>
      <c r="BT111" s="123">
        <f>BS111+BR111</f>
        <v>-111.64549851859186</v>
      </c>
      <c r="BU111" s="123">
        <f>BR111*(1+BU109)</f>
        <v>-48.050639369538942</v>
      </c>
      <c r="BV111" s="123">
        <f>BS111*(1+BV109)</f>
        <v>-67.48126522553649</v>
      </c>
      <c r="BW111" s="123">
        <f>BV111+BU111</f>
        <v>-115.53190459507543</v>
      </c>
      <c r="BX111" s="123">
        <f>BU111*(1+BX109)</f>
        <v>-49.682833764287828</v>
      </c>
      <c r="BY111" s="123">
        <f>BV111*(1+BY109)</f>
        <v>-68.326644708821078</v>
      </c>
      <c r="BZ111" s="123">
        <f>BY111+BX111</f>
        <v>-118.00947847310891</v>
      </c>
      <c r="CA111" s="123">
        <f>BX111*(1+CA109)</f>
        <v>-50.288863299816015</v>
      </c>
      <c r="CB111" s="123">
        <f>BY111*(1+CB109)</f>
        <v>-69.185574695387686</v>
      </c>
      <c r="CC111" s="123">
        <f>CB111+CA111</f>
        <v>-119.4744379952037</v>
      </c>
    </row>
    <row r="112" spans="1:82" s="7" customFormat="1">
      <c r="A112" s="126"/>
      <c r="B112" s="41" t="s">
        <v>394</v>
      </c>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c r="AA112" s="40"/>
      <c r="AB112" s="40"/>
      <c r="AC112" s="40"/>
      <c r="AD112" s="127">
        <v>1029.7</v>
      </c>
      <c r="AE112" s="127">
        <f>AE108+AE111</f>
        <v>453.5</v>
      </c>
      <c r="AF112" s="127">
        <f>AG112-AE112</f>
        <v>522.5</v>
      </c>
      <c r="AG112" s="127">
        <v>976</v>
      </c>
      <c r="AH112" s="127">
        <v>501.5</v>
      </c>
      <c r="AI112" s="127">
        <f>AI108+AI111</f>
        <v>624.87805010056957</v>
      </c>
      <c r="AJ112" s="127">
        <f>AI112+AH112</f>
        <v>1126.3780501005695</v>
      </c>
      <c r="AK112" s="127">
        <f>AK108+AK111</f>
        <v>507.57638336606522</v>
      </c>
      <c r="AL112" s="127">
        <f>AL108+AL111</f>
        <v>576.62361663393483</v>
      </c>
      <c r="AM112" s="127">
        <f>AL112+AK112</f>
        <v>1084.2</v>
      </c>
      <c r="AN112" s="127">
        <f>AN108+AN111</f>
        <v>526.482270184718</v>
      </c>
      <c r="AO112" s="127">
        <f>AO108+AO111</f>
        <v>583.71772981528193</v>
      </c>
      <c r="AP112" s="127">
        <f>AO112+AN112</f>
        <v>1110.1999999999998</v>
      </c>
      <c r="AQ112" s="127">
        <f>AQ108+AQ111</f>
        <v>555.20000000000005</v>
      </c>
      <c r="AR112" s="127">
        <f>AR108+AR111</f>
        <v>621.39999999999986</v>
      </c>
      <c r="AS112" s="127">
        <f>AR112+AQ112</f>
        <v>1176.5999999999999</v>
      </c>
      <c r="AT112" s="127">
        <f>AT108+AT111</f>
        <v>571.5</v>
      </c>
      <c r="AU112" s="127">
        <f>AU108+AU111</f>
        <v>798.90000000000009</v>
      </c>
      <c r="AV112" s="127">
        <f>AU112+AT112</f>
        <v>1370.4</v>
      </c>
      <c r="AW112" s="127">
        <f>AW108+AW111</f>
        <v>704.4</v>
      </c>
      <c r="AX112" s="127">
        <f>AX108+AX111</f>
        <v>768.30000000000018</v>
      </c>
      <c r="AY112" s="127">
        <f>AX112+AW112</f>
        <v>1472.7000000000003</v>
      </c>
      <c r="AZ112" s="127">
        <f>AZ108+AZ111</f>
        <v>727.6</v>
      </c>
      <c r="BA112" s="127">
        <f>BA108+BA111</f>
        <v>771</v>
      </c>
      <c r="BB112" s="127">
        <f>BA112+AZ112</f>
        <v>1498.6</v>
      </c>
      <c r="BC112" s="127">
        <f>BC108+BC111</f>
        <v>605.4</v>
      </c>
      <c r="BD112" s="127">
        <f>BD108+BD111</f>
        <v>700.5</v>
      </c>
      <c r="BE112" s="127">
        <f>BD112+BC112</f>
        <v>1305.9000000000001</v>
      </c>
      <c r="BF112" s="127">
        <f>BF108+BF111</f>
        <v>642.97245606844967</v>
      </c>
      <c r="BG112" s="127">
        <f>BG108+BG111</f>
        <v>737.88606106179839</v>
      </c>
      <c r="BH112" s="127">
        <f>BG112+BF112</f>
        <v>1380.8585171302479</v>
      </c>
      <c r="BI112" s="127">
        <f>BI108+BI111</f>
        <v>684.60322330021938</v>
      </c>
      <c r="BJ112" s="127">
        <f>BJ108+BJ111</f>
        <v>748.33175995986619</v>
      </c>
      <c r="BK112" s="127">
        <f>BJ112+BI112</f>
        <v>1432.9349832600856</v>
      </c>
      <c r="BL112" s="127">
        <f>BL108+BL111</f>
        <v>702.5521099262196</v>
      </c>
      <c r="BM112" s="127">
        <f>BM108+BM111</f>
        <v>766.7713282253975</v>
      </c>
      <c r="BN112" s="127">
        <f>BM112+BL112</f>
        <v>1469.3234381516172</v>
      </c>
      <c r="BO112" s="127">
        <f>BO108+BO111</f>
        <v>726.83413247919873</v>
      </c>
      <c r="BP112" s="127">
        <f>BP108+BP111</f>
        <v>781.2081285352092</v>
      </c>
      <c r="BQ112" s="127">
        <f>BP112+BO112</f>
        <v>1508.0422610144078</v>
      </c>
      <c r="BR112" s="127">
        <f>BR108+BR111</f>
        <v>730.16182462315453</v>
      </c>
      <c r="BS112" s="127">
        <f>BS108+BS111</f>
        <v>801.41323601888405</v>
      </c>
      <c r="BT112" s="127">
        <f>BS112+BR112</f>
        <v>1531.5750606420386</v>
      </c>
      <c r="BU112" s="127">
        <f>BU108+BU111</f>
        <v>755.58070322906201</v>
      </c>
      <c r="BV112" s="127">
        <f>BV108+BV111</f>
        <v>829.30923316646192</v>
      </c>
      <c r="BW112" s="127">
        <f>BV112+BU112</f>
        <v>1584.8899363955238</v>
      </c>
      <c r="BX112" s="127">
        <f>BX108+BX111</f>
        <v>781.24643015324318</v>
      </c>
      <c r="BY112" s="127">
        <f>BY108+BY111</f>
        <v>839.69850207945933</v>
      </c>
      <c r="BZ112" s="127">
        <f>BY112+BX112</f>
        <v>1620.9449322327025</v>
      </c>
      <c r="CA112" s="127">
        <f>CA108+CA111</f>
        <v>790.77604783658762</v>
      </c>
      <c r="CB112" s="127">
        <f>CB108+CB111</f>
        <v>850.25429954594904</v>
      </c>
      <c r="CC112" s="127">
        <f>CB112+CA112</f>
        <v>1641.0303473825365</v>
      </c>
    </row>
    <row r="113" spans="1:81" s="552" customFormat="1">
      <c r="A113" s="133"/>
      <c r="B113" s="84"/>
      <c r="C113" s="134"/>
      <c r="D113" s="134"/>
      <c r="E113" s="134"/>
      <c r="F113" s="134"/>
      <c r="G113" s="134"/>
      <c r="H113" s="134"/>
      <c r="I113" s="134"/>
      <c r="J113" s="134"/>
      <c r="K113" s="134"/>
      <c r="L113" s="134"/>
      <c r="M113" s="134"/>
      <c r="N113" s="134"/>
      <c r="O113" s="134"/>
      <c r="P113" s="134"/>
      <c r="Q113" s="134"/>
      <c r="R113" s="134"/>
      <c r="S113" s="134"/>
      <c r="T113" s="134"/>
      <c r="U113" s="134"/>
      <c r="V113" s="134"/>
      <c r="W113" s="134"/>
      <c r="X113" s="134"/>
      <c r="Y113" s="134"/>
      <c r="Z113" s="134"/>
      <c r="AA113" s="134"/>
      <c r="AB113" s="134"/>
      <c r="AC113" s="134"/>
      <c r="AD113" s="134"/>
      <c r="AE113" s="134"/>
      <c r="AF113" s="134"/>
      <c r="AG113" s="134"/>
      <c r="AH113" s="134"/>
      <c r="AI113" s="134"/>
      <c r="AJ113" s="138">
        <f>AJ112/AG112-1</f>
        <v>0.1540758710046819</v>
      </c>
      <c r="AK113" s="138">
        <f>AK112/AH112-1</f>
        <v>1.2116417479691277E-2</v>
      </c>
      <c r="AL113" s="138">
        <f t="shared" ref="AL113:BN113" si="26">AL112/AI112-1</f>
        <v>-7.7222161122267874E-2</v>
      </c>
      <c r="AM113" s="138">
        <f t="shared" si="26"/>
        <v>-3.744573156126707E-2</v>
      </c>
      <c r="AN113" s="138">
        <f t="shared" si="26"/>
        <v>3.724737288460056E-2</v>
      </c>
      <c r="AO113" s="138">
        <f t="shared" si="26"/>
        <v>1.2302848819754075E-2</v>
      </c>
      <c r="AP113" s="138">
        <f t="shared" si="26"/>
        <v>2.3980815347721673E-2</v>
      </c>
      <c r="AQ113" s="138">
        <f t="shared" si="26"/>
        <v>5.4546432884067242E-2</v>
      </c>
      <c r="AR113" s="138">
        <f t="shared" si="26"/>
        <v>6.4555637528163734E-2</v>
      </c>
      <c r="AS113" s="138">
        <f t="shared" si="26"/>
        <v>5.9809043415600893E-2</v>
      </c>
      <c r="AT113" s="138">
        <f t="shared" si="26"/>
        <v>2.9358789625360204E-2</v>
      </c>
      <c r="AU113" s="138">
        <f t="shared" si="26"/>
        <v>0.28564531702607066</v>
      </c>
      <c r="AV113" s="138">
        <f t="shared" si="26"/>
        <v>0.16471188169301398</v>
      </c>
      <c r="AW113" s="138">
        <f t="shared" si="26"/>
        <v>0.23254593175853011</v>
      </c>
      <c r="AX113" s="138">
        <f t="shared" si="26"/>
        <v>-3.8302666165978105E-2</v>
      </c>
      <c r="AY113" s="138">
        <f t="shared" si="26"/>
        <v>7.4649737302977304E-2</v>
      </c>
      <c r="AZ113" s="138">
        <f t="shared" si="26"/>
        <v>3.2935831913685432E-2</v>
      </c>
      <c r="BA113" s="138">
        <f t="shared" si="26"/>
        <v>3.5142522452165093E-3</v>
      </c>
      <c r="BB113" s="138">
        <f t="shared" si="26"/>
        <v>1.7586745433557205E-2</v>
      </c>
      <c r="BC113" s="138">
        <f t="shared" si="26"/>
        <v>-0.16794942275975822</v>
      </c>
      <c r="BD113" s="138">
        <f t="shared" si="26"/>
        <v>-9.1439688715953316E-2</v>
      </c>
      <c r="BE113" s="138">
        <f t="shared" si="26"/>
        <v>-0.12858668090217529</v>
      </c>
      <c r="BF113" s="138">
        <f t="shared" si="26"/>
        <v>6.2062200311281401E-2</v>
      </c>
      <c r="BG113" s="138">
        <f t="shared" si="26"/>
        <v>5.3370536847678007E-2</v>
      </c>
      <c r="BH113" s="138">
        <f t="shared" si="26"/>
        <v>5.7399890596713243E-2</v>
      </c>
      <c r="BI113" s="138">
        <f t="shared" si="26"/>
        <v>6.474735712059454E-2</v>
      </c>
      <c r="BJ113" s="138">
        <f t="shared" si="26"/>
        <v>1.4156249113903563E-2</v>
      </c>
      <c r="BK113" s="138">
        <f t="shared" si="26"/>
        <v>3.7713107812134883E-2</v>
      </c>
      <c r="BL113" s="138">
        <f t="shared" si="26"/>
        <v>2.6217940575089971E-2</v>
      </c>
      <c r="BM113" s="138">
        <f t="shared" si="26"/>
        <v>2.4640900269313981E-2</v>
      </c>
      <c r="BN113" s="138">
        <f t="shared" si="26"/>
        <v>2.539435167445192E-2</v>
      </c>
      <c r="BO113" s="138">
        <f>BO112/BL112-1</f>
        <v>3.4562592880874154E-2</v>
      </c>
      <c r="BP113" s="138">
        <f>BP112/BM112-1</f>
        <v>1.8828038788596846E-2</v>
      </c>
      <c r="BQ113" s="138">
        <f>BQ112/BN112-1</f>
        <v>2.6351463440546619E-2</v>
      </c>
      <c r="BR113" s="138">
        <f t="shared" ref="BR113:CC113" si="27">BR112/BO112-1</f>
        <v>4.5783377461996455E-3</v>
      </c>
      <c r="BS113" s="138">
        <f t="shared" si="27"/>
        <v>2.5863923768381758E-2</v>
      </c>
      <c r="BT113" s="138">
        <f t="shared" si="27"/>
        <v>1.5604867473542283E-2</v>
      </c>
      <c r="BU113" s="138">
        <f t="shared" si="27"/>
        <v>3.4812664465204701E-2</v>
      </c>
      <c r="BV113" s="138">
        <f t="shared" si="27"/>
        <v>3.4808505642051291E-2</v>
      </c>
      <c r="BW113" s="138">
        <f t="shared" si="27"/>
        <v>3.4810488315953458E-2</v>
      </c>
      <c r="BX113" s="138">
        <f t="shared" si="27"/>
        <v>3.3968213871126807E-2</v>
      </c>
      <c r="BY113" s="138">
        <f t="shared" si="27"/>
        <v>1.2527617561098658E-2</v>
      </c>
      <c r="BZ113" s="138">
        <f t="shared" si="27"/>
        <v>2.2749211165525862E-2</v>
      </c>
      <c r="CA113" s="138">
        <f t="shared" si="27"/>
        <v>1.2197966372115454E-2</v>
      </c>
      <c r="CB113" s="138">
        <f t="shared" si="27"/>
        <v>1.2570937592896625E-2</v>
      </c>
      <c r="CC113" s="138">
        <f t="shared" si="27"/>
        <v>1.239117674538659E-2</v>
      </c>
    </row>
    <row r="114" spans="1:81" s="7" customFormat="1">
      <c r="A114" s="142"/>
      <c r="B114" s="73" t="s">
        <v>440</v>
      </c>
      <c r="C114" s="73"/>
      <c r="D114" s="73"/>
      <c r="E114" s="73"/>
      <c r="F114" s="73"/>
      <c r="G114" s="73"/>
      <c r="H114" s="73"/>
      <c r="I114" s="73"/>
      <c r="J114" s="73"/>
      <c r="K114" s="73"/>
      <c r="L114" s="73"/>
      <c r="M114" s="73"/>
      <c r="N114" s="73"/>
      <c r="O114" s="73"/>
      <c r="P114" s="73"/>
      <c r="Q114" s="73"/>
      <c r="R114" s="73"/>
      <c r="S114" s="73"/>
      <c r="T114" s="73"/>
      <c r="U114" s="73"/>
      <c r="V114" s="73"/>
      <c r="W114" s="73"/>
      <c r="X114" s="73"/>
      <c r="Y114" s="73"/>
      <c r="Z114" s="73"/>
      <c r="AA114" s="73"/>
      <c r="AB114" s="73"/>
      <c r="AC114" s="73"/>
      <c r="AD114" s="73">
        <f t="shared" ref="AD114:AN114" si="28">AD147-AD145</f>
        <v>161.20000000000002</v>
      </c>
      <c r="AE114" s="73">
        <f t="shared" si="28"/>
        <v>63.7</v>
      </c>
      <c r="AF114" s="73">
        <f t="shared" si="28"/>
        <v>93.8</v>
      </c>
      <c r="AG114" s="73">
        <f t="shared" si="28"/>
        <v>157.5</v>
      </c>
      <c r="AH114" s="73">
        <f t="shared" si="28"/>
        <v>86.8</v>
      </c>
      <c r="AI114" s="73">
        <f t="shared" si="28"/>
        <v>104.79999999999998</v>
      </c>
      <c r="AJ114" s="143">
        <f>AI114+AH114</f>
        <v>191.59999999999997</v>
      </c>
      <c r="AK114" s="73">
        <f t="shared" si="28"/>
        <v>78.900000000000006</v>
      </c>
      <c r="AL114" s="73">
        <f t="shared" si="28"/>
        <v>110.6</v>
      </c>
      <c r="AM114" s="143">
        <f>AL114+AK114</f>
        <v>189.5</v>
      </c>
      <c r="AN114" s="73">
        <f t="shared" si="28"/>
        <v>81.900000000000006</v>
      </c>
      <c r="AO114" s="143">
        <f>AO112*AO115</f>
        <v>93.978554500260387</v>
      </c>
      <c r="AP114" s="143">
        <f>AO114+AN114</f>
        <v>175.87855450026041</v>
      </c>
      <c r="AQ114" s="73">
        <f t="shared" ref="AQ114:AV114" si="29">AQ147-AQ145</f>
        <v>82.3</v>
      </c>
      <c r="AR114" s="143">
        <f t="shared" si="29"/>
        <v>120.00000000000001</v>
      </c>
      <c r="AS114" s="73">
        <f t="shared" si="29"/>
        <v>202.3</v>
      </c>
      <c r="AT114" s="143">
        <f t="shared" si="29"/>
        <v>81.600000000000009</v>
      </c>
      <c r="AU114" s="143">
        <f t="shared" si="29"/>
        <v>165.79999999999995</v>
      </c>
      <c r="AV114" s="143">
        <f t="shared" si="29"/>
        <v>247.39999999999998</v>
      </c>
      <c r="AW114" s="143">
        <f t="shared" ref="AW114:BC114" si="30">AW147-AW145</f>
        <v>121.50000000000001</v>
      </c>
      <c r="AX114" s="143">
        <f t="shared" si="30"/>
        <v>180.29999999999998</v>
      </c>
      <c r="AY114" s="143">
        <f t="shared" si="30"/>
        <v>301.8</v>
      </c>
      <c r="AZ114" s="143">
        <f t="shared" si="30"/>
        <v>111.8</v>
      </c>
      <c r="BA114" s="143">
        <f t="shared" si="30"/>
        <v>147.5</v>
      </c>
      <c r="BB114" s="143">
        <f t="shared" si="30"/>
        <v>259.3</v>
      </c>
      <c r="BC114" s="143">
        <f t="shared" si="30"/>
        <v>106.1</v>
      </c>
      <c r="BD114" s="143">
        <f t="shared" ref="BD114" si="31">BD147-BD145</f>
        <v>167.70000000000005</v>
      </c>
      <c r="BE114" s="143">
        <f t="shared" ref="BE114" si="32">BE147-BE145</f>
        <v>273.8</v>
      </c>
      <c r="BF114" s="143">
        <f>BF112*BF115</f>
        <v>105.07844638685096</v>
      </c>
      <c r="BG114" s="143">
        <f>BG112*BG115</f>
        <v>177.0911742345572</v>
      </c>
      <c r="BH114" s="143">
        <f>BG114+BF114</f>
        <v>282.16962062140817</v>
      </c>
      <c r="BI114" s="143">
        <f>BI112*BI115</f>
        <v>122.25728548606196</v>
      </c>
      <c r="BJ114" s="143">
        <f>BJ112*BJ115</f>
        <v>178.8214619201307</v>
      </c>
      <c r="BK114" s="143">
        <f>BJ114+BI114</f>
        <v>301.07874740619263</v>
      </c>
      <c r="BL114" s="143">
        <f>BL112*BL115</f>
        <v>128.44442168506106</v>
      </c>
      <c r="BM114" s="143">
        <f>BM112*BM115</f>
        <v>186.99453703884873</v>
      </c>
      <c r="BN114" s="143">
        <f>BM114+BL114</f>
        <v>315.43895872390976</v>
      </c>
      <c r="BO114" s="143">
        <f>BO112*BO115</f>
        <v>138.35295675656508</v>
      </c>
      <c r="BP114" s="143">
        <f>BP112*BP115</f>
        <v>192.67931559256871</v>
      </c>
      <c r="BQ114" s="143">
        <f>BP114+BO114</f>
        <v>331.03227234913379</v>
      </c>
      <c r="BR114" s="143">
        <f>BR112*BR115</f>
        <v>136.07395526136082</v>
      </c>
      <c r="BS114" s="143">
        <f>BS112*BS115</f>
        <v>202.1101384358042</v>
      </c>
      <c r="BT114" s="143">
        <f>BS114+BR114</f>
        <v>338.18409369716505</v>
      </c>
      <c r="BU114" s="143">
        <f>BU112*BU115</f>
        <v>146.62699918386434</v>
      </c>
      <c r="BV114" s="143">
        <f>BV112*BV115</f>
        <v>216.67179182807021</v>
      </c>
      <c r="BW114" s="143">
        <f>BV114+BU114</f>
        <v>363.29879101193455</v>
      </c>
      <c r="BX114" s="143">
        <f>BX112*BX115</f>
        <v>157.50569714094141</v>
      </c>
      <c r="BY114" s="143">
        <f>BY112*BY115</f>
        <v>219.96558768821637</v>
      </c>
      <c r="BZ114" s="143">
        <f>BY114+BX114</f>
        <v>377.47128482915775</v>
      </c>
      <c r="CA114" s="143">
        <f>CA112*CA115</f>
        <v>158.86777367484737</v>
      </c>
      <c r="CB114" s="143">
        <f>CB112*CB115</f>
        <v>223.34023610591206</v>
      </c>
      <c r="CC114" s="143">
        <f>CB114+CA114</f>
        <v>382.20800978075943</v>
      </c>
    </row>
    <row r="115" spans="1:81">
      <c r="B115" s="45" t="s">
        <v>512</v>
      </c>
      <c r="C115" s="65"/>
      <c r="D115" s="65"/>
      <c r="E115" s="65"/>
      <c r="F115" s="65"/>
      <c r="G115" s="65"/>
      <c r="H115" s="65"/>
      <c r="I115" s="65"/>
      <c r="J115" s="65"/>
      <c r="K115" s="65"/>
      <c r="L115" s="65"/>
      <c r="M115" s="65"/>
      <c r="N115" s="65"/>
      <c r="O115" s="65"/>
      <c r="P115" s="65"/>
      <c r="Q115" s="65"/>
      <c r="R115" s="65"/>
      <c r="S115" s="65"/>
      <c r="AD115" s="69">
        <f t="shared" ref="AD115:AN115" si="33">AD114/AD112</f>
        <v>0.15655045158784112</v>
      </c>
      <c r="AE115" s="69">
        <f t="shared" si="33"/>
        <v>0.14046306504961412</v>
      </c>
      <c r="AF115" s="69">
        <f t="shared" si="33"/>
        <v>0.17952153110047847</v>
      </c>
      <c r="AG115" s="69">
        <f t="shared" si="33"/>
        <v>0.16137295081967212</v>
      </c>
      <c r="AH115" s="69">
        <f t="shared" si="33"/>
        <v>0.17308075772681952</v>
      </c>
      <c r="AI115" s="69">
        <f t="shared" si="33"/>
        <v>0.16771272407973553</v>
      </c>
      <c r="AJ115" s="69">
        <f t="shared" si="33"/>
        <v>0.17010274657153771</v>
      </c>
      <c r="AK115" s="69">
        <f t="shared" si="33"/>
        <v>0.15544458447172699</v>
      </c>
      <c r="AL115" s="69">
        <f t="shared" si="33"/>
        <v>0.19180622646993242</v>
      </c>
      <c r="AM115" s="69">
        <f>AM114/AM112</f>
        <v>0.17478325032281866</v>
      </c>
      <c r="AN115" s="69">
        <f t="shared" si="33"/>
        <v>0.15556079404395731</v>
      </c>
      <c r="AO115" s="69">
        <v>0.161</v>
      </c>
      <c r="AP115" s="69">
        <f t="shared" ref="AP115:AW115" si="34">AP114/AP112</f>
        <v>0.15842060394546967</v>
      </c>
      <c r="AQ115" s="69">
        <f t="shared" si="34"/>
        <v>0.14823487031700286</v>
      </c>
      <c r="AR115" s="69">
        <f t="shared" si="34"/>
        <v>0.19311232700354045</v>
      </c>
      <c r="AS115" s="69">
        <f t="shared" si="34"/>
        <v>0.17193608703042668</v>
      </c>
      <c r="AT115" s="69">
        <f t="shared" si="34"/>
        <v>0.14278215223097115</v>
      </c>
      <c r="AU115" s="69">
        <f t="shared" si="34"/>
        <v>0.20753536112154203</v>
      </c>
      <c r="AV115" s="69">
        <f t="shared" si="34"/>
        <v>0.18053123175715116</v>
      </c>
      <c r="AW115" s="69">
        <f t="shared" si="34"/>
        <v>0.1724872231686542</v>
      </c>
      <c r="AX115" s="69">
        <f t="shared" ref="AX115:BC115" si="35">AX114/AX112</f>
        <v>0.23467395548613815</v>
      </c>
      <c r="AY115" s="69">
        <f t="shared" si="35"/>
        <v>0.20492972092075776</v>
      </c>
      <c r="AZ115" s="69">
        <f t="shared" si="35"/>
        <v>0.15365585486531061</v>
      </c>
      <c r="BA115" s="69">
        <f t="shared" si="35"/>
        <v>0.19130998702983137</v>
      </c>
      <c r="BB115" s="69">
        <f t="shared" si="35"/>
        <v>0.17302815961564127</v>
      </c>
      <c r="BC115" s="69">
        <f t="shared" si="35"/>
        <v>0.17525602907168814</v>
      </c>
      <c r="BD115" s="69">
        <f t="shared" ref="BD115" si="36">BD114/BD112</f>
        <v>0.23940042826552468</v>
      </c>
      <c r="BE115" s="69">
        <f t="shared" ref="BE115" si="37">BE114/BE112</f>
        <v>0.20966383337162109</v>
      </c>
      <c r="BF115" s="69">
        <f>BC115+BF134-0.5%</f>
        <v>0.16342604631832705</v>
      </c>
      <c r="BG115" s="69">
        <f>BD115+BG134-0.5%</f>
        <v>0.23999799370071812</v>
      </c>
      <c r="BH115" s="69">
        <f>BH114/BH112</f>
        <v>0.20434361458538394</v>
      </c>
      <c r="BI115" s="69">
        <f>BF115+BI134</f>
        <v>0.1785812297182954</v>
      </c>
      <c r="BJ115" s="69">
        <f>BG115+BJ134</f>
        <v>0.23896013972428629</v>
      </c>
      <c r="BK115" s="69">
        <f>BK114/BK112</f>
        <v>0.21011333446630298</v>
      </c>
      <c r="BL115" s="69">
        <f>BI115+BL134</f>
        <v>0.18282547283012215</v>
      </c>
      <c r="BM115" s="69">
        <f>BJ115+BM134</f>
        <v>0.24387262558659528</v>
      </c>
      <c r="BN115" s="69">
        <f>BN114/BN112</f>
        <v>0.21468313274899253</v>
      </c>
      <c r="BO115" s="69">
        <f>BL115+BO134</f>
        <v>0.19035010956990878</v>
      </c>
      <c r="BP115" s="69">
        <f>BM115+BP134</f>
        <v>0.24664274289343191</v>
      </c>
      <c r="BQ115" s="69">
        <f>BQ114/BQ112</f>
        <v>0.21951127027863254</v>
      </c>
      <c r="BR115" s="69">
        <f>BO115+BR134</f>
        <v>0.18636136630614761</v>
      </c>
      <c r="BS115" s="69">
        <f>BP115+BS134</f>
        <v>0.25219216423203894</v>
      </c>
      <c r="BT115" s="69">
        <f>BT114/BT112</f>
        <v>0.2208080442073781</v>
      </c>
      <c r="BU115" s="69">
        <f>BR115+BU134</f>
        <v>0.19405868699033316</v>
      </c>
      <c r="BV115" s="69">
        <f>BS115+BV134</f>
        <v>0.26126779150977941</v>
      </c>
      <c r="BW115" s="69">
        <f>BW114/BW112</f>
        <v>0.22922651136152461</v>
      </c>
      <c r="BX115" s="69">
        <f>BU115+BX134</f>
        <v>0.20160821356975203</v>
      </c>
      <c r="BY115" s="69">
        <f>BV115+BY134</f>
        <v>0.26195781836395532</v>
      </c>
      <c r="BZ115" s="69">
        <f>BZ114/BZ112</f>
        <v>0.23287113419036745</v>
      </c>
      <c r="CA115" s="69">
        <f>BX115+CA134</f>
        <v>0.20090109470244993</v>
      </c>
      <c r="CB115" s="69">
        <f>BY115+CB134</f>
        <v>0.2626746330188271</v>
      </c>
      <c r="CC115" s="69">
        <f>CC114/CC112</f>
        <v>0.23290733799675664</v>
      </c>
    </row>
    <row r="116" spans="1:81" s="552" customFormat="1">
      <c r="A116" s="133"/>
      <c r="B116" s="84" t="s">
        <v>412</v>
      </c>
      <c r="C116" s="134"/>
      <c r="D116" s="134"/>
      <c r="E116" s="134"/>
      <c r="F116" s="134"/>
      <c r="G116" s="134"/>
      <c r="H116" s="134"/>
      <c r="I116" s="134"/>
      <c r="J116" s="134"/>
      <c r="K116" s="134"/>
      <c r="L116" s="134"/>
      <c r="M116" s="134"/>
      <c r="N116" s="134"/>
      <c r="O116" s="134"/>
      <c r="P116" s="134"/>
      <c r="Q116" s="134"/>
      <c r="R116" s="134"/>
      <c r="S116" s="134"/>
      <c r="T116" s="134"/>
      <c r="U116" s="134"/>
      <c r="V116" s="134"/>
      <c r="W116" s="134"/>
      <c r="X116" s="134"/>
      <c r="Y116" s="134"/>
      <c r="Z116" s="134"/>
      <c r="AA116" s="134"/>
      <c r="AB116" s="134"/>
      <c r="AC116" s="134"/>
      <c r="AD116" s="134"/>
      <c r="AE116" s="134"/>
      <c r="AF116" s="138"/>
      <c r="AG116" s="138">
        <f>AG114/AD114-1</f>
        <v>-2.2952853598015022E-2</v>
      </c>
      <c r="AH116" s="138">
        <f>AH114/AE114-1</f>
        <v>0.36263736263736246</v>
      </c>
      <c r="AI116" s="138">
        <f>AI114/AF114-1</f>
        <v>0.11727078891257992</v>
      </c>
      <c r="AJ116" s="136">
        <f>AJ114/AG114-1</f>
        <v>0.21650793650793632</v>
      </c>
      <c r="AK116" s="136">
        <f t="shared" ref="AK116:BE116" si="38">AK114/AH114-1</f>
        <v>-9.1013824884792482E-2</v>
      </c>
      <c r="AL116" s="136">
        <f t="shared" si="38"/>
        <v>5.5343511450381744E-2</v>
      </c>
      <c r="AM116" s="136">
        <f t="shared" si="38"/>
        <v>-1.0960334029227359E-2</v>
      </c>
      <c r="AN116" s="136">
        <f t="shared" si="38"/>
        <v>3.8022813688213031E-2</v>
      </c>
      <c r="AO116" s="136">
        <f t="shared" si="38"/>
        <v>-0.15028431735750103</v>
      </c>
      <c r="AP116" s="136">
        <f t="shared" si="38"/>
        <v>-7.1880978890446423E-2</v>
      </c>
      <c r="AQ116" s="136">
        <f t="shared" si="38"/>
        <v>4.8840048840048667E-3</v>
      </c>
      <c r="AR116" s="136">
        <f t="shared" si="38"/>
        <v>0.27688705830932459</v>
      </c>
      <c r="AS116" s="136">
        <f t="shared" si="38"/>
        <v>0.15022550972637472</v>
      </c>
      <c r="AT116" s="136">
        <f t="shared" si="38"/>
        <v>-8.5054678007289164E-3</v>
      </c>
      <c r="AU116" s="136">
        <f t="shared" si="38"/>
        <v>0.38166666666666615</v>
      </c>
      <c r="AV116" s="136">
        <f t="shared" si="38"/>
        <v>0.22293623331685608</v>
      </c>
      <c r="AW116" s="136">
        <f t="shared" si="38"/>
        <v>0.48897058823529416</v>
      </c>
      <c r="AX116" s="136">
        <f t="shared" si="38"/>
        <v>8.7454764776839777E-2</v>
      </c>
      <c r="AY116" s="136">
        <f t="shared" si="38"/>
        <v>0.21988682295877138</v>
      </c>
      <c r="AZ116" s="136">
        <f t="shared" si="38"/>
        <v>-7.9835390946502161E-2</v>
      </c>
      <c r="BA116" s="136">
        <f t="shared" si="38"/>
        <v>-0.18191902384914027</v>
      </c>
      <c r="BB116" s="136">
        <f t="shared" si="38"/>
        <v>-0.1408217362491716</v>
      </c>
      <c r="BC116" s="136">
        <f t="shared" si="38"/>
        <v>-5.098389982110918E-2</v>
      </c>
      <c r="BD116" s="136">
        <f t="shared" si="38"/>
        <v>0.13694915254237316</v>
      </c>
      <c r="BE116" s="136">
        <f t="shared" si="38"/>
        <v>5.5919784033937603E-2</v>
      </c>
      <c r="BF116" s="136">
        <f t="shared" ref="BF116:CC116" si="39">BF114/BC114-1</f>
        <v>-9.6282150155423407E-3</v>
      </c>
      <c r="BG116" s="136">
        <f t="shared" si="39"/>
        <v>5.5999846359911398E-2</v>
      </c>
      <c r="BH116" s="136">
        <f t="shared" si="39"/>
        <v>3.0568373343346167E-2</v>
      </c>
      <c r="BI116" s="136">
        <f t="shared" si="39"/>
        <v>0.16348584976186586</v>
      </c>
      <c r="BJ116" s="136">
        <f t="shared" si="39"/>
        <v>9.7706037189733141E-3</v>
      </c>
      <c r="BK116" s="136">
        <f t="shared" si="39"/>
        <v>6.7013333126159536E-2</v>
      </c>
      <c r="BL116" s="136">
        <f t="shared" si="39"/>
        <v>5.0607505102053585E-2</v>
      </c>
      <c r="BM116" s="136">
        <f t="shared" si="39"/>
        <v>4.5705224814505119E-2</v>
      </c>
      <c r="BN116" s="136">
        <f t="shared" si="39"/>
        <v>4.7695865089884437E-2</v>
      </c>
      <c r="BO116" s="136">
        <f t="shared" si="39"/>
        <v>7.7142587755186565E-2</v>
      </c>
      <c r="BP116" s="136">
        <f t="shared" si="39"/>
        <v>3.0400773432963657E-2</v>
      </c>
      <c r="BQ116" s="136">
        <f t="shared" si="39"/>
        <v>4.9433696104963953E-2</v>
      </c>
      <c r="BR116" s="136">
        <f t="shared" si="39"/>
        <v>-1.6472372897777698E-2</v>
      </c>
      <c r="BS116" s="136">
        <f t="shared" si="39"/>
        <v>4.8945694114761684E-2</v>
      </c>
      <c r="BT116" s="136">
        <f t="shared" si="39"/>
        <v>2.1604604582142972E-2</v>
      </c>
      <c r="BU116" s="136">
        <f t="shared" si="39"/>
        <v>7.7553738349370516E-2</v>
      </c>
      <c r="BV116" s="136">
        <f t="shared" si="39"/>
        <v>7.2048109535540084E-2</v>
      </c>
      <c r="BW116" s="136">
        <f t="shared" si="39"/>
        <v>7.4263390215091096E-2</v>
      </c>
      <c r="BX116" s="136">
        <f t="shared" si="39"/>
        <v>7.4193006865233668E-2</v>
      </c>
      <c r="BY116" s="136">
        <f t="shared" si="39"/>
        <v>1.5201775147361207E-2</v>
      </c>
      <c r="BZ116" s="136">
        <f t="shared" si="39"/>
        <v>3.9010572476024574E-2</v>
      </c>
      <c r="CA116" s="136">
        <f t="shared" si="39"/>
        <v>8.6477921664454005E-3</v>
      </c>
      <c r="CB116" s="136">
        <f t="shared" si="39"/>
        <v>1.5341710733767E-2</v>
      </c>
      <c r="CC116" s="136">
        <f t="shared" si="39"/>
        <v>1.2548570293884787E-2</v>
      </c>
    </row>
    <row r="117" spans="1:81" s="552" customFormat="1">
      <c r="A117" s="133"/>
      <c r="B117" s="84"/>
      <c r="C117" s="134"/>
      <c r="D117" s="134"/>
      <c r="E117" s="134"/>
      <c r="F117" s="134"/>
      <c r="G117" s="134"/>
      <c r="H117" s="134"/>
      <c r="I117" s="134"/>
      <c r="J117" s="134"/>
      <c r="K117" s="134"/>
      <c r="L117" s="134"/>
      <c r="M117" s="134"/>
      <c r="N117" s="134"/>
      <c r="O117" s="134"/>
      <c r="P117" s="134"/>
      <c r="Q117" s="134"/>
      <c r="R117" s="134"/>
      <c r="S117" s="134"/>
      <c r="T117" s="134"/>
      <c r="U117" s="134"/>
      <c r="V117" s="134"/>
      <c r="W117" s="134"/>
      <c r="X117" s="134"/>
      <c r="Y117" s="134"/>
      <c r="Z117" s="134"/>
      <c r="AA117" s="134"/>
      <c r="AB117" s="134"/>
      <c r="AC117" s="134"/>
      <c r="AD117" s="134"/>
      <c r="AE117" s="134"/>
      <c r="AF117" s="138"/>
      <c r="AG117" s="138"/>
      <c r="AH117" s="138"/>
      <c r="AI117" s="138"/>
      <c r="AJ117" s="136"/>
      <c r="AK117" s="136"/>
      <c r="AL117" s="136"/>
      <c r="AM117" s="136"/>
      <c r="AN117" s="136"/>
      <c r="AO117" s="136"/>
      <c r="AP117" s="136"/>
      <c r="AQ117" s="136"/>
      <c r="AR117" s="136"/>
      <c r="AS117" s="136"/>
      <c r="AT117" s="201"/>
      <c r="AU117" s="201"/>
      <c r="AV117" s="201"/>
      <c r="AW117" s="201"/>
      <c r="AX117" s="201"/>
      <c r="AY117" s="201"/>
      <c r="AZ117" s="249"/>
      <c r="BA117" s="249">
        <f>BA114-184.7</f>
        <v>-37.199999999999989</v>
      </c>
      <c r="BB117" s="249">
        <f>BB114-311.5</f>
        <v>-52.199999999999989</v>
      </c>
      <c r="BC117" s="249"/>
      <c r="BD117" s="249"/>
      <c r="BE117" s="249"/>
      <c r="BF117" s="249"/>
      <c r="BG117" s="249"/>
      <c r="BH117" s="249"/>
      <c r="BI117" s="249"/>
      <c r="BJ117" s="249"/>
      <c r="BK117" s="249"/>
      <c r="BL117" s="249"/>
      <c r="BM117" s="249"/>
      <c r="BN117" s="249"/>
      <c r="BO117" s="249"/>
      <c r="BP117" s="249"/>
      <c r="BQ117" s="249"/>
      <c r="BR117" s="249"/>
      <c r="BS117" s="249"/>
      <c r="BT117" s="249"/>
      <c r="BU117" s="249"/>
      <c r="BV117" s="249"/>
      <c r="BW117" s="249"/>
      <c r="BX117" s="249"/>
      <c r="BY117" s="249"/>
      <c r="BZ117" s="249"/>
      <c r="CA117" s="249"/>
      <c r="CB117" s="249"/>
      <c r="CC117" s="249"/>
    </row>
    <row r="118" spans="1:81" s="552" customFormat="1">
      <c r="A118" s="133"/>
      <c r="B118" s="41" t="s">
        <v>595</v>
      </c>
      <c r="C118" s="134"/>
      <c r="D118" s="134"/>
      <c r="E118" s="134"/>
      <c r="F118" s="134"/>
      <c r="G118" s="134"/>
      <c r="H118" s="134"/>
      <c r="I118" s="134"/>
      <c r="J118" s="134"/>
      <c r="K118" s="134"/>
      <c r="L118" s="134"/>
      <c r="M118" s="134"/>
      <c r="N118" s="134"/>
      <c r="O118" s="134"/>
      <c r="P118" s="134"/>
      <c r="Q118" s="134"/>
      <c r="R118" s="134"/>
      <c r="S118" s="134"/>
      <c r="T118" s="134"/>
      <c r="U118" s="134"/>
      <c r="V118" s="134"/>
      <c r="W118" s="134"/>
      <c r="X118" s="134"/>
      <c r="Y118" s="134"/>
      <c r="Z118" s="134"/>
      <c r="AA118" s="134"/>
      <c r="AB118" s="134"/>
      <c r="AC118" s="134"/>
      <c r="AD118" s="134"/>
      <c r="AE118" s="134"/>
      <c r="AF118" s="138"/>
      <c r="AG118" s="138"/>
      <c r="AH118" s="138"/>
      <c r="AI118" s="138"/>
      <c r="AJ118" s="136"/>
      <c r="AK118" s="136"/>
      <c r="AL118" s="136"/>
      <c r="AM118" s="136"/>
      <c r="AN118" s="136"/>
      <c r="AO118" s="136"/>
      <c r="AP118" s="136"/>
      <c r="AQ118" s="136"/>
      <c r="AR118" s="136"/>
      <c r="AS118" s="136"/>
      <c r="AT118" s="202"/>
      <c r="AU118" s="202"/>
      <c r="AV118" s="202"/>
      <c r="AW118" s="202"/>
      <c r="AX118" s="202"/>
      <c r="AY118" s="202"/>
      <c r="AZ118" s="136"/>
      <c r="BA118" s="136"/>
      <c r="BB118" s="136"/>
      <c r="BC118" s="262"/>
      <c r="BD118" s="262"/>
      <c r="BE118" s="262"/>
      <c r="BF118" s="262"/>
      <c r="BG118" s="262"/>
      <c r="BH118" s="262"/>
      <c r="BI118" s="262"/>
      <c r="BJ118" s="262"/>
      <c r="BK118" s="262"/>
      <c r="BL118" s="262"/>
      <c r="BM118" s="262"/>
      <c r="BN118" s="262"/>
      <c r="BO118" s="262"/>
      <c r="BP118" s="262"/>
      <c r="BQ118" s="262"/>
      <c r="BR118" s="262"/>
      <c r="BS118" s="262"/>
      <c r="BT118" s="262"/>
      <c r="BU118" s="262"/>
      <c r="BV118" s="262"/>
      <c r="BW118" s="262"/>
      <c r="BX118" s="262"/>
      <c r="BY118" s="262"/>
      <c r="BZ118" s="262"/>
      <c r="CA118" s="262"/>
      <c r="CB118" s="262"/>
      <c r="CC118" s="262"/>
    </row>
    <row r="119" spans="1:81" s="552" customFormat="1">
      <c r="A119" s="133"/>
      <c r="B119" s="43" t="s">
        <v>596</v>
      </c>
      <c r="C119" s="134"/>
      <c r="D119" s="134"/>
      <c r="E119" s="134"/>
      <c r="F119" s="134"/>
      <c r="G119" s="134"/>
      <c r="H119" s="134"/>
      <c r="I119" s="134"/>
      <c r="J119" s="134"/>
      <c r="K119" s="134"/>
      <c r="L119" s="134"/>
      <c r="M119" s="134"/>
      <c r="N119" s="134"/>
      <c r="O119" s="134"/>
      <c r="P119" s="134"/>
      <c r="Q119" s="134"/>
      <c r="R119" s="134"/>
      <c r="S119" s="134"/>
      <c r="T119" s="134"/>
      <c r="U119" s="134"/>
      <c r="V119" s="134"/>
      <c r="W119" s="134"/>
      <c r="X119" s="134"/>
      <c r="Y119" s="134"/>
      <c r="Z119" s="134"/>
      <c r="AA119" s="134"/>
      <c r="AB119" s="134"/>
      <c r="AC119" s="134"/>
      <c r="AD119" s="134"/>
      <c r="AE119" s="134"/>
      <c r="AF119" s="138"/>
      <c r="AG119" s="138"/>
      <c r="AH119" s="138"/>
      <c r="AI119" s="138"/>
      <c r="AJ119" s="136"/>
      <c r="AK119" s="136"/>
      <c r="AL119" s="136"/>
      <c r="AM119" s="136"/>
      <c r="AN119" s="136"/>
      <c r="AO119" s="136"/>
      <c r="AP119" s="136"/>
      <c r="AQ119" s="136"/>
      <c r="AR119" s="136"/>
      <c r="AS119" s="136"/>
      <c r="AT119" s="202"/>
      <c r="AU119" s="202"/>
      <c r="AV119" s="202"/>
      <c r="AW119" s="202"/>
      <c r="AX119" s="202"/>
      <c r="AY119" s="202"/>
      <c r="AZ119" s="136"/>
      <c r="BA119" s="136"/>
      <c r="BB119" s="136"/>
      <c r="BC119" s="136">
        <f>BC91*BC90/BC108+BC97*BC96/BC108+BC103*BC102/BC108</f>
        <v>2.3319467308588294E-2</v>
      </c>
      <c r="BD119" s="136">
        <f>BD91*BD90/BD108+BD97*BD96/BD108+BD103*BD102/BD108</f>
        <v>2.8322237623762379E-2</v>
      </c>
      <c r="BE119" s="262"/>
      <c r="BF119" s="136">
        <f>BF91*BF90/BF108+BF97*BF96/BF108+BF103*BF102/BF108</f>
        <v>1.8078817178024457E-2</v>
      </c>
      <c r="BG119" s="136">
        <f>BG91*BG90/BG108+BG97*BG96/BG108+BG103*BG102/BG108</f>
        <v>1.9393109992989793E-2</v>
      </c>
      <c r="BH119" s="262"/>
      <c r="BI119" s="136">
        <f>BI91*BI90/BI108+BI97*BI96/BI108+BI103*BI102/BI108</f>
        <v>2.2431515953516255E-2</v>
      </c>
      <c r="BJ119" s="136">
        <f>BJ91*BJ90/BJ108+BJ97*BJ96/BJ108+BJ103*BJ102/BJ108</f>
        <v>2.4409002590630571E-2</v>
      </c>
      <c r="BK119" s="262"/>
      <c r="BL119" s="136">
        <f>BL91*BL90/BL108+BL97*BL96/BL108+BL103*BL102/BL108</f>
        <v>2.4432450909662163E-2</v>
      </c>
      <c r="BM119" s="136">
        <f>BM91*BM90/BM108+BM97*BM96/BM108+BM103*BM102/BM108</f>
        <v>2.4400143693675845E-2</v>
      </c>
      <c r="BN119" s="262"/>
      <c r="BO119" s="136">
        <f>BO91*BO90/BO108+BO97*BO96/BO108+BO103*BO102/BO108</f>
        <v>2.4434953895423432E-2</v>
      </c>
      <c r="BP119" s="136">
        <f>BP91*BP90/BP108+BP97*BP96/BP108+BP103*BP102/BP108</f>
        <v>2.4393565967964017E-2</v>
      </c>
      <c r="BQ119" s="262"/>
      <c r="BR119" s="136">
        <f>BR91*BR90/BR108+BR97*BR96/BR108+BR103*BR102/BR108</f>
        <v>2.4420654949598462E-2</v>
      </c>
      <c r="BS119" s="136">
        <f>BS91*BS90/BS108+BS97*BS96/BS108+BS103*BS102/BS108</f>
        <v>2.4391120948378246E-2</v>
      </c>
      <c r="BT119" s="262"/>
      <c r="BU119" s="136">
        <f>BU91*BU90/BU108+BU97*BU96/BU108+BU103*BU102/BU108</f>
        <v>2.4423349343891169E-2</v>
      </c>
      <c r="BV119" s="136">
        <f>BV91*BV90/BV108+BV97*BV96/BV108+BV103*BV102/BV108</f>
        <v>2.4393950262535494E-2</v>
      </c>
      <c r="BW119" s="262"/>
      <c r="BX119" s="136">
        <f>BX91*BX90/BX108+BX97*BX96/BX108+BX103*BX102/BX108</f>
        <v>2.4425562442032554E-2</v>
      </c>
      <c r="BY119" s="136">
        <f>BY91*BY90/BY108+BY97*BY96/BY108+BY103*BY102/BY108</f>
        <v>2.4383492145041884E-2</v>
      </c>
      <c r="BZ119" s="262"/>
      <c r="CA119" s="136">
        <f>CA91*CA90/CA108+CA97*CA96/CA108+CA103*CA102/CA108</f>
        <v>2.4415459520406746E-2</v>
      </c>
      <c r="CB119" s="136">
        <f>CB91*CB90/CB108+CB97*CB96/CB108+CB103*CB102/CB108</f>
        <v>2.437288039086289E-2</v>
      </c>
      <c r="CC119" s="262"/>
    </row>
    <row r="120" spans="1:81" s="552" customFormat="1">
      <c r="A120" s="133"/>
      <c r="B120" s="43" t="s">
        <v>597</v>
      </c>
      <c r="C120" s="134"/>
      <c r="D120" s="134"/>
      <c r="E120" s="134"/>
      <c r="F120" s="134"/>
      <c r="G120" s="134"/>
      <c r="H120" s="134"/>
      <c r="I120" s="134"/>
      <c r="J120" s="134"/>
      <c r="K120" s="134"/>
      <c r="L120" s="134"/>
      <c r="M120" s="134"/>
      <c r="N120" s="134"/>
      <c r="O120" s="134"/>
      <c r="P120" s="134"/>
      <c r="Q120" s="134"/>
      <c r="R120" s="134"/>
      <c r="S120" s="134"/>
      <c r="T120" s="134"/>
      <c r="U120" s="134"/>
      <c r="V120" s="134"/>
      <c r="W120" s="134"/>
      <c r="X120" s="134"/>
      <c r="Y120" s="134"/>
      <c r="Z120" s="134"/>
      <c r="AA120" s="134"/>
      <c r="AB120" s="134"/>
      <c r="AC120" s="134"/>
      <c r="AD120" s="134"/>
      <c r="AE120" s="134"/>
      <c r="AF120" s="138"/>
      <c r="AG120" s="138"/>
      <c r="AH120" s="138"/>
      <c r="AI120" s="138"/>
      <c r="AJ120" s="136"/>
      <c r="AK120" s="136"/>
      <c r="AL120" s="136"/>
      <c r="AM120" s="136"/>
      <c r="AN120" s="136"/>
      <c r="AO120" s="136"/>
      <c r="AP120" s="136"/>
      <c r="AQ120" s="136"/>
      <c r="AR120" s="136"/>
      <c r="AS120" s="136"/>
      <c r="AT120" s="202"/>
      <c r="AU120" s="202"/>
      <c r="AV120" s="202"/>
      <c r="AW120" s="202"/>
      <c r="AX120" s="202"/>
      <c r="AY120" s="202"/>
      <c r="AZ120" s="136"/>
      <c r="BA120" s="136"/>
      <c r="BB120" s="136"/>
      <c r="BC120" s="262">
        <f>BC119*AZ108</f>
        <v>17.83239665087747</v>
      </c>
      <c r="BD120" s="262">
        <f>BD119*BA108</f>
        <v>22.907025790099009</v>
      </c>
      <c r="BE120" s="262">
        <f>BC120+BD120</f>
        <v>40.739422440976483</v>
      </c>
      <c r="BF120" s="262">
        <f>BF119*BC108</f>
        <v>11.640950380929947</v>
      </c>
      <c r="BG120" s="262">
        <f>BG119*BD108</f>
        <v>14.690280819689768</v>
      </c>
      <c r="BH120" s="262">
        <f>BF120+BG120</f>
        <v>26.331231200619715</v>
      </c>
      <c r="BI120" s="262">
        <f>BI119*BF108</f>
        <v>15.340058015782457</v>
      </c>
      <c r="BJ120" s="262">
        <f>BJ119*BG108</f>
        <v>19.476631053327729</v>
      </c>
      <c r="BK120" s="262">
        <f>BI120+BJ120</f>
        <v>34.816689069110183</v>
      </c>
      <c r="BL120" s="262">
        <f>BL119*BI108</f>
        <v>17.79024720594904</v>
      </c>
      <c r="BM120" s="262">
        <f>BM119*BJ108</f>
        <v>19.74517826370203</v>
      </c>
      <c r="BN120" s="262">
        <f>BL120+BM120</f>
        <v>37.535425469651074</v>
      </c>
      <c r="BO120" s="262">
        <f>BO119*BL108</f>
        <v>18.258541157142655</v>
      </c>
      <c r="BP120" s="262">
        <f>BP119*BM108</f>
        <v>20.226263219682782</v>
      </c>
      <c r="BQ120" s="262">
        <f>BO120+BP120</f>
        <v>38.484804376825437</v>
      </c>
      <c r="BR120" s="262">
        <f>BR119*BO108</f>
        <v>18.8785497865506</v>
      </c>
      <c r="BS120" s="262">
        <f>BS119*BP108</f>
        <v>20.605018595768833</v>
      </c>
      <c r="BT120" s="262">
        <f>BR120+BS120</f>
        <v>39.483568382319433</v>
      </c>
      <c r="BU120" s="262">
        <f>BU119*BR108</f>
        <v>18.967074619375115</v>
      </c>
      <c r="BV120" s="262">
        <f>BV119*BS108</f>
        <v>21.14039717920139</v>
      </c>
      <c r="BW120" s="262">
        <f>BU120+BV120</f>
        <v>40.107471798576505</v>
      </c>
      <c r="BX120" s="262">
        <f>BX119*BU108</f>
        <v>19.629147539016582</v>
      </c>
      <c r="BY120" s="262">
        <f>BY119*BV108</f>
        <v>21.866884073289491</v>
      </c>
      <c r="BZ120" s="262">
        <f>BX120+BY120</f>
        <v>41.496031612306069</v>
      </c>
      <c r="CA120" s="262">
        <f>CA119*BX108</f>
        <v>20.287519807499852</v>
      </c>
      <c r="CB120" s="262">
        <f>CB119*BY108</f>
        <v>22.131188294566478</v>
      </c>
      <c r="CC120" s="262">
        <f>CA120+CB120</f>
        <v>42.418708102066333</v>
      </c>
    </row>
    <row r="121" spans="1:81" s="552" customFormat="1">
      <c r="A121" s="133"/>
      <c r="B121" s="43" t="s">
        <v>598</v>
      </c>
      <c r="C121" s="134"/>
      <c r="D121" s="134"/>
      <c r="E121" s="134"/>
      <c r="F121" s="134"/>
      <c r="G121" s="134"/>
      <c r="H121" s="134"/>
      <c r="I121" s="134"/>
      <c r="J121" s="134"/>
      <c r="K121" s="134"/>
      <c r="L121" s="134"/>
      <c r="M121" s="134"/>
      <c r="N121" s="134"/>
      <c r="O121" s="134"/>
      <c r="P121" s="134"/>
      <c r="Q121" s="134"/>
      <c r="R121" s="134"/>
      <c r="S121" s="134"/>
      <c r="T121" s="134"/>
      <c r="U121" s="134"/>
      <c r="V121" s="134"/>
      <c r="W121" s="134"/>
      <c r="X121" s="134"/>
      <c r="Y121" s="134"/>
      <c r="Z121" s="134"/>
      <c r="AA121" s="134"/>
      <c r="AB121" s="134"/>
      <c r="AC121" s="134"/>
      <c r="AD121" s="134"/>
      <c r="AE121" s="134"/>
      <c r="AF121" s="138"/>
      <c r="AG121" s="138"/>
      <c r="AH121" s="138"/>
      <c r="AI121" s="138"/>
      <c r="AJ121" s="136"/>
      <c r="AK121" s="136"/>
      <c r="AL121" s="136"/>
      <c r="AM121" s="136"/>
      <c r="AN121" s="136"/>
      <c r="AO121" s="136"/>
      <c r="AP121" s="136"/>
      <c r="AQ121" s="136"/>
      <c r="AR121" s="136"/>
      <c r="AS121" s="136"/>
      <c r="AT121" s="202"/>
      <c r="AU121" s="202"/>
      <c r="AV121" s="202"/>
      <c r="AW121" s="202"/>
      <c r="AX121" s="202"/>
      <c r="AY121" s="202"/>
      <c r="AZ121" s="136"/>
      <c r="BA121" s="136"/>
      <c r="BB121" s="136"/>
      <c r="BC121" s="262">
        <v>2.5000000000000001E-2</v>
      </c>
      <c r="BD121" s="262">
        <v>3.5000000000000003E-2</v>
      </c>
      <c r="BE121" s="262"/>
      <c r="BF121" s="262">
        <f>BD121</f>
        <v>3.5000000000000003E-2</v>
      </c>
      <c r="BG121" s="262">
        <f>BF121</f>
        <v>3.5000000000000003E-2</v>
      </c>
      <c r="BH121" s="262"/>
      <c r="BI121" s="297">
        <v>2.75E-2</v>
      </c>
      <c r="BJ121" s="262">
        <f>BI121</f>
        <v>2.75E-2</v>
      </c>
      <c r="BK121" s="262"/>
      <c r="BL121" s="297">
        <v>2.5000000000000001E-2</v>
      </c>
      <c r="BM121" s="262">
        <f>BL121</f>
        <v>2.5000000000000001E-2</v>
      </c>
      <c r="BN121" s="262"/>
      <c r="BO121" s="262">
        <f>BM121</f>
        <v>2.5000000000000001E-2</v>
      </c>
      <c r="BP121" s="262">
        <f>BO121</f>
        <v>2.5000000000000001E-2</v>
      </c>
      <c r="BQ121" s="262"/>
      <c r="BR121" s="262">
        <f>BP121</f>
        <v>2.5000000000000001E-2</v>
      </c>
      <c r="BS121" s="262">
        <f>BR121</f>
        <v>2.5000000000000001E-2</v>
      </c>
      <c r="BT121" s="262"/>
      <c r="BU121" s="262">
        <f>BS121</f>
        <v>2.5000000000000001E-2</v>
      </c>
      <c r="BV121" s="262">
        <f>BU121</f>
        <v>2.5000000000000001E-2</v>
      </c>
      <c r="BW121" s="262"/>
      <c r="BX121" s="262">
        <f>BV121</f>
        <v>2.5000000000000001E-2</v>
      </c>
      <c r="BY121" s="262">
        <f>BX121</f>
        <v>2.5000000000000001E-2</v>
      </c>
      <c r="BZ121" s="262"/>
      <c r="CA121" s="262">
        <f>BY121</f>
        <v>2.5000000000000001E-2</v>
      </c>
      <c r="CB121" s="262">
        <f>CA121</f>
        <v>2.5000000000000001E-2</v>
      </c>
      <c r="CC121" s="262"/>
    </row>
    <row r="122" spans="1:81" s="552" customFormat="1">
      <c r="A122" s="133"/>
      <c r="B122" s="43" t="s">
        <v>599</v>
      </c>
      <c r="C122" s="134"/>
      <c r="D122" s="134"/>
      <c r="E122" s="134"/>
      <c r="F122" s="134"/>
      <c r="G122" s="134"/>
      <c r="H122" s="134"/>
      <c r="I122" s="134"/>
      <c r="J122" s="134"/>
      <c r="K122" s="134"/>
      <c r="L122" s="134"/>
      <c r="M122" s="134"/>
      <c r="N122" s="134"/>
      <c r="O122" s="134"/>
      <c r="P122" s="134"/>
      <c r="Q122" s="134"/>
      <c r="R122" s="134"/>
      <c r="S122" s="134"/>
      <c r="T122" s="134"/>
      <c r="U122" s="134"/>
      <c r="V122" s="134"/>
      <c r="W122" s="134"/>
      <c r="X122" s="134"/>
      <c r="Y122" s="134"/>
      <c r="Z122" s="134"/>
      <c r="AA122" s="134"/>
      <c r="AB122" s="134"/>
      <c r="AC122" s="134"/>
      <c r="AD122" s="134"/>
      <c r="AE122" s="134"/>
      <c r="AF122" s="138"/>
      <c r="AG122" s="138"/>
      <c r="AH122" s="138"/>
      <c r="AI122" s="138"/>
      <c r="AJ122" s="136"/>
      <c r="AK122" s="136"/>
      <c r="AL122" s="136"/>
      <c r="AM122" s="136"/>
      <c r="AN122" s="136"/>
      <c r="AO122" s="136"/>
      <c r="AP122" s="136"/>
      <c r="AQ122" s="136"/>
      <c r="AR122" s="136"/>
      <c r="AS122" s="136"/>
      <c r="AT122" s="202"/>
      <c r="AU122" s="202"/>
      <c r="AV122" s="202"/>
      <c r="AW122" s="202"/>
      <c r="AX122" s="202"/>
      <c r="AY122" s="202"/>
      <c r="AZ122" s="136"/>
      <c r="BA122" s="136"/>
      <c r="BB122" s="136"/>
      <c r="BC122" s="262">
        <f>(AZ108-AZ114)*BC121</f>
        <v>16.322500000000002</v>
      </c>
      <c r="BD122" s="262">
        <f>(BA108-BA114)*BD121</f>
        <v>23.145500000000002</v>
      </c>
      <c r="BE122" s="262">
        <f>BD122+BC122</f>
        <v>39.468000000000004</v>
      </c>
      <c r="BF122" s="262">
        <f>(BC108-BC114)*BF121</f>
        <v>18.823</v>
      </c>
      <c r="BG122" s="262">
        <f>(BD108-BD114)*BG121</f>
        <v>20.643000000000001</v>
      </c>
      <c r="BH122" s="262">
        <f>BG122+BF122</f>
        <v>39.466000000000001</v>
      </c>
      <c r="BI122" s="262">
        <f>(BF108-BF114)*BI121</f>
        <v>15.916543620823534</v>
      </c>
      <c r="BJ122" s="262">
        <f>(BG108-BG114)*BJ121</f>
        <v>17.073017704257868</v>
      </c>
      <c r="BK122" s="262">
        <f>BJ122+BI122</f>
        <v>32.989561325081404</v>
      </c>
      <c r="BL122" s="262">
        <f>(BI108-BI114)*BL121</f>
        <v>15.14707031920009</v>
      </c>
      <c r="BM122" s="262">
        <f>(BJ108-BJ114)*BM121</f>
        <v>15.760059746414957</v>
      </c>
      <c r="BN122" s="262">
        <f>BM122+BL122</f>
        <v>30.907130065615046</v>
      </c>
      <c r="BO122" s="262">
        <f>(BL108-BL114)*BO121</f>
        <v>15.469650259884242</v>
      </c>
      <c r="BP122" s="262">
        <f>(BM108-BM114)*BP121</f>
        <v>16.054232974126517</v>
      </c>
      <c r="BQ122" s="262">
        <f>BP122+BO122</f>
        <v>31.523883234010761</v>
      </c>
      <c r="BR122" s="262">
        <f>(BO108-BO114)*BR121</f>
        <v>15.867592413401537</v>
      </c>
      <c r="BS122" s="262">
        <f>(BP108-BP114)*BS121</f>
        <v>16.302401741357123</v>
      </c>
      <c r="BT122" s="262">
        <f>BS122+BR122</f>
        <v>32.169994154758662</v>
      </c>
      <c r="BU122" s="262">
        <f>(BR108-BR114)*BU121</f>
        <v>16.013050312174652</v>
      </c>
      <c r="BV122" s="262">
        <f>(BS108-BS114)*BV121</f>
        <v>16.612861324411988</v>
      </c>
      <c r="BW122" s="262">
        <f>BV122+BU122</f>
        <v>32.625911636586636</v>
      </c>
      <c r="BX122" s="262">
        <f>(BU108-BU114)*BX121</f>
        <v>16.425108585368417</v>
      </c>
      <c r="BY122" s="262">
        <f>(BV108-BV114)*BY121</f>
        <v>17.002967664098204</v>
      </c>
      <c r="BZ122" s="262">
        <f>BY122+BX122</f>
        <v>33.428076249466621</v>
      </c>
      <c r="CA122" s="262">
        <f>(BX108-BX114)*CA121</f>
        <v>16.835589169414742</v>
      </c>
      <c r="CB122" s="262">
        <f>(BY108-BY114)*CB121</f>
        <v>17.201488977501601</v>
      </c>
      <c r="CC122" s="262">
        <f>CB122+CA122</f>
        <v>34.037078146916343</v>
      </c>
    </row>
    <row r="123" spans="1:81" s="614" customFormat="1">
      <c r="A123" s="267"/>
      <c r="B123" s="41" t="s">
        <v>600</v>
      </c>
      <c r="C123" s="268"/>
      <c r="D123" s="268"/>
      <c r="E123" s="268"/>
      <c r="F123" s="268"/>
      <c r="G123" s="268"/>
      <c r="H123" s="268"/>
      <c r="I123" s="268"/>
      <c r="J123" s="268"/>
      <c r="K123" s="268"/>
      <c r="L123" s="268"/>
      <c r="M123" s="268"/>
      <c r="N123" s="268"/>
      <c r="O123" s="268"/>
      <c r="P123" s="268"/>
      <c r="Q123" s="268"/>
      <c r="R123" s="268"/>
      <c r="S123" s="268"/>
      <c r="T123" s="268"/>
      <c r="U123" s="268"/>
      <c r="V123" s="268"/>
      <c r="W123" s="268"/>
      <c r="X123" s="268"/>
      <c r="Y123" s="268"/>
      <c r="Z123" s="268"/>
      <c r="AA123" s="268"/>
      <c r="AB123" s="268"/>
      <c r="AC123" s="268"/>
      <c r="AD123" s="268"/>
      <c r="AE123" s="268"/>
      <c r="AF123" s="269"/>
      <c r="AG123" s="269"/>
      <c r="AH123" s="269"/>
      <c r="AI123" s="269"/>
      <c r="AJ123" s="270"/>
      <c r="AK123" s="270"/>
      <c r="AL123" s="270"/>
      <c r="AM123" s="270"/>
      <c r="AN123" s="270"/>
      <c r="AO123" s="270"/>
      <c r="AP123" s="270"/>
      <c r="AQ123" s="270"/>
      <c r="AR123" s="270"/>
      <c r="AS123" s="270"/>
      <c r="AT123" s="271"/>
      <c r="AU123" s="271"/>
      <c r="AV123" s="271"/>
      <c r="AW123" s="271"/>
      <c r="AX123" s="271"/>
      <c r="AY123" s="271"/>
      <c r="AZ123" s="270"/>
      <c r="BA123" s="270"/>
      <c r="BB123" s="270"/>
      <c r="BC123" s="272">
        <f>BC120-BC122</f>
        <v>1.5098966508774687</v>
      </c>
      <c r="BD123" s="272">
        <f>BD120-BD122</f>
        <v>-0.23847420990099266</v>
      </c>
      <c r="BE123" s="272">
        <f>BD123+BC123</f>
        <v>1.2714224409764761</v>
      </c>
      <c r="BF123" s="272">
        <f>BF120-BF122</f>
        <v>-7.1820496190700531</v>
      </c>
      <c r="BG123" s="272">
        <f>BG120-BG122</f>
        <v>-5.9527191803102326</v>
      </c>
      <c r="BH123" s="272">
        <f>BG123+BF123</f>
        <v>-13.134768799380286</v>
      </c>
      <c r="BI123" s="272">
        <f>BI120-BI122</f>
        <v>-0.57648560504107671</v>
      </c>
      <c r="BJ123" s="272">
        <f>BJ120-BJ122</f>
        <v>2.403613349069861</v>
      </c>
      <c r="BK123" s="272">
        <f>BJ123+BI123</f>
        <v>1.8271277440287843</v>
      </c>
      <c r="BL123" s="272">
        <f>BL120-BL122</f>
        <v>2.6431768867489502</v>
      </c>
      <c r="BM123" s="272">
        <f>BM120-BM122</f>
        <v>3.9851185172870736</v>
      </c>
      <c r="BN123" s="272">
        <f>BM123+BL123</f>
        <v>6.6282954040360238</v>
      </c>
      <c r="BO123" s="272">
        <f>BO120-BO122</f>
        <v>2.7888908972584137</v>
      </c>
      <c r="BP123" s="272">
        <f>BP120-BP122</f>
        <v>4.1720302455562646</v>
      </c>
      <c r="BQ123" s="272">
        <f>BP123+BO123</f>
        <v>6.9609211428146782</v>
      </c>
      <c r="BR123" s="272">
        <f t="shared" ref="BR123:CB123" si="40">BR120-BR122</f>
        <v>3.0109573731490631</v>
      </c>
      <c r="BS123" s="272">
        <f t="shared" si="40"/>
        <v>4.3026168544117098</v>
      </c>
      <c r="BT123" s="272">
        <f>BS123+BR123</f>
        <v>7.3135742275607729</v>
      </c>
      <c r="BU123" s="272">
        <f t="shared" si="40"/>
        <v>2.9540243072004628</v>
      </c>
      <c r="BV123" s="272">
        <f t="shared" si="40"/>
        <v>4.5275358547894022</v>
      </c>
      <c r="BW123" s="272">
        <f>BV123+BU123</f>
        <v>7.4815601619898651</v>
      </c>
      <c r="BX123" s="272">
        <f t="shared" si="40"/>
        <v>3.2040389536481655</v>
      </c>
      <c r="BY123" s="272">
        <f t="shared" si="40"/>
        <v>4.8639164091912868</v>
      </c>
      <c r="BZ123" s="272">
        <f>BY123+BX123</f>
        <v>8.0679553628394522</v>
      </c>
      <c r="CA123" s="272">
        <f t="shared" si="40"/>
        <v>3.4519306380851091</v>
      </c>
      <c r="CB123" s="272">
        <f t="shared" si="40"/>
        <v>4.9296993170648769</v>
      </c>
      <c r="CC123" s="272">
        <f>CB123+CA123</f>
        <v>8.381629955149986</v>
      </c>
    </row>
    <row r="124" spans="1:81" s="614" customFormat="1">
      <c r="A124" s="267"/>
      <c r="B124" s="41" t="s">
        <v>601</v>
      </c>
      <c r="C124" s="268"/>
      <c r="D124" s="268"/>
      <c r="E124" s="268"/>
      <c r="F124" s="268"/>
      <c r="G124" s="268"/>
      <c r="H124" s="268"/>
      <c r="I124" s="268"/>
      <c r="J124" s="268"/>
      <c r="K124" s="268"/>
      <c r="L124" s="268"/>
      <c r="M124" s="268"/>
      <c r="N124" s="268"/>
      <c r="O124" s="268"/>
      <c r="P124" s="268"/>
      <c r="Q124" s="268"/>
      <c r="R124" s="268"/>
      <c r="S124" s="268"/>
      <c r="T124" s="268"/>
      <c r="U124" s="268"/>
      <c r="V124" s="268"/>
      <c r="W124" s="268"/>
      <c r="X124" s="268"/>
      <c r="Y124" s="268"/>
      <c r="Z124" s="268"/>
      <c r="AA124" s="268"/>
      <c r="AB124" s="268"/>
      <c r="AC124" s="268"/>
      <c r="AD124" s="268"/>
      <c r="AE124" s="268"/>
      <c r="AF124" s="269"/>
      <c r="AG124" s="269"/>
      <c r="AH124" s="269"/>
      <c r="AI124" s="269"/>
      <c r="AJ124" s="270"/>
      <c r="AK124" s="270"/>
      <c r="AL124" s="270"/>
      <c r="AM124" s="270"/>
      <c r="AN124" s="270"/>
      <c r="AO124" s="270"/>
      <c r="AP124" s="270"/>
      <c r="AQ124" s="270"/>
      <c r="AR124" s="270"/>
      <c r="AS124" s="270"/>
      <c r="AT124" s="271"/>
      <c r="AU124" s="271"/>
      <c r="AV124" s="271"/>
      <c r="AW124" s="271"/>
      <c r="AX124" s="271"/>
      <c r="AY124" s="271"/>
      <c r="AZ124" s="270"/>
      <c r="BA124" s="270"/>
      <c r="BB124" s="270"/>
      <c r="BC124" s="269">
        <f>BC123/BC108</f>
        <v>2.3449241355450673E-3</v>
      </c>
      <c r="BD124" s="269">
        <f>BD123/BD108</f>
        <v>-3.1481743881319163E-4</v>
      </c>
      <c r="BE124" s="272"/>
      <c r="BF124" s="269">
        <f>BF123/BF108</f>
        <v>-1.0502193697270559E-2</v>
      </c>
      <c r="BG124" s="269">
        <f>BG123/BG108</f>
        <v>-7.460219249194185E-3</v>
      </c>
      <c r="BH124" s="272"/>
      <c r="BI124" s="269">
        <f>BI123/BI108</f>
        <v>-7.9172346973250618E-4</v>
      </c>
      <c r="BJ124" s="269">
        <f>BJ123/BJ108</f>
        <v>2.9702700232976283E-3</v>
      </c>
      <c r="BK124" s="272"/>
      <c r="BL124" s="269">
        <f>BL123/BL108</f>
        <v>3.5372982326079068E-3</v>
      </c>
      <c r="BM124" s="269">
        <f>BM123/BM108</f>
        <v>4.8061893779271104E-3</v>
      </c>
      <c r="BN124" s="272"/>
      <c r="BO124" s="269">
        <f>BO123/BO108</f>
        <v>3.6076151539216231E-3</v>
      </c>
      <c r="BP124" s="269">
        <f>BP123/BP108</f>
        <v>4.9386266674154421E-3</v>
      </c>
      <c r="BQ124" s="272"/>
      <c r="BR124" s="269">
        <f>BR123/BR108</f>
        <v>3.8771220791668504E-3</v>
      </c>
      <c r="BS124" s="269">
        <f>BS123/BS108</f>
        <v>4.9647989418347867E-3</v>
      </c>
      <c r="BT124" s="272"/>
      <c r="BU124" s="269">
        <f>BU123/BU108</f>
        <v>3.6758450680238635E-3</v>
      </c>
      <c r="BV124" s="269">
        <f>BV123/BV108</f>
        <v>5.0485992691799899E-3</v>
      </c>
      <c r="BW124" s="272"/>
      <c r="BX124" s="269">
        <f>BX123/BX108</f>
        <v>3.8559707700536149E-3</v>
      </c>
      <c r="BY124" s="269">
        <f>BY123/BY108</f>
        <v>5.3565877843748545E-3</v>
      </c>
      <c r="BZ124" s="272"/>
      <c r="CA124" s="269">
        <f>CA123/CA108</f>
        <v>4.1042380824341347E-3</v>
      </c>
      <c r="CB124" s="269">
        <f>CB123/CB108</f>
        <v>5.3616331585929437E-3</v>
      </c>
      <c r="CC124" s="272"/>
    </row>
    <row r="125" spans="1:81" s="552" customFormat="1">
      <c r="A125" s="133"/>
      <c r="B125" s="41"/>
      <c r="C125" s="134"/>
      <c r="D125" s="134"/>
      <c r="E125" s="134"/>
      <c r="F125" s="134"/>
      <c r="G125" s="134"/>
      <c r="H125" s="134"/>
      <c r="I125" s="134"/>
      <c r="J125" s="134"/>
      <c r="K125" s="134"/>
      <c r="L125" s="134"/>
      <c r="M125" s="134"/>
      <c r="N125" s="134"/>
      <c r="O125" s="134"/>
      <c r="P125" s="134"/>
      <c r="Q125" s="134"/>
      <c r="R125" s="134"/>
      <c r="S125" s="134"/>
      <c r="T125" s="134"/>
      <c r="U125" s="134"/>
      <c r="V125" s="134"/>
      <c r="W125" s="134"/>
      <c r="X125" s="134"/>
      <c r="Y125" s="134"/>
      <c r="Z125" s="134"/>
      <c r="AA125" s="134"/>
      <c r="AB125" s="134"/>
      <c r="AC125" s="134"/>
      <c r="AD125" s="134"/>
      <c r="AE125" s="134"/>
      <c r="AF125" s="138"/>
      <c r="AG125" s="138"/>
      <c r="AH125" s="138"/>
      <c r="AI125" s="138"/>
      <c r="AJ125" s="136"/>
      <c r="AK125" s="136"/>
      <c r="AL125" s="136"/>
      <c r="AM125" s="136"/>
      <c r="AN125" s="136"/>
      <c r="AO125" s="136"/>
      <c r="AP125" s="136"/>
      <c r="AQ125" s="136"/>
      <c r="AR125" s="136"/>
      <c r="AS125" s="136"/>
      <c r="AT125" s="202"/>
      <c r="AU125" s="202"/>
      <c r="AV125" s="202"/>
      <c r="AW125" s="202"/>
      <c r="AX125" s="202"/>
      <c r="AY125" s="202"/>
      <c r="AZ125" s="136"/>
      <c r="BA125" s="136"/>
      <c r="BB125" s="136"/>
      <c r="BC125" s="262"/>
      <c r="BD125" s="262"/>
      <c r="BE125" s="262"/>
      <c r="BF125" s="262"/>
      <c r="BG125" s="262"/>
      <c r="BH125" s="262"/>
      <c r="BI125" s="262"/>
      <c r="BJ125" s="262"/>
      <c r="BK125" s="262"/>
      <c r="BL125" s="262"/>
      <c r="BM125" s="262"/>
      <c r="BN125" s="262"/>
      <c r="BO125" s="262"/>
      <c r="BP125" s="262"/>
      <c r="BQ125" s="262"/>
      <c r="BR125" s="262"/>
      <c r="BS125" s="262"/>
      <c r="BT125" s="262"/>
      <c r="BU125" s="262"/>
      <c r="BV125" s="262"/>
      <c r="BW125" s="262"/>
      <c r="BX125" s="262"/>
      <c r="BY125" s="262"/>
      <c r="BZ125" s="262"/>
      <c r="CA125" s="262"/>
      <c r="CB125" s="262"/>
      <c r="CC125" s="262"/>
    </row>
    <row r="126" spans="1:81" s="552" customFormat="1">
      <c r="A126" s="133"/>
      <c r="B126" s="43" t="s">
        <v>602</v>
      </c>
      <c r="C126" s="134"/>
      <c r="D126" s="134"/>
      <c r="E126" s="134"/>
      <c r="F126" s="134"/>
      <c r="G126" s="134"/>
      <c r="H126" s="134"/>
      <c r="I126" s="134"/>
      <c r="J126" s="134"/>
      <c r="K126" s="134"/>
      <c r="L126" s="134"/>
      <c r="M126" s="134"/>
      <c r="N126" s="134"/>
      <c r="O126" s="134"/>
      <c r="P126" s="134"/>
      <c r="Q126" s="134"/>
      <c r="R126" s="134"/>
      <c r="S126" s="134"/>
      <c r="T126" s="134"/>
      <c r="U126" s="134"/>
      <c r="V126" s="134"/>
      <c r="W126" s="134"/>
      <c r="X126" s="134"/>
      <c r="Y126" s="134"/>
      <c r="Z126" s="134"/>
      <c r="AA126" s="134"/>
      <c r="AB126" s="134"/>
      <c r="AC126" s="134"/>
      <c r="AD126" s="134"/>
      <c r="AE126" s="134"/>
      <c r="AF126" s="138"/>
      <c r="AG126" s="138"/>
      <c r="AH126" s="138"/>
      <c r="AI126" s="138"/>
      <c r="AJ126" s="136"/>
      <c r="AK126" s="136"/>
      <c r="AL126" s="136"/>
      <c r="AM126" s="136"/>
      <c r="AN126" s="136"/>
      <c r="AO126" s="136"/>
      <c r="AP126" s="136"/>
      <c r="AQ126" s="136"/>
      <c r="AR126" s="136"/>
      <c r="AS126" s="136"/>
      <c r="AT126" s="202"/>
      <c r="AU126" s="202"/>
      <c r="AV126" s="202"/>
      <c r="AW126" s="202"/>
      <c r="AX126" s="202"/>
      <c r="AY126" s="202"/>
      <c r="AZ126" s="136"/>
      <c r="BA126" s="136"/>
      <c r="BB126" s="136"/>
      <c r="BC126" s="262"/>
      <c r="BD126" s="262"/>
      <c r="BE126" s="262"/>
      <c r="BF126" s="262"/>
      <c r="BG126" s="262"/>
      <c r="BH126" s="262"/>
      <c r="BI126" s="262"/>
      <c r="BJ126" s="262"/>
      <c r="BK126" s="262"/>
      <c r="BL126" s="262"/>
      <c r="BM126" s="262"/>
      <c r="BN126" s="262"/>
      <c r="BO126" s="262"/>
      <c r="BP126" s="262"/>
      <c r="BQ126" s="262"/>
      <c r="BR126" s="262"/>
      <c r="BS126" s="262"/>
      <c r="BT126" s="262"/>
      <c r="BU126" s="262"/>
      <c r="BV126" s="262"/>
      <c r="BW126" s="262"/>
      <c r="BX126" s="262"/>
      <c r="BY126" s="262"/>
      <c r="BZ126" s="262"/>
      <c r="CA126" s="262"/>
      <c r="CB126" s="262"/>
      <c r="CC126" s="262"/>
    </row>
    <row r="127" spans="1:81" s="552" customFormat="1">
      <c r="A127" s="133"/>
      <c r="B127" s="43" t="s">
        <v>603</v>
      </c>
      <c r="C127" s="134"/>
      <c r="D127" s="134"/>
      <c r="E127" s="134"/>
      <c r="F127" s="134"/>
      <c r="G127" s="134"/>
      <c r="H127" s="134"/>
      <c r="I127" s="134"/>
      <c r="J127" s="134"/>
      <c r="K127" s="134"/>
      <c r="L127" s="134"/>
      <c r="M127" s="134"/>
      <c r="N127" s="134"/>
      <c r="O127" s="134"/>
      <c r="P127" s="134"/>
      <c r="Q127" s="134"/>
      <c r="R127" s="134"/>
      <c r="S127" s="134"/>
      <c r="T127" s="134"/>
      <c r="U127" s="134"/>
      <c r="V127" s="134"/>
      <c r="W127" s="134"/>
      <c r="X127" s="134"/>
      <c r="Y127" s="134"/>
      <c r="Z127" s="134"/>
      <c r="AA127" s="134"/>
      <c r="AB127" s="134"/>
      <c r="AC127" s="134"/>
      <c r="AD127" s="134"/>
      <c r="AE127" s="134"/>
      <c r="AF127" s="138"/>
      <c r="AG127" s="138"/>
      <c r="AH127" s="138"/>
      <c r="AI127" s="138"/>
      <c r="AJ127" s="136"/>
      <c r="AK127" s="136"/>
      <c r="AL127" s="136"/>
      <c r="AM127" s="136"/>
      <c r="AN127" s="136"/>
      <c r="AO127" s="136"/>
      <c r="AP127" s="136"/>
      <c r="AQ127" s="136"/>
      <c r="AR127" s="136"/>
      <c r="AS127" s="136"/>
      <c r="AT127" s="202"/>
      <c r="AU127" s="202"/>
      <c r="AV127" s="202"/>
      <c r="AW127" s="202"/>
      <c r="AX127" s="202"/>
      <c r="AY127" s="202"/>
      <c r="AZ127" s="136"/>
      <c r="BA127" s="136"/>
      <c r="BB127" s="136"/>
      <c r="BC127" s="136">
        <f>BC98*BC96/BC108+BC104*BC102/BC108+BC92*BC90/BC108</f>
        <v>1.6276499963252099E-3</v>
      </c>
      <c r="BD127" s="136">
        <f>BD98*BD96/BD108+BD104*BD102/BD108+BD92*BD90/BD108</f>
        <v>5.1209440977870883E-2</v>
      </c>
      <c r="BE127" s="262"/>
      <c r="BF127" s="136">
        <f>BF98*BF96/BF108+BF104*BF102/BF108+BF92*BF90/BF108</f>
        <v>9.7502910877392008E-3</v>
      </c>
      <c r="BG127" s="136">
        <f>BG98*BG96/BG108+BG104*BG102/BG108+BG92*BG90/BG108</f>
        <v>3.4386714157586928E-2</v>
      </c>
      <c r="BH127" s="262"/>
      <c r="BI127" s="136">
        <f>BI98*BI96/BI108+BI104*BI102/BI108+BI92*BI90/BI108</f>
        <v>4.2448567359405623E-2</v>
      </c>
      <c r="BJ127" s="136">
        <f>BJ98*BJ96/BJ108+BJ104*BJ102/BJ108+BJ92*BJ90/BJ108</f>
        <v>-1.0162160003872633E-2</v>
      </c>
      <c r="BK127" s="262"/>
      <c r="BL127" s="136">
        <f>BL98*BL96/BL108+BL104*BL102/BL108+BL92*BL90/BL108</f>
        <v>1.8136987951301454E-3</v>
      </c>
      <c r="BM127" s="136">
        <f>BM98*BM96/BM108+BM104*BM102/BM108+BM92*BM90/BM108</f>
        <v>2.7228931363128749E-4</v>
      </c>
      <c r="BN127" s="262"/>
      <c r="BO127" s="136">
        <f>BO98*BO96/BO108+BO104*BO102/BO108+BO92*BO90/BO108</f>
        <v>1.0131010020607099E-2</v>
      </c>
      <c r="BP127" s="136">
        <f>BP98*BP96/BP108+BP104*BP102/BP108+BP92*BP90/BP108</f>
        <v>-5.523345347333084E-3</v>
      </c>
      <c r="BQ127" s="262"/>
      <c r="BR127" s="136">
        <f>BR98*BR96/BR108+BR104*BR102/BR108+BR92*BR90/BR108</f>
        <v>-1.9754694827835199E-2</v>
      </c>
      <c r="BS127" s="136">
        <f>BS98*BS96/BS108+BS104*BS102/BS108+BS92*BS90/BS108</f>
        <v>1.4993575646890531E-3</v>
      </c>
      <c r="BT127" s="262"/>
      <c r="BU127" s="136">
        <f>BU98*BU96/BU108+BU104*BU102/BU108+BU92*BU90/BU108</f>
        <v>1.0403684743605292E-2</v>
      </c>
      <c r="BV127" s="136">
        <f>BV98*BV96/BV108+BV104*BV102/BV108+BV92*BV90/BV108</f>
        <v>1.0418007089292948E-2</v>
      </c>
      <c r="BW127" s="262"/>
      <c r="BX127" s="136">
        <f>BX98*BX96/BX108+BX104*BX102/BX108+BX92*BX90/BX108</f>
        <v>9.5475482576067826E-3</v>
      </c>
      <c r="BY127" s="136">
        <f>BY98*BY96/BY108+BY104*BY102/BY108+BY92*BY90/BY108</f>
        <v>-1.1812554552145117E-2</v>
      </c>
      <c r="BZ127" s="262"/>
      <c r="CA127" s="136">
        <f>CA98*CA96/CA108+CA104*CA102/CA108+CA92*CA90/CA108</f>
        <v>-1.2175114300033374E-2</v>
      </c>
      <c r="CB127" s="136">
        <f>CB98*CB96/CB108+CB104*CB102/CB108+CB92*CB90/CB108</f>
        <v>-1.1758020568154469E-2</v>
      </c>
      <c r="CC127" s="262"/>
    </row>
    <row r="128" spans="1:81" s="552" customFormat="1">
      <c r="A128" s="133"/>
      <c r="B128" s="43" t="s">
        <v>604</v>
      </c>
      <c r="C128" s="134"/>
      <c r="D128" s="134"/>
      <c r="E128" s="134"/>
      <c r="F128" s="134"/>
      <c r="G128" s="134"/>
      <c r="H128" s="134"/>
      <c r="I128" s="134"/>
      <c r="J128" s="134"/>
      <c r="K128" s="134"/>
      <c r="L128" s="134"/>
      <c r="M128" s="134"/>
      <c r="N128" s="134"/>
      <c r="O128" s="134"/>
      <c r="P128" s="134"/>
      <c r="Q128" s="134"/>
      <c r="R128" s="134"/>
      <c r="S128" s="134"/>
      <c r="T128" s="134"/>
      <c r="U128" s="134"/>
      <c r="V128" s="134"/>
      <c r="W128" s="134"/>
      <c r="X128" s="134"/>
      <c r="Y128" s="134"/>
      <c r="Z128" s="134"/>
      <c r="AA128" s="134"/>
      <c r="AB128" s="134"/>
      <c r="AC128" s="134"/>
      <c r="AD128" s="134"/>
      <c r="AE128" s="134"/>
      <c r="AF128" s="138"/>
      <c r="AG128" s="138"/>
      <c r="AH128" s="138"/>
      <c r="AI128" s="138"/>
      <c r="AJ128" s="136"/>
      <c r="AK128" s="136"/>
      <c r="AL128" s="136"/>
      <c r="AM128" s="136"/>
      <c r="AN128" s="136"/>
      <c r="AO128" s="136"/>
      <c r="AP128" s="136"/>
      <c r="AQ128" s="136"/>
      <c r="AR128" s="136"/>
      <c r="AS128" s="136"/>
      <c r="AT128" s="202"/>
      <c r="AU128" s="202"/>
      <c r="AV128" s="202"/>
      <c r="AW128" s="202"/>
      <c r="AX128" s="202"/>
      <c r="AY128" s="202"/>
      <c r="AZ128" s="136"/>
      <c r="BA128" s="136"/>
      <c r="BB128" s="136"/>
      <c r="BC128" s="262">
        <f>AZ108*BC127</f>
        <v>1.2446639521898881</v>
      </c>
      <c r="BD128" s="262">
        <f>BA108*BD127</f>
        <v>41.418195862901968</v>
      </c>
      <c r="BE128" s="262">
        <f>BD128+BC128</f>
        <v>42.662859815091856</v>
      </c>
      <c r="BF128" s="262">
        <f>BC108*BF127</f>
        <v>6.2782124313952714</v>
      </c>
      <c r="BG128" s="262">
        <f>BD108*BG127</f>
        <v>26.047935974372098</v>
      </c>
      <c r="BH128" s="262">
        <f>BG128+BF128</f>
        <v>32.32614840576737</v>
      </c>
      <c r="BI128" s="262">
        <f>BF108*BI127</f>
        <v>29.028955837381048</v>
      </c>
      <c r="BJ128" s="262">
        <f>BG108*BJ127</f>
        <v>-8.1086738536495719</v>
      </c>
      <c r="BK128" s="262">
        <f>BJ128+BI128</f>
        <v>20.920281983731478</v>
      </c>
      <c r="BL128" s="262">
        <f>BI108*BL127</f>
        <v>1.3206268188893442</v>
      </c>
      <c r="BM128" s="262">
        <f>BJ108*BM127</f>
        <v>0.22034300717435223</v>
      </c>
      <c r="BN128" s="262">
        <f>BM128+BL128</f>
        <v>1.5409698260636964</v>
      </c>
      <c r="BO128" s="262">
        <f>BL108*BO127</f>
        <v>7.5701989951094166</v>
      </c>
      <c r="BP128" s="262">
        <f>BM108*BP127</f>
        <v>-4.5797583262359529</v>
      </c>
      <c r="BQ128" s="262">
        <f>BP128+BO128</f>
        <v>2.9904406688734637</v>
      </c>
      <c r="BR128" s="262">
        <f>BO108*BR127</f>
        <v>-15.271498270423438</v>
      </c>
      <c r="BS128" s="262">
        <f>BP108*BS127</f>
        <v>1.266620364332979</v>
      </c>
      <c r="BT128" s="262">
        <f>BS128+BR128</f>
        <v>-14.004877906090458</v>
      </c>
      <c r="BU128" s="262">
        <f>BR108*BU127</f>
        <v>8.0794596216088639</v>
      </c>
      <c r="BV128" s="262">
        <f>BS108*BV127</f>
        <v>9.0285011370887744</v>
      </c>
      <c r="BW128" s="262">
        <f>BV128+BU128</f>
        <v>17.107960758697637</v>
      </c>
      <c r="BX128" s="262">
        <f>BU108*BX127</f>
        <v>7.6727090247854717</v>
      </c>
      <c r="BY128" s="262">
        <f>BV108*BY127</f>
        <v>-10.593386684100889</v>
      </c>
      <c r="BZ128" s="262">
        <f>BY128+BX128</f>
        <v>-2.9206776593154169</v>
      </c>
      <c r="CA128" s="262">
        <f>BX108*CA127</f>
        <v>-10.116658763438537</v>
      </c>
      <c r="CB128" s="262">
        <f>BY108*CB127</f>
        <v>-10.676578352338082</v>
      </c>
      <c r="CC128" s="262">
        <f>CB128+CA128</f>
        <v>-20.79323711577662</v>
      </c>
    </row>
    <row r="129" spans="1:81" s="552" customFormat="1">
      <c r="A129" s="133"/>
      <c r="B129" s="43" t="s">
        <v>605</v>
      </c>
      <c r="C129" s="134"/>
      <c r="D129" s="134"/>
      <c r="E129" s="134"/>
      <c r="F129" s="134"/>
      <c r="G129" s="134"/>
      <c r="H129" s="134"/>
      <c r="I129" s="134"/>
      <c r="J129" s="134"/>
      <c r="K129" s="134"/>
      <c r="L129" s="134"/>
      <c r="M129" s="134"/>
      <c r="N129" s="134"/>
      <c r="O129" s="134"/>
      <c r="P129" s="134"/>
      <c r="Q129" s="134"/>
      <c r="R129" s="134"/>
      <c r="S129" s="134"/>
      <c r="T129" s="134"/>
      <c r="U129" s="134"/>
      <c r="V129" s="134"/>
      <c r="W129" s="134"/>
      <c r="X129" s="134"/>
      <c r="Y129" s="134"/>
      <c r="Z129" s="134"/>
      <c r="AA129" s="134"/>
      <c r="AB129" s="134"/>
      <c r="AC129" s="134"/>
      <c r="AD129" s="134"/>
      <c r="AE129" s="134"/>
      <c r="AF129" s="138"/>
      <c r="AG129" s="138"/>
      <c r="AH129" s="138"/>
      <c r="AI129" s="138"/>
      <c r="AJ129" s="136"/>
      <c r="AK129" s="136"/>
      <c r="AL129" s="136"/>
      <c r="AM129" s="136"/>
      <c r="AN129" s="136"/>
      <c r="AO129" s="136"/>
      <c r="AP129" s="136"/>
      <c r="AQ129" s="136"/>
      <c r="AR129" s="136"/>
      <c r="AS129" s="136"/>
      <c r="AT129" s="202"/>
      <c r="AU129" s="202"/>
      <c r="AV129" s="202"/>
      <c r="AW129" s="202"/>
      <c r="AX129" s="202"/>
      <c r="AY129" s="202"/>
      <c r="AZ129" s="136"/>
      <c r="BA129" s="136"/>
      <c r="BB129" s="136"/>
      <c r="BC129" s="262">
        <v>0.4</v>
      </c>
      <c r="BD129" s="262">
        <f>BC129</f>
        <v>0.4</v>
      </c>
      <c r="BE129" s="262"/>
      <c r="BF129" s="262">
        <f>BD129</f>
        <v>0.4</v>
      </c>
      <c r="BG129" s="262">
        <f>BF129</f>
        <v>0.4</v>
      </c>
      <c r="BH129" s="262"/>
      <c r="BI129" s="262">
        <f>BG129</f>
        <v>0.4</v>
      </c>
      <c r="BJ129" s="262">
        <f>BI129</f>
        <v>0.4</v>
      </c>
      <c r="BK129" s="262"/>
      <c r="BL129" s="262">
        <f>BJ129</f>
        <v>0.4</v>
      </c>
      <c r="BM129" s="262">
        <f>BL129</f>
        <v>0.4</v>
      </c>
      <c r="BN129" s="262"/>
      <c r="BO129" s="262">
        <f>BM129</f>
        <v>0.4</v>
      </c>
      <c r="BP129" s="262">
        <f>BO129</f>
        <v>0.4</v>
      </c>
      <c r="BQ129" s="262"/>
      <c r="BR129" s="262">
        <f>BP129</f>
        <v>0.4</v>
      </c>
      <c r="BS129" s="262">
        <f>BR129</f>
        <v>0.4</v>
      </c>
      <c r="BT129" s="262"/>
      <c r="BU129" s="262">
        <f>BS129</f>
        <v>0.4</v>
      </c>
      <c r="BV129" s="262">
        <f>BU129</f>
        <v>0.4</v>
      </c>
      <c r="BW129" s="262"/>
      <c r="BX129" s="262">
        <f>BV129</f>
        <v>0.4</v>
      </c>
      <c r="BY129" s="262">
        <f>BX129</f>
        <v>0.4</v>
      </c>
      <c r="BZ129" s="262"/>
      <c r="CA129" s="262">
        <f>BY129</f>
        <v>0.4</v>
      </c>
      <c r="CB129" s="262">
        <f>CA129</f>
        <v>0.4</v>
      </c>
      <c r="CC129" s="262"/>
    </row>
    <row r="130" spans="1:81" s="552" customFormat="1">
      <c r="A130" s="133"/>
      <c r="B130" s="41" t="s">
        <v>606</v>
      </c>
      <c r="C130" s="134"/>
      <c r="D130" s="134"/>
      <c r="E130" s="134"/>
      <c r="F130" s="134"/>
      <c r="G130" s="134"/>
      <c r="H130" s="134"/>
      <c r="I130" s="134"/>
      <c r="J130" s="134"/>
      <c r="K130" s="134"/>
      <c r="L130" s="134"/>
      <c r="M130" s="134"/>
      <c r="N130" s="134"/>
      <c r="O130" s="134"/>
      <c r="P130" s="134"/>
      <c r="Q130" s="134"/>
      <c r="R130" s="134"/>
      <c r="S130" s="134"/>
      <c r="T130" s="134"/>
      <c r="U130" s="134"/>
      <c r="V130" s="134"/>
      <c r="W130" s="134"/>
      <c r="X130" s="134"/>
      <c r="Y130" s="134"/>
      <c r="Z130" s="134"/>
      <c r="AA130" s="134"/>
      <c r="AB130" s="134"/>
      <c r="AC130" s="134"/>
      <c r="AD130" s="134"/>
      <c r="AE130" s="134"/>
      <c r="AF130" s="138"/>
      <c r="AG130" s="138"/>
      <c r="AH130" s="138"/>
      <c r="AI130" s="138"/>
      <c r="AJ130" s="136"/>
      <c r="AK130" s="136"/>
      <c r="AL130" s="136"/>
      <c r="AM130" s="136"/>
      <c r="AN130" s="136"/>
      <c r="AO130" s="136"/>
      <c r="AP130" s="136"/>
      <c r="AQ130" s="136"/>
      <c r="AR130" s="136"/>
      <c r="AS130" s="136"/>
      <c r="AT130" s="202"/>
      <c r="AU130" s="202"/>
      <c r="AV130" s="202"/>
      <c r="AW130" s="202"/>
      <c r="AX130" s="202"/>
      <c r="AY130" s="288"/>
      <c r="AZ130" s="136"/>
      <c r="BA130" s="136"/>
      <c r="BB130" s="136"/>
      <c r="BC130" s="262">
        <f>BC128*BC129</f>
        <v>0.49786558087595528</v>
      </c>
      <c r="BD130" s="262">
        <f>BD128*BD129</f>
        <v>16.567278345160787</v>
      </c>
      <c r="BE130" s="262">
        <f>BD130+BC130</f>
        <v>17.065143926036743</v>
      </c>
      <c r="BF130" s="262">
        <f>BF128*BF129</f>
        <v>2.5112849725581086</v>
      </c>
      <c r="BG130" s="262">
        <f>BG128*BG129</f>
        <v>10.419174389748839</v>
      </c>
      <c r="BH130" s="262">
        <f>BG130+BF130</f>
        <v>12.930459362306948</v>
      </c>
      <c r="BI130" s="262">
        <f>BI128*BI129</f>
        <v>11.61158233495242</v>
      </c>
      <c r="BJ130" s="262">
        <f>BJ128*BJ129</f>
        <v>-3.2434695414598291</v>
      </c>
      <c r="BK130" s="262">
        <f>BJ130+BI130</f>
        <v>8.3681127934925907</v>
      </c>
      <c r="BL130" s="262">
        <f>BL128*BL129</f>
        <v>0.52825072755573765</v>
      </c>
      <c r="BM130" s="262">
        <f>BM128*BM129</f>
        <v>8.8137202869740902E-2</v>
      </c>
      <c r="BN130" s="262">
        <f>BM130+BL130</f>
        <v>0.61638793042547857</v>
      </c>
      <c r="BO130" s="262">
        <f>BO128*BO129</f>
        <v>3.0280795980437669</v>
      </c>
      <c r="BP130" s="262">
        <f>BP128*BP129</f>
        <v>-1.8319033304943813</v>
      </c>
      <c r="BQ130" s="262">
        <f>BP130+BO130</f>
        <v>1.1961762675493857</v>
      </c>
      <c r="BR130" s="262">
        <f t="shared" ref="BR130:CB130" si="41">BR128*BR129</f>
        <v>-6.1085993081693752</v>
      </c>
      <c r="BS130" s="262">
        <f t="shared" si="41"/>
        <v>0.50664814573319161</v>
      </c>
      <c r="BT130" s="262">
        <f>BS130+BR130</f>
        <v>-5.6019511624361833</v>
      </c>
      <c r="BU130" s="262">
        <f t="shared" si="41"/>
        <v>3.2317838486435457</v>
      </c>
      <c r="BV130" s="262">
        <f t="shared" si="41"/>
        <v>3.6114004548355099</v>
      </c>
      <c r="BW130" s="262">
        <f>BV130+BU130</f>
        <v>6.843184303479056</v>
      </c>
      <c r="BX130" s="262">
        <f t="shared" si="41"/>
        <v>3.0690836099141889</v>
      </c>
      <c r="BY130" s="262">
        <f t="shared" si="41"/>
        <v>-4.2373546736403558</v>
      </c>
      <c r="BZ130" s="262">
        <f>BY130+BX130</f>
        <v>-1.1682710637261668</v>
      </c>
      <c r="CA130" s="262">
        <f t="shared" si="41"/>
        <v>-4.046663505375415</v>
      </c>
      <c r="CB130" s="262">
        <f t="shared" si="41"/>
        <v>-4.2706313409352328</v>
      </c>
      <c r="CC130" s="262">
        <f>CB130+CA130</f>
        <v>-8.3172948463106486</v>
      </c>
    </row>
    <row r="131" spans="1:81" s="552" customFormat="1">
      <c r="A131" s="133"/>
      <c r="B131" s="41" t="s">
        <v>607</v>
      </c>
      <c r="C131" s="134"/>
      <c r="D131" s="134"/>
      <c r="E131" s="134"/>
      <c r="F131" s="134"/>
      <c r="G131" s="134"/>
      <c r="H131" s="134"/>
      <c r="I131" s="134"/>
      <c r="J131" s="134"/>
      <c r="K131" s="134"/>
      <c r="L131" s="134"/>
      <c r="M131" s="134"/>
      <c r="N131" s="134"/>
      <c r="O131" s="134"/>
      <c r="P131" s="134"/>
      <c r="Q131" s="134"/>
      <c r="R131" s="134"/>
      <c r="S131" s="134"/>
      <c r="T131" s="134"/>
      <c r="U131" s="134"/>
      <c r="V131" s="134"/>
      <c r="W131" s="134"/>
      <c r="X131" s="134"/>
      <c r="Y131" s="134"/>
      <c r="Z131" s="134"/>
      <c r="AA131" s="134"/>
      <c r="AB131" s="134"/>
      <c r="AC131" s="134"/>
      <c r="AD131" s="134"/>
      <c r="AE131" s="134"/>
      <c r="AF131" s="138"/>
      <c r="AG131" s="138"/>
      <c r="AH131" s="138"/>
      <c r="AI131" s="138"/>
      <c r="AJ131" s="136"/>
      <c r="AK131" s="136"/>
      <c r="AL131" s="136"/>
      <c r="AM131" s="136"/>
      <c r="AN131" s="136"/>
      <c r="AO131" s="136"/>
      <c r="AP131" s="136"/>
      <c r="AQ131" s="136"/>
      <c r="AR131" s="136"/>
      <c r="AS131" s="136"/>
      <c r="AT131" s="202"/>
      <c r="AU131" s="202"/>
      <c r="AV131" s="202"/>
      <c r="AW131" s="202"/>
      <c r="AX131" s="202"/>
      <c r="AY131" s="202"/>
      <c r="AZ131" s="136"/>
      <c r="BA131" s="136"/>
      <c r="BB131" s="136"/>
      <c r="BC131" s="262">
        <f>BC130/BC108</f>
        <v>7.7320326273638037E-4</v>
      </c>
      <c r="BD131" s="262">
        <f>BD130/BD108</f>
        <v>2.1870994515063746E-2</v>
      </c>
      <c r="BE131" s="262"/>
      <c r="BF131" s="262">
        <f>BF130/BF108</f>
        <v>3.6722109439094905E-3</v>
      </c>
      <c r="BG131" s="262">
        <f>BG130/BG108</f>
        <v>1.3057784684387619E-2</v>
      </c>
      <c r="BH131" s="262"/>
      <c r="BI131" s="262">
        <f>BI130/BI108</f>
        <v>1.5946906869700864E-2</v>
      </c>
      <c r="BJ131" s="262">
        <f>BJ130/BJ108</f>
        <v>-4.0081239997294682E-3</v>
      </c>
      <c r="BK131" s="262"/>
      <c r="BL131" s="262">
        <f>BL130/BL108</f>
        <v>7.069448792188345E-4</v>
      </c>
      <c r="BM131" s="262">
        <f>BM130/BM108</f>
        <v>1.0629648438188234E-4</v>
      </c>
      <c r="BN131" s="262"/>
      <c r="BO131" s="262">
        <f>BO130/BO108</f>
        <v>3.9170215858649916E-3</v>
      </c>
      <c r="BP131" s="262">
        <f>BP130/BP108</f>
        <v>-2.1685093605788206E-3</v>
      </c>
      <c r="BQ131" s="262"/>
      <c r="BR131" s="262">
        <f>BR130/BR108</f>
        <v>-7.8658653429280294E-3</v>
      </c>
      <c r="BS131" s="262">
        <f>BS130/BS108</f>
        <v>5.8462239677221591E-4</v>
      </c>
      <c r="BT131" s="262"/>
      <c r="BU131" s="262">
        <f>BU130/BU108</f>
        <v>4.021475616161679E-3</v>
      </c>
      <c r="BV131" s="262">
        <f>BV130/BV108</f>
        <v>4.0270280085605023E-3</v>
      </c>
      <c r="BW131" s="262"/>
      <c r="BX131" s="262">
        <f>BX130/BX108</f>
        <v>3.6935558093652517E-3</v>
      </c>
      <c r="BY131" s="262">
        <f>BY130/BY108</f>
        <v>-4.6665609301989501E-3</v>
      </c>
      <c r="BZ131" s="262"/>
      <c r="CA131" s="262">
        <f>CA130/CA108</f>
        <v>-4.811356949736223E-3</v>
      </c>
      <c r="CB131" s="262">
        <f>CB130/CB108</f>
        <v>-4.644818503721177E-3</v>
      </c>
      <c r="CC131" s="262"/>
    </row>
    <row r="132" spans="1:81" s="552" customFormat="1">
      <c r="A132" s="133"/>
      <c r="B132" s="41"/>
      <c r="C132" s="134"/>
      <c r="D132" s="134"/>
      <c r="E132" s="134"/>
      <c r="F132" s="134"/>
      <c r="G132" s="134"/>
      <c r="H132" s="134"/>
      <c r="I132" s="134"/>
      <c r="J132" s="134"/>
      <c r="K132" s="134"/>
      <c r="L132" s="134"/>
      <c r="M132" s="134"/>
      <c r="N132" s="134"/>
      <c r="O132" s="134"/>
      <c r="P132" s="134"/>
      <c r="Q132" s="134"/>
      <c r="R132" s="134"/>
      <c r="S132" s="134"/>
      <c r="T132" s="134"/>
      <c r="U132" s="134"/>
      <c r="V132" s="134"/>
      <c r="W132" s="134"/>
      <c r="X132" s="134"/>
      <c r="Y132" s="134"/>
      <c r="Z132" s="134"/>
      <c r="AA132" s="134"/>
      <c r="AB132" s="134"/>
      <c r="AC132" s="134"/>
      <c r="AD132" s="134"/>
      <c r="AE132" s="134"/>
      <c r="AF132" s="138"/>
      <c r="AG132" s="138"/>
      <c r="AH132" s="138"/>
      <c r="AI132" s="138"/>
      <c r="AJ132" s="136"/>
      <c r="AK132" s="136"/>
      <c r="AL132" s="136"/>
      <c r="AM132" s="136"/>
      <c r="AN132" s="136"/>
      <c r="AO132" s="136"/>
      <c r="AP132" s="136"/>
      <c r="AQ132" s="136"/>
      <c r="AR132" s="136"/>
      <c r="AS132" s="136"/>
      <c r="AT132" s="202"/>
      <c r="AU132" s="202"/>
      <c r="AV132" s="202"/>
      <c r="AW132" s="202"/>
      <c r="AX132" s="202"/>
      <c r="AY132" s="202"/>
      <c r="AZ132" s="136"/>
      <c r="BA132" s="136"/>
      <c r="BB132" s="136"/>
      <c r="BC132" s="262"/>
      <c r="BD132" s="262"/>
      <c r="BE132" s="262"/>
      <c r="BF132" s="262"/>
      <c r="BG132" s="262"/>
      <c r="BH132" s="262"/>
      <c r="BI132" s="262"/>
      <c r="BJ132" s="262"/>
      <c r="BK132" s="262"/>
      <c r="BL132" s="262"/>
      <c r="BM132" s="262"/>
      <c r="BN132" s="262"/>
      <c r="BO132" s="262"/>
      <c r="BP132" s="262"/>
      <c r="BQ132" s="262"/>
      <c r="BR132" s="262"/>
      <c r="BS132" s="262"/>
      <c r="BT132" s="262"/>
      <c r="BU132" s="262"/>
      <c r="BV132" s="262"/>
      <c r="BW132" s="262"/>
      <c r="BX132" s="262"/>
      <c r="BY132" s="262"/>
      <c r="BZ132" s="262"/>
      <c r="CA132" s="262"/>
      <c r="CB132" s="262"/>
      <c r="CC132" s="262"/>
    </row>
    <row r="133" spans="1:81" s="552" customFormat="1">
      <c r="A133" s="133"/>
      <c r="B133" s="41" t="s">
        <v>608</v>
      </c>
      <c r="C133" s="134"/>
      <c r="D133" s="134"/>
      <c r="E133" s="134"/>
      <c r="F133" s="134"/>
      <c r="G133" s="134"/>
      <c r="H133" s="134"/>
      <c r="I133" s="134"/>
      <c r="J133" s="134"/>
      <c r="K133" s="134"/>
      <c r="L133" s="134"/>
      <c r="M133" s="134"/>
      <c r="N133" s="134"/>
      <c r="O133" s="134"/>
      <c r="P133" s="134"/>
      <c r="Q133" s="134"/>
      <c r="R133" s="134"/>
      <c r="S133" s="134"/>
      <c r="T133" s="134"/>
      <c r="U133" s="134"/>
      <c r="V133" s="134"/>
      <c r="W133" s="134"/>
      <c r="X133" s="134"/>
      <c r="Y133" s="134"/>
      <c r="Z133" s="134"/>
      <c r="AA133" s="134"/>
      <c r="AB133" s="134"/>
      <c r="AC133" s="134"/>
      <c r="AD133" s="134"/>
      <c r="AE133" s="134"/>
      <c r="AF133" s="138"/>
      <c r="AG133" s="138"/>
      <c r="AH133" s="138"/>
      <c r="AI133" s="138"/>
      <c r="AJ133" s="136"/>
      <c r="AK133" s="136"/>
      <c r="AL133" s="136"/>
      <c r="AM133" s="136"/>
      <c r="AN133" s="136"/>
      <c r="AO133" s="136"/>
      <c r="AP133" s="136"/>
      <c r="AQ133" s="136"/>
      <c r="AR133" s="136"/>
      <c r="AS133" s="136"/>
      <c r="AT133" s="202"/>
      <c r="AU133" s="202"/>
      <c r="AV133" s="202"/>
      <c r="AW133" s="202"/>
      <c r="AX133" s="202"/>
      <c r="AY133" s="202"/>
      <c r="AZ133" s="136"/>
      <c r="BA133" s="136"/>
      <c r="BB133" s="136"/>
      <c r="BC133" s="262"/>
      <c r="BD133" s="262"/>
      <c r="BE133" s="262"/>
      <c r="BF133" s="262"/>
      <c r="BG133" s="262"/>
      <c r="BH133" s="262"/>
      <c r="BI133" s="262"/>
      <c r="BJ133" s="262"/>
      <c r="BK133" s="262"/>
      <c r="BL133" s="262"/>
      <c r="BM133" s="262"/>
      <c r="BN133" s="262"/>
      <c r="BO133" s="262"/>
      <c r="BP133" s="262"/>
      <c r="BQ133" s="262"/>
      <c r="BR133" s="262"/>
      <c r="BS133" s="262"/>
      <c r="BT133" s="262"/>
      <c r="BU133" s="262"/>
      <c r="BV133" s="262"/>
      <c r="BW133" s="262"/>
      <c r="BX133" s="262"/>
      <c r="BY133" s="262"/>
      <c r="BZ133" s="262"/>
      <c r="CA133" s="262"/>
      <c r="CB133" s="262"/>
      <c r="CC133" s="262"/>
    </row>
    <row r="134" spans="1:81" s="552" customFormat="1">
      <c r="A134" s="133"/>
      <c r="B134" s="41" t="s">
        <v>609</v>
      </c>
      <c r="C134" s="134"/>
      <c r="D134" s="134"/>
      <c r="E134" s="134"/>
      <c r="F134" s="134"/>
      <c r="G134" s="134"/>
      <c r="H134" s="134"/>
      <c r="I134" s="134"/>
      <c r="J134" s="134"/>
      <c r="K134" s="134"/>
      <c r="L134" s="134"/>
      <c r="M134" s="134"/>
      <c r="N134" s="134"/>
      <c r="O134" s="134"/>
      <c r="P134" s="134"/>
      <c r="Q134" s="134"/>
      <c r="R134" s="134"/>
      <c r="S134" s="134"/>
      <c r="T134" s="134"/>
      <c r="U134" s="134"/>
      <c r="V134" s="134"/>
      <c r="W134" s="134"/>
      <c r="X134" s="134"/>
      <c r="Y134" s="134"/>
      <c r="Z134" s="134"/>
      <c r="AA134" s="134"/>
      <c r="AB134" s="134"/>
      <c r="AC134" s="134"/>
      <c r="AD134" s="134"/>
      <c r="AE134" s="134"/>
      <c r="AF134" s="138"/>
      <c r="AG134" s="138"/>
      <c r="AH134" s="138"/>
      <c r="AI134" s="138"/>
      <c r="AJ134" s="136"/>
      <c r="AK134" s="136"/>
      <c r="AL134" s="136"/>
      <c r="AM134" s="136"/>
      <c r="AN134" s="136"/>
      <c r="AO134" s="136"/>
      <c r="AP134" s="136"/>
      <c r="AQ134" s="136"/>
      <c r="AR134" s="136"/>
      <c r="AS134" s="136"/>
      <c r="AT134" s="202"/>
      <c r="AU134" s="202"/>
      <c r="AV134" s="202"/>
      <c r="AW134" s="202"/>
      <c r="AX134" s="202"/>
      <c r="AY134" s="202"/>
      <c r="AZ134" s="136"/>
      <c r="BA134" s="136"/>
      <c r="BB134" s="136"/>
      <c r="BC134" s="136">
        <f>BC135/BC108</f>
        <v>3.1181273982814478E-3</v>
      </c>
      <c r="BD134" s="136">
        <f>BD135/BD108</f>
        <v>2.1556177076250554E-2</v>
      </c>
      <c r="BE134" s="262"/>
      <c r="BF134" s="136">
        <f>BF135/BF108</f>
        <v>-6.829982753361068E-3</v>
      </c>
      <c r="BG134" s="136">
        <f>BG135/BG108</f>
        <v>5.597565435193433E-3</v>
      </c>
      <c r="BH134" s="262"/>
      <c r="BI134" s="136">
        <f>BI135/BI108</f>
        <v>1.515518339996836E-2</v>
      </c>
      <c r="BJ134" s="136">
        <f>BJ135/BJ108</f>
        <v>-1.0378539764318402E-3</v>
      </c>
      <c r="BK134" s="262"/>
      <c r="BL134" s="136">
        <f>BL135/BL108</f>
        <v>4.2442431118267414E-3</v>
      </c>
      <c r="BM134" s="136">
        <f>BM135/BM108</f>
        <v>4.9124858623089927E-3</v>
      </c>
      <c r="BN134" s="262"/>
      <c r="BO134" s="136">
        <f>BO135/BO108</f>
        <v>7.524636739786616E-3</v>
      </c>
      <c r="BP134" s="136">
        <f>BP135/BP108</f>
        <v>2.7701173068366211E-3</v>
      </c>
      <c r="BQ134" s="262"/>
      <c r="BR134" s="136">
        <f>BR135/BR108</f>
        <v>-3.988743263761179E-3</v>
      </c>
      <c r="BS134" s="136">
        <f>BS135/BS108</f>
        <v>5.5494213386070024E-3</v>
      </c>
      <c r="BT134" s="262"/>
      <c r="BU134" s="136">
        <f>BU135/BU108</f>
        <v>7.6973206841855421E-3</v>
      </c>
      <c r="BV134" s="136">
        <f>BV135/BV108</f>
        <v>9.0756272777404914E-3</v>
      </c>
      <c r="BW134" s="262"/>
      <c r="BX134" s="136">
        <f>BX135/BX108</f>
        <v>7.549526579418867E-3</v>
      </c>
      <c r="BY134" s="136">
        <f>BY135/BY108</f>
        <v>6.9002685417590443E-4</v>
      </c>
      <c r="BZ134" s="262"/>
      <c r="CA134" s="136">
        <f>CA135/CA108</f>
        <v>-7.0711886730208894E-4</v>
      </c>
      <c r="CB134" s="136">
        <f>CB135/CB108</f>
        <v>7.1681465487176638E-4</v>
      </c>
      <c r="CC134" s="262"/>
    </row>
    <row r="135" spans="1:81" s="552" customFormat="1">
      <c r="A135" s="133"/>
      <c r="B135" s="273" t="s">
        <v>610</v>
      </c>
      <c r="C135" s="134"/>
      <c r="D135" s="134"/>
      <c r="E135" s="134"/>
      <c r="F135" s="134"/>
      <c r="G135" s="134"/>
      <c r="H135" s="134"/>
      <c r="I135" s="134"/>
      <c r="J135" s="134"/>
      <c r="K135" s="134"/>
      <c r="L135" s="134"/>
      <c r="M135" s="134"/>
      <c r="N135" s="134"/>
      <c r="O135" s="134"/>
      <c r="P135" s="134"/>
      <c r="Q135" s="134"/>
      <c r="R135" s="134"/>
      <c r="S135" s="134"/>
      <c r="T135" s="134"/>
      <c r="U135" s="134"/>
      <c r="V135" s="134"/>
      <c r="W135" s="134"/>
      <c r="X135" s="134"/>
      <c r="Y135" s="134"/>
      <c r="Z135" s="134"/>
      <c r="AA135" s="134"/>
      <c r="AB135" s="134"/>
      <c r="AC135" s="134"/>
      <c r="AD135" s="134"/>
      <c r="AE135" s="134"/>
      <c r="AF135" s="138"/>
      <c r="AG135" s="138"/>
      <c r="AH135" s="138"/>
      <c r="AI135" s="138"/>
      <c r="AJ135" s="136"/>
      <c r="AK135" s="136"/>
      <c r="AL135" s="136"/>
      <c r="AM135" s="136"/>
      <c r="AN135" s="136"/>
      <c r="AO135" s="136"/>
      <c r="AP135" s="136"/>
      <c r="AQ135" s="136"/>
      <c r="AR135" s="136"/>
      <c r="AS135" s="136"/>
      <c r="AT135" s="202"/>
      <c r="AU135" s="202"/>
      <c r="AV135" s="202"/>
      <c r="AW135" s="202"/>
      <c r="AX135" s="202"/>
      <c r="AY135" s="202"/>
      <c r="AZ135" s="136"/>
      <c r="BA135" s="136"/>
      <c r="BB135" s="136"/>
      <c r="BC135" s="262">
        <f>BC130+BC123</f>
        <v>2.0077622317534241</v>
      </c>
      <c r="BD135" s="262">
        <f>BD130+BD123</f>
        <v>16.328804135259794</v>
      </c>
      <c r="BE135" s="262">
        <f>BD135+BC135</f>
        <v>18.336566367013219</v>
      </c>
      <c r="BF135" s="262">
        <f>BF130+BF123</f>
        <v>-4.6707646465119446</v>
      </c>
      <c r="BG135" s="262">
        <f>BG130+BG123</f>
        <v>4.4664552094386067</v>
      </c>
      <c r="BH135" s="262">
        <f>BG135+BF135</f>
        <v>-0.20430943707333782</v>
      </c>
      <c r="BI135" s="262">
        <f>BI130+BI123</f>
        <v>11.035096729911343</v>
      </c>
      <c r="BJ135" s="262">
        <f>BJ130+BJ123</f>
        <v>-0.83985619238996811</v>
      </c>
      <c r="BK135" s="262">
        <f>BJ135+BI135</f>
        <v>10.195240537521375</v>
      </c>
      <c r="BL135" s="262">
        <f>BL130+BL123</f>
        <v>3.171427614304688</v>
      </c>
      <c r="BM135" s="262">
        <f>BM130+BM123</f>
        <v>4.0732557201568147</v>
      </c>
      <c r="BN135" s="262">
        <f>BM135+BL135</f>
        <v>7.2446833344615023</v>
      </c>
      <c r="BO135" s="262">
        <f>BO130+BO123</f>
        <v>5.816970495302181</v>
      </c>
      <c r="BP135" s="262">
        <f>BP130+BP123</f>
        <v>2.3401269150618833</v>
      </c>
      <c r="BQ135" s="262">
        <f>BP135+BO135</f>
        <v>8.1570974103640648</v>
      </c>
      <c r="BR135" s="262">
        <f>BR130+BR123</f>
        <v>-3.0976419350203122</v>
      </c>
      <c r="BS135" s="262">
        <f>BS130+BS123</f>
        <v>4.8092650001449018</v>
      </c>
      <c r="BT135" s="262">
        <f>BS135+BR135</f>
        <v>1.7116230651245896</v>
      </c>
      <c r="BU135" s="262">
        <f>BU130+BU123</f>
        <v>6.1858081558440086</v>
      </c>
      <c r="BV135" s="262">
        <f>BV130+BV123</f>
        <v>8.1389363096249117</v>
      </c>
      <c r="BW135" s="262">
        <f>BV135+BU135</f>
        <v>14.324744465468921</v>
      </c>
      <c r="BX135" s="262">
        <f>BX130+BX123</f>
        <v>6.2731225635623549</v>
      </c>
      <c r="BY135" s="262">
        <f>BY130+BY123</f>
        <v>0.62656173555093098</v>
      </c>
      <c r="BZ135" s="262">
        <f>BY135+BX135</f>
        <v>6.8996842991132858</v>
      </c>
      <c r="CA135" s="262">
        <f>CA130+CA123</f>
        <v>-0.59473286729030583</v>
      </c>
      <c r="CB135" s="262">
        <f>CB130+CB123</f>
        <v>0.65906797612964407</v>
      </c>
      <c r="CC135" s="262">
        <f>CB135+CA135</f>
        <v>6.433510883933824E-2</v>
      </c>
    </row>
    <row r="136" spans="1:81" s="552" customFormat="1">
      <c r="A136" s="133"/>
      <c r="B136" s="84"/>
      <c r="C136" s="134"/>
      <c r="D136" s="134"/>
      <c r="E136" s="134"/>
      <c r="F136" s="134"/>
      <c r="G136" s="134"/>
      <c r="H136" s="134"/>
      <c r="I136" s="134"/>
      <c r="J136" s="134"/>
      <c r="K136" s="134"/>
      <c r="L136" s="134"/>
      <c r="M136" s="134"/>
      <c r="N136" s="134"/>
      <c r="O136" s="134"/>
      <c r="P136" s="134"/>
      <c r="Q136" s="134"/>
      <c r="R136" s="134"/>
      <c r="S136" s="134"/>
      <c r="T136" s="134"/>
      <c r="U136" s="134"/>
      <c r="V136" s="134"/>
      <c r="W136" s="134"/>
      <c r="X136" s="134"/>
      <c r="Y136" s="134"/>
      <c r="Z136" s="134"/>
      <c r="AA136" s="134"/>
      <c r="AB136" s="134"/>
      <c r="AC136" s="134"/>
      <c r="AD136" s="134"/>
      <c r="AE136" s="134"/>
      <c r="AF136" s="138"/>
      <c r="AG136" s="138"/>
      <c r="AH136" s="138"/>
      <c r="AI136" s="138"/>
      <c r="AJ136" s="136"/>
      <c r="AK136" s="136"/>
      <c r="AL136" s="136"/>
      <c r="AM136" s="136"/>
      <c r="AN136" s="136"/>
      <c r="AO136" s="136"/>
      <c r="AP136" s="136"/>
      <c r="AQ136" s="136"/>
      <c r="AR136" s="136"/>
      <c r="AS136" s="136"/>
      <c r="AT136" s="202"/>
      <c r="AU136" s="202"/>
      <c r="AV136" s="202"/>
      <c r="AW136" s="202"/>
      <c r="AX136" s="202"/>
      <c r="AY136" s="202"/>
      <c r="AZ136" s="136"/>
      <c r="BA136" s="136"/>
      <c r="BB136" s="136"/>
      <c r="BC136" s="262"/>
      <c r="BD136" s="262"/>
      <c r="BE136" s="262"/>
      <c r="BF136" s="136"/>
      <c r="BG136" s="136"/>
      <c r="BH136" s="136"/>
      <c r="BI136" s="136"/>
      <c r="BJ136" s="136"/>
      <c r="BK136" s="136"/>
      <c r="BL136" s="136"/>
      <c r="BM136" s="136"/>
      <c r="BN136" s="136"/>
      <c r="BO136" s="136"/>
      <c r="BP136" s="136"/>
      <c r="BQ136" s="136"/>
      <c r="BR136" s="136"/>
      <c r="BS136" s="136"/>
      <c r="BT136" s="136"/>
      <c r="BU136" s="136"/>
      <c r="BV136" s="136"/>
      <c r="BW136" s="136"/>
      <c r="BX136" s="136"/>
      <c r="BY136" s="136"/>
      <c r="BZ136" s="136"/>
      <c r="CA136" s="136"/>
      <c r="CB136" s="136"/>
      <c r="CC136" s="136"/>
    </row>
    <row r="137" spans="1:81">
      <c r="B137" s="45" t="s">
        <v>157</v>
      </c>
      <c r="C137" s="65"/>
      <c r="D137" s="65"/>
      <c r="E137" s="65"/>
      <c r="F137" s="65"/>
      <c r="G137" s="65"/>
      <c r="H137" s="65"/>
      <c r="I137" s="65"/>
      <c r="J137" s="65"/>
      <c r="K137" s="65"/>
      <c r="L137" s="65"/>
      <c r="M137" s="65"/>
      <c r="N137" s="65"/>
      <c r="O137" s="65"/>
      <c r="P137" s="65"/>
      <c r="Q137" s="65"/>
      <c r="R137" s="65"/>
      <c r="S137" s="65"/>
      <c r="AD137" s="65">
        <v>46.4</v>
      </c>
      <c r="AE137" s="65">
        <v>22.9</v>
      </c>
      <c r="AF137" s="65">
        <f>AG137-AE137</f>
        <v>21.700000000000003</v>
      </c>
      <c r="AG137" s="65">
        <v>44.6</v>
      </c>
      <c r="AH137" s="65">
        <v>19.8</v>
      </c>
      <c r="AI137" s="65">
        <f>39.1-AH137</f>
        <v>19.3</v>
      </c>
      <c r="AJ137" s="65">
        <f>AI137+AH137</f>
        <v>39.1</v>
      </c>
      <c r="AK137" s="121">
        <v>20.100000000000001</v>
      </c>
      <c r="AL137" s="65">
        <f>42.9-AK137</f>
        <v>22.799999999999997</v>
      </c>
      <c r="AM137" s="65">
        <f>AL137+AK137</f>
        <v>42.9</v>
      </c>
      <c r="AN137" s="139">
        <v>24.1</v>
      </c>
      <c r="AO137" s="65">
        <f>+AP137-AN137</f>
        <v>31.299999999999997</v>
      </c>
      <c r="AP137" s="139">
        <v>55.4</v>
      </c>
      <c r="AQ137" s="139">
        <v>27.5</v>
      </c>
      <c r="AR137" s="114">
        <f>+AS137-AQ137</f>
        <v>27.5</v>
      </c>
      <c r="AS137" s="151">
        <v>55</v>
      </c>
      <c r="AT137" s="151">
        <v>26.7</v>
      </c>
      <c r="AU137" s="114">
        <f>AV137-AT137</f>
        <v>35.400000000000006</v>
      </c>
      <c r="AV137" s="151">
        <f>62.1</f>
        <v>62.1</v>
      </c>
      <c r="AW137" s="151">
        <f>32</f>
        <v>32</v>
      </c>
      <c r="AX137" s="114">
        <f>AY137-AW137</f>
        <v>33.599999999999994</v>
      </c>
      <c r="AY137" s="151">
        <v>65.599999999999994</v>
      </c>
      <c r="AZ137" s="151">
        <v>33.799999999999997</v>
      </c>
      <c r="BA137" s="114">
        <f>BB137-AZ137</f>
        <v>31.299999999999997</v>
      </c>
      <c r="BB137" s="151">
        <v>65.099999999999994</v>
      </c>
      <c r="BC137" s="151">
        <f>34.4</f>
        <v>34.4</v>
      </c>
      <c r="BD137" s="114">
        <f>BE137-BC137</f>
        <v>35.000000000000007</v>
      </c>
      <c r="BE137" s="151">
        <f>69.4</f>
        <v>69.400000000000006</v>
      </c>
      <c r="BF137" s="114">
        <f>BH137/2</f>
        <v>35.567500000000003</v>
      </c>
      <c r="BG137" s="114">
        <f>BH137-BF137</f>
        <v>35.567500000000003</v>
      </c>
      <c r="BH137" s="114">
        <f>BE137*1.025</f>
        <v>71.135000000000005</v>
      </c>
      <c r="BI137" s="114">
        <f>BK137/2</f>
        <v>36.456687500000001</v>
      </c>
      <c r="BJ137" s="114">
        <f>BK137-BI137</f>
        <v>36.456687500000001</v>
      </c>
      <c r="BK137" s="114">
        <f>BH137*1.025</f>
        <v>72.913375000000002</v>
      </c>
      <c r="BL137" s="114">
        <f>BN137/2</f>
        <v>37.368104687500001</v>
      </c>
      <c r="BM137" s="114">
        <f>BN137-BL137</f>
        <v>37.368104687500001</v>
      </c>
      <c r="BN137" s="114">
        <f>BK137*1.025</f>
        <v>74.736209375000001</v>
      </c>
      <c r="BO137" s="114">
        <f>BQ137/2</f>
        <v>38.302307304687496</v>
      </c>
      <c r="BP137" s="114">
        <f>BQ137-BO137</f>
        <v>38.302307304687496</v>
      </c>
      <c r="BQ137" s="114">
        <f>BN137*1.025</f>
        <v>76.604614609374991</v>
      </c>
      <c r="BR137" s="114">
        <f>BT137/2</f>
        <v>39.259864987304681</v>
      </c>
      <c r="BS137" s="114">
        <f>BT137-BR137</f>
        <v>39.259864987304681</v>
      </c>
      <c r="BT137" s="114">
        <f>BQ137*1.025</f>
        <v>78.519729974609362</v>
      </c>
      <c r="BU137" s="114">
        <f>BW137/2</f>
        <v>40.241361611987294</v>
      </c>
      <c r="BV137" s="114">
        <f>BW137-BU137</f>
        <v>40.241361611987294</v>
      </c>
      <c r="BW137" s="114">
        <f>BT137*1.025</f>
        <v>80.482723223974588</v>
      </c>
      <c r="BX137" s="114">
        <f>BZ137/2</f>
        <v>41.247395652286976</v>
      </c>
      <c r="BY137" s="114">
        <f>BZ137-BX137</f>
        <v>41.247395652286976</v>
      </c>
      <c r="BZ137" s="114">
        <f>BW137*1.025</f>
        <v>82.494791304573951</v>
      </c>
      <c r="CA137" s="114">
        <f>CC137/2</f>
        <v>42.278580543594146</v>
      </c>
      <c r="CB137" s="114">
        <f>CC137-CA137</f>
        <v>42.278580543594146</v>
      </c>
      <c r="CC137" s="114">
        <f>BZ137*1.025</f>
        <v>84.557161087188291</v>
      </c>
    </row>
    <row r="138" spans="1:81" s="7" customFormat="1">
      <c r="A138" s="142"/>
      <c r="B138" s="73" t="s">
        <v>439</v>
      </c>
      <c r="C138" s="73"/>
      <c r="D138" s="73"/>
      <c r="E138" s="73"/>
      <c r="F138" s="73"/>
      <c r="G138" s="73"/>
      <c r="H138" s="73"/>
      <c r="I138" s="73"/>
      <c r="J138" s="73"/>
      <c r="K138" s="73"/>
      <c r="L138" s="73"/>
      <c r="M138" s="73"/>
      <c r="N138" s="73"/>
      <c r="O138" s="73"/>
      <c r="P138" s="73"/>
      <c r="Q138" s="73"/>
      <c r="R138" s="73"/>
      <c r="S138" s="73"/>
      <c r="T138" s="73"/>
      <c r="U138" s="73"/>
      <c r="V138" s="73"/>
      <c r="W138" s="73"/>
      <c r="X138" s="73"/>
      <c r="Y138" s="73"/>
      <c r="Z138" s="73"/>
      <c r="AA138" s="73"/>
      <c r="AB138" s="73"/>
      <c r="AC138" s="73"/>
      <c r="AD138" s="73">
        <f>AD114+AD137</f>
        <v>207.60000000000002</v>
      </c>
      <c r="AE138" s="73">
        <f>AE114+AE137</f>
        <v>86.6</v>
      </c>
      <c r="AF138" s="73">
        <f>AG138-AE138</f>
        <v>115.5</v>
      </c>
      <c r="AG138" s="73">
        <f>AG114+AG137</f>
        <v>202.1</v>
      </c>
      <c r="AH138" s="73">
        <f>AH137+AH114</f>
        <v>106.6</v>
      </c>
      <c r="AI138" s="143">
        <f>AI114+AI137</f>
        <v>124.09999999999998</v>
      </c>
      <c r="AJ138" s="143">
        <f>AI138+AH138</f>
        <v>230.7</v>
      </c>
      <c r="AK138" s="143">
        <f>AK114+AK137</f>
        <v>99</v>
      </c>
      <c r="AL138" s="143">
        <f>AL114+AL137</f>
        <v>133.39999999999998</v>
      </c>
      <c r="AM138" s="143">
        <f>AL138+AK138</f>
        <v>232.39999999999998</v>
      </c>
      <c r="AN138" s="143">
        <f>AN114+AN137</f>
        <v>106</v>
      </c>
      <c r="AO138" s="143">
        <f>AO114+AO137</f>
        <v>125.27855450026038</v>
      </c>
      <c r="AP138" s="143">
        <f>AO138+AN138</f>
        <v>231.27855450026038</v>
      </c>
      <c r="AQ138" s="143">
        <f>AQ114+AQ137</f>
        <v>109.8</v>
      </c>
      <c r="AR138" s="143">
        <f>AR114+AR137</f>
        <v>147.5</v>
      </c>
      <c r="AS138" s="143">
        <f>AR138+AQ138</f>
        <v>257.3</v>
      </c>
      <c r="AT138" s="143">
        <f>AT114+AT137</f>
        <v>108.30000000000001</v>
      </c>
      <c r="AU138" s="143">
        <f>AU114+AU137</f>
        <v>201.19999999999996</v>
      </c>
      <c r="AV138" s="143">
        <f>AU138+AT138</f>
        <v>309.5</v>
      </c>
      <c r="AW138" s="143">
        <f>AW114+AW137</f>
        <v>153.5</v>
      </c>
      <c r="AX138" s="143">
        <f>AX114+AX137</f>
        <v>213.89999999999998</v>
      </c>
      <c r="AY138" s="143">
        <f>AX138+AW138</f>
        <v>367.4</v>
      </c>
      <c r="AZ138" s="143">
        <f>AZ114+AZ137</f>
        <v>145.6</v>
      </c>
      <c r="BA138" s="143">
        <f>BA114+BA137</f>
        <v>178.8</v>
      </c>
      <c r="BB138" s="143">
        <f>BA138+AZ138</f>
        <v>324.39999999999998</v>
      </c>
      <c r="BC138" s="143">
        <f>BC114+BC137</f>
        <v>140.5</v>
      </c>
      <c r="BD138" s="143">
        <f>BD114+BD137</f>
        <v>202.70000000000005</v>
      </c>
      <c r="BE138" s="143">
        <f>BD138+BC138</f>
        <v>343.20000000000005</v>
      </c>
      <c r="BF138" s="143">
        <f>BF114+BF137</f>
        <v>140.64594638685097</v>
      </c>
      <c r="BG138" s="143">
        <f>BG114+BG137</f>
        <v>212.6586742345572</v>
      </c>
      <c r="BH138" s="143">
        <f>BG138+BF138</f>
        <v>353.30462062140816</v>
      </c>
      <c r="BI138" s="143">
        <f>BI114+BI137</f>
        <v>158.71397298606195</v>
      </c>
      <c r="BJ138" s="143">
        <f>BJ114+BJ137</f>
        <v>215.27814942013072</v>
      </c>
      <c r="BK138" s="143">
        <f>BJ138+BI138</f>
        <v>373.99212240619266</v>
      </c>
      <c r="BL138" s="143">
        <f>BL114+BL137</f>
        <v>165.81252637256105</v>
      </c>
      <c r="BM138" s="143">
        <f>BM114+BM137</f>
        <v>224.36264172634873</v>
      </c>
      <c r="BN138" s="143">
        <f>BM138+BL138</f>
        <v>390.17516809890981</v>
      </c>
      <c r="BO138" s="143">
        <f>BO114+BO137</f>
        <v>176.65526406125258</v>
      </c>
      <c r="BP138" s="143">
        <f>BP114+BP137</f>
        <v>230.98162289725622</v>
      </c>
      <c r="BQ138" s="143">
        <f>BP138+BO138</f>
        <v>407.6368869585088</v>
      </c>
      <c r="BR138" s="143">
        <f>BR114+BR137</f>
        <v>175.33382024866552</v>
      </c>
      <c r="BS138" s="143">
        <f>BS114+BS137</f>
        <v>241.37000342310887</v>
      </c>
      <c r="BT138" s="143">
        <f>BS138+BR138</f>
        <v>416.70382367177439</v>
      </c>
      <c r="BU138" s="143">
        <f>BU114+BU137</f>
        <v>186.86836079585163</v>
      </c>
      <c r="BV138" s="143">
        <f>BV114+BV137</f>
        <v>256.9131534400575</v>
      </c>
      <c r="BW138" s="143">
        <f>BV138+BU138</f>
        <v>443.78151423590913</v>
      </c>
      <c r="BX138" s="143">
        <f>BX114+BX137</f>
        <v>198.75309279322838</v>
      </c>
      <c r="BY138" s="143">
        <f>BY114+BY137</f>
        <v>261.21298334050334</v>
      </c>
      <c r="BZ138" s="143">
        <f>BY138+BX138</f>
        <v>459.96607613373169</v>
      </c>
      <c r="CA138" s="143">
        <f>CA114+CA137</f>
        <v>201.1463542184415</v>
      </c>
      <c r="CB138" s="143">
        <f>CB114+CB137</f>
        <v>265.61881664950619</v>
      </c>
      <c r="CC138" s="143">
        <f>CB138+CA138</f>
        <v>466.76517086794769</v>
      </c>
    </row>
    <row r="139" spans="1:81">
      <c r="B139" s="45" t="s">
        <v>390</v>
      </c>
      <c r="C139" s="65"/>
      <c r="D139" s="65"/>
      <c r="E139" s="65"/>
      <c r="F139" s="65"/>
      <c r="G139" s="65"/>
      <c r="H139" s="65"/>
      <c r="I139" s="65"/>
      <c r="J139" s="65"/>
      <c r="K139" s="65"/>
      <c r="L139" s="65"/>
      <c r="M139" s="65"/>
      <c r="N139" s="65"/>
      <c r="O139" s="65"/>
      <c r="P139" s="65"/>
      <c r="Q139" s="65"/>
      <c r="R139" s="65"/>
      <c r="S139" s="65"/>
      <c r="AD139" s="69">
        <f>AD137/AD138</f>
        <v>0.22350674373795759</v>
      </c>
      <c r="AE139" s="69">
        <f>AE137/AE138</f>
        <v>0.26443418013856812</v>
      </c>
      <c r="AF139" s="69">
        <f>AF137/AF138</f>
        <v>0.1878787878787879</v>
      </c>
      <c r="AG139" s="69">
        <f>AG137/AG138</f>
        <v>0.22068283028203861</v>
      </c>
      <c r="AH139" s="69">
        <f>AH137/AH138</f>
        <v>0.18574108818011259</v>
      </c>
      <c r="AI139" s="69">
        <f>AI138/AI108</f>
        <v>0.19315834989315842</v>
      </c>
      <c r="AJ139" s="69">
        <f>AJ138/AJ114-1</f>
        <v>0.20407098121085609</v>
      </c>
      <c r="AK139" s="69">
        <f>AK138/AK108</f>
        <v>0.18832879530572211</v>
      </c>
      <c r="AL139" s="69">
        <f>AL138/AL108</f>
        <v>0.22262139925218252</v>
      </c>
      <c r="AM139" s="69">
        <f>AM138/AM114-1</f>
        <v>0.22638522427440622</v>
      </c>
      <c r="AN139" s="69">
        <f>AN138/AN108</f>
        <v>0.19489511942354615</v>
      </c>
      <c r="AO139" s="69">
        <f>AO138/AO108</f>
        <v>0.20761497103940021</v>
      </c>
      <c r="AP139" s="69">
        <f>AP138/AP114-1</f>
        <v>0.3149900802710881</v>
      </c>
      <c r="AQ139" s="69">
        <f>AQ138/AQ108</f>
        <v>0.19409581050026514</v>
      </c>
      <c r="AR139" s="69">
        <f>AR138/AR108</f>
        <v>0.23169965441407481</v>
      </c>
      <c r="AS139" s="69">
        <f>AS138/AS114-1</f>
        <v>0.27187345526445861</v>
      </c>
      <c r="AT139" s="69">
        <f>AT138/AT108</f>
        <v>0.18474923234390994</v>
      </c>
      <c r="AU139" s="69">
        <f>AU138/AU108</f>
        <v>0.24387878787878781</v>
      </c>
      <c r="AV139" s="69">
        <f>AV138/AV114-1</f>
        <v>0.25101050929668567</v>
      </c>
      <c r="AW139" s="69">
        <f>AW138/AW108</f>
        <v>0.20872994288822411</v>
      </c>
      <c r="AX139" s="69">
        <f>AX138/AX108</f>
        <v>0.26694122051666036</v>
      </c>
      <c r="AY139" s="69">
        <f>AY138/AY114-1</f>
        <v>0.21736249171636834</v>
      </c>
      <c r="AZ139" s="69">
        <f t="shared" ref="AZ139:CC139" si="42">AZ138/AZ108</f>
        <v>0.19040146462665095</v>
      </c>
      <c r="BA139" s="69">
        <f t="shared" si="42"/>
        <v>0.22106824925816027</v>
      </c>
      <c r="BB139" s="69">
        <f t="shared" si="42"/>
        <v>0.20616460120749919</v>
      </c>
      <c r="BC139" s="69">
        <f t="shared" si="42"/>
        <v>0.21820158409690946</v>
      </c>
      <c r="BD139" s="69">
        <f t="shared" ref="BD139" si="43">BD138/BD108</f>
        <v>0.26759075907590762</v>
      </c>
      <c r="BE139" s="69">
        <f t="shared" ref="BE139" si="44">BE138/BE108</f>
        <v>0.24489795918367349</v>
      </c>
      <c r="BF139" s="69">
        <f t="shared" si="42"/>
        <v>0.20566426717083805</v>
      </c>
      <c r="BG139" s="69">
        <f t="shared" si="42"/>
        <v>0.2665135523745768</v>
      </c>
      <c r="BH139" s="69">
        <f t="shared" si="42"/>
        <v>0.23843096045060352</v>
      </c>
      <c r="BI139" s="69">
        <f t="shared" si="42"/>
        <v>0.21797175209362368</v>
      </c>
      <c r="BJ139" s="69">
        <f t="shared" si="42"/>
        <v>0.26603040548973783</v>
      </c>
      <c r="BK139" s="69">
        <f t="shared" si="42"/>
        <v>0.24326843516702817</v>
      </c>
      <c r="BL139" s="69">
        <f t="shared" si="42"/>
        <v>0.22190280167110918</v>
      </c>
      <c r="BM139" s="69">
        <f t="shared" si="42"/>
        <v>0.27058902785228361</v>
      </c>
      <c r="BN139" s="69">
        <f t="shared" si="42"/>
        <v>0.2475111531728886</v>
      </c>
      <c r="BO139" s="69">
        <f t="shared" si="42"/>
        <v>0.22851528838001339</v>
      </c>
      <c r="BP139" s="69">
        <f t="shared" si="42"/>
        <v>0.27342371348777</v>
      </c>
      <c r="BQ139" s="69">
        <f t="shared" si="42"/>
        <v>0.25196489947529321</v>
      </c>
      <c r="BR139" s="69">
        <f t="shared" si="42"/>
        <v>0.22577225163430389</v>
      </c>
      <c r="BS139" s="69">
        <f t="shared" si="42"/>
        <v>0.27851737166812141</v>
      </c>
      <c r="BT139" s="69">
        <f t="shared" si="42"/>
        <v>0.25358970915300005</v>
      </c>
      <c r="BU139" s="69">
        <f t="shared" si="42"/>
        <v>0.232529956076127</v>
      </c>
      <c r="BV139" s="69">
        <f t="shared" si="42"/>
        <v>0.28648068183228848</v>
      </c>
      <c r="BW139" s="69">
        <f t="shared" si="42"/>
        <v>0.26098318872296966</v>
      </c>
      <c r="BX139" s="69">
        <f t="shared" si="42"/>
        <v>0.23919375742789395</v>
      </c>
      <c r="BY139" s="69">
        <f t="shared" si="42"/>
        <v>0.28767153009409885</v>
      </c>
      <c r="BZ139" s="69">
        <f t="shared" si="42"/>
        <v>0.2645072655740523</v>
      </c>
      <c r="CA139" s="69">
        <f t="shared" si="42"/>
        <v>0.23915675419946231</v>
      </c>
      <c r="CB139" s="69">
        <f t="shared" si="42"/>
        <v>0.28889199184305331</v>
      </c>
      <c r="CC139" s="69">
        <f t="shared" si="42"/>
        <v>0.26513144113254811</v>
      </c>
    </row>
    <row r="140" spans="1:81">
      <c r="C140" s="65"/>
      <c r="D140" s="65"/>
      <c r="E140" s="65"/>
      <c r="F140" s="65"/>
      <c r="G140" s="65"/>
      <c r="H140" s="65"/>
      <c r="I140" s="65"/>
      <c r="J140" s="65"/>
      <c r="K140" s="65"/>
      <c r="L140" s="65"/>
      <c r="M140" s="65"/>
      <c r="N140" s="65"/>
      <c r="O140" s="65"/>
      <c r="P140" s="65"/>
      <c r="Q140" s="65"/>
      <c r="R140" s="65"/>
      <c r="S140" s="65"/>
      <c r="AK140" s="114"/>
      <c r="AL140" s="114"/>
      <c r="AV140" s="203"/>
      <c r="AW140" s="203"/>
      <c r="AX140" s="204"/>
      <c r="AY140" s="203"/>
      <c r="AZ140" s="114"/>
    </row>
    <row r="141" spans="1:81" s="613" customFormat="1">
      <c r="A141" s="238" t="s">
        <v>354</v>
      </c>
      <c r="B141" s="238"/>
      <c r="C141" s="237"/>
      <c r="D141" s="237"/>
      <c r="E141" s="237"/>
      <c r="F141" s="237"/>
      <c r="G141" s="237"/>
      <c r="H141" s="237"/>
      <c r="I141" s="237"/>
      <c r="J141" s="237"/>
      <c r="K141" s="237"/>
      <c r="L141" s="237"/>
      <c r="M141" s="237"/>
      <c r="N141" s="237"/>
      <c r="O141" s="237"/>
      <c r="P141" s="237"/>
      <c r="Q141" s="237"/>
      <c r="R141" s="237"/>
      <c r="S141" s="237"/>
      <c r="T141" s="237"/>
      <c r="U141" s="237"/>
      <c r="V141" s="237"/>
      <c r="W141" s="237"/>
      <c r="X141" s="237"/>
      <c r="Y141" s="237"/>
      <c r="Z141" s="237"/>
      <c r="AA141" s="237"/>
      <c r="AB141" s="237"/>
      <c r="AC141" s="237"/>
      <c r="AD141" s="237"/>
      <c r="AE141" s="237"/>
      <c r="AF141" s="237"/>
      <c r="AG141" s="237"/>
      <c r="AH141" s="237"/>
      <c r="AI141" s="237"/>
      <c r="AJ141" s="237"/>
      <c r="AK141" s="237"/>
      <c r="AL141" s="239"/>
      <c r="AM141" s="237"/>
      <c r="AN141" s="237"/>
      <c r="AO141" s="237"/>
      <c r="AP141" s="237"/>
      <c r="AQ141" s="237"/>
      <c r="AR141" s="237"/>
      <c r="AS141" s="237"/>
      <c r="AT141" s="237"/>
      <c r="AU141" s="237"/>
      <c r="AV141" s="237"/>
      <c r="AW141" s="237"/>
      <c r="AX141" s="237"/>
      <c r="AY141" s="237"/>
      <c r="AZ141" s="237"/>
      <c r="BA141" s="237"/>
      <c r="BB141" s="237"/>
      <c r="BC141" s="237"/>
      <c r="BD141" s="237"/>
      <c r="BE141" s="237"/>
      <c r="BF141" s="237"/>
      <c r="BG141" s="237"/>
      <c r="BH141" s="237"/>
      <c r="BI141" s="237"/>
      <c r="BJ141" s="237"/>
      <c r="BK141" s="237"/>
      <c r="BL141" s="237"/>
      <c r="BM141" s="237"/>
      <c r="BN141" s="237"/>
      <c r="BO141" s="237"/>
      <c r="BP141" s="237"/>
      <c r="BQ141" s="237"/>
      <c r="BR141" s="237"/>
      <c r="BS141" s="237"/>
      <c r="BT141" s="237"/>
      <c r="BU141" s="237"/>
      <c r="BV141" s="237"/>
      <c r="BW141" s="237"/>
      <c r="BX141" s="237"/>
      <c r="BY141" s="237"/>
      <c r="BZ141" s="237"/>
      <c r="CA141" s="237"/>
      <c r="CB141" s="237"/>
      <c r="CC141" s="237"/>
    </row>
    <row r="142" spans="1:81">
      <c r="B142" s="45" t="s">
        <v>508</v>
      </c>
      <c r="C142" s="65"/>
      <c r="D142" s="65"/>
      <c r="E142" s="65"/>
      <c r="F142" s="65"/>
      <c r="G142" s="65"/>
      <c r="H142" s="65"/>
      <c r="I142" s="65"/>
      <c r="J142" s="65"/>
      <c r="K142" s="65"/>
      <c r="L142" s="65"/>
      <c r="M142" s="65"/>
      <c r="N142" s="65"/>
      <c r="O142" s="65"/>
      <c r="P142" s="65"/>
      <c r="Q142" s="65"/>
      <c r="R142" s="65"/>
      <c r="S142" s="65"/>
      <c r="AD142" s="65">
        <v>16.2</v>
      </c>
      <c r="AE142" s="65">
        <v>5.3</v>
      </c>
      <c r="AF142" s="65">
        <f>AG142-AE142</f>
        <v>5.2</v>
      </c>
      <c r="AG142" s="65">
        <v>10.5</v>
      </c>
      <c r="AH142" s="65">
        <v>5.3</v>
      </c>
      <c r="AI142" s="114">
        <f>12.2-AH142</f>
        <v>6.8999999999999995</v>
      </c>
      <c r="AJ142" s="114">
        <f>AI142+AH142</f>
        <v>12.2</v>
      </c>
      <c r="AK142" s="140">
        <v>4.0999999999999996</v>
      </c>
      <c r="AL142" s="151">
        <f>9.6-AK142</f>
        <v>5.5</v>
      </c>
      <c r="AM142" s="114">
        <f>AL142+AK142</f>
        <v>9.6</v>
      </c>
      <c r="AN142" s="151">
        <v>4.0999999999999996</v>
      </c>
      <c r="AO142" s="114">
        <f>+AP142-AN142</f>
        <v>4</v>
      </c>
      <c r="AP142" s="151">
        <v>8.1</v>
      </c>
      <c r="AQ142" s="151">
        <v>2.4</v>
      </c>
      <c r="AR142" s="114">
        <f>+AS142-AQ142</f>
        <v>4.3000000000000007</v>
      </c>
      <c r="AS142" s="151">
        <v>6.7</v>
      </c>
      <c r="AT142" s="151">
        <v>3.4</v>
      </c>
      <c r="AU142" s="114">
        <f>+AV142-AT142</f>
        <v>4.6999999999999993</v>
      </c>
      <c r="AV142" s="114">
        <v>8.1</v>
      </c>
      <c r="AW142" s="151">
        <f>4.4</f>
        <v>4.4000000000000004</v>
      </c>
      <c r="AX142" s="114">
        <f>+AY142-AW142</f>
        <v>3.9000000000000004</v>
      </c>
      <c r="AY142" s="151">
        <v>8.3000000000000007</v>
      </c>
      <c r="AZ142" s="151">
        <v>5</v>
      </c>
      <c r="BA142" s="114">
        <f>+BB142-AZ142</f>
        <v>6</v>
      </c>
      <c r="BB142" s="151">
        <v>11</v>
      </c>
      <c r="BC142" s="151">
        <v>5.3</v>
      </c>
      <c r="BD142" s="114">
        <f>BE142-BC142</f>
        <v>6.6000000000000005</v>
      </c>
      <c r="BE142" s="151">
        <v>11.9</v>
      </c>
      <c r="BF142" s="114">
        <f>BC142*(1+BF116)</f>
        <v>5.2489704604176257</v>
      </c>
      <c r="BG142" s="114">
        <f>BD142*(1+BG116)</f>
        <v>6.9695989859754155</v>
      </c>
      <c r="BH142" s="114">
        <f>BG142+BF142</f>
        <v>12.21856944639304</v>
      </c>
      <c r="BI142" s="114">
        <f>BF142*(1+BI116)</f>
        <v>6.1071028565139338</v>
      </c>
      <c r="BJ142" s="114">
        <f>BG142*(1+BJ116)</f>
        <v>7.0376961757475396</v>
      </c>
      <c r="BK142" s="114">
        <f>BJ142+BI142</f>
        <v>13.144799032261474</v>
      </c>
      <c r="BL142" s="114">
        <f>BI142*(1+BL116)</f>
        <v>6.4161680954837284</v>
      </c>
      <c r="BM142" s="114">
        <f>BJ142*(1+BM116)</f>
        <v>7.3593556616362639</v>
      </c>
      <c r="BN142" s="114">
        <f>BM142+BL142</f>
        <v>13.775523757119991</v>
      </c>
      <c r="BO142" s="114">
        <f>BL142*(1+BO116)</f>
        <v>6.9111279058416102</v>
      </c>
      <c r="BP142" s="114">
        <f>BM142*(1+BP116)</f>
        <v>7.5830857657182662</v>
      </c>
      <c r="BQ142" s="114">
        <f>BP142+BO142</f>
        <v>14.494213671559876</v>
      </c>
      <c r="BR142" s="114">
        <f>BO142*(1+BR116)</f>
        <v>6.7972852298323501</v>
      </c>
      <c r="BS142" s="114">
        <f>BP142*(1+BS116)</f>
        <v>7.954245162053116</v>
      </c>
      <c r="BT142" s="114">
        <f>BS142+BR142</f>
        <v>14.751530391885467</v>
      </c>
      <c r="BU142" s="114">
        <f>BR142*(1+BU116)</f>
        <v>7.3244401100328087</v>
      </c>
      <c r="BV142" s="114">
        <f>BS142*(1+BV116)</f>
        <v>8.5273334887612595</v>
      </c>
      <c r="BW142" s="114">
        <f>BV142+BU142</f>
        <v>15.851773598794068</v>
      </c>
      <c r="BX142" s="114">
        <f>BU142*(1+BX116)</f>
        <v>7.8678623454004661</v>
      </c>
      <c r="BY142" s="114">
        <f>BV142*(1+BY116)</f>
        <v>8.6569640950639712</v>
      </c>
      <c r="BZ142" s="114">
        <f>BY142+BX142</f>
        <v>16.524826440464437</v>
      </c>
      <c r="CA142" s="114">
        <f>BX142*(1+CA116)</f>
        <v>7.9359019837576907</v>
      </c>
      <c r="CB142" s="114">
        <f>BY142*(1+CB116)</f>
        <v>8.7897767340430502</v>
      </c>
      <c r="CC142" s="114">
        <f>CB142+CA142</f>
        <v>16.72567871780074</v>
      </c>
    </row>
    <row r="143" spans="1:81">
      <c r="B143" s="45" t="s">
        <v>0</v>
      </c>
      <c r="C143" s="65"/>
      <c r="D143" s="65"/>
      <c r="E143" s="65"/>
      <c r="F143" s="65"/>
      <c r="G143" s="65"/>
      <c r="H143" s="65"/>
      <c r="I143" s="65"/>
      <c r="J143" s="65"/>
      <c r="K143" s="65"/>
      <c r="L143" s="65"/>
      <c r="M143" s="65"/>
      <c r="N143" s="65"/>
      <c r="O143" s="65"/>
      <c r="P143" s="65"/>
      <c r="Q143" s="65"/>
      <c r="R143" s="65"/>
      <c r="S143" s="65"/>
      <c r="AD143" s="65">
        <v>13.1</v>
      </c>
      <c r="AE143" s="65">
        <v>5.2</v>
      </c>
      <c r="AF143" s="65">
        <f>AG143-AE143</f>
        <v>7.8</v>
      </c>
      <c r="AG143" s="65">
        <v>13</v>
      </c>
      <c r="AH143" s="65">
        <v>7.3</v>
      </c>
      <c r="AI143" s="114">
        <f>15.4-AH143</f>
        <v>8.1000000000000014</v>
      </c>
      <c r="AJ143" s="114">
        <f>AI143+AH143</f>
        <v>15.400000000000002</v>
      </c>
      <c r="AK143" s="140">
        <v>9.3000000000000007</v>
      </c>
      <c r="AL143" s="151">
        <f>18.9-AK143</f>
        <v>9.5999999999999979</v>
      </c>
      <c r="AM143" s="114">
        <f>AL143+AK143</f>
        <v>18.899999999999999</v>
      </c>
      <c r="AN143" s="151">
        <v>7.1</v>
      </c>
      <c r="AO143" s="114">
        <f>+AP143-AN143</f>
        <v>6.7000000000000011</v>
      </c>
      <c r="AP143" s="151">
        <v>13.8</v>
      </c>
      <c r="AQ143" s="151">
        <v>6.9</v>
      </c>
      <c r="AR143" s="114">
        <f>+AS143-AQ143</f>
        <v>6.1999999999999993</v>
      </c>
      <c r="AS143" s="151">
        <v>13.1</v>
      </c>
      <c r="AT143" s="151">
        <v>5.0999999999999996</v>
      </c>
      <c r="AU143" s="114">
        <f>+AV143-AT143</f>
        <v>4</v>
      </c>
      <c r="AV143" s="114">
        <v>9.1</v>
      </c>
      <c r="AW143" s="151">
        <f>3</f>
        <v>3</v>
      </c>
      <c r="AX143" s="114">
        <f>+AY143-AW143</f>
        <v>4.9000000000000004</v>
      </c>
      <c r="AY143" s="151">
        <v>7.9</v>
      </c>
      <c r="AZ143" s="151">
        <v>4.7</v>
      </c>
      <c r="BA143" s="114">
        <f>+BB143-AZ143</f>
        <v>5.8</v>
      </c>
      <c r="BB143" s="151">
        <v>10.5</v>
      </c>
      <c r="BC143" s="151">
        <v>7.6</v>
      </c>
      <c r="BD143" s="114">
        <f t="shared" ref="BD143:BD144" si="45">BE143-BC143</f>
        <v>7.1</v>
      </c>
      <c r="BE143" s="151">
        <v>14.7</v>
      </c>
      <c r="BF143" s="114">
        <f>BC143*(1+BF116)</f>
        <v>7.5268255658818779</v>
      </c>
      <c r="BG143" s="114">
        <f>BD143*(1+BG116)</f>
        <v>7.4975989091553705</v>
      </c>
      <c r="BH143" s="114">
        <f>BG143+BF143</f>
        <v>15.024424475037248</v>
      </c>
      <c r="BI143" s="114">
        <f>BF143*(1+BI116)</f>
        <v>8.7573550395294131</v>
      </c>
      <c r="BJ143" s="114">
        <f>BG143*(1+BJ116)</f>
        <v>7.5708549769405344</v>
      </c>
      <c r="BK143" s="114">
        <f>BJ143+BI143</f>
        <v>16.328210016469946</v>
      </c>
      <c r="BL143" s="114">
        <f>BI143*(1+BL116)</f>
        <v>9.200542929372892</v>
      </c>
      <c r="BM143" s="114">
        <f>BJ143*(1+BM116)</f>
        <v>7.9168826056996169</v>
      </c>
      <c r="BN143" s="114">
        <f>BM143+BL143</f>
        <v>17.11742553507251</v>
      </c>
      <c r="BO143" s="114">
        <f>BL143*(1+BO116)</f>
        <v>9.9102966196974016</v>
      </c>
      <c r="BP143" s="114">
        <f>BM143*(1+BP116)</f>
        <v>8.1575619600908613</v>
      </c>
      <c r="BQ143" s="114">
        <f>BP143+BO143</f>
        <v>18.067858579788265</v>
      </c>
      <c r="BR143" s="114">
        <f>BO143*(1+BR116)</f>
        <v>9.7470505182501608</v>
      </c>
      <c r="BS143" s="114">
        <f>BP143*(1+BS116)</f>
        <v>8.5568394925116849</v>
      </c>
      <c r="BT143" s="114">
        <f>BS143+BR143</f>
        <v>18.303890010761847</v>
      </c>
      <c r="BU143" s="114">
        <f>BR143*(1+BU116)</f>
        <v>10.50297072382063</v>
      </c>
      <c r="BV143" s="114">
        <f>BS143*(1+BV116)</f>
        <v>9.1733436015462022</v>
      </c>
      <c r="BW143" s="114">
        <f>BV143+BU143</f>
        <v>19.676314325366832</v>
      </c>
      <c r="BX143" s="114">
        <f>BU143*(1+BX116)</f>
        <v>11.282217702838402</v>
      </c>
      <c r="BY143" s="114">
        <f>BV143*(1+BY116)</f>
        <v>9.3127947083263916</v>
      </c>
      <c r="BZ143" s="114">
        <f>BY143+BX143</f>
        <v>20.595012411164795</v>
      </c>
      <c r="CA143" s="114">
        <f>BX143*(1+CA116)</f>
        <v>11.37978397670914</v>
      </c>
      <c r="CB143" s="114">
        <f>BY143*(1+CB116)</f>
        <v>9.4556689108644907</v>
      </c>
      <c r="CC143" s="114">
        <f>CB143+CA143</f>
        <v>20.835452887573631</v>
      </c>
    </row>
    <row r="144" spans="1:81">
      <c r="B144" s="45" t="s">
        <v>493</v>
      </c>
      <c r="C144" s="65"/>
      <c r="D144" s="65"/>
      <c r="E144" s="65"/>
      <c r="F144" s="65"/>
      <c r="G144" s="65"/>
      <c r="H144" s="65"/>
      <c r="I144" s="65"/>
      <c r="J144" s="65"/>
      <c r="K144" s="65"/>
      <c r="L144" s="65"/>
      <c r="M144" s="65"/>
      <c r="N144" s="65"/>
      <c r="O144" s="65"/>
      <c r="P144" s="65"/>
      <c r="Q144" s="65"/>
      <c r="R144" s="65"/>
      <c r="S144" s="65"/>
      <c r="AD144" s="65">
        <v>1.3</v>
      </c>
      <c r="AE144" s="65">
        <v>1.7</v>
      </c>
      <c r="AF144" s="65">
        <f>AG144-AE144</f>
        <v>2.3999999999999995</v>
      </c>
      <c r="AG144" s="65">
        <v>4.0999999999999996</v>
      </c>
      <c r="AH144" s="65">
        <v>2.6</v>
      </c>
      <c r="AI144" s="114">
        <f>4.5-AH144</f>
        <v>1.9</v>
      </c>
      <c r="AJ144" s="114">
        <f>AI144+AH144</f>
        <v>4.5</v>
      </c>
      <c r="AK144" s="140">
        <v>3.2</v>
      </c>
      <c r="AL144" s="151">
        <f>7.2-AK144</f>
        <v>4</v>
      </c>
      <c r="AM144" s="114">
        <f>AL144+AK144</f>
        <v>7.2</v>
      </c>
      <c r="AN144" s="151">
        <v>3.2</v>
      </c>
      <c r="AO144" s="114">
        <f>+AP144-AN144</f>
        <v>2.5999999999999996</v>
      </c>
      <c r="AP144" s="209">
        <v>5.8</v>
      </c>
      <c r="AQ144" s="151">
        <f>2.1+1.5</f>
        <v>3.6</v>
      </c>
      <c r="AR144" s="114">
        <f>+AS144-AQ144</f>
        <v>0.80000000000000027</v>
      </c>
      <c r="AS144" s="151">
        <v>4.4000000000000004</v>
      </c>
      <c r="AT144" s="151">
        <f>1.8+1.2</f>
        <v>3</v>
      </c>
      <c r="AU144" s="114">
        <f>+AV144-AT144</f>
        <v>1.5</v>
      </c>
      <c r="AV144" s="114">
        <v>4.5</v>
      </c>
      <c r="AW144" s="151">
        <f>1.2+1.2</f>
        <v>2.4</v>
      </c>
      <c r="AX144" s="114">
        <f>+AY144-AW144</f>
        <v>1.3000000000000003</v>
      </c>
      <c r="AY144" s="151">
        <v>3.7</v>
      </c>
      <c r="AZ144" s="151">
        <f>3</f>
        <v>3</v>
      </c>
      <c r="BA144" s="114">
        <f>+BB144-AZ144</f>
        <v>4</v>
      </c>
      <c r="BB144" s="151">
        <v>7</v>
      </c>
      <c r="BC144" s="151">
        <f>3.4</f>
        <v>3.4</v>
      </c>
      <c r="BD144" s="114">
        <f t="shared" si="45"/>
        <v>5.0999999999999996</v>
      </c>
      <c r="BE144" s="151">
        <v>8.5</v>
      </c>
      <c r="BF144" s="114">
        <f>BC144*(1+BF116)</f>
        <v>3.367264068947156</v>
      </c>
      <c r="BG144" s="114">
        <f>BD144*(1+BG116)</f>
        <v>5.3855992164355477</v>
      </c>
      <c r="BH144" s="114">
        <f>BG144+BF144</f>
        <v>8.7528632853827038</v>
      </c>
      <c r="BI144" s="114">
        <f>BF144*(1+BI116)</f>
        <v>3.9177640966315801</v>
      </c>
      <c r="BJ144" s="114">
        <f>BG144*(1+BJ116)</f>
        <v>5.4382197721685523</v>
      </c>
      <c r="BK144" s="114">
        <f>BJ144+BI144</f>
        <v>9.3559838688001324</v>
      </c>
      <c r="BL144" s="114">
        <f>BI144*(1+BL116)</f>
        <v>4.1160323631405049</v>
      </c>
      <c r="BM144" s="114">
        <f>BJ144*(1+BM116)</f>
        <v>5.6867748294462031</v>
      </c>
      <c r="BN144" s="114">
        <f>BM144+BL144</f>
        <v>9.8028071925867089</v>
      </c>
      <c r="BO144" s="114">
        <f>BL144*(1+BO116)</f>
        <v>4.4335537509172589</v>
      </c>
      <c r="BP144" s="114">
        <f>BM144*(1+BP116)</f>
        <v>5.8596571826004773</v>
      </c>
      <c r="BQ144" s="114">
        <f>BP144+BO144</f>
        <v>10.293210933517736</v>
      </c>
      <c r="BR144" s="114">
        <f>BO144*(1+BR116)</f>
        <v>4.3605226002698085</v>
      </c>
      <c r="BS144" s="114">
        <f>BP144*(1+BS116)</f>
        <v>6.1464621706774061</v>
      </c>
      <c r="BT144" s="114">
        <f>BS144+BR144</f>
        <v>10.506984770947215</v>
      </c>
      <c r="BU144" s="114">
        <f>BR144*(1+BU116)</f>
        <v>4.69869742907765</v>
      </c>
      <c r="BV144" s="114">
        <f>BS144*(1+BV116)</f>
        <v>6.5893031504064252</v>
      </c>
      <c r="BW144" s="114">
        <f>BV144+BU144</f>
        <v>11.288000579484075</v>
      </c>
      <c r="BX144" s="114">
        <f>BU144*(1+BX116)</f>
        <v>5.0473079196908639</v>
      </c>
      <c r="BY144" s="114">
        <f>BV144*(1+BY116)</f>
        <v>6.6894722552767023</v>
      </c>
      <c r="BZ144" s="114">
        <f>BY144+BX144</f>
        <v>11.736780174967567</v>
      </c>
      <c r="CA144" s="114">
        <f>BX144*(1+CA116)</f>
        <v>5.0909559895804044</v>
      </c>
      <c r="CB144" s="114">
        <f>BY144*(1+CB116)</f>
        <v>6.792100203578717</v>
      </c>
      <c r="CC144" s="114">
        <f>CB144+CA144</f>
        <v>11.883056193159121</v>
      </c>
    </row>
    <row r="145" spans="1:81" s="7" customFormat="1">
      <c r="A145" s="142"/>
      <c r="B145" s="73" t="s">
        <v>509</v>
      </c>
      <c r="C145" s="73"/>
      <c r="D145" s="73"/>
      <c r="E145" s="73"/>
      <c r="F145" s="73"/>
      <c r="G145" s="73"/>
      <c r="H145" s="73"/>
      <c r="I145" s="73"/>
      <c r="J145" s="73"/>
      <c r="K145" s="73"/>
      <c r="L145" s="73"/>
      <c r="M145" s="73"/>
      <c r="N145" s="73"/>
      <c r="O145" s="73"/>
      <c r="P145" s="73"/>
      <c r="Q145" s="73"/>
      <c r="R145" s="73"/>
      <c r="S145" s="73"/>
      <c r="T145" s="73"/>
      <c r="U145" s="73"/>
      <c r="V145" s="73"/>
      <c r="W145" s="73"/>
      <c r="X145" s="73"/>
      <c r="Y145" s="73"/>
      <c r="Z145" s="73"/>
      <c r="AA145" s="73"/>
      <c r="AB145" s="73"/>
      <c r="AC145" s="73"/>
      <c r="AD145" s="73">
        <f>SUM(AD142:AD144)</f>
        <v>30.599999999999998</v>
      </c>
      <c r="AE145" s="73">
        <f>SUM(AE142:AE144)</f>
        <v>12.2</v>
      </c>
      <c r="AF145" s="73">
        <f>AG145-AE145</f>
        <v>15.400000000000002</v>
      </c>
      <c r="AG145" s="73">
        <f t="shared" ref="AG145:AM145" si="46">SUM(AG142:AG144)</f>
        <v>27.6</v>
      </c>
      <c r="AH145" s="73">
        <f t="shared" si="46"/>
        <v>15.2</v>
      </c>
      <c r="AI145" s="143">
        <f t="shared" si="46"/>
        <v>16.899999999999999</v>
      </c>
      <c r="AJ145" s="143">
        <f t="shared" si="46"/>
        <v>32.1</v>
      </c>
      <c r="AK145" s="143">
        <f t="shared" si="46"/>
        <v>16.600000000000001</v>
      </c>
      <c r="AL145" s="143">
        <f t="shared" si="46"/>
        <v>19.099999999999998</v>
      </c>
      <c r="AM145" s="143">
        <f t="shared" si="46"/>
        <v>35.700000000000003</v>
      </c>
      <c r="AN145" s="143">
        <f t="shared" ref="AN145:BN145" si="47">SUM(AN142:AN144)</f>
        <v>14.399999999999999</v>
      </c>
      <c r="AO145" s="143">
        <f t="shared" si="47"/>
        <v>13.3</v>
      </c>
      <c r="AP145" s="143">
        <f t="shared" si="47"/>
        <v>27.7</v>
      </c>
      <c r="AQ145" s="143">
        <f t="shared" si="47"/>
        <v>12.9</v>
      </c>
      <c r="AR145" s="143">
        <f t="shared" si="47"/>
        <v>11.3</v>
      </c>
      <c r="AS145" s="143">
        <f t="shared" si="47"/>
        <v>24.200000000000003</v>
      </c>
      <c r="AT145" s="143">
        <f t="shared" si="47"/>
        <v>11.5</v>
      </c>
      <c r="AU145" s="211">
        <f>AV145-AT145</f>
        <v>10.199999999999999</v>
      </c>
      <c r="AV145" s="181">
        <f>21.7</f>
        <v>21.7</v>
      </c>
      <c r="AW145" s="143">
        <f t="shared" si="47"/>
        <v>9.8000000000000007</v>
      </c>
      <c r="AX145" s="143">
        <f t="shared" si="47"/>
        <v>10.100000000000001</v>
      </c>
      <c r="AY145" s="143">
        <f t="shared" si="47"/>
        <v>19.900000000000002</v>
      </c>
      <c r="AZ145" s="143">
        <f t="shared" si="47"/>
        <v>12.7</v>
      </c>
      <c r="BA145" s="143">
        <f t="shared" si="47"/>
        <v>15.8</v>
      </c>
      <c r="BB145" s="143">
        <f t="shared" si="47"/>
        <v>28.5</v>
      </c>
      <c r="BC145" s="143">
        <f t="shared" si="47"/>
        <v>16.299999999999997</v>
      </c>
      <c r="BD145" s="143">
        <f t="shared" si="47"/>
        <v>18.799999999999997</v>
      </c>
      <c r="BE145" s="143">
        <f t="shared" si="47"/>
        <v>35.1</v>
      </c>
      <c r="BF145" s="143">
        <f t="shared" si="47"/>
        <v>16.143060095246661</v>
      </c>
      <c r="BG145" s="143">
        <f t="shared" si="47"/>
        <v>19.852797111566332</v>
      </c>
      <c r="BH145" s="143">
        <f t="shared" si="47"/>
        <v>35.995857206812993</v>
      </c>
      <c r="BI145" s="143">
        <f t="shared" si="47"/>
        <v>18.782221992674927</v>
      </c>
      <c r="BJ145" s="143">
        <f t="shared" si="47"/>
        <v>20.046770924856627</v>
      </c>
      <c r="BK145" s="143">
        <f t="shared" si="47"/>
        <v>38.828992917531551</v>
      </c>
      <c r="BL145" s="143">
        <f t="shared" si="47"/>
        <v>19.732743387997125</v>
      </c>
      <c r="BM145" s="143">
        <f t="shared" si="47"/>
        <v>20.963013096782085</v>
      </c>
      <c r="BN145" s="143">
        <f t="shared" si="47"/>
        <v>40.69575648477921</v>
      </c>
      <c r="BO145" s="143">
        <f>SUM(BO142:BO144)</f>
        <v>21.254978276456271</v>
      </c>
      <c r="BP145" s="143">
        <f>SUM(BP142:BP144)</f>
        <v>21.600304908409605</v>
      </c>
      <c r="BQ145" s="143">
        <f>SUM(BQ142:BQ144)</f>
        <v>42.855283184865876</v>
      </c>
      <c r="BR145" s="143">
        <f t="shared" ref="BR145:CC145" si="48">SUM(BR142:BR144)</f>
        <v>20.90485834835232</v>
      </c>
      <c r="BS145" s="143">
        <f t="shared" si="48"/>
        <v>22.657546825242207</v>
      </c>
      <c r="BT145" s="143">
        <f t="shared" si="48"/>
        <v>43.562405173594527</v>
      </c>
      <c r="BU145" s="143">
        <f t="shared" si="48"/>
        <v>22.526108262931089</v>
      </c>
      <c r="BV145" s="143">
        <f t="shared" si="48"/>
        <v>24.289980240713888</v>
      </c>
      <c r="BW145" s="143">
        <f t="shared" si="48"/>
        <v>46.816088503644977</v>
      </c>
      <c r="BX145" s="143">
        <f t="shared" si="48"/>
        <v>24.197387967929735</v>
      </c>
      <c r="BY145" s="143">
        <f t="shared" si="48"/>
        <v>24.659231058667064</v>
      </c>
      <c r="BZ145" s="143">
        <f t="shared" si="48"/>
        <v>48.856619026596803</v>
      </c>
      <c r="CA145" s="143">
        <f t="shared" si="48"/>
        <v>24.406641950047234</v>
      </c>
      <c r="CB145" s="143">
        <f t="shared" si="48"/>
        <v>25.037545848486257</v>
      </c>
      <c r="CC145" s="143">
        <f t="shared" si="48"/>
        <v>49.444187798533491</v>
      </c>
    </row>
    <row r="146" spans="1:81">
      <c r="C146" s="65"/>
      <c r="D146" s="65"/>
      <c r="E146" s="65"/>
      <c r="F146" s="65"/>
      <c r="G146" s="65"/>
      <c r="H146" s="65"/>
      <c r="I146" s="65"/>
      <c r="J146" s="65"/>
      <c r="K146" s="65"/>
      <c r="L146" s="65"/>
      <c r="M146" s="65"/>
      <c r="N146" s="65"/>
      <c r="O146" s="65"/>
      <c r="P146" s="65"/>
      <c r="Q146" s="65"/>
      <c r="R146" s="65"/>
      <c r="S146" s="65"/>
    </row>
    <row r="147" spans="1:81">
      <c r="B147" s="45" t="s">
        <v>510</v>
      </c>
      <c r="C147" s="65"/>
      <c r="D147" s="65"/>
      <c r="E147" s="65"/>
      <c r="F147" s="65"/>
      <c r="G147" s="65"/>
      <c r="H147" s="65"/>
      <c r="I147" s="65"/>
      <c r="J147" s="65"/>
      <c r="K147" s="65"/>
      <c r="L147" s="65"/>
      <c r="M147" s="65"/>
      <c r="N147" s="65"/>
      <c r="O147" s="65"/>
      <c r="P147" s="65"/>
      <c r="Q147" s="65"/>
      <c r="R147" s="65"/>
      <c r="S147" s="65"/>
      <c r="AD147" s="65">
        <v>191.8</v>
      </c>
      <c r="AE147" s="65">
        <v>75.900000000000006</v>
      </c>
      <c r="AF147" s="65">
        <v>109.2</v>
      </c>
      <c r="AG147" s="65">
        <v>185.1</v>
      </c>
      <c r="AH147" s="65">
        <v>102</v>
      </c>
      <c r="AI147" s="114">
        <f>223.7-AH147</f>
        <v>121.69999999999999</v>
      </c>
      <c r="AJ147" s="114">
        <f>AJ145+AJ114</f>
        <v>223.69999999999996</v>
      </c>
      <c r="AK147" s="140">
        <v>95.5</v>
      </c>
      <c r="AL147" s="114">
        <f>225.2-AK147</f>
        <v>129.69999999999999</v>
      </c>
      <c r="AM147" s="114">
        <f>+AL147+AK147</f>
        <v>225.2</v>
      </c>
      <c r="AN147" s="151">
        <v>96.3</v>
      </c>
      <c r="AO147" s="114">
        <f>+AP147-AN147</f>
        <v>124.60000000000001</v>
      </c>
      <c r="AP147" s="209">
        <v>220.9</v>
      </c>
      <c r="AQ147" s="151">
        <v>95.2</v>
      </c>
      <c r="AR147" s="114">
        <f>+AS147-AQ147</f>
        <v>131.30000000000001</v>
      </c>
      <c r="AS147" s="151">
        <v>226.5</v>
      </c>
      <c r="AT147" s="151">
        <f>85.7+7.4</f>
        <v>93.100000000000009</v>
      </c>
      <c r="AU147" s="114">
        <f>AV147-AT147</f>
        <v>175.99999999999994</v>
      </c>
      <c r="AV147" s="151">
        <f>271.4-2.3</f>
        <v>269.09999999999997</v>
      </c>
      <c r="AW147" s="151">
        <f>131.3</f>
        <v>131.30000000000001</v>
      </c>
      <c r="AX147" s="114">
        <f>AY147-AW147</f>
        <v>190.39999999999998</v>
      </c>
      <c r="AY147" s="151">
        <v>321.7</v>
      </c>
      <c r="AZ147" s="151">
        <v>124.5</v>
      </c>
      <c r="BA147" s="114">
        <f>BB147-AZ147</f>
        <v>163.30000000000001</v>
      </c>
      <c r="BB147" s="151">
        <v>287.8</v>
      </c>
      <c r="BC147" s="151">
        <f>115.6+2.5+0.5+3.8</f>
        <v>122.39999999999999</v>
      </c>
      <c r="BD147" s="114">
        <f>BE147-BC147</f>
        <v>186.50000000000006</v>
      </c>
      <c r="BE147" s="151">
        <f>286.6+22.3</f>
        <v>308.90000000000003</v>
      </c>
      <c r="BF147" s="114">
        <f t="shared" ref="BF147:BQ147" si="49">BF145+BF114</f>
        <v>121.22150648209762</v>
      </c>
      <c r="BG147" s="114">
        <f t="shared" si="49"/>
        <v>196.94397134612353</v>
      </c>
      <c r="BH147" s="114">
        <f t="shared" si="49"/>
        <v>318.16547782822119</v>
      </c>
      <c r="BI147" s="114">
        <f t="shared" si="49"/>
        <v>141.03950747873688</v>
      </c>
      <c r="BJ147" s="114">
        <f t="shared" si="49"/>
        <v>198.86823284498732</v>
      </c>
      <c r="BK147" s="114">
        <f t="shared" si="49"/>
        <v>339.90774032372417</v>
      </c>
      <c r="BL147" s="114">
        <f t="shared" si="49"/>
        <v>148.17716507305818</v>
      </c>
      <c r="BM147" s="114">
        <f t="shared" si="49"/>
        <v>207.95755013563081</v>
      </c>
      <c r="BN147" s="114">
        <f t="shared" si="49"/>
        <v>356.13471520868899</v>
      </c>
      <c r="BO147" s="114">
        <f t="shared" si="49"/>
        <v>159.60793503302136</v>
      </c>
      <c r="BP147" s="114">
        <f t="shared" si="49"/>
        <v>214.27962050097833</v>
      </c>
      <c r="BQ147" s="114">
        <f t="shared" si="49"/>
        <v>373.88755553399966</v>
      </c>
      <c r="BR147" s="114">
        <f t="shared" ref="BR147:CC147" si="50">BR145+BR114</f>
        <v>156.97881360971314</v>
      </c>
      <c r="BS147" s="114">
        <f t="shared" si="50"/>
        <v>224.76768526104641</v>
      </c>
      <c r="BT147" s="114">
        <f t="shared" si="50"/>
        <v>381.74649887075958</v>
      </c>
      <c r="BU147" s="114">
        <f t="shared" si="50"/>
        <v>169.15310744679545</v>
      </c>
      <c r="BV147" s="114">
        <f t="shared" si="50"/>
        <v>240.96177206878411</v>
      </c>
      <c r="BW147" s="114">
        <f t="shared" si="50"/>
        <v>410.11487951557956</v>
      </c>
      <c r="BX147" s="114">
        <f t="shared" si="50"/>
        <v>181.70308510887114</v>
      </c>
      <c r="BY147" s="114">
        <f t="shared" si="50"/>
        <v>244.62481874688345</v>
      </c>
      <c r="BZ147" s="114">
        <f t="shared" si="50"/>
        <v>426.32790385575458</v>
      </c>
      <c r="CA147" s="114">
        <f t="shared" si="50"/>
        <v>183.2744156248946</v>
      </c>
      <c r="CB147" s="114">
        <f t="shared" si="50"/>
        <v>248.3777819543983</v>
      </c>
      <c r="CC147" s="114">
        <f t="shared" si="50"/>
        <v>431.65219757929293</v>
      </c>
    </row>
    <row r="148" spans="1:81">
      <c r="B148" s="45" t="s">
        <v>355</v>
      </c>
      <c r="C148" s="65"/>
      <c r="D148" s="65"/>
      <c r="E148" s="65"/>
      <c r="F148" s="65"/>
      <c r="G148" s="65"/>
      <c r="H148" s="65"/>
      <c r="I148" s="65"/>
      <c r="J148" s="65"/>
      <c r="K148" s="65"/>
      <c r="L148" s="65"/>
      <c r="M148" s="65"/>
      <c r="N148" s="65"/>
      <c r="O148" s="65"/>
      <c r="P148" s="65"/>
      <c r="Q148" s="65"/>
      <c r="R148" s="65"/>
      <c r="S148" s="65"/>
      <c r="AD148" s="69">
        <f t="shared" ref="AD148:BQ148" si="51">AD147/AD112</f>
        <v>0.18626784500339905</v>
      </c>
      <c r="AE148" s="69">
        <f t="shared" si="51"/>
        <v>0.16736493936052924</v>
      </c>
      <c r="AF148" s="69">
        <f t="shared" si="51"/>
        <v>0.20899521531100479</v>
      </c>
      <c r="AG148" s="69">
        <f t="shared" si="51"/>
        <v>0.1896516393442623</v>
      </c>
      <c r="AH148" s="69">
        <f t="shared" si="51"/>
        <v>0.20338983050847459</v>
      </c>
      <c r="AI148" s="69">
        <f t="shared" si="51"/>
        <v>0.19475800114984557</v>
      </c>
      <c r="AJ148" s="69">
        <f t="shared" si="51"/>
        <v>0.19860117123200932</v>
      </c>
      <c r="AK148" s="69">
        <f t="shared" si="51"/>
        <v>0.18814902176235648</v>
      </c>
      <c r="AL148" s="69">
        <f t="shared" si="51"/>
        <v>0.22493008655651206</v>
      </c>
      <c r="AM148" s="69">
        <f t="shared" si="51"/>
        <v>0.20771075447334439</v>
      </c>
      <c r="AN148" s="69">
        <f t="shared" si="51"/>
        <v>0.18291214244729045</v>
      </c>
      <c r="AO148" s="69">
        <f t="shared" si="51"/>
        <v>0.21345933768266695</v>
      </c>
      <c r="AP148" s="69">
        <f t="shared" si="51"/>
        <v>0.19897315798955148</v>
      </c>
      <c r="AQ148" s="69">
        <f t="shared" si="51"/>
        <v>0.17146974063400575</v>
      </c>
      <c r="AR148" s="69">
        <f t="shared" si="51"/>
        <v>0.21129707112970716</v>
      </c>
      <c r="AS148" s="69">
        <f t="shared" si="51"/>
        <v>0.1925038245792963</v>
      </c>
      <c r="AT148" s="69">
        <f t="shared" si="51"/>
        <v>0.16290463692038495</v>
      </c>
      <c r="AU148" s="69">
        <f t="shared" si="51"/>
        <v>0.22030291651020142</v>
      </c>
      <c r="AV148" s="69">
        <f t="shared" si="51"/>
        <v>0.19636602451838875</v>
      </c>
      <c r="AW148" s="69">
        <f t="shared" si="51"/>
        <v>0.18639977285633166</v>
      </c>
      <c r="AX148" s="69">
        <f t="shared" si="51"/>
        <v>0.24781986203305992</v>
      </c>
      <c r="AY148" s="69">
        <f t="shared" si="51"/>
        <v>0.21844231683302773</v>
      </c>
      <c r="AZ148" s="69">
        <f t="shared" si="51"/>
        <v>0.17111050027487629</v>
      </c>
      <c r="BA148" s="69">
        <f t="shared" si="51"/>
        <v>0.21180285343709471</v>
      </c>
      <c r="BB148" s="69">
        <f t="shared" si="51"/>
        <v>0.19204590951554787</v>
      </c>
      <c r="BC148" s="69">
        <f t="shared" si="51"/>
        <v>0.20218037661050545</v>
      </c>
      <c r="BD148" s="69">
        <f t="shared" ref="BD148" si="52">BD147/BD112</f>
        <v>0.2662384011420415</v>
      </c>
      <c r="BE148" s="69">
        <f t="shared" si="51"/>
        <v>0.23654184853357837</v>
      </c>
      <c r="BF148" s="69">
        <f t="shared" si="51"/>
        <v>0.18853296955102009</v>
      </c>
      <c r="BG148" s="69">
        <f t="shared" si="51"/>
        <v>0.2669029566200592</v>
      </c>
      <c r="BH148" s="69">
        <f t="shared" si="51"/>
        <v>0.23041135198227594</v>
      </c>
      <c r="BI148" s="69">
        <f t="shared" si="51"/>
        <v>0.20601642335079506</v>
      </c>
      <c r="BJ148" s="69">
        <f t="shared" si="51"/>
        <v>0.26574875407620391</v>
      </c>
      <c r="BK148" s="69">
        <f t="shared" si="51"/>
        <v>0.23721086043303685</v>
      </c>
      <c r="BL148" s="69">
        <f t="shared" si="51"/>
        <v>0.2109127038115641</v>
      </c>
      <c r="BM148" s="69">
        <f t="shared" si="51"/>
        <v>0.271211953917114</v>
      </c>
      <c r="BN148" s="69">
        <f t="shared" si="51"/>
        <v>0.24238006824195232</v>
      </c>
      <c r="BO148" s="69">
        <f t="shared" si="51"/>
        <v>0.21959334035209083</v>
      </c>
      <c r="BP148" s="69">
        <f t="shared" si="51"/>
        <v>0.27429261508422809</v>
      </c>
      <c r="BQ148" s="69">
        <f t="shared" si="51"/>
        <v>0.24792909668360252</v>
      </c>
      <c r="BR148" s="69">
        <f t="shared" ref="BR148:CC148" si="53">BR147/BR112</f>
        <v>0.21499181183668681</v>
      </c>
      <c r="BS148" s="69">
        <f t="shared" si="53"/>
        <v>0.28046415402072311</v>
      </c>
      <c r="BT148" s="69">
        <f t="shared" si="53"/>
        <v>0.24925092388924827</v>
      </c>
      <c r="BU148" s="69">
        <f t="shared" si="53"/>
        <v>0.22387166152324955</v>
      </c>
      <c r="BV148" s="69">
        <f t="shared" si="53"/>
        <v>0.29055720403442969</v>
      </c>
      <c r="BW148" s="69">
        <f t="shared" si="53"/>
        <v>0.25876552692882493</v>
      </c>
      <c r="BX148" s="69">
        <f t="shared" si="53"/>
        <v>0.23258101169592504</v>
      </c>
      <c r="BY148" s="69">
        <f t="shared" si="53"/>
        <v>0.29132458631411851</v>
      </c>
      <c r="BZ148" s="69">
        <f t="shared" si="53"/>
        <v>0.26301196010929695</v>
      </c>
      <c r="CA148" s="69">
        <f t="shared" si="53"/>
        <v>0.23176525911008361</v>
      </c>
      <c r="CB148" s="69">
        <f t="shared" si="53"/>
        <v>0.29212175943954233</v>
      </c>
      <c r="CC148" s="69">
        <f t="shared" si="53"/>
        <v>0.26303730352566818</v>
      </c>
    </row>
    <row r="149" spans="1:81">
      <c r="C149" s="65"/>
      <c r="D149" s="65"/>
      <c r="E149" s="65"/>
      <c r="F149" s="65"/>
      <c r="G149" s="65"/>
      <c r="H149" s="65"/>
      <c r="I149" s="65"/>
      <c r="J149" s="65"/>
      <c r="K149" s="65"/>
      <c r="L149" s="65"/>
      <c r="M149" s="65"/>
      <c r="N149" s="65"/>
      <c r="O149" s="65"/>
      <c r="P149" s="65"/>
      <c r="Q149" s="65"/>
      <c r="R149" s="65"/>
      <c r="S149" s="65"/>
    </row>
    <row r="150" spans="1:81">
      <c r="C150" s="65"/>
      <c r="D150" s="65"/>
      <c r="E150" s="65"/>
      <c r="F150" s="65"/>
      <c r="G150" s="65"/>
      <c r="H150" s="65"/>
      <c r="I150" s="65"/>
      <c r="J150" s="65"/>
      <c r="K150" s="65"/>
      <c r="L150" s="65"/>
      <c r="M150" s="65"/>
      <c r="N150" s="65"/>
      <c r="O150" s="65"/>
      <c r="P150" s="65"/>
      <c r="Q150" s="65"/>
      <c r="R150" s="65"/>
      <c r="S150" s="65"/>
      <c r="BE150" s="114"/>
      <c r="BH150" s="114"/>
    </row>
    <row r="151" spans="1:81">
      <c r="B151" s="45" t="s">
        <v>72</v>
      </c>
      <c r="C151" s="65"/>
      <c r="D151" s="65"/>
      <c r="E151" s="65"/>
      <c r="F151" s="65"/>
      <c r="G151" s="65"/>
      <c r="H151" s="65"/>
      <c r="I151" s="65"/>
      <c r="J151" s="65"/>
      <c r="K151" s="65"/>
      <c r="L151" s="65"/>
      <c r="M151" s="65"/>
      <c r="N151" s="65"/>
      <c r="O151" s="65"/>
      <c r="P151" s="65"/>
      <c r="Q151" s="65"/>
      <c r="R151" s="65"/>
      <c r="S151" s="65"/>
      <c r="AD151" s="65">
        <v>590.1</v>
      </c>
      <c r="AG151" s="65">
        <v>709.8</v>
      </c>
    </row>
    <row r="152" spans="1:81">
      <c r="B152" s="45" t="s">
        <v>126</v>
      </c>
      <c r="C152" s="65"/>
      <c r="D152" s="65"/>
      <c r="E152" s="65"/>
      <c r="F152" s="65"/>
      <c r="G152" s="65"/>
      <c r="H152" s="65"/>
      <c r="I152" s="65"/>
      <c r="J152" s="65"/>
      <c r="K152" s="65"/>
      <c r="L152" s="65"/>
      <c r="M152" s="65"/>
      <c r="N152" s="65"/>
      <c r="O152" s="65"/>
      <c r="P152" s="65"/>
      <c r="Q152" s="65"/>
      <c r="R152" s="65"/>
      <c r="S152" s="65"/>
      <c r="AD152" s="71">
        <f>AD114/AD151</f>
        <v>0.27317403829859349</v>
      </c>
      <c r="AG152" s="71">
        <f>AG114/AG151</f>
        <v>0.22189349112426038</v>
      </c>
    </row>
    <row r="153" spans="1:81">
      <c r="A153" s="66"/>
      <c r="B153" s="65"/>
      <c r="C153" s="65"/>
      <c r="D153" s="65"/>
      <c r="E153" s="65"/>
      <c r="F153" s="65"/>
      <c r="G153" s="65"/>
      <c r="H153" s="65"/>
      <c r="I153" s="65"/>
      <c r="J153" s="65"/>
      <c r="K153" s="65"/>
      <c r="L153" s="65"/>
      <c r="M153" s="65"/>
      <c r="N153" s="65"/>
      <c r="O153" s="65"/>
      <c r="P153" s="65"/>
      <c r="Q153" s="65"/>
      <c r="R153" s="65"/>
      <c r="S153" s="65"/>
    </row>
    <row r="154" spans="1:81" s="613" customFormat="1">
      <c r="A154" s="236" t="s">
        <v>413</v>
      </c>
      <c r="B154" s="236"/>
      <c r="C154" s="237"/>
      <c r="D154" s="237"/>
      <c r="E154" s="237"/>
      <c r="F154" s="237"/>
      <c r="G154" s="237"/>
      <c r="H154" s="237"/>
      <c r="I154" s="237"/>
      <c r="J154" s="237"/>
      <c r="K154" s="237"/>
      <c r="L154" s="237"/>
      <c r="M154" s="237"/>
      <c r="N154" s="237"/>
      <c r="O154" s="237"/>
      <c r="P154" s="237"/>
      <c r="Q154" s="237"/>
      <c r="R154" s="237"/>
      <c r="S154" s="237"/>
      <c r="T154" s="237"/>
      <c r="U154" s="237"/>
      <c r="V154" s="237"/>
      <c r="W154" s="237"/>
      <c r="X154" s="237"/>
      <c r="Y154" s="237"/>
      <c r="Z154" s="237"/>
      <c r="AA154" s="237"/>
      <c r="AB154" s="237"/>
      <c r="AC154" s="237"/>
      <c r="AD154" s="237"/>
      <c r="AE154" s="237"/>
      <c r="AF154" s="237"/>
      <c r="AG154" s="237"/>
      <c r="AH154" s="237"/>
      <c r="AI154" s="237"/>
      <c r="AJ154" s="237"/>
      <c r="AK154" s="237"/>
      <c r="AL154" s="237"/>
      <c r="AM154" s="237"/>
      <c r="AN154" s="237">
        <v>58.5</v>
      </c>
      <c r="AO154" s="237"/>
      <c r="AP154" s="237"/>
      <c r="AQ154" s="237"/>
      <c r="AR154" s="237"/>
      <c r="AS154" s="237"/>
      <c r="AT154" s="237"/>
      <c r="AU154" s="237"/>
      <c r="AV154" s="237"/>
      <c r="AW154" s="237"/>
      <c r="AX154" s="237"/>
      <c r="AY154" s="237"/>
      <c r="AZ154" s="237"/>
      <c r="BA154" s="237"/>
      <c r="BB154" s="237"/>
      <c r="BC154" s="237"/>
      <c r="BD154" s="237"/>
      <c r="BE154" s="237"/>
      <c r="BF154" s="237"/>
      <c r="BG154" s="237"/>
      <c r="BH154" s="237"/>
      <c r="BI154" s="237"/>
      <c r="BJ154" s="237"/>
      <c r="BK154" s="237"/>
      <c r="BL154" s="237"/>
      <c r="BM154" s="237"/>
      <c r="BN154" s="237"/>
      <c r="BO154" s="237"/>
      <c r="BP154" s="237"/>
      <c r="BQ154" s="237"/>
      <c r="BR154" s="237"/>
      <c r="BS154" s="237"/>
      <c r="BT154" s="237"/>
      <c r="BU154" s="237"/>
      <c r="BV154" s="237"/>
      <c r="BW154" s="237"/>
      <c r="BX154" s="237"/>
      <c r="BY154" s="237"/>
      <c r="BZ154" s="237"/>
      <c r="CA154" s="237"/>
      <c r="CB154" s="237"/>
      <c r="CC154" s="237"/>
    </row>
    <row r="155" spans="1:81">
      <c r="B155" s="141"/>
      <c r="C155" s="65"/>
      <c r="D155" s="65"/>
      <c r="E155" s="65"/>
      <c r="F155" s="65"/>
      <c r="G155" s="65"/>
      <c r="H155" s="65"/>
      <c r="I155" s="65"/>
      <c r="J155" s="65"/>
      <c r="K155" s="65"/>
      <c r="L155" s="65"/>
      <c r="M155" s="65"/>
      <c r="N155" s="65"/>
      <c r="O155" s="65"/>
      <c r="P155" s="65"/>
      <c r="Q155" s="65"/>
      <c r="R155" s="65"/>
      <c r="S155" s="65"/>
    </row>
    <row r="156" spans="1:81">
      <c r="B156" s="45" t="s">
        <v>392</v>
      </c>
      <c r="C156" s="65"/>
      <c r="D156" s="65"/>
      <c r="E156" s="65"/>
      <c r="F156" s="65"/>
      <c r="G156" s="65"/>
      <c r="H156" s="65"/>
      <c r="I156" s="65"/>
      <c r="J156" s="65"/>
      <c r="K156" s="65"/>
      <c r="L156" s="65"/>
      <c r="M156" s="65"/>
      <c r="N156" s="65"/>
      <c r="O156" s="65"/>
      <c r="P156" s="65"/>
      <c r="Q156" s="65"/>
      <c r="R156" s="65"/>
      <c r="S156" s="65"/>
      <c r="AD156" s="174">
        <v>122.2</v>
      </c>
      <c r="AE156" s="174">
        <v>63</v>
      </c>
      <c r="AF156" s="174">
        <v>69.800000000000011</v>
      </c>
      <c r="AG156" s="174">
        <v>132.80000000000001</v>
      </c>
      <c r="AH156" s="174">
        <v>63</v>
      </c>
      <c r="AI156" s="174">
        <v>80.975398783987714</v>
      </c>
      <c r="AJ156" s="174">
        <v>143.97539878398771</v>
      </c>
      <c r="AK156" s="174">
        <v>48.826040280871638</v>
      </c>
      <c r="AL156" s="174">
        <f>+AM156-AK156</f>
        <v>71.373959719128365</v>
      </c>
      <c r="AM156" s="174">
        <v>120.2</v>
      </c>
      <c r="AN156" s="174">
        <v>58.503654356289992</v>
      </c>
      <c r="AO156" s="110">
        <f>+AP156-AN156</f>
        <v>65.196345643710004</v>
      </c>
      <c r="AP156" s="174">
        <v>123.7</v>
      </c>
      <c r="AQ156" s="174">
        <v>57</v>
      </c>
      <c r="AR156" s="110">
        <f>+AS156-AQ156</f>
        <v>67.400000000000006</v>
      </c>
      <c r="AS156" s="174">
        <v>124.4</v>
      </c>
      <c r="AT156" s="174">
        <v>62.2</v>
      </c>
      <c r="AU156" s="110">
        <f>AV156-AT156</f>
        <v>75.2</v>
      </c>
      <c r="AV156" s="174">
        <f>137.4</f>
        <v>137.4</v>
      </c>
      <c r="AW156" s="174">
        <f>67.3</f>
        <v>67.3</v>
      </c>
      <c r="AX156" s="110">
        <f>AY156-AW156</f>
        <v>80.500000000000014</v>
      </c>
      <c r="AY156" s="174">
        <v>147.80000000000001</v>
      </c>
      <c r="AZ156" s="174">
        <v>71.8</v>
      </c>
      <c r="BA156" s="110">
        <f>BB156-AZ156</f>
        <v>77.399999999999991</v>
      </c>
      <c r="BB156" s="174">
        <v>149.19999999999999</v>
      </c>
      <c r="BC156" s="174">
        <v>69</v>
      </c>
      <c r="BD156" s="110">
        <f>BE156-BC156</f>
        <v>78.599999999999994</v>
      </c>
      <c r="BE156" s="174">
        <v>147.6</v>
      </c>
      <c r="BF156" s="110">
        <f>BC156*(1+BF160)</f>
        <v>63.298529516945422</v>
      </c>
      <c r="BG156" s="110">
        <f>BD156*(1+BG160)</f>
        <v>75.138069756991868</v>
      </c>
      <c r="BH156" s="110">
        <f>BG156+BF156</f>
        <v>138.4365992739373</v>
      </c>
      <c r="BI156" s="110">
        <f>BF156*(1+BI160)</f>
        <v>60.750013428440617</v>
      </c>
      <c r="BJ156" s="110">
        <f>BG156*(1+BJ160)</f>
        <v>74.739371628212538</v>
      </c>
      <c r="BK156" s="110">
        <f>BJ156+BI156</f>
        <v>135.48938505665316</v>
      </c>
      <c r="BL156" s="110">
        <f>BI156*(1+BL160)</f>
        <v>62.04189947866211</v>
      </c>
      <c r="BM156" s="110">
        <f>BJ156*(1+BM160)</f>
        <v>78.216857774521898</v>
      </c>
      <c r="BN156" s="110">
        <f>BM156+BL156</f>
        <v>140.258757253184</v>
      </c>
      <c r="BO156" s="110">
        <f>BL156*(1+BO160)</f>
        <v>66.459221341305508</v>
      </c>
      <c r="BP156" s="110">
        <f>BM156*(1+BP160)</f>
        <v>83.252456010800941</v>
      </c>
      <c r="BQ156" s="110">
        <f>BP156+BO156</f>
        <v>149.71167735210645</v>
      </c>
      <c r="BR156" s="110">
        <f>BO156*(1+BR160)</f>
        <v>68.306348744709638</v>
      </c>
      <c r="BS156" s="110">
        <f>BP156*(1+BS160)</f>
        <v>86.812826837214828</v>
      </c>
      <c r="BT156" s="110">
        <f>BS156+BR156</f>
        <v>155.11917558192448</v>
      </c>
      <c r="BU156" s="110">
        <f>BR156*(1+BU160)</f>
        <v>72.482614860975673</v>
      </c>
      <c r="BV156" s="110">
        <f>BS156*(1+BV160)</f>
        <v>90.086590052649612</v>
      </c>
      <c r="BW156" s="110">
        <f>BV156+BU156</f>
        <v>162.5692049136253</v>
      </c>
      <c r="BX156" s="110">
        <f>BU156*(1+BX160)</f>
        <v>74.866406899914736</v>
      </c>
      <c r="BY156" s="110">
        <f>BV156*(1+BY160)</f>
        <v>91.585030827134844</v>
      </c>
      <c r="BZ156" s="110">
        <f>BY156+BX156</f>
        <v>166.45143772704958</v>
      </c>
      <c r="CA156" s="110">
        <f>BX156*(1+CA160)</f>
        <v>76.11168521128684</v>
      </c>
      <c r="CB156" s="110">
        <f>BY156*(1+CB160)</f>
        <v>93.108395674707182</v>
      </c>
      <c r="CC156" s="110">
        <f>CB156+CA156</f>
        <v>169.22008088599404</v>
      </c>
    </row>
    <row r="157" spans="1:81">
      <c r="B157" s="45" t="s">
        <v>69</v>
      </c>
      <c r="C157" s="65"/>
      <c r="D157" s="65"/>
      <c r="E157" s="65"/>
      <c r="F157" s="65"/>
      <c r="G157" s="65"/>
      <c r="H157" s="65"/>
      <c r="I157" s="65"/>
      <c r="J157" s="65"/>
      <c r="K157" s="65"/>
      <c r="L157" s="65"/>
      <c r="M157" s="65"/>
      <c r="N157" s="65"/>
      <c r="O157" s="65"/>
      <c r="P157" s="65"/>
      <c r="Q157" s="65"/>
      <c r="R157" s="65"/>
      <c r="S157" s="65"/>
      <c r="AH157" s="128"/>
      <c r="AI157" s="128">
        <v>1.4999999999999999E-2</v>
      </c>
      <c r="AJ157" s="69">
        <f>(AH157+AI157)/2</f>
        <v>7.4999999999999997E-3</v>
      </c>
      <c r="AK157" s="128">
        <v>0</v>
      </c>
      <c r="AL157" s="128">
        <v>0.01</v>
      </c>
      <c r="AM157" s="69">
        <f>(AK157+AL157)/2</f>
        <v>5.0000000000000001E-3</v>
      </c>
      <c r="AN157" s="128">
        <v>0.02</v>
      </c>
      <c r="AO157" s="128">
        <v>0.02</v>
      </c>
      <c r="AP157" s="69">
        <f>(AN157+AO157)/2</f>
        <v>0.02</v>
      </c>
      <c r="AQ157" s="128">
        <v>0.03</v>
      </c>
      <c r="AR157" s="128">
        <v>0.04</v>
      </c>
      <c r="AS157" s="69">
        <f>(AQ157+AR157)/2</f>
        <v>3.5000000000000003E-2</v>
      </c>
      <c r="AT157" s="128">
        <v>0.06</v>
      </c>
      <c r="AU157" s="128">
        <v>0.05</v>
      </c>
      <c r="AV157" s="69">
        <f>(AT157+AU157)/2</f>
        <v>5.5E-2</v>
      </c>
      <c r="AW157" s="128">
        <v>0.02</v>
      </c>
      <c r="AX157" s="128">
        <v>0.02</v>
      </c>
      <c r="AY157" s="69">
        <f>(AW157+AX157)/2</f>
        <v>0.02</v>
      </c>
      <c r="AZ157" s="128">
        <v>3.5000000000000003E-2</v>
      </c>
      <c r="BA157" s="128">
        <v>3.5000000000000003E-2</v>
      </c>
      <c r="BB157" s="69">
        <f>(AZ157+BA157)/2</f>
        <v>3.5000000000000003E-2</v>
      </c>
      <c r="BC157" s="128">
        <v>3.5000000000000003E-2</v>
      </c>
      <c r="BD157" s="128">
        <v>3.5000000000000003E-2</v>
      </c>
      <c r="BE157" s="69">
        <f>(BC157+BD157)/2</f>
        <v>3.5000000000000003E-2</v>
      </c>
      <c r="BF157" s="128">
        <v>0.02</v>
      </c>
      <c r="BG157" s="128">
        <v>0.02</v>
      </c>
      <c r="BH157" s="69">
        <f>(BF157+BG157)/2</f>
        <v>0.02</v>
      </c>
      <c r="BI157" s="128">
        <v>0.02</v>
      </c>
      <c r="BJ157" s="128">
        <v>0.02</v>
      </c>
      <c r="BK157" s="69">
        <f>(BI157+BJ157)/2</f>
        <v>0.02</v>
      </c>
      <c r="BL157" s="128">
        <v>0.02</v>
      </c>
      <c r="BM157" s="128">
        <v>0.02</v>
      </c>
      <c r="BN157" s="69">
        <f>(BL157+BM157)/2</f>
        <v>0.02</v>
      </c>
      <c r="BO157" s="128">
        <v>0.02</v>
      </c>
      <c r="BP157" s="128">
        <v>0.02</v>
      </c>
      <c r="BQ157" s="69">
        <f>(BO157+BP157)/2</f>
        <v>0.02</v>
      </c>
      <c r="BR157" s="128">
        <v>0.02</v>
      </c>
      <c r="BS157" s="128">
        <v>0.02</v>
      </c>
      <c r="BT157" s="69">
        <f>(BR157+BS157)/2</f>
        <v>0.02</v>
      </c>
      <c r="BU157" s="128">
        <v>0.02</v>
      </c>
      <c r="BV157" s="128">
        <v>0.02</v>
      </c>
      <c r="BW157" s="69">
        <f>(BU157+BV157)/2</f>
        <v>0.02</v>
      </c>
      <c r="BX157" s="128">
        <v>0.02</v>
      </c>
      <c r="BY157" s="128">
        <v>0.02</v>
      </c>
      <c r="BZ157" s="69">
        <f>(BX157+BY157)/2</f>
        <v>0.02</v>
      </c>
      <c r="CA157" s="128">
        <v>0.02</v>
      </c>
      <c r="CB157" s="128">
        <v>0.02</v>
      </c>
      <c r="CC157" s="69">
        <f>(CA157+CB157)/2</f>
        <v>0.02</v>
      </c>
    </row>
    <row r="158" spans="1:81">
      <c r="B158" s="45" t="s">
        <v>70</v>
      </c>
      <c r="C158" s="65"/>
      <c r="D158" s="65"/>
      <c r="E158" s="65"/>
      <c r="F158" s="65"/>
      <c r="G158" s="65"/>
      <c r="H158" s="65"/>
      <c r="I158" s="65"/>
      <c r="J158" s="65"/>
      <c r="K158" s="65"/>
      <c r="L158" s="65"/>
      <c r="M158" s="65"/>
      <c r="N158" s="65"/>
      <c r="O158" s="65"/>
      <c r="P158" s="65"/>
      <c r="Q158" s="65"/>
      <c r="R158" s="65"/>
      <c r="S158" s="65"/>
      <c r="AH158" s="128"/>
      <c r="AI158" s="69">
        <f>AI39*0.5+AI43*0.3+AI47*0.2</f>
        <v>0.20730599977059727</v>
      </c>
      <c r="AJ158" s="69">
        <f>(AH158+AI158)/2</f>
        <v>0.10365299988529864</v>
      </c>
      <c r="AK158" s="69">
        <f>AK39*0.5+AK43*0.3+AK47*0.2</f>
        <v>-4.4983487605212077E-2</v>
      </c>
      <c r="AL158" s="69">
        <f>AL39*0.5+AL43*0.3+AL47*0.2</f>
        <v>-9.0594430717279295E-2</v>
      </c>
      <c r="AM158" s="69">
        <f>(AK158+AL158)/2</f>
        <v>-6.7788959161245693E-2</v>
      </c>
      <c r="AN158" s="69">
        <f>AN39*0.5+AN43*0.3+AN47*0.2</f>
        <v>-8.1632418339468493E-2</v>
      </c>
      <c r="AO158" s="69">
        <f>AO39*0.5+AO43*0.3+AO47*0.2</f>
        <v>-1.0175811692545125E-2</v>
      </c>
      <c r="AP158" s="69">
        <f>(AN158+AO158)/2</f>
        <v>-4.5904115016006809E-2</v>
      </c>
      <c r="AQ158" s="69">
        <f>AQ39*0.5+AQ43*0.3+AQ47*0.2</f>
        <v>8.9875934210851258E-2</v>
      </c>
      <c r="AR158" s="69">
        <f>AR39*0.5+AR43*0.3+AR47*0.2</f>
        <v>7.0284819946101779E-2</v>
      </c>
      <c r="AS158" s="69">
        <f>(AQ158+AR158)/2</f>
        <v>8.0080377078476511E-2</v>
      </c>
      <c r="AT158" s="69">
        <f>AT39*0.5+AT43*0.3+AT47*0.2</f>
        <v>8.4907941532508274E-2</v>
      </c>
      <c r="AU158" s="69">
        <f>AU39*0.5+AU43*0.3+AU47*0.2</f>
        <v>7.7390504169860513E-2</v>
      </c>
      <c r="AV158" s="69">
        <f>(AT158+AU158)/2</f>
        <v>8.1149222851184394E-2</v>
      </c>
      <c r="AW158" s="69">
        <f>AW39*0.5+AW43*0.3+AW47*0.2</f>
        <v>4.3352130631162764E-2</v>
      </c>
      <c r="AX158" s="69">
        <f>AX39*0.5+AX43*0.3+AX47*0.2</f>
        <v>3.2725831112618023E-2</v>
      </c>
      <c r="AY158" s="69">
        <f>(AW158+AX158)/2</f>
        <v>3.8038980871890393E-2</v>
      </c>
      <c r="AZ158" s="69">
        <f>AZ39*0.5+AZ43*0.3+AZ47*0.2</f>
        <v>2.9186457800504086E-2</v>
      </c>
      <c r="BA158" s="69">
        <f>BA39*0.5+BA43*0.3+BA47*0.2</f>
        <v>-5.1512583390894075E-2</v>
      </c>
      <c r="BB158" s="69">
        <f>(AZ158+BA158)/2</f>
        <v>-1.1163062795194995E-2</v>
      </c>
      <c r="BC158" s="69">
        <f>BC39*0.5+BC43*0.3+BC47*0.2</f>
        <v>-8.7832597402726281E-2</v>
      </c>
      <c r="BD158" s="69">
        <f>BD39*0.5+BD43*0.3+BD47*0.2</f>
        <v>-9.3995539161405711E-2</v>
      </c>
      <c r="BE158" s="69">
        <f>(BC158+BD158)/2</f>
        <v>-9.0914068282065996E-2</v>
      </c>
      <c r="BF158" s="69">
        <f>BF39*0.5+BF43*0.3+BF47*0.2</f>
        <v>-0.1026300070007911</v>
      </c>
      <c r="BG158" s="69">
        <f>BG39*0.5+BG43*0.3+BG47*0.2</f>
        <v>-6.4044914033182174E-2</v>
      </c>
      <c r="BH158" s="69">
        <f>(BF158+BG158)/2</f>
        <v>-8.3337460516986636E-2</v>
      </c>
      <c r="BI158" s="69">
        <f>BI39*0.5+BI43*0.3+BI47*0.2</f>
        <v>-6.0261852968046412E-2</v>
      </c>
      <c r="BJ158" s="69">
        <f>BJ39*0.5+BJ43*0.3+BJ47*0.2</f>
        <v>-2.53062066948057E-2</v>
      </c>
      <c r="BK158" s="69">
        <f>(BI158+BJ158)/2</f>
        <v>-4.2784029831426054E-2</v>
      </c>
      <c r="BL158" s="69">
        <f>BL39*0.5+BL43*0.3+BL47*0.2</f>
        <v>1.2656092947740619E-3</v>
      </c>
      <c r="BM158" s="69">
        <f>BM39*0.5+BM43*0.3+BM47*0.2</f>
        <v>2.6528169431339996E-2</v>
      </c>
      <c r="BN158" s="69">
        <f>(BL158+BM158)/2</f>
        <v>1.3896889363057028E-2</v>
      </c>
      <c r="BO158" s="69">
        <f>BO39*0.5+BO43*0.3+BO47*0.2</f>
        <v>5.1199010664762672E-2</v>
      </c>
      <c r="BP158" s="69">
        <f>BP39*0.5+BP43*0.3+BP47*0.2</f>
        <v>4.437996078537592E-2</v>
      </c>
      <c r="BQ158" s="69">
        <f>(BO158+BP158)/2</f>
        <v>4.7789485725069296E-2</v>
      </c>
      <c r="BR158" s="69">
        <f>BR39*0.5+BR43*0.3+BR47*0.2</f>
        <v>7.7933951997134479E-3</v>
      </c>
      <c r="BS158" s="69">
        <f>BS39*0.5+BS43*0.3+BS47*0.2</f>
        <v>2.2765955468652697E-2</v>
      </c>
      <c r="BT158" s="69">
        <f>(BR158+BS158)/2</f>
        <v>1.5279675334183073E-2</v>
      </c>
      <c r="BU158" s="69">
        <f>BU39*0.5+BU43*0.3+BU47*0.2</f>
        <v>4.1140233565617114E-2</v>
      </c>
      <c r="BV158" s="69">
        <f>BV39*0.5+BV43*0.3+BV47*0.2</f>
        <v>1.7710593407740394E-2</v>
      </c>
      <c r="BW158" s="69">
        <f>(BU158+BV158)/2</f>
        <v>2.9425413486678754E-2</v>
      </c>
      <c r="BX158" s="69">
        <f>BX39*0.5+BX43*0.3+BX47*0.2</f>
        <v>1.2887776517324267E-2</v>
      </c>
      <c r="BY158" s="69">
        <f>BY39*0.5+BY43*0.3+BY47*0.2</f>
        <v>-3.3666611910886162E-3</v>
      </c>
      <c r="BZ158" s="69">
        <f>(BX158+BY158)/2</f>
        <v>4.7605576631178249E-3</v>
      </c>
      <c r="CA158" s="69">
        <f>CA39*0.5+CA43*0.3+CA47*0.2</f>
        <v>-3.3666611910885495E-3</v>
      </c>
      <c r="CB158" s="69">
        <f>CB39*0.5+CB43*0.3+CB47*0.2</f>
        <v>-3.3666611910886162E-3</v>
      </c>
      <c r="CC158" s="69">
        <f>(CA158+CB158)/2</f>
        <v>-3.3666611910885829E-3</v>
      </c>
    </row>
    <row r="159" spans="1:81">
      <c r="B159" s="45" t="s">
        <v>182</v>
      </c>
      <c r="C159" s="65"/>
      <c r="D159" s="65"/>
      <c r="E159" s="65"/>
      <c r="F159" s="65"/>
      <c r="G159" s="65"/>
      <c r="H159" s="65"/>
      <c r="I159" s="65"/>
      <c r="J159" s="65"/>
      <c r="K159" s="65"/>
      <c r="L159" s="65"/>
      <c r="M159" s="65"/>
      <c r="N159" s="65"/>
      <c r="O159" s="65"/>
      <c r="P159" s="65"/>
      <c r="Q159" s="65"/>
      <c r="R159" s="65"/>
      <c r="S159" s="65"/>
      <c r="AH159" s="128"/>
      <c r="AI159" s="128">
        <v>-6.2199999999999998E-2</v>
      </c>
      <c r="AJ159" s="128">
        <f>AJ160-AJ157-AJ158</f>
        <v>-2.7000900608282918E-2</v>
      </c>
      <c r="AK159" s="128">
        <v>-0.18</v>
      </c>
      <c r="AL159" s="128">
        <v>6.0000000000000001E-3</v>
      </c>
      <c r="AM159" s="128">
        <f>AM160-AM157-AM158</f>
        <v>-0.10234618882093796</v>
      </c>
      <c r="AN159" s="128">
        <v>0.28899999999999998</v>
      </c>
      <c r="AO159" s="128">
        <f>AO160-AO157-AO158</f>
        <v>-9.6376960491155822E-2</v>
      </c>
      <c r="AP159" s="128">
        <f>AP160-AP157-AP158</f>
        <v>5.5022251455274673E-2</v>
      </c>
      <c r="AQ159" s="128">
        <f>+AQ160-AQ158-AQ157</f>
        <v>-0.14557782194478092</v>
      </c>
      <c r="AR159" s="128">
        <f>+AR160-AR158-AR157</f>
        <v>-7.6484545796800474E-2</v>
      </c>
      <c r="AS159" s="128">
        <f>+AS160-AS158-AS157</f>
        <v>-0.10942152501703761</v>
      </c>
      <c r="AT159" s="128">
        <f>+AT160-AT158-AT157</f>
        <v>-5.3679871357069614E-2</v>
      </c>
      <c r="AU159" s="128">
        <v>0</v>
      </c>
      <c r="AV159" s="128">
        <f>AV160-AV157-AV158</f>
        <v>-3.1647615134142638E-2</v>
      </c>
      <c r="AW159" s="128">
        <f>+AW160-AW158-AW157</f>
        <v>1.8641438500669991E-2</v>
      </c>
      <c r="AX159" s="128">
        <f>AX160-AX157-AX158</f>
        <v>1.7752892291637401E-2</v>
      </c>
      <c r="AY159" s="128">
        <f>AY160-AY157-AY158</f>
        <v>1.7652431064063126E-2</v>
      </c>
      <c r="AZ159" s="128">
        <f>AZ160-AZ157-AZ158</f>
        <v>2.6783267463012447E-3</v>
      </c>
      <c r="BA159" s="128">
        <f>BA160-BA157-BA158</f>
        <v>-2.1996733379292581E-2</v>
      </c>
      <c r="BB159" s="128">
        <f>BB160-BB157-BB158</f>
        <v>-1.4364677394250458E-2</v>
      </c>
      <c r="BC159" s="128">
        <v>0</v>
      </c>
      <c r="BD159" s="128">
        <f>BD160-BD157-BD158</f>
        <v>7.4499415130397983E-2</v>
      </c>
      <c r="BE159" s="128">
        <f>BE160-BE157-BE158</f>
        <v>4.5190207692253653E-2</v>
      </c>
      <c r="BF159" s="128">
        <v>0</v>
      </c>
      <c r="BG159" s="128">
        <v>0</v>
      </c>
      <c r="BH159" s="128">
        <f>BH160-BH157-BH158</f>
        <v>1.2547997713044934E-3</v>
      </c>
      <c r="BI159" s="128">
        <v>0</v>
      </c>
      <c r="BJ159" s="128">
        <v>0</v>
      </c>
      <c r="BK159" s="128">
        <f>BK160-BK157-BK158</f>
        <v>1.4947592718956015E-3</v>
      </c>
      <c r="BL159" s="128">
        <v>0</v>
      </c>
      <c r="BM159" s="128">
        <v>0</v>
      </c>
      <c r="BN159" s="128">
        <f>BN160-BN157-BN158</f>
        <v>1.3041870499518188E-3</v>
      </c>
      <c r="BO159" s="128">
        <v>0</v>
      </c>
      <c r="BP159" s="128">
        <v>0</v>
      </c>
      <c r="BQ159" s="128">
        <f>BQ160-BQ157-BQ158</f>
        <v>-3.9319415620290427E-4</v>
      </c>
      <c r="BR159" s="128">
        <v>0</v>
      </c>
      <c r="BS159" s="128">
        <v>0</v>
      </c>
      <c r="BT159" s="128">
        <f>BT160-BT157-BT158</f>
        <v>8.3973983408159453E-4</v>
      </c>
      <c r="BU159" s="128">
        <v>0</v>
      </c>
      <c r="BV159" s="128">
        <v>0</v>
      </c>
      <c r="BW159" s="128">
        <f>BW160-BW157-BW158</f>
        <v>-1.3976354653460199E-3</v>
      </c>
      <c r="BX159" s="128">
        <v>0</v>
      </c>
      <c r="BY159" s="128">
        <v>0</v>
      </c>
      <c r="BZ159" s="128">
        <f>BZ160-BZ157-BZ158</f>
        <v>-8.8006433421863699E-4</v>
      </c>
      <c r="CA159" s="128">
        <v>0</v>
      </c>
      <c r="CB159" s="128">
        <v>0</v>
      </c>
      <c r="CC159" s="128">
        <f>CC160-CC157-CC158</f>
        <v>7.32920668600201E-17</v>
      </c>
    </row>
    <row r="160" spans="1:81">
      <c r="A160" s="66"/>
      <c r="B160" s="134" t="s">
        <v>414</v>
      </c>
      <c r="C160" s="65"/>
      <c r="D160" s="65"/>
      <c r="E160" s="65"/>
      <c r="F160" s="65"/>
      <c r="G160" s="65"/>
      <c r="H160" s="65"/>
      <c r="I160" s="65"/>
      <c r="J160" s="65"/>
      <c r="K160" s="65"/>
      <c r="L160" s="65"/>
      <c r="M160" s="65"/>
      <c r="N160" s="65"/>
      <c r="O160" s="65"/>
      <c r="P160" s="65"/>
      <c r="Q160" s="65"/>
      <c r="R160" s="65"/>
      <c r="S160" s="65"/>
      <c r="AH160" s="69">
        <f>AH156/AE156-1</f>
        <v>0</v>
      </c>
      <c r="AI160" s="128">
        <f>AI157+AI158+AI159</f>
        <v>0.16010599977059728</v>
      </c>
      <c r="AJ160" s="138">
        <f>AJ156/AG156-1</f>
        <v>8.4152099277015724E-2</v>
      </c>
      <c r="AK160" s="128">
        <f>AK157+AK158+AK159</f>
        <v>-0.22498348760521208</v>
      </c>
      <c r="AL160" s="128">
        <f>AL157+AL158+AL159</f>
        <v>-7.4594430717279295E-2</v>
      </c>
      <c r="AM160" s="138">
        <f>AM156/AJ156-1</f>
        <v>-0.16513514798218365</v>
      </c>
      <c r="AN160" s="128">
        <f>AN157+AN158+AN159</f>
        <v>0.2273675816605315</v>
      </c>
      <c r="AO160" s="138">
        <f>AO156/AL156-1</f>
        <v>-8.6552772183700943E-2</v>
      </c>
      <c r="AP160" s="138">
        <f>AP156/AM156-1</f>
        <v>2.9118136439267861E-2</v>
      </c>
      <c r="AQ160" s="128">
        <f>+AQ156/AN156-1</f>
        <v>-2.5701887733929674E-2</v>
      </c>
      <c r="AR160" s="128">
        <f>+AR156/AO156-1</f>
        <v>3.3800274149301313E-2</v>
      </c>
      <c r="AS160" s="138">
        <f>AS156/AP156-1</f>
        <v>5.6588520614389015E-3</v>
      </c>
      <c r="AT160" s="128">
        <f>+AT156/AQ156-1</f>
        <v>9.1228070175438658E-2</v>
      </c>
      <c r="AU160" s="128">
        <f>AU157+AU158+AU159</f>
        <v>0.12739050416986053</v>
      </c>
      <c r="AV160" s="138">
        <f>AV156/AS156-1</f>
        <v>0.10450160771704176</v>
      </c>
      <c r="AW160" s="128">
        <f>+AW156/AT156-1</f>
        <v>8.1993569131832755E-2</v>
      </c>
      <c r="AX160" s="128">
        <f>+AX156/AU156-1</f>
        <v>7.0478723404255428E-2</v>
      </c>
      <c r="AY160" s="138">
        <f>AY156/AV156-1</f>
        <v>7.5691411935953523E-2</v>
      </c>
      <c r="AZ160" s="138">
        <f>AZ156/AW156-1</f>
        <v>6.6864784546805334E-2</v>
      </c>
      <c r="BA160" s="138">
        <f>BA156/AX156-1</f>
        <v>-3.8509316770186652E-2</v>
      </c>
      <c r="BB160" s="138">
        <f>BB156/AY156-1</f>
        <v>9.4722598105545508E-3</v>
      </c>
      <c r="BC160" s="128">
        <f>BC157+BC158+BC159</f>
        <v>-5.2832597402726278E-2</v>
      </c>
      <c r="BD160" s="138">
        <f>BD156/BA156-1</f>
        <v>1.5503875968992276E-2</v>
      </c>
      <c r="BE160" s="138">
        <f>BE156/BB156-1</f>
        <v>-1.072386058981234E-2</v>
      </c>
      <c r="BF160" s="128">
        <f>BF157+BF158+BF159</f>
        <v>-8.2630007000791095E-2</v>
      </c>
      <c r="BG160" s="128">
        <f>BG157+BG158+BG159</f>
        <v>-4.404491403318217E-2</v>
      </c>
      <c r="BH160" s="138">
        <f>BH156/BE156-1</f>
        <v>-6.2082660745682139E-2</v>
      </c>
      <c r="BI160" s="128">
        <f>BI157+BI158+BI159</f>
        <v>-4.0261852968046408E-2</v>
      </c>
      <c r="BJ160" s="128">
        <f>BJ157+BJ158+BJ159</f>
        <v>-5.3062066948056999E-3</v>
      </c>
      <c r="BK160" s="138">
        <f>BK156/BH156-1</f>
        <v>-2.1289270559530449E-2</v>
      </c>
      <c r="BL160" s="128">
        <f>BL157+BL158+BL159</f>
        <v>2.1265609294774064E-2</v>
      </c>
      <c r="BM160" s="128">
        <f>BM157+BM158+BM159</f>
        <v>4.652816943134E-2</v>
      </c>
      <c r="BN160" s="138">
        <f>BN156/BK156-1</f>
        <v>3.5201076413008847E-2</v>
      </c>
      <c r="BO160" s="128">
        <f>BO157+BO158+BO159</f>
        <v>7.1199010664762669E-2</v>
      </c>
      <c r="BP160" s="128">
        <f>BP157+BP158+BP159</f>
        <v>6.4379960785375917E-2</v>
      </c>
      <c r="BQ160" s="138">
        <f>BQ156/BN156-1</f>
        <v>6.7396291568866395E-2</v>
      </c>
      <c r="BR160" s="128">
        <f>BR157+BR158+BR159</f>
        <v>2.7793395199713449E-2</v>
      </c>
      <c r="BS160" s="128">
        <f>BS157+BS158+BS159</f>
        <v>4.2765955468652694E-2</v>
      </c>
      <c r="BT160" s="138">
        <f>BT156/BQ156-1</f>
        <v>3.6119415168264668E-2</v>
      </c>
      <c r="BU160" s="128">
        <f>BU157+BU158+BU159</f>
        <v>6.1140233565617111E-2</v>
      </c>
      <c r="BV160" s="128">
        <f>BV157+BV158+BV159</f>
        <v>3.7710593407740398E-2</v>
      </c>
      <c r="BW160" s="138">
        <f>BW156/BT156-1</f>
        <v>4.8027778021332734E-2</v>
      </c>
      <c r="BX160" s="128">
        <f>BX157+BX158+BX159</f>
        <v>3.2887776517324267E-2</v>
      </c>
      <c r="BY160" s="128">
        <f>BY157+BY158+BY159</f>
        <v>1.6633338808911383E-2</v>
      </c>
      <c r="BZ160" s="138">
        <f>BZ156/BW156-1</f>
        <v>2.3880493328899188E-2</v>
      </c>
      <c r="CA160" s="128">
        <f>CA157+CA158+CA159</f>
        <v>1.6633338808911449E-2</v>
      </c>
      <c r="CB160" s="128">
        <f>CB157+CB158+CB159</f>
        <v>1.6633338808911383E-2</v>
      </c>
      <c r="CC160" s="138">
        <f>CC156/BZ156-1</f>
        <v>1.6633338808911491E-2</v>
      </c>
    </row>
    <row r="161" spans="1:81">
      <c r="A161" s="72"/>
      <c r="B161" s="74" t="s">
        <v>393</v>
      </c>
      <c r="C161" s="74"/>
      <c r="D161" s="74"/>
      <c r="E161" s="74"/>
      <c r="F161" s="74"/>
      <c r="G161" s="74"/>
      <c r="H161" s="74"/>
      <c r="I161" s="74"/>
      <c r="J161" s="74"/>
      <c r="K161" s="74"/>
      <c r="L161" s="74"/>
      <c r="M161" s="74"/>
      <c r="N161" s="74"/>
      <c r="O161" s="74"/>
      <c r="P161" s="74"/>
      <c r="Q161" s="74"/>
      <c r="R161" s="74"/>
      <c r="S161" s="74"/>
      <c r="T161" s="74"/>
      <c r="U161" s="74"/>
      <c r="V161" s="74"/>
      <c r="W161" s="74"/>
      <c r="X161" s="74"/>
      <c r="Y161" s="74"/>
      <c r="Z161" s="74"/>
      <c r="AA161" s="74"/>
      <c r="AB161" s="74"/>
      <c r="AC161" s="74"/>
      <c r="AD161" s="74"/>
      <c r="AE161" s="74"/>
      <c r="AF161" s="74"/>
      <c r="AG161" s="74"/>
      <c r="AH161" s="148">
        <v>0</v>
      </c>
      <c r="AI161" s="148">
        <v>0</v>
      </c>
      <c r="AJ161" s="148">
        <f>AI161+AH161</f>
        <v>0</v>
      </c>
      <c r="AK161" s="148">
        <v>0</v>
      </c>
      <c r="AL161" s="148">
        <v>0</v>
      </c>
      <c r="AM161" s="148">
        <f>AL161+AK161</f>
        <v>0</v>
      </c>
      <c r="AN161" s="148">
        <v>0</v>
      </c>
      <c r="AO161" s="148">
        <v>0</v>
      </c>
      <c r="AP161" s="148">
        <f>AO161+AN161</f>
        <v>0</v>
      </c>
      <c r="AQ161" s="200">
        <v>0</v>
      </c>
      <c r="AR161" s="148">
        <f>+AS161-AQ161</f>
        <v>0</v>
      </c>
      <c r="AS161" s="200">
        <v>0</v>
      </c>
      <c r="AT161" s="200">
        <v>0</v>
      </c>
      <c r="AU161" s="148">
        <f>AV161-AT161</f>
        <v>0</v>
      </c>
      <c r="AV161" s="200">
        <f>0</f>
        <v>0</v>
      </c>
      <c r="AW161" s="200">
        <f>0</f>
        <v>0</v>
      </c>
      <c r="AX161" s="148">
        <f>AY161-AW161</f>
        <v>0</v>
      </c>
      <c r="AY161" s="200">
        <v>0</v>
      </c>
      <c r="AZ161" s="200">
        <v>0</v>
      </c>
      <c r="BA161" s="148">
        <f>BB161-AZ161</f>
        <v>0</v>
      </c>
      <c r="BB161" s="200">
        <v>0</v>
      </c>
      <c r="BC161" s="200">
        <v>0</v>
      </c>
      <c r="BD161" s="148">
        <f>BE161-BC161</f>
        <v>0</v>
      </c>
      <c r="BE161" s="200">
        <v>0</v>
      </c>
      <c r="BF161" s="148">
        <v>0</v>
      </c>
      <c r="BG161" s="148">
        <v>0</v>
      </c>
      <c r="BH161" s="148">
        <f>BG161+BF161</f>
        <v>0</v>
      </c>
      <c r="BI161" s="148">
        <v>0</v>
      </c>
      <c r="BJ161" s="148">
        <v>0</v>
      </c>
      <c r="BK161" s="148">
        <f>BJ161+BI161</f>
        <v>0</v>
      </c>
      <c r="BL161" s="148">
        <v>0</v>
      </c>
      <c r="BM161" s="148">
        <v>0</v>
      </c>
      <c r="BN161" s="148">
        <f>BM161+BL161</f>
        <v>0</v>
      </c>
      <c r="BO161" s="148">
        <v>0</v>
      </c>
      <c r="BP161" s="148">
        <v>0</v>
      </c>
      <c r="BQ161" s="148">
        <f>BP161+BO161</f>
        <v>0</v>
      </c>
      <c r="BR161" s="148">
        <v>0</v>
      </c>
      <c r="BS161" s="148">
        <v>0</v>
      </c>
      <c r="BT161" s="148">
        <f>BS161+BR161</f>
        <v>0</v>
      </c>
      <c r="BU161" s="148">
        <v>0</v>
      </c>
      <c r="BV161" s="148">
        <v>0</v>
      </c>
      <c r="BW161" s="148">
        <f>BV161+BU161</f>
        <v>0</v>
      </c>
      <c r="BX161" s="148">
        <v>0</v>
      </c>
      <c r="BY161" s="148">
        <v>0</v>
      </c>
      <c r="BZ161" s="148">
        <f>BY161+BX161</f>
        <v>0</v>
      </c>
      <c r="CA161" s="148">
        <v>0</v>
      </c>
      <c r="CB161" s="148">
        <v>0</v>
      </c>
      <c r="CC161" s="148">
        <f>CB161+CA161</f>
        <v>0</v>
      </c>
    </row>
    <row r="162" spans="1:81" s="7" customFormat="1">
      <c r="A162" s="146"/>
      <c r="B162" s="145" t="s">
        <v>394</v>
      </c>
      <c r="C162" s="145"/>
      <c r="D162" s="145"/>
      <c r="E162" s="145"/>
      <c r="F162" s="145"/>
      <c r="G162" s="145"/>
      <c r="H162" s="145"/>
      <c r="I162" s="145"/>
      <c r="J162" s="145"/>
      <c r="K162" s="145"/>
      <c r="L162" s="145"/>
      <c r="M162" s="145"/>
      <c r="N162" s="145"/>
      <c r="O162" s="145"/>
      <c r="P162" s="145"/>
      <c r="Q162" s="145"/>
      <c r="R162" s="145"/>
      <c r="S162" s="145"/>
      <c r="T162" s="145"/>
      <c r="U162" s="145"/>
      <c r="V162" s="145"/>
      <c r="W162" s="145"/>
      <c r="X162" s="145"/>
      <c r="Y162" s="145"/>
      <c r="Z162" s="145"/>
      <c r="AA162" s="145"/>
      <c r="AB162" s="145"/>
      <c r="AC162" s="145"/>
      <c r="AD162" s="145">
        <v>122.2</v>
      </c>
      <c r="AE162" s="145">
        <v>63</v>
      </c>
      <c r="AF162" s="145">
        <f>AG162-AE162</f>
        <v>69.800000000000011</v>
      </c>
      <c r="AG162" s="145">
        <v>132.80000000000001</v>
      </c>
      <c r="AH162" s="145">
        <f>AH156</f>
        <v>63</v>
      </c>
      <c r="AI162" s="147">
        <f>AI161+AI156</f>
        <v>80.975398783987714</v>
      </c>
      <c r="AJ162" s="147">
        <f>AI162+AH162</f>
        <v>143.97539878398771</v>
      </c>
      <c r="AK162" s="147">
        <f>AK161+AK156</f>
        <v>48.826040280871638</v>
      </c>
      <c r="AL162" s="147">
        <f>AL161+AL156</f>
        <v>71.373959719128365</v>
      </c>
      <c r="AM162" s="147">
        <f>AL162+AK162</f>
        <v>120.2</v>
      </c>
      <c r="AN162" s="147">
        <f>AN161+AN156</f>
        <v>58.503654356289992</v>
      </c>
      <c r="AO162" s="147">
        <f>AO161+AO156</f>
        <v>65.196345643710004</v>
      </c>
      <c r="AP162" s="147">
        <f>AO162+AN162</f>
        <v>123.69999999999999</v>
      </c>
      <c r="AQ162" s="147">
        <f>AQ161+AQ156</f>
        <v>57</v>
      </c>
      <c r="AR162" s="147">
        <f>AR161+AR156</f>
        <v>67.400000000000006</v>
      </c>
      <c r="AS162" s="147">
        <f>AR162+AQ162</f>
        <v>124.4</v>
      </c>
      <c r="AT162" s="147">
        <f>AT161+AT156</f>
        <v>62.2</v>
      </c>
      <c r="AU162" s="147">
        <f>AU161+AU156</f>
        <v>75.2</v>
      </c>
      <c r="AV162" s="147">
        <f>AU162+AT162</f>
        <v>137.4</v>
      </c>
      <c r="AW162" s="147">
        <f>AW161+AW156</f>
        <v>67.3</v>
      </c>
      <c r="AX162" s="147">
        <f>AX161+AX156</f>
        <v>80.500000000000014</v>
      </c>
      <c r="AY162" s="147">
        <f>AX162+AW162</f>
        <v>147.80000000000001</v>
      </c>
      <c r="AZ162" s="147">
        <f>AZ161+AZ156</f>
        <v>71.8</v>
      </c>
      <c r="BA162" s="147">
        <f>BA161+BA156</f>
        <v>77.399999999999991</v>
      </c>
      <c r="BB162" s="147">
        <f>BA162+AZ162</f>
        <v>149.19999999999999</v>
      </c>
      <c r="BC162" s="147">
        <f>BC161+BC156</f>
        <v>69</v>
      </c>
      <c r="BD162" s="147">
        <f>BD161+BD156</f>
        <v>78.599999999999994</v>
      </c>
      <c r="BE162" s="147">
        <f>BD162+BC162</f>
        <v>147.6</v>
      </c>
      <c r="BF162" s="147">
        <f>BF161+BF156</f>
        <v>63.298529516945422</v>
      </c>
      <c r="BG162" s="147">
        <f>BG161+BG156</f>
        <v>75.138069756991868</v>
      </c>
      <c r="BH162" s="147">
        <f>BG162+BF162</f>
        <v>138.4365992739373</v>
      </c>
      <c r="BI162" s="147">
        <f>BI161+BI156</f>
        <v>60.750013428440617</v>
      </c>
      <c r="BJ162" s="147">
        <f>BJ161+BJ156</f>
        <v>74.739371628212538</v>
      </c>
      <c r="BK162" s="147">
        <f>BJ162+BI162</f>
        <v>135.48938505665316</v>
      </c>
      <c r="BL162" s="147">
        <f>BL161+BL156</f>
        <v>62.04189947866211</v>
      </c>
      <c r="BM162" s="147">
        <f>BM161+BM156</f>
        <v>78.216857774521898</v>
      </c>
      <c r="BN162" s="147">
        <f>BM162+BL162</f>
        <v>140.258757253184</v>
      </c>
      <c r="BO162" s="147">
        <f>BO161+BO156</f>
        <v>66.459221341305508</v>
      </c>
      <c r="BP162" s="147">
        <f>BP161+BP156</f>
        <v>83.252456010800941</v>
      </c>
      <c r="BQ162" s="147">
        <f>BP162+BO162</f>
        <v>149.71167735210645</v>
      </c>
      <c r="BR162" s="147">
        <f>BR161+BR156</f>
        <v>68.306348744709638</v>
      </c>
      <c r="BS162" s="147">
        <f>BS161+BS156</f>
        <v>86.812826837214828</v>
      </c>
      <c r="BT162" s="147">
        <f>BS162+BR162</f>
        <v>155.11917558192448</v>
      </c>
      <c r="BU162" s="147">
        <f>BU161+BU156</f>
        <v>72.482614860975673</v>
      </c>
      <c r="BV162" s="147">
        <f>BV161+BV156</f>
        <v>90.086590052649612</v>
      </c>
      <c r="BW162" s="147">
        <f>BV162+BU162</f>
        <v>162.5692049136253</v>
      </c>
      <c r="BX162" s="147">
        <f>BX161+BX156</f>
        <v>74.866406899914736</v>
      </c>
      <c r="BY162" s="147">
        <f>BY161+BY156</f>
        <v>91.585030827134844</v>
      </c>
      <c r="BZ162" s="147">
        <f>BY162+BX162</f>
        <v>166.45143772704958</v>
      </c>
      <c r="CA162" s="147">
        <f>CA161+CA156</f>
        <v>76.11168521128684</v>
      </c>
      <c r="CB162" s="147">
        <f>CB161+CB156</f>
        <v>93.108395674707182</v>
      </c>
      <c r="CC162" s="147">
        <f>CB162+CA162</f>
        <v>169.22008088599404</v>
      </c>
    </row>
    <row r="163" spans="1:81">
      <c r="C163" s="65"/>
      <c r="D163" s="65"/>
      <c r="E163" s="65"/>
      <c r="F163" s="65"/>
      <c r="G163" s="65"/>
      <c r="H163" s="65"/>
      <c r="I163" s="65"/>
      <c r="J163" s="65"/>
      <c r="K163" s="65"/>
      <c r="L163" s="65"/>
      <c r="M163" s="65"/>
      <c r="N163" s="65"/>
      <c r="O163" s="65"/>
      <c r="P163" s="65"/>
      <c r="Q163" s="65"/>
      <c r="R163" s="65"/>
      <c r="S163" s="65"/>
      <c r="AK163" s="114"/>
      <c r="BF163" s="69"/>
      <c r="BG163" s="69"/>
      <c r="BH163" s="69"/>
    </row>
    <row r="164" spans="1:81" s="7" customFormat="1">
      <c r="A164" s="142"/>
      <c r="B164" s="73" t="s">
        <v>440</v>
      </c>
      <c r="C164" s="73"/>
      <c r="D164" s="73"/>
      <c r="E164" s="73"/>
      <c r="F164" s="73"/>
      <c r="G164" s="73"/>
      <c r="H164" s="73"/>
      <c r="I164" s="73"/>
      <c r="J164" s="73"/>
      <c r="K164" s="73"/>
      <c r="L164" s="73"/>
      <c r="M164" s="73"/>
      <c r="N164" s="73"/>
      <c r="O164" s="73"/>
      <c r="P164" s="73"/>
      <c r="Q164" s="73"/>
      <c r="R164" s="73"/>
      <c r="S164" s="73"/>
      <c r="T164" s="73"/>
      <c r="U164" s="73"/>
      <c r="V164" s="73"/>
      <c r="W164" s="73"/>
      <c r="X164" s="73"/>
      <c r="Y164" s="73"/>
      <c r="Z164" s="73"/>
      <c r="AA164" s="73"/>
      <c r="AB164" s="73"/>
      <c r="AC164" s="73"/>
      <c r="AD164" s="73">
        <v>8.5</v>
      </c>
      <c r="AE164" s="73">
        <v>-0.3</v>
      </c>
      <c r="AF164" s="73">
        <f>AG164-AE164</f>
        <v>4.7</v>
      </c>
      <c r="AG164" s="73">
        <v>4.4000000000000004</v>
      </c>
      <c r="AH164" s="73">
        <v>0.8</v>
      </c>
      <c r="AI164" s="143">
        <v>3</v>
      </c>
      <c r="AJ164" s="143">
        <f>AI164+AH164</f>
        <v>3.8</v>
      </c>
      <c r="AK164" s="143">
        <v>-1.2</v>
      </c>
      <c r="AL164" s="143">
        <f>1.8-AK164</f>
        <v>3</v>
      </c>
      <c r="AM164" s="143">
        <f>+AL164+AK164</f>
        <v>1.8</v>
      </c>
      <c r="AN164" s="181">
        <v>-0.5</v>
      </c>
      <c r="AO164" s="143">
        <f>+AP164-AN164</f>
        <v>0.9</v>
      </c>
      <c r="AP164" s="181">
        <v>0.4</v>
      </c>
      <c r="AQ164" s="181">
        <v>-1.5</v>
      </c>
      <c r="AR164" s="143">
        <f>+AS164-AQ164</f>
        <v>3.6</v>
      </c>
      <c r="AS164" s="181">
        <v>2.1</v>
      </c>
      <c r="AT164" s="181">
        <v>2</v>
      </c>
      <c r="AU164" s="143">
        <f>+AV164-AT164</f>
        <v>4.0999999999999996</v>
      </c>
      <c r="AV164" s="181">
        <f>6.1</f>
        <v>6.1</v>
      </c>
      <c r="AW164" s="181">
        <f>3.2</f>
        <v>3.2</v>
      </c>
      <c r="AX164" s="143">
        <f>AY164-AW164</f>
        <v>8.1999999999999993</v>
      </c>
      <c r="AY164" s="181">
        <v>11.4</v>
      </c>
      <c r="AZ164" s="181">
        <v>3.8</v>
      </c>
      <c r="BA164" s="143">
        <f>BB164-AZ164</f>
        <v>7.6000000000000005</v>
      </c>
      <c r="BB164" s="181">
        <v>11.4</v>
      </c>
      <c r="BC164" s="181">
        <v>2.9</v>
      </c>
      <c r="BD164" s="143">
        <f>BE164-BC164</f>
        <v>7.2999999999999989</v>
      </c>
      <c r="BE164" s="181">
        <v>10.199999999999999</v>
      </c>
      <c r="BF164" s="143">
        <f>BF162*BF165</f>
        <v>3.4766585097914482</v>
      </c>
      <c r="BG164" s="143">
        <f>BG162*BG165</f>
        <v>6.9784721275577688</v>
      </c>
      <c r="BH164" s="143">
        <f>BG164+BF164</f>
        <v>10.455130637349217</v>
      </c>
      <c r="BI164" s="143">
        <f>BI162*BI165</f>
        <v>3.3366817960501174</v>
      </c>
      <c r="BJ164" s="143">
        <f>BJ162*BJ165</f>
        <v>6.941442912035007</v>
      </c>
      <c r="BK164" s="143">
        <f>BJ164+BI164</f>
        <v>10.278124708085125</v>
      </c>
      <c r="BL164" s="143">
        <f>BL162*BL165</f>
        <v>3.4076383674659039</v>
      </c>
      <c r="BM164" s="143">
        <f>BM162*BM165</f>
        <v>7.2644155439441453</v>
      </c>
      <c r="BN164" s="143">
        <f>BM164+BL164</f>
        <v>10.67205391141005</v>
      </c>
      <c r="BO164" s="143">
        <f>BO162*BO165</f>
        <v>3.6502588479327631</v>
      </c>
      <c r="BP164" s="143">
        <f>BP162*BP165</f>
        <v>7.7320983317919447</v>
      </c>
      <c r="BQ164" s="143">
        <f>BP164+BO164</f>
        <v>11.382357179724707</v>
      </c>
      <c r="BR164" s="143">
        <f>BR162*BR165</f>
        <v>3.7517119346746091</v>
      </c>
      <c r="BS164" s="143">
        <f>BS162*BS165</f>
        <v>8.0627689047286033</v>
      </c>
      <c r="BT164" s="143">
        <f>BS164+BR164</f>
        <v>11.814480839403213</v>
      </c>
      <c r="BU164" s="143">
        <f>BU162*BU165</f>
        <v>3.9810924786315276</v>
      </c>
      <c r="BV164" s="143">
        <f>BV162*BV165</f>
        <v>8.366820704635396</v>
      </c>
      <c r="BW164" s="143">
        <f>BV164+BU164</f>
        <v>12.347913183266924</v>
      </c>
      <c r="BX164" s="143">
        <f>BX162*BX165</f>
        <v>4.1120217583635617</v>
      </c>
      <c r="BY164" s="143">
        <f>BY162*BY165</f>
        <v>8.5059888681690126</v>
      </c>
      <c r="BZ164" s="143">
        <f>BY164+BX164</f>
        <v>12.618010626532573</v>
      </c>
      <c r="CA164" s="143">
        <f>CA162*CA165</f>
        <v>4.1804184094600387</v>
      </c>
      <c r="CB164" s="143">
        <f>CB162*CB165</f>
        <v>8.6474718629180973</v>
      </c>
      <c r="CC164" s="143">
        <f>CB164+CA164</f>
        <v>12.827890272378136</v>
      </c>
    </row>
    <row r="165" spans="1:81">
      <c r="B165" s="45" t="s">
        <v>512</v>
      </c>
      <c r="C165" s="65"/>
      <c r="D165" s="65"/>
      <c r="E165" s="65"/>
      <c r="F165" s="65"/>
      <c r="G165" s="65"/>
      <c r="H165" s="65"/>
      <c r="I165" s="65"/>
      <c r="J165" s="65"/>
      <c r="K165" s="65"/>
      <c r="L165" s="65"/>
      <c r="M165" s="65"/>
      <c r="N165" s="65"/>
      <c r="O165" s="65"/>
      <c r="P165" s="65"/>
      <c r="Q165" s="65"/>
      <c r="R165" s="65"/>
      <c r="S165" s="65"/>
      <c r="AD165" s="69">
        <f t="shared" ref="AD165:AQ165" si="54">AD164/AD162</f>
        <v>6.9558101472995085E-2</v>
      </c>
      <c r="AE165" s="69">
        <f t="shared" si="54"/>
        <v>-4.7619047619047615E-3</v>
      </c>
      <c r="AF165" s="69">
        <f t="shared" si="54"/>
        <v>6.7335243553008586E-2</v>
      </c>
      <c r="AG165" s="69">
        <f t="shared" si="54"/>
        <v>3.313253012048193E-2</v>
      </c>
      <c r="AH165" s="69">
        <f t="shared" si="54"/>
        <v>1.2698412698412698E-2</v>
      </c>
      <c r="AI165" s="128">
        <f t="shared" si="54"/>
        <v>3.7048289295899435E-2</v>
      </c>
      <c r="AJ165" s="128">
        <f t="shared" si="54"/>
        <v>2.6393397983924309E-2</v>
      </c>
      <c r="AK165" s="128">
        <f t="shared" si="54"/>
        <v>-2.4577049318294169E-2</v>
      </c>
      <c r="AL165" s="128">
        <f t="shared" si="54"/>
        <v>4.2032136255374296E-2</v>
      </c>
      <c r="AM165" s="128">
        <f>AM164/AM162</f>
        <v>1.4975041597337771E-2</v>
      </c>
      <c r="AN165" s="128">
        <f t="shared" si="54"/>
        <v>-8.5464746690006171E-3</v>
      </c>
      <c r="AO165" s="128">
        <f t="shared" si="54"/>
        <v>1.3804454699323013E-2</v>
      </c>
      <c r="AP165" s="128">
        <f t="shared" si="54"/>
        <v>3.2336297493936947E-3</v>
      </c>
      <c r="AQ165" s="128">
        <f t="shared" si="54"/>
        <v>-2.6315789473684209E-2</v>
      </c>
      <c r="AR165" s="128">
        <f>3.8%</f>
        <v>3.7999999999999999E-2</v>
      </c>
      <c r="AS165" s="128">
        <f t="shared" ref="AS165:BB165" si="55">AS164/AS162</f>
        <v>1.6881028938906754E-2</v>
      </c>
      <c r="AT165" s="128">
        <f t="shared" si="55"/>
        <v>3.215434083601286E-2</v>
      </c>
      <c r="AU165" s="128">
        <f t="shared" si="55"/>
        <v>5.4521276595744676E-2</v>
      </c>
      <c r="AV165" s="128">
        <f t="shared" si="55"/>
        <v>4.4395924308588061E-2</v>
      </c>
      <c r="AW165" s="128">
        <f t="shared" si="55"/>
        <v>4.7548291233283808E-2</v>
      </c>
      <c r="AX165" s="128">
        <f t="shared" si="55"/>
        <v>0.10186335403726705</v>
      </c>
      <c r="AY165" s="128">
        <f t="shared" si="55"/>
        <v>7.7131258457374827E-2</v>
      </c>
      <c r="AZ165" s="128">
        <f t="shared" si="55"/>
        <v>5.2924791086350974E-2</v>
      </c>
      <c r="BA165" s="128">
        <f t="shared" si="55"/>
        <v>9.8191214470284255E-2</v>
      </c>
      <c r="BB165" s="128">
        <f t="shared" si="55"/>
        <v>7.6407506702412878E-2</v>
      </c>
      <c r="BC165" s="128">
        <f>AZ165+0.2%</f>
        <v>5.4924791086350976E-2</v>
      </c>
      <c r="BD165" s="128">
        <f t="shared" ref="BD165:BE165" si="56">BD164/BD162</f>
        <v>9.2875318066157758E-2</v>
      </c>
      <c r="BE165" s="128">
        <f t="shared" si="56"/>
        <v>6.910569105691057E-2</v>
      </c>
      <c r="BF165" s="128">
        <f>BC165</f>
        <v>5.4924791086350976E-2</v>
      </c>
      <c r="BG165" s="128">
        <f>BD165</f>
        <v>9.2875318066157758E-2</v>
      </c>
      <c r="BH165" s="128">
        <f>BH164/BH162</f>
        <v>7.5522879731108411E-2</v>
      </c>
      <c r="BI165" s="128">
        <f>BF165</f>
        <v>5.4924791086350976E-2</v>
      </c>
      <c r="BJ165" s="128">
        <f>BG165</f>
        <v>9.2875318066157758E-2</v>
      </c>
      <c r="BK165" s="128">
        <f>BK164/BK162</f>
        <v>7.5859261622506127E-2</v>
      </c>
      <c r="BL165" s="128">
        <f>BI165</f>
        <v>5.4924791086350976E-2</v>
      </c>
      <c r="BM165" s="128">
        <f>BJ165</f>
        <v>9.2875318066157758E-2</v>
      </c>
      <c r="BN165" s="128">
        <f>BN164/BN162</f>
        <v>7.6088325038740384E-2</v>
      </c>
      <c r="BO165" s="128">
        <f>BL165</f>
        <v>5.4924791086350976E-2</v>
      </c>
      <c r="BP165" s="128">
        <f>BM165</f>
        <v>9.2875318066157758E-2</v>
      </c>
      <c r="BQ165" s="128">
        <f>BQ164/BQ162</f>
        <v>7.6028519491866856E-2</v>
      </c>
      <c r="BR165" s="128">
        <f>BO165</f>
        <v>5.4924791086350976E-2</v>
      </c>
      <c r="BS165" s="128">
        <f>BP165</f>
        <v>9.2875318066157758E-2</v>
      </c>
      <c r="BT165" s="128">
        <f>BT164/BT162</f>
        <v>7.6163896533626985E-2</v>
      </c>
      <c r="BU165" s="128">
        <f>BR165</f>
        <v>5.4924791086350976E-2</v>
      </c>
      <c r="BV165" s="128">
        <f>BS165</f>
        <v>9.2875318066157758E-2</v>
      </c>
      <c r="BW165" s="128">
        <f>BW164/BW162</f>
        <v>7.5954810690176511E-2</v>
      </c>
      <c r="BX165" s="128">
        <f>BU165</f>
        <v>5.4924791086350976E-2</v>
      </c>
      <c r="BY165" s="128">
        <f>BV165</f>
        <v>9.2875318066157758E-2</v>
      </c>
      <c r="BZ165" s="128">
        <f>BZ164/BZ162</f>
        <v>7.5805957574387794E-2</v>
      </c>
      <c r="CA165" s="128">
        <f>BX165</f>
        <v>5.4924791086350976E-2</v>
      </c>
      <c r="CB165" s="128">
        <f>BY165</f>
        <v>9.2875318066157758E-2</v>
      </c>
      <c r="CC165" s="128">
        <f>CC164/CC162</f>
        <v>7.5805957574387808E-2</v>
      </c>
    </row>
    <row r="166" spans="1:81">
      <c r="B166" s="45" t="s">
        <v>412</v>
      </c>
      <c r="C166" s="65"/>
      <c r="D166" s="65"/>
      <c r="E166" s="65"/>
      <c r="F166" s="65"/>
      <c r="G166" s="65"/>
      <c r="H166" s="65"/>
      <c r="I166" s="65"/>
      <c r="J166" s="65"/>
      <c r="K166" s="65"/>
      <c r="L166" s="65"/>
      <c r="M166" s="65"/>
      <c r="N166" s="65"/>
      <c r="O166" s="65"/>
      <c r="P166" s="65"/>
      <c r="Q166" s="65"/>
      <c r="R166" s="65"/>
      <c r="S166" s="65"/>
      <c r="AG166" s="71">
        <f t="shared" ref="AG166:BN166" si="57">AG164/AD164-1</f>
        <v>-0.48235294117647054</v>
      </c>
      <c r="AH166" s="71">
        <f t="shared" si="57"/>
        <v>-3.666666666666667</v>
      </c>
      <c r="AI166" s="71">
        <f t="shared" si="57"/>
        <v>-0.36170212765957455</v>
      </c>
      <c r="AJ166" s="71">
        <f t="shared" si="57"/>
        <v>-0.13636363636363646</v>
      </c>
      <c r="AK166" s="71">
        <f t="shared" si="57"/>
        <v>-2.5</v>
      </c>
      <c r="AL166" s="71">
        <f t="shared" si="57"/>
        <v>0</v>
      </c>
      <c r="AM166" s="71">
        <f t="shared" si="57"/>
        <v>-0.52631578947368418</v>
      </c>
      <c r="AN166" s="71">
        <f t="shared" si="57"/>
        <v>-0.58333333333333326</v>
      </c>
      <c r="AO166" s="71">
        <f t="shared" si="57"/>
        <v>-0.7</v>
      </c>
      <c r="AP166" s="71">
        <f t="shared" si="57"/>
        <v>-0.77777777777777779</v>
      </c>
      <c r="AQ166" s="71">
        <f t="shared" si="57"/>
        <v>2</v>
      </c>
      <c r="AR166" s="71">
        <f t="shared" si="57"/>
        <v>3</v>
      </c>
      <c r="AS166" s="71">
        <f t="shared" si="57"/>
        <v>4.25</v>
      </c>
      <c r="AT166" s="71">
        <f t="shared" si="57"/>
        <v>-2.333333333333333</v>
      </c>
      <c r="AU166" s="71">
        <f t="shared" si="57"/>
        <v>0.13888888888888884</v>
      </c>
      <c r="AV166" s="71">
        <f t="shared" si="57"/>
        <v>1.9047619047619047</v>
      </c>
      <c r="AW166" s="71">
        <f t="shared" si="57"/>
        <v>0.60000000000000009</v>
      </c>
      <c r="AX166" s="71">
        <f t="shared" si="57"/>
        <v>1</v>
      </c>
      <c r="AY166" s="71">
        <f t="shared" si="57"/>
        <v>0.86885245901639352</v>
      </c>
      <c r="AZ166" s="71">
        <f t="shared" si="57"/>
        <v>0.18749999999999978</v>
      </c>
      <c r="BA166" s="71">
        <f t="shared" si="57"/>
        <v>-7.3170731707316916E-2</v>
      </c>
      <c r="BB166" s="71">
        <f t="shared" si="57"/>
        <v>0</v>
      </c>
      <c r="BC166" s="71">
        <f t="shared" si="57"/>
        <v>-0.23684210526315785</v>
      </c>
      <c r="BD166" s="71">
        <f t="shared" si="57"/>
        <v>-3.947368421052655E-2</v>
      </c>
      <c r="BE166" s="71">
        <f t="shared" si="57"/>
        <v>-0.10526315789473695</v>
      </c>
      <c r="BF166" s="71">
        <f t="shared" si="57"/>
        <v>0.19884776199705123</v>
      </c>
      <c r="BG166" s="71">
        <f t="shared" si="57"/>
        <v>-4.4044914033182225E-2</v>
      </c>
      <c r="BH166" s="71">
        <f t="shared" si="57"/>
        <v>2.5012807583256746E-2</v>
      </c>
      <c r="BI166" s="71">
        <f t="shared" si="57"/>
        <v>-4.0261852968046408E-2</v>
      </c>
      <c r="BJ166" s="71">
        <f t="shared" si="57"/>
        <v>-5.3062066948056374E-3</v>
      </c>
      <c r="BK166" s="71">
        <f t="shared" si="57"/>
        <v>-1.6930054286626306E-2</v>
      </c>
      <c r="BL166" s="71">
        <f t="shared" si="57"/>
        <v>2.1265609294774057E-2</v>
      </c>
      <c r="BM166" s="71">
        <f t="shared" si="57"/>
        <v>4.6528169431339972E-2</v>
      </c>
      <c r="BN166" s="71">
        <f t="shared" si="57"/>
        <v>3.8326953069079517E-2</v>
      </c>
      <c r="BO166" s="71">
        <f>BO164/BL164-1</f>
        <v>7.1199010664762641E-2</v>
      </c>
      <c r="BP166" s="71">
        <f>BP164/BM164-1</f>
        <v>6.4379960785375889E-2</v>
      </c>
      <c r="BQ166" s="71">
        <f>BQ164/BN164-1</f>
        <v>6.6557316352687801E-2</v>
      </c>
      <c r="BR166" s="71">
        <f t="shared" ref="BR166:CC166" si="58">BR164/BO164-1</f>
        <v>2.7793395199713355E-2</v>
      </c>
      <c r="BS166" s="71">
        <f t="shared" si="58"/>
        <v>4.2765955468652805E-2</v>
      </c>
      <c r="BT166" s="71">
        <f t="shared" si="58"/>
        <v>3.7964338392775465E-2</v>
      </c>
      <c r="BU166" s="71">
        <f t="shared" si="58"/>
        <v>6.1140233565617041E-2</v>
      </c>
      <c r="BV166" s="71">
        <f t="shared" si="58"/>
        <v>3.7710593407740411E-2</v>
      </c>
      <c r="BW166" s="71">
        <f t="shared" si="58"/>
        <v>4.5150722330906667E-2</v>
      </c>
      <c r="BX166" s="71">
        <f t="shared" si="58"/>
        <v>3.288777651732433E-2</v>
      </c>
      <c r="BY166" s="71">
        <f t="shared" si="58"/>
        <v>1.6633338808911491E-2</v>
      </c>
      <c r="BZ166" s="71">
        <f t="shared" si="58"/>
        <v>2.1873934425751251E-2</v>
      </c>
      <c r="CA166" s="71">
        <f t="shared" si="58"/>
        <v>1.6633338808911491E-2</v>
      </c>
      <c r="CB166" s="71">
        <f t="shared" si="58"/>
        <v>1.6633338808911491E-2</v>
      </c>
      <c r="CC166" s="71">
        <f t="shared" si="58"/>
        <v>1.6633338808911491E-2</v>
      </c>
    </row>
    <row r="167" spans="1:81">
      <c r="C167" s="65"/>
      <c r="D167" s="65"/>
      <c r="E167" s="65"/>
      <c r="F167" s="65"/>
      <c r="G167" s="65"/>
      <c r="H167" s="65"/>
      <c r="I167" s="65"/>
      <c r="J167" s="65"/>
      <c r="K167" s="65"/>
      <c r="L167" s="65"/>
      <c r="M167" s="65"/>
      <c r="N167" s="65"/>
      <c r="O167" s="65"/>
      <c r="P167" s="65"/>
      <c r="Q167" s="65"/>
      <c r="R167" s="65"/>
      <c r="S167" s="65"/>
      <c r="AY167" s="114"/>
    </row>
    <row r="168" spans="1:81">
      <c r="B168" s="45" t="s">
        <v>157</v>
      </c>
      <c r="C168" s="65"/>
      <c r="D168" s="65"/>
      <c r="E168" s="65"/>
      <c r="F168" s="65"/>
      <c r="G168" s="65"/>
      <c r="H168" s="65"/>
      <c r="I168" s="65"/>
      <c r="J168" s="65"/>
      <c r="K168" s="65"/>
      <c r="L168" s="65"/>
      <c r="M168" s="65"/>
      <c r="N168" s="65"/>
      <c r="O168" s="65"/>
      <c r="P168" s="65"/>
      <c r="Q168" s="65"/>
      <c r="R168" s="65"/>
      <c r="S168" s="65"/>
      <c r="AD168" s="123">
        <v>6.4</v>
      </c>
      <c r="AE168" s="123">
        <v>4.0999999999999996</v>
      </c>
      <c r="AF168" s="123">
        <f>AG168-AE168</f>
        <v>4</v>
      </c>
      <c r="AG168" s="123">
        <v>8.1</v>
      </c>
      <c r="AH168" s="123">
        <v>3.9</v>
      </c>
      <c r="AI168" s="123">
        <f>AJ168-AH168</f>
        <v>4</v>
      </c>
      <c r="AJ168" s="123">
        <v>7.9</v>
      </c>
      <c r="AK168" s="123">
        <v>3.9</v>
      </c>
      <c r="AL168" s="123">
        <f>8-AK168</f>
        <v>4.0999999999999996</v>
      </c>
      <c r="AM168" s="123">
        <f>AL168+AK168</f>
        <v>8</v>
      </c>
      <c r="AN168" s="180">
        <v>4</v>
      </c>
      <c r="AO168" s="123">
        <f>+AP168-AN168</f>
        <v>3.9000000000000004</v>
      </c>
      <c r="AP168" s="180">
        <v>7.9</v>
      </c>
      <c r="AQ168" s="180">
        <v>3.7</v>
      </c>
      <c r="AR168" s="123">
        <f>+AS168-AQ168</f>
        <v>3.7</v>
      </c>
      <c r="AS168" s="180">
        <v>7.4</v>
      </c>
      <c r="AT168" s="180">
        <v>3.7</v>
      </c>
      <c r="AU168" s="123">
        <f>AV168-AT168</f>
        <v>4</v>
      </c>
      <c r="AV168" s="180">
        <f>7.7</f>
        <v>7.7</v>
      </c>
      <c r="AW168" s="180">
        <f>4.1</f>
        <v>4.0999999999999996</v>
      </c>
      <c r="AX168" s="123">
        <f>AY168-AW168</f>
        <v>4.2000000000000011</v>
      </c>
      <c r="AY168" s="180">
        <v>8.3000000000000007</v>
      </c>
      <c r="AZ168" s="180">
        <v>4.2</v>
      </c>
      <c r="BA168" s="123">
        <f>BB168-AZ168</f>
        <v>4.2</v>
      </c>
      <c r="BB168" s="180">
        <v>8.4</v>
      </c>
      <c r="BC168" s="180">
        <v>3.9</v>
      </c>
      <c r="BD168" s="123">
        <f>BE168-BC168</f>
        <v>3.9</v>
      </c>
      <c r="BE168" s="180">
        <v>7.8</v>
      </c>
      <c r="BF168" s="123">
        <f>BD168-'BS, CF and P&amp;L'!BF133/20</f>
        <v>4.7750000000000004</v>
      </c>
      <c r="BG168" s="123">
        <f>BF168-'BS, CF and P&amp;L'!BG133/20</f>
        <v>5.65</v>
      </c>
      <c r="BH168" s="123">
        <f>BG168+BF168</f>
        <v>10.425000000000001</v>
      </c>
      <c r="BI168" s="123">
        <f>BG168-'BS, CF and P&amp;L'!BI133/20</f>
        <v>5.65</v>
      </c>
      <c r="BJ168" s="123">
        <f>BI168-'BS, CF and P&amp;L'!BJ133/20</f>
        <v>5.65</v>
      </c>
      <c r="BK168" s="123">
        <f>BJ168+BI168</f>
        <v>11.3</v>
      </c>
      <c r="BL168" s="123">
        <f>BJ168-'BS, CF and P&amp;L'!BL133/20</f>
        <v>5.65</v>
      </c>
      <c r="BM168" s="123">
        <f>BL168-'BS, CF and P&amp;L'!BM133/20</f>
        <v>5.65</v>
      </c>
      <c r="BN168" s="123">
        <f>BM168+BL168</f>
        <v>11.3</v>
      </c>
      <c r="BO168" s="123">
        <f>BM168-'BS, CF and P&amp;L'!BO133/20</f>
        <v>5.65</v>
      </c>
      <c r="BP168" s="123">
        <f>BO168-'BS, CF and P&amp;L'!BP133/20</f>
        <v>5.65</v>
      </c>
      <c r="BQ168" s="123">
        <f>BP168+BO168</f>
        <v>11.3</v>
      </c>
      <c r="BR168" s="123">
        <f>BP168-'BS, CF and P&amp;L'!BR133/20</f>
        <v>5.65</v>
      </c>
      <c r="BS168" s="123">
        <f>BR168-'BS, CF and P&amp;L'!BS133/20</f>
        <v>5.65</v>
      </c>
      <c r="BT168" s="123">
        <f>BS168+BR168</f>
        <v>11.3</v>
      </c>
      <c r="BU168" s="123">
        <f>BS168-'BS, CF and P&amp;L'!BU133/20</f>
        <v>5.65</v>
      </c>
      <c r="BV168" s="123">
        <f>BU168-'BS, CF and P&amp;L'!BV133/20</f>
        <v>5.65</v>
      </c>
      <c r="BW168" s="123">
        <f>BV168+BU168</f>
        <v>11.3</v>
      </c>
      <c r="BX168" s="123">
        <f>BV168-'BS, CF and P&amp;L'!BX133/20</f>
        <v>5.65</v>
      </c>
      <c r="BY168" s="123">
        <f>BX168-'BS, CF and P&amp;L'!BY133/20</f>
        <v>5.65</v>
      </c>
      <c r="BZ168" s="123">
        <f>BY168+BX168</f>
        <v>11.3</v>
      </c>
      <c r="CA168" s="123">
        <f>BY168-'BS, CF and P&amp;L'!CA133/20</f>
        <v>5.65</v>
      </c>
      <c r="CB168" s="123">
        <f>CA168-'BS, CF and P&amp;L'!CB133/20</f>
        <v>5.65</v>
      </c>
      <c r="CC168" s="123">
        <f>CB168+CA168</f>
        <v>11.3</v>
      </c>
    </row>
    <row r="169" spans="1:81" s="7" customFormat="1">
      <c r="A169" s="142"/>
      <c r="B169" s="73" t="s">
        <v>439</v>
      </c>
      <c r="C169" s="73"/>
      <c r="D169" s="73"/>
      <c r="E169" s="73"/>
      <c r="F169" s="73"/>
      <c r="G169" s="73"/>
      <c r="H169" s="73"/>
      <c r="I169" s="73"/>
      <c r="J169" s="73"/>
      <c r="K169" s="73"/>
      <c r="L169" s="73"/>
      <c r="M169" s="73"/>
      <c r="N169" s="73"/>
      <c r="O169" s="73"/>
      <c r="P169" s="73"/>
      <c r="Q169" s="73"/>
      <c r="R169" s="73"/>
      <c r="S169" s="73"/>
      <c r="T169" s="73"/>
      <c r="U169" s="73"/>
      <c r="V169" s="73"/>
      <c r="W169" s="73"/>
      <c r="X169" s="73"/>
      <c r="Y169" s="73"/>
      <c r="Z169" s="73"/>
      <c r="AA169" s="73"/>
      <c r="AB169" s="73"/>
      <c r="AC169" s="73"/>
      <c r="AD169" s="149">
        <f>AD168+AD164</f>
        <v>14.9</v>
      </c>
      <c r="AE169" s="149">
        <f>AE168+AE164</f>
        <v>3.8</v>
      </c>
      <c r="AF169" s="149">
        <f>AG169-AE169</f>
        <v>8.6999999999999993</v>
      </c>
      <c r="AG169" s="149">
        <f>AG168+AG164</f>
        <v>12.5</v>
      </c>
      <c r="AH169" s="149">
        <f>AH168+AH164</f>
        <v>4.7</v>
      </c>
      <c r="AI169" s="149">
        <f>AI168+AI164</f>
        <v>7</v>
      </c>
      <c r="AJ169" s="149">
        <f>AI169+AH169</f>
        <v>11.7</v>
      </c>
      <c r="AK169" s="149">
        <f>AK168+AK164</f>
        <v>2.7</v>
      </c>
      <c r="AL169" s="149">
        <f>AL168+AL164</f>
        <v>7.1</v>
      </c>
      <c r="AM169" s="149">
        <f>AL169+AK169</f>
        <v>9.8000000000000007</v>
      </c>
      <c r="AN169" s="149">
        <f>AN168+AN164</f>
        <v>3.5</v>
      </c>
      <c r="AO169" s="149">
        <f>AO168+AO164</f>
        <v>4.8000000000000007</v>
      </c>
      <c r="AP169" s="149">
        <f>AO169+AN169</f>
        <v>8.3000000000000007</v>
      </c>
      <c r="AQ169" s="149">
        <f>AQ168+AQ164</f>
        <v>2.2000000000000002</v>
      </c>
      <c r="AR169" s="149">
        <f>AR168+AR164</f>
        <v>7.3000000000000007</v>
      </c>
      <c r="AS169" s="149">
        <f>AR169+AQ169</f>
        <v>9.5</v>
      </c>
      <c r="AT169" s="149">
        <f>AT168+AT164</f>
        <v>5.7</v>
      </c>
      <c r="AU169" s="149">
        <f>AU168+AU164</f>
        <v>8.1</v>
      </c>
      <c r="AV169" s="149">
        <f>AU169+AT169</f>
        <v>13.8</v>
      </c>
      <c r="AW169" s="149">
        <f>AW168+AW164</f>
        <v>7.3</v>
      </c>
      <c r="AX169" s="149">
        <f>AX168+AX164</f>
        <v>12.4</v>
      </c>
      <c r="AY169" s="149">
        <f>AX169+AW169</f>
        <v>19.7</v>
      </c>
      <c r="AZ169" s="149">
        <f>AZ168+AZ164</f>
        <v>8</v>
      </c>
      <c r="BA169" s="149">
        <f>BA168+BA164</f>
        <v>11.8</v>
      </c>
      <c r="BB169" s="149">
        <f>BA169+AZ169</f>
        <v>19.8</v>
      </c>
      <c r="BC169" s="149">
        <f>BC168+BC164</f>
        <v>6.8</v>
      </c>
      <c r="BD169" s="149">
        <f>BD168+BD164</f>
        <v>11.2</v>
      </c>
      <c r="BE169" s="149">
        <f>BD169+BC169</f>
        <v>18</v>
      </c>
      <c r="BF169" s="149">
        <f>BF168+BF164</f>
        <v>8.251658509791449</v>
      </c>
      <c r="BG169" s="149">
        <f>BG168+BG164</f>
        <v>12.628472127557769</v>
      </c>
      <c r="BH169" s="149">
        <f>BG169+BF169</f>
        <v>20.880130637349218</v>
      </c>
      <c r="BI169" s="149">
        <f>BI168+BI164</f>
        <v>8.9866817960501173</v>
      </c>
      <c r="BJ169" s="149">
        <f>BJ168+BJ164</f>
        <v>12.591442912035006</v>
      </c>
      <c r="BK169" s="149">
        <f>BJ169+BI169</f>
        <v>21.578124708085124</v>
      </c>
      <c r="BL169" s="149">
        <f>BL168+BL164</f>
        <v>9.0576383674659038</v>
      </c>
      <c r="BM169" s="149">
        <f>BM168+BM164</f>
        <v>12.914415543944145</v>
      </c>
      <c r="BN169" s="149">
        <f>BM169+BL169</f>
        <v>21.97205391141005</v>
      </c>
      <c r="BO169" s="149">
        <f>BO168+BO164</f>
        <v>9.3002588479327635</v>
      </c>
      <c r="BP169" s="149">
        <f>BP168+BP164</f>
        <v>13.382098331791944</v>
      </c>
      <c r="BQ169" s="149">
        <f>BP169+BO169</f>
        <v>22.682357179724708</v>
      </c>
      <c r="BR169" s="149">
        <f>BR168+BR164</f>
        <v>9.4017119346746085</v>
      </c>
      <c r="BS169" s="149">
        <f>BS168+BS164</f>
        <v>13.712768904728604</v>
      </c>
      <c r="BT169" s="149">
        <f>BS169+BR169</f>
        <v>23.114480839403214</v>
      </c>
      <c r="BU169" s="149">
        <f>BU168+BU164</f>
        <v>9.631092478631528</v>
      </c>
      <c r="BV169" s="149">
        <f>BV168+BV164</f>
        <v>14.016820704635396</v>
      </c>
      <c r="BW169" s="149">
        <f>BV169+BU169</f>
        <v>23.647913183266922</v>
      </c>
      <c r="BX169" s="149">
        <f>BX168+BX164</f>
        <v>9.7620217583635629</v>
      </c>
      <c r="BY169" s="149">
        <f>BY168+BY164</f>
        <v>14.155988868169013</v>
      </c>
      <c r="BZ169" s="149">
        <f>BY169+BX169</f>
        <v>23.918010626532578</v>
      </c>
      <c r="CA169" s="149">
        <f>CA168+CA164</f>
        <v>9.8304184094600391</v>
      </c>
      <c r="CB169" s="149">
        <f>CB168+CB164</f>
        <v>14.297471862918098</v>
      </c>
      <c r="CC169" s="149">
        <f>CB169+CA169</f>
        <v>24.127890272378139</v>
      </c>
    </row>
    <row r="170" spans="1:81">
      <c r="B170" s="45" t="s">
        <v>390</v>
      </c>
      <c r="C170" s="65"/>
      <c r="D170" s="65"/>
      <c r="E170" s="65"/>
      <c r="F170" s="65"/>
      <c r="G170" s="65"/>
      <c r="H170" s="65"/>
      <c r="I170" s="65"/>
      <c r="J170" s="65"/>
      <c r="K170" s="65"/>
      <c r="L170" s="65"/>
      <c r="M170" s="65"/>
      <c r="N170" s="65"/>
      <c r="O170" s="65"/>
      <c r="P170" s="65"/>
      <c r="Q170" s="65"/>
      <c r="R170" s="65"/>
      <c r="S170" s="65"/>
      <c r="AD170" s="69">
        <f t="shared" ref="AD170:BN170" si="59">AD169/AD162</f>
        <v>0.12193126022913257</v>
      </c>
      <c r="AE170" s="69">
        <f t="shared" si="59"/>
        <v>6.0317460317460311E-2</v>
      </c>
      <c r="AF170" s="69">
        <f t="shared" si="59"/>
        <v>0.12464183381088823</v>
      </c>
      <c r="AG170" s="69">
        <f t="shared" si="59"/>
        <v>9.4126506024096376E-2</v>
      </c>
      <c r="AH170" s="69">
        <f t="shared" si="59"/>
        <v>7.4603174603174602E-2</v>
      </c>
      <c r="AI170" s="69">
        <f t="shared" si="59"/>
        <v>8.6446008357098675E-2</v>
      </c>
      <c r="AJ170" s="69">
        <f t="shared" si="59"/>
        <v>8.1263883266293274E-2</v>
      </c>
      <c r="AK170" s="69">
        <f t="shared" si="59"/>
        <v>5.5298360966161884E-2</v>
      </c>
      <c r="AL170" s="69">
        <f t="shared" si="59"/>
        <v>9.947605580438583E-2</v>
      </c>
      <c r="AM170" s="69">
        <f t="shared" si="59"/>
        <v>8.1530782029950094E-2</v>
      </c>
      <c r="AN170" s="69">
        <f t="shared" si="59"/>
        <v>5.982532268300432E-2</v>
      </c>
      <c r="AO170" s="69">
        <f t="shared" si="59"/>
        <v>7.3623758396389419E-2</v>
      </c>
      <c r="AP170" s="69">
        <f t="shared" si="59"/>
        <v>6.7097817299919177E-2</v>
      </c>
      <c r="AQ170" s="69">
        <f t="shared" si="59"/>
        <v>3.8596491228070177E-2</v>
      </c>
      <c r="AR170" s="69">
        <f t="shared" si="59"/>
        <v>0.1083086053412463</v>
      </c>
      <c r="AS170" s="69">
        <f t="shared" si="59"/>
        <v>7.6366559485530547E-2</v>
      </c>
      <c r="AT170" s="69">
        <f t="shared" si="59"/>
        <v>9.1639871382636656E-2</v>
      </c>
      <c r="AU170" s="69">
        <f t="shared" si="59"/>
        <v>0.1077127659574468</v>
      </c>
      <c r="AV170" s="69">
        <f t="shared" si="59"/>
        <v>0.10043668122270742</v>
      </c>
      <c r="AW170" s="69">
        <f t="shared" si="59"/>
        <v>0.10846953937592868</v>
      </c>
      <c r="AX170" s="69">
        <f t="shared" si="59"/>
        <v>0.15403726708074533</v>
      </c>
      <c r="AY170" s="69">
        <f t="shared" si="59"/>
        <v>0.13328822733423543</v>
      </c>
      <c r="AZ170" s="69">
        <f t="shared" si="59"/>
        <v>0.11142061281337048</v>
      </c>
      <c r="BA170" s="69">
        <f t="shared" si="59"/>
        <v>0.15245478036175714</v>
      </c>
      <c r="BB170" s="69">
        <f t="shared" si="59"/>
        <v>0.13270777479892762</v>
      </c>
      <c r="BC170" s="69">
        <f t="shared" si="59"/>
        <v>9.855072463768115E-2</v>
      </c>
      <c r="BD170" s="69">
        <f t="shared" ref="BD170" si="60">BD169/BD162</f>
        <v>0.14249363867684478</v>
      </c>
      <c r="BE170" s="69">
        <f t="shared" ref="BE170" si="61">BE169/BE162</f>
        <v>0.12195121951219513</v>
      </c>
      <c r="BF170" s="69">
        <f t="shared" si="59"/>
        <v>0.13036098267626309</v>
      </c>
      <c r="BG170" s="69">
        <f t="shared" si="59"/>
        <v>0.1680702228364423</v>
      </c>
      <c r="BH170" s="69">
        <f t="shared" si="59"/>
        <v>0.15082811010137406</v>
      </c>
      <c r="BI170" s="69">
        <f t="shared" si="59"/>
        <v>0.14792888575466434</v>
      </c>
      <c r="BJ170" s="69">
        <f t="shared" si="59"/>
        <v>0.16847135101256328</v>
      </c>
      <c r="BK170" s="69">
        <f t="shared" si="59"/>
        <v>0.15926062915602213</v>
      </c>
      <c r="BL170" s="69">
        <f t="shared" si="59"/>
        <v>0.14599228011355569</v>
      </c>
      <c r="BM170" s="69">
        <f t="shared" si="59"/>
        <v>0.16511038555362223</v>
      </c>
      <c r="BN170" s="69">
        <f t="shared" si="59"/>
        <v>0.15665370449381524</v>
      </c>
      <c r="BO170" s="69">
        <f>BO169/BO162</f>
        <v>0.13993932911387419</v>
      </c>
      <c r="BP170" s="69">
        <f>BP169/BP162</f>
        <v>0.16074118378028138</v>
      </c>
      <c r="BQ170" s="69">
        <f>BQ169/BQ162</f>
        <v>0.15150693373355331</v>
      </c>
      <c r="BR170" s="69">
        <f t="shared" ref="BR170:CC170" si="62">BR169/BR162</f>
        <v>0.13764038200625936</v>
      </c>
      <c r="BS170" s="69">
        <f t="shared" si="62"/>
        <v>0.15795786641577519</v>
      </c>
      <c r="BT170" s="69">
        <f t="shared" si="62"/>
        <v>0.14901111195756425</v>
      </c>
      <c r="BU170" s="69">
        <f t="shared" si="62"/>
        <v>0.13287451752539997</v>
      </c>
      <c r="BV170" s="69">
        <f t="shared" si="62"/>
        <v>0.15559275466463429</v>
      </c>
      <c r="BW170" s="69">
        <f t="shared" si="62"/>
        <v>0.14546367004643532</v>
      </c>
      <c r="BX170" s="69">
        <f t="shared" si="62"/>
        <v>0.13039255071255038</v>
      </c>
      <c r="BY170" s="69">
        <f t="shared" si="62"/>
        <v>0.15456662229975329</v>
      </c>
      <c r="BZ170" s="69">
        <f t="shared" si="62"/>
        <v>0.14369362591961393</v>
      </c>
      <c r="CA170" s="69">
        <f t="shared" si="62"/>
        <v>0.12915780779483063</v>
      </c>
      <c r="CB170" s="69">
        <f t="shared" si="62"/>
        <v>0.1535572786891225</v>
      </c>
      <c r="CC170" s="69">
        <f t="shared" si="62"/>
        <v>0.14258290237216847</v>
      </c>
    </row>
    <row r="171" spans="1:81">
      <c r="C171" s="65"/>
      <c r="D171" s="65"/>
      <c r="E171" s="65"/>
      <c r="F171" s="65"/>
      <c r="G171" s="65"/>
      <c r="H171" s="65"/>
      <c r="I171" s="65"/>
      <c r="J171" s="65"/>
      <c r="K171" s="65"/>
      <c r="L171" s="65"/>
      <c r="M171" s="65"/>
      <c r="N171" s="65"/>
      <c r="O171" s="65"/>
      <c r="P171" s="65"/>
      <c r="Q171" s="65"/>
      <c r="R171" s="65"/>
      <c r="S171" s="65"/>
    </row>
    <row r="172" spans="1:81">
      <c r="B172" s="45" t="s">
        <v>72</v>
      </c>
      <c r="C172" s="65"/>
      <c r="D172" s="65"/>
      <c r="E172" s="65"/>
      <c r="F172" s="65"/>
      <c r="G172" s="65"/>
      <c r="H172" s="65"/>
      <c r="I172" s="65"/>
      <c r="J172" s="65"/>
      <c r="K172" s="65"/>
      <c r="L172" s="65"/>
      <c r="M172" s="65"/>
      <c r="N172" s="65"/>
      <c r="O172" s="65"/>
      <c r="P172" s="65"/>
      <c r="Q172" s="65"/>
      <c r="R172" s="65"/>
      <c r="S172" s="65"/>
      <c r="AD172" s="65">
        <v>209.7</v>
      </c>
      <c r="AG172" s="65">
        <v>239.1</v>
      </c>
    </row>
    <row r="173" spans="1:81">
      <c r="C173" s="65"/>
      <c r="D173" s="65"/>
      <c r="E173" s="65"/>
      <c r="F173" s="65"/>
      <c r="G173" s="65"/>
      <c r="H173" s="65"/>
      <c r="I173" s="65"/>
      <c r="J173" s="65"/>
      <c r="K173" s="65"/>
      <c r="L173" s="65"/>
      <c r="M173" s="65"/>
      <c r="N173" s="65"/>
      <c r="O173" s="65"/>
      <c r="P173" s="65"/>
      <c r="Q173" s="65"/>
      <c r="R173" s="65"/>
      <c r="S173" s="65"/>
      <c r="AD173" s="69">
        <f>AD164/AD172</f>
        <v>4.053409632808775E-2</v>
      </c>
      <c r="AG173" s="69">
        <f>AG164/AG172</f>
        <v>1.8402342116269347E-2</v>
      </c>
    </row>
    <row r="174" spans="1:81">
      <c r="C174" s="65"/>
      <c r="D174" s="65"/>
      <c r="E174" s="65"/>
      <c r="F174" s="65"/>
      <c r="G174" s="65"/>
      <c r="H174" s="65"/>
      <c r="I174" s="65"/>
      <c r="J174" s="65"/>
      <c r="K174" s="65"/>
      <c r="L174" s="65"/>
      <c r="M174" s="65"/>
      <c r="N174" s="65"/>
      <c r="O174" s="65"/>
      <c r="P174" s="65"/>
      <c r="Q174" s="65"/>
      <c r="R174" s="65"/>
      <c r="S174" s="65"/>
      <c r="AD174" s="69"/>
      <c r="AG174" s="69"/>
    </row>
    <row r="175" spans="1:81" s="613" customFormat="1">
      <c r="A175" s="238" t="s">
        <v>73</v>
      </c>
      <c r="B175" s="238"/>
      <c r="C175" s="237"/>
      <c r="D175" s="237"/>
      <c r="E175" s="237"/>
      <c r="F175" s="237"/>
      <c r="G175" s="237"/>
      <c r="H175" s="237"/>
      <c r="I175" s="237"/>
      <c r="J175" s="237"/>
      <c r="K175" s="237"/>
      <c r="L175" s="237"/>
      <c r="M175" s="237"/>
      <c r="N175" s="237"/>
      <c r="O175" s="237"/>
      <c r="P175" s="237"/>
      <c r="Q175" s="237"/>
      <c r="R175" s="237"/>
      <c r="S175" s="237"/>
      <c r="T175" s="237"/>
      <c r="U175" s="237"/>
      <c r="V175" s="237"/>
      <c r="W175" s="237"/>
      <c r="X175" s="237"/>
      <c r="Y175" s="237"/>
      <c r="Z175" s="237"/>
      <c r="AA175" s="237"/>
      <c r="AB175" s="237"/>
      <c r="AC175" s="237"/>
      <c r="AD175" s="237"/>
      <c r="AE175" s="237"/>
      <c r="AF175" s="237"/>
      <c r="AG175" s="237"/>
      <c r="AH175" s="237"/>
      <c r="AI175" s="237"/>
      <c r="AJ175" s="237"/>
      <c r="AK175" s="237"/>
      <c r="AL175" s="237"/>
      <c r="AM175" s="237"/>
      <c r="AN175" s="237"/>
      <c r="AO175" s="237"/>
      <c r="AP175" s="237"/>
      <c r="AQ175" s="237"/>
      <c r="AR175" s="237"/>
      <c r="AS175" s="237"/>
      <c r="AT175" s="237"/>
      <c r="AU175" s="237"/>
      <c r="AV175" s="237"/>
      <c r="AW175" s="237"/>
      <c r="AX175" s="237"/>
      <c r="AY175" s="237"/>
      <c r="AZ175" s="237"/>
      <c r="BA175" s="237"/>
      <c r="BB175" s="237"/>
      <c r="BC175" s="237"/>
      <c r="BD175" s="237"/>
      <c r="BE175" s="237"/>
      <c r="BF175" s="237"/>
      <c r="BG175" s="237"/>
      <c r="BH175" s="237"/>
      <c r="BI175" s="237"/>
      <c r="BJ175" s="237"/>
      <c r="BK175" s="237"/>
      <c r="BL175" s="237"/>
      <c r="BM175" s="237"/>
      <c r="BN175" s="237"/>
      <c r="BO175" s="237"/>
      <c r="BP175" s="237"/>
      <c r="BQ175" s="237"/>
      <c r="BR175" s="237"/>
      <c r="BS175" s="237"/>
      <c r="BT175" s="237"/>
      <c r="BU175" s="237"/>
      <c r="BV175" s="237"/>
      <c r="BW175" s="237"/>
      <c r="BX175" s="237"/>
      <c r="BY175" s="237"/>
      <c r="BZ175" s="237"/>
      <c r="CA175" s="237"/>
      <c r="CB175" s="237"/>
      <c r="CC175" s="237"/>
    </row>
    <row r="176" spans="1:81">
      <c r="B176" s="45" t="s">
        <v>183</v>
      </c>
      <c r="C176" s="65"/>
      <c r="D176" s="65"/>
      <c r="E176" s="65"/>
      <c r="F176" s="65"/>
      <c r="G176" s="65"/>
      <c r="H176" s="65"/>
      <c r="I176" s="65"/>
      <c r="J176" s="65"/>
      <c r="K176" s="65"/>
      <c r="L176" s="65"/>
      <c r="M176" s="65"/>
      <c r="N176" s="65"/>
      <c r="O176" s="65"/>
      <c r="P176" s="65"/>
      <c r="Q176" s="65"/>
      <c r="R176" s="65"/>
      <c r="S176" s="65"/>
      <c r="AD176" s="65">
        <v>48.5</v>
      </c>
      <c r="AE176" s="65">
        <v>26</v>
      </c>
      <c r="AF176" s="65">
        <f>AG176-AE176</f>
        <v>28.200000000000003</v>
      </c>
      <c r="AG176" s="139">
        <v>54.2</v>
      </c>
      <c r="AH176" s="65">
        <v>31.9</v>
      </c>
      <c r="AI176" s="114">
        <f>61.55-AH176</f>
        <v>29.65</v>
      </c>
      <c r="AJ176" s="114">
        <f>AI176+AH176</f>
        <v>61.55</v>
      </c>
      <c r="AK176" s="114">
        <v>35</v>
      </c>
      <c r="AL176" s="114">
        <f>77.3-AK176</f>
        <v>42.3</v>
      </c>
      <c r="AM176" s="65">
        <f>AL176+AK176</f>
        <v>77.3</v>
      </c>
      <c r="AN176" s="139">
        <v>41.7</v>
      </c>
      <c r="AO176" s="65">
        <f>+AP176-AN176</f>
        <v>44.399999999999991</v>
      </c>
      <c r="AP176" s="139">
        <v>86.1</v>
      </c>
      <c r="AQ176" s="139">
        <v>44.3</v>
      </c>
      <c r="AR176" s="65">
        <f>+AS176-AQ176</f>
        <v>44.600000000000009</v>
      </c>
      <c r="AS176" s="139">
        <v>88.9</v>
      </c>
      <c r="AT176" s="215">
        <f>50.9</f>
        <v>50.9</v>
      </c>
      <c r="AU176" s="5">
        <f>0</f>
        <v>0</v>
      </c>
      <c r="AV176" s="215">
        <f>0</f>
        <v>0</v>
      </c>
      <c r="AW176" s="65">
        <f>0</f>
        <v>0</v>
      </c>
      <c r="AX176" s="65">
        <f>AU176</f>
        <v>0</v>
      </c>
      <c r="AY176" s="65">
        <f>AX176+AW176</f>
        <v>0</v>
      </c>
      <c r="AZ176" s="139">
        <v>0</v>
      </c>
      <c r="BA176" s="65">
        <v>0</v>
      </c>
      <c r="BB176" s="139">
        <v>0</v>
      </c>
      <c r="BC176" s="65">
        <f>AZ176</f>
        <v>0</v>
      </c>
      <c r="BD176" s="65">
        <f>BA176</f>
        <v>0</v>
      </c>
      <c r="BE176" s="65">
        <f>BD176+BC176</f>
        <v>0</v>
      </c>
      <c r="BF176" s="65">
        <f>BC176</f>
        <v>0</v>
      </c>
      <c r="BG176" s="65">
        <f>BD176</f>
        <v>0</v>
      </c>
      <c r="BH176" s="65">
        <f>BG176+BF176</f>
        <v>0</v>
      </c>
      <c r="BI176" s="65">
        <f>BF176</f>
        <v>0</v>
      </c>
      <c r="BJ176" s="65">
        <f>BG176</f>
        <v>0</v>
      </c>
      <c r="BK176" s="65">
        <f>BJ176+BI176</f>
        <v>0</v>
      </c>
      <c r="BL176" s="65">
        <f>BI176</f>
        <v>0</v>
      </c>
      <c r="BM176" s="65">
        <f>BJ176</f>
        <v>0</v>
      </c>
      <c r="BN176" s="65">
        <f>BM176+BL176</f>
        <v>0</v>
      </c>
      <c r="BO176" s="65">
        <f>BL176</f>
        <v>0</v>
      </c>
      <c r="BP176" s="65">
        <f>BM176</f>
        <v>0</v>
      </c>
      <c r="BQ176" s="65">
        <f>BP176+BO176</f>
        <v>0</v>
      </c>
      <c r="BR176" s="65">
        <f>BO176</f>
        <v>0</v>
      </c>
      <c r="BS176" s="65">
        <f>BP176</f>
        <v>0</v>
      </c>
      <c r="BT176" s="65">
        <f>BS176+BR176</f>
        <v>0</v>
      </c>
      <c r="BU176" s="65">
        <f>BR176</f>
        <v>0</v>
      </c>
      <c r="BV176" s="65">
        <f>BS176</f>
        <v>0</v>
      </c>
      <c r="BW176" s="65">
        <f>BV176+BU176</f>
        <v>0</v>
      </c>
      <c r="BX176" s="65">
        <f>BU176</f>
        <v>0</v>
      </c>
      <c r="BY176" s="65">
        <f>BV176</f>
        <v>0</v>
      </c>
      <c r="BZ176" s="65">
        <f>BY176+BX176</f>
        <v>0</v>
      </c>
      <c r="CA176" s="65">
        <f>BX176</f>
        <v>0</v>
      </c>
      <c r="CB176" s="65">
        <f>BY176</f>
        <v>0</v>
      </c>
      <c r="CC176" s="65">
        <f>CB176+CA176</f>
        <v>0</v>
      </c>
    </row>
    <row r="177" spans="1:81">
      <c r="C177" s="65"/>
      <c r="D177" s="65"/>
      <c r="E177" s="65"/>
      <c r="F177" s="65"/>
      <c r="G177" s="65"/>
      <c r="H177" s="65"/>
      <c r="I177" s="65"/>
      <c r="J177" s="65"/>
      <c r="K177" s="65"/>
      <c r="L177" s="65"/>
      <c r="M177" s="65"/>
      <c r="N177" s="65"/>
      <c r="O177" s="65"/>
      <c r="P177" s="65"/>
      <c r="Q177" s="65"/>
      <c r="R177" s="65"/>
      <c r="S177" s="65"/>
    </row>
    <row r="178" spans="1:81" s="7" customFormat="1">
      <c r="A178" s="126"/>
      <c r="B178" s="41" t="s">
        <v>184</v>
      </c>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c r="AA178" s="40"/>
      <c r="AB178" s="40"/>
      <c r="AC178" s="40"/>
      <c r="AD178" s="150">
        <f t="shared" ref="AD178:BI178" si="63">AD176+AD162+AD108</f>
        <v>1231</v>
      </c>
      <c r="AE178" s="150">
        <f t="shared" si="63"/>
        <v>555.70000000000005</v>
      </c>
      <c r="AF178" s="150">
        <f t="shared" si="63"/>
        <v>638.5</v>
      </c>
      <c r="AG178" s="150">
        <f t="shared" si="63"/>
        <v>1194.2</v>
      </c>
      <c r="AH178" s="150">
        <f t="shared" si="63"/>
        <v>614.1</v>
      </c>
      <c r="AI178" s="150">
        <f t="shared" si="63"/>
        <v>753.10344888455734</v>
      </c>
      <c r="AJ178" s="150">
        <f t="shared" si="63"/>
        <v>1367.2034488845575</v>
      </c>
      <c r="AK178" s="150">
        <f t="shared" si="63"/>
        <v>609.5024236469369</v>
      </c>
      <c r="AL178" s="150">
        <f t="shared" si="63"/>
        <v>712.89757635306319</v>
      </c>
      <c r="AM178" s="150">
        <f t="shared" si="63"/>
        <v>1322.4</v>
      </c>
      <c r="AN178" s="150">
        <f t="shared" si="63"/>
        <v>644.08592454100801</v>
      </c>
      <c r="AO178" s="150">
        <f t="shared" si="63"/>
        <v>713.01407545899201</v>
      </c>
      <c r="AP178" s="150">
        <f t="shared" si="63"/>
        <v>1357.1</v>
      </c>
      <c r="AQ178" s="150">
        <f t="shared" si="63"/>
        <v>667</v>
      </c>
      <c r="AR178" s="150">
        <f t="shared" si="63"/>
        <v>748.59999999999991</v>
      </c>
      <c r="AS178" s="150">
        <f t="shared" si="63"/>
        <v>1415.6</v>
      </c>
      <c r="AT178" s="150">
        <f t="shared" si="63"/>
        <v>699.30000000000007</v>
      </c>
      <c r="AU178" s="150">
        <f t="shared" si="63"/>
        <v>900.20000000000016</v>
      </c>
      <c r="AV178" s="150">
        <f t="shared" si="63"/>
        <v>1548.6000000000001</v>
      </c>
      <c r="AW178" s="150">
        <f t="shared" si="63"/>
        <v>802.69999999999993</v>
      </c>
      <c r="AX178" s="150">
        <f t="shared" si="63"/>
        <v>881.80000000000018</v>
      </c>
      <c r="AY178" s="150">
        <f t="shared" si="63"/>
        <v>1684.5</v>
      </c>
      <c r="AZ178" s="150">
        <f t="shared" si="63"/>
        <v>836.5</v>
      </c>
      <c r="BA178" s="150">
        <f t="shared" si="63"/>
        <v>886.19999999999993</v>
      </c>
      <c r="BB178" s="150">
        <f t="shared" si="63"/>
        <v>1722.7</v>
      </c>
      <c r="BC178" s="150">
        <f t="shared" si="63"/>
        <v>712.9</v>
      </c>
      <c r="BD178" s="150">
        <f t="shared" ref="BD178:BE178" si="64">BD176+BD162+BD108</f>
        <v>836.1</v>
      </c>
      <c r="BE178" s="150">
        <f t="shared" si="64"/>
        <v>1549</v>
      </c>
      <c r="BF178" s="150">
        <f t="shared" si="63"/>
        <v>747.16038029737945</v>
      </c>
      <c r="BG178" s="150">
        <f t="shared" si="63"/>
        <v>873.06625141910786</v>
      </c>
      <c r="BH178" s="150">
        <f t="shared" si="63"/>
        <v>1620.2266317164872</v>
      </c>
      <c r="BI178" s="150">
        <f t="shared" si="63"/>
        <v>788.89011168250613</v>
      </c>
      <c r="BJ178" s="150">
        <f t="shared" ref="BJ178:CC178" si="65">BJ176+BJ162+BJ108</f>
        <v>883.96322340494146</v>
      </c>
      <c r="BK178" s="150">
        <f t="shared" si="65"/>
        <v>1672.8533350874477</v>
      </c>
      <c r="BL178" s="150">
        <f t="shared" si="65"/>
        <v>809.27233155909289</v>
      </c>
      <c r="BM178" s="150">
        <f t="shared" si="65"/>
        <v>907.38071377843141</v>
      </c>
      <c r="BN178" s="150">
        <f t="shared" si="65"/>
        <v>1716.6530453375242</v>
      </c>
      <c r="BO178" s="150">
        <f t="shared" si="65"/>
        <v>839.51587463393196</v>
      </c>
      <c r="BP178" s="150">
        <f t="shared" si="65"/>
        <v>928.02784125765459</v>
      </c>
      <c r="BQ178" s="150">
        <f t="shared" si="65"/>
        <v>1767.5437158915865</v>
      </c>
      <c r="BR178" s="150">
        <f t="shared" si="65"/>
        <v>844.90231649305656</v>
      </c>
      <c r="BS178" s="150">
        <f t="shared" si="65"/>
        <v>953.43741824949848</v>
      </c>
      <c r="BT178" s="150">
        <f t="shared" si="65"/>
        <v>1798.339734742555</v>
      </c>
      <c r="BU178" s="150">
        <f t="shared" si="65"/>
        <v>876.11395745957657</v>
      </c>
      <c r="BV178" s="150">
        <f t="shared" si="65"/>
        <v>986.87708844464805</v>
      </c>
      <c r="BW178" s="150">
        <f t="shared" si="65"/>
        <v>1862.9910459042246</v>
      </c>
      <c r="BX178" s="150">
        <f t="shared" si="65"/>
        <v>905.79567081744574</v>
      </c>
      <c r="BY178" s="150">
        <f t="shared" si="65"/>
        <v>999.61017761541518</v>
      </c>
      <c r="BZ178" s="150">
        <f t="shared" si="65"/>
        <v>1905.4058484328609</v>
      </c>
      <c r="CA178" s="150">
        <f t="shared" si="65"/>
        <v>917.17659634769052</v>
      </c>
      <c r="CB178" s="150">
        <f t="shared" si="65"/>
        <v>1012.5482699160439</v>
      </c>
      <c r="CC178" s="150">
        <f t="shared" si="65"/>
        <v>1929.7248662637346</v>
      </c>
    </row>
    <row r="179" spans="1:81">
      <c r="B179" s="43" t="s">
        <v>677</v>
      </c>
      <c r="C179" s="65"/>
      <c r="D179" s="65"/>
      <c r="E179" s="65"/>
      <c r="F179" s="65"/>
      <c r="G179" s="65"/>
      <c r="H179" s="65"/>
      <c r="I179" s="65"/>
      <c r="J179" s="65"/>
      <c r="K179" s="65"/>
      <c r="L179" s="65"/>
      <c r="M179" s="65"/>
      <c r="N179" s="65"/>
      <c r="O179" s="65"/>
      <c r="P179" s="65"/>
      <c r="Q179" s="65"/>
      <c r="R179" s="65"/>
      <c r="S179" s="65"/>
      <c r="AD179" s="65">
        <v>-30.6</v>
      </c>
      <c r="AE179" s="65">
        <v>-13.2</v>
      </c>
      <c r="AF179" s="65">
        <f>AG179-AE179</f>
        <v>-18</v>
      </c>
      <c r="AG179" s="65">
        <v>-31.2</v>
      </c>
      <c r="AH179" s="65">
        <v>-17.7</v>
      </c>
      <c r="AI179" s="114">
        <f>-35.3-AH179</f>
        <v>-17.599999999999998</v>
      </c>
      <c r="AJ179" s="114">
        <f>AI179+AH179</f>
        <v>-35.299999999999997</v>
      </c>
      <c r="AK179" s="114">
        <f t="shared" ref="AK179:BQ179" si="66">AK111</f>
        <v>-18.100000000000001</v>
      </c>
      <c r="AL179" s="114">
        <f t="shared" si="66"/>
        <v>-22.6</v>
      </c>
      <c r="AM179" s="114">
        <f t="shared" si="66"/>
        <v>-40.700000000000003</v>
      </c>
      <c r="AN179" s="114">
        <f t="shared" si="66"/>
        <v>-17.399999999999999</v>
      </c>
      <c r="AO179" s="114">
        <f t="shared" si="66"/>
        <v>-19.700000000000003</v>
      </c>
      <c r="AP179" s="114">
        <f t="shared" si="66"/>
        <v>-37.1</v>
      </c>
      <c r="AQ179" s="114">
        <f t="shared" si="66"/>
        <v>-10.5</v>
      </c>
      <c r="AR179" s="114">
        <f t="shared" si="66"/>
        <v>-15.2</v>
      </c>
      <c r="AS179" s="114">
        <f t="shared" si="66"/>
        <v>-25.7</v>
      </c>
      <c r="AT179" s="114">
        <f t="shared" si="66"/>
        <v>-14.7</v>
      </c>
      <c r="AU179" s="114">
        <f t="shared" si="66"/>
        <v>-26.099999999999998</v>
      </c>
      <c r="AV179" s="114">
        <f t="shared" si="66"/>
        <v>-40.799999999999997</v>
      </c>
      <c r="AW179" s="114">
        <f t="shared" si="66"/>
        <v>-31</v>
      </c>
      <c r="AX179" s="114">
        <f t="shared" si="66"/>
        <v>-33</v>
      </c>
      <c r="AY179" s="114">
        <f t="shared" si="66"/>
        <v>-64</v>
      </c>
      <c r="AZ179" s="114">
        <f t="shared" si="66"/>
        <v>-37.1</v>
      </c>
      <c r="BA179" s="114">
        <f t="shared" si="66"/>
        <v>-37.800000000000004</v>
      </c>
      <c r="BB179" s="114">
        <f t="shared" si="66"/>
        <v>-74.900000000000006</v>
      </c>
      <c r="BC179" s="114">
        <f t="shared" si="66"/>
        <v>-38.5</v>
      </c>
      <c r="BD179" s="114">
        <f t="shared" ref="BD179:BE179" si="67">BD111</f>
        <v>-57</v>
      </c>
      <c r="BE179" s="114">
        <f t="shared" si="67"/>
        <v>-95.5</v>
      </c>
      <c r="BF179" s="114">
        <f t="shared" si="66"/>
        <v>-40.889394711984323</v>
      </c>
      <c r="BG179" s="114">
        <f t="shared" si="66"/>
        <v>-60.042120600317631</v>
      </c>
      <c r="BH179" s="114">
        <f t="shared" si="66"/>
        <v>-100.93151531230195</v>
      </c>
      <c r="BI179" s="114">
        <f t="shared" si="66"/>
        <v>-43.536874953846123</v>
      </c>
      <c r="BJ179" s="114">
        <f t="shared" si="66"/>
        <v>-60.892091816862752</v>
      </c>
      <c r="BK179" s="114">
        <f t="shared" si="66"/>
        <v>-104.42896677070888</v>
      </c>
      <c r="BL179" s="114">
        <f t="shared" si="66"/>
        <v>-44.67832215421118</v>
      </c>
      <c r="BM179" s="114">
        <f t="shared" si="66"/>
        <v>-62.392527778511976</v>
      </c>
      <c r="BN179" s="114">
        <f t="shared" si="66"/>
        <v>-107.07084993272315</v>
      </c>
      <c r="BO179" s="114">
        <f t="shared" si="66"/>
        <v>-46.222520813427728</v>
      </c>
      <c r="BP179" s="114">
        <f t="shared" si="66"/>
        <v>-63.567256711644404</v>
      </c>
      <c r="BQ179" s="114">
        <f t="shared" si="66"/>
        <v>-109.78977752507214</v>
      </c>
      <c r="BR179" s="114">
        <f t="shared" ref="BR179:CC179" si="68">BR111</f>
        <v>-46.434143125192342</v>
      </c>
      <c r="BS179" s="114">
        <f t="shared" si="68"/>
        <v>-65.211355393399529</v>
      </c>
      <c r="BT179" s="114">
        <f t="shared" si="68"/>
        <v>-111.64549851859186</v>
      </c>
      <c r="BU179" s="114">
        <f t="shared" si="68"/>
        <v>-48.050639369538942</v>
      </c>
      <c r="BV179" s="114">
        <f t="shared" si="68"/>
        <v>-67.48126522553649</v>
      </c>
      <c r="BW179" s="114">
        <f t="shared" si="68"/>
        <v>-115.53190459507543</v>
      </c>
      <c r="BX179" s="114">
        <f t="shared" si="68"/>
        <v>-49.682833764287828</v>
      </c>
      <c r="BY179" s="114">
        <f t="shared" si="68"/>
        <v>-68.326644708821078</v>
      </c>
      <c r="BZ179" s="114">
        <f t="shared" si="68"/>
        <v>-118.00947847310891</v>
      </c>
      <c r="CA179" s="114">
        <f t="shared" si="68"/>
        <v>-50.288863299816015</v>
      </c>
      <c r="CB179" s="114">
        <f t="shared" si="68"/>
        <v>-69.185574695387686</v>
      </c>
      <c r="CC179" s="114">
        <f t="shared" si="68"/>
        <v>-119.4744379952037</v>
      </c>
    </row>
    <row r="180" spans="1:81">
      <c r="B180" s="45" t="s">
        <v>185</v>
      </c>
      <c r="C180" s="65"/>
      <c r="D180" s="65"/>
      <c r="E180" s="65"/>
      <c r="F180" s="65"/>
      <c r="G180" s="65"/>
      <c r="H180" s="65"/>
      <c r="I180" s="65"/>
      <c r="J180" s="65"/>
      <c r="K180" s="65"/>
      <c r="L180" s="65"/>
      <c r="M180" s="65"/>
      <c r="N180" s="65"/>
      <c r="O180" s="65"/>
      <c r="P180" s="65"/>
      <c r="Q180" s="65"/>
      <c r="R180" s="65"/>
      <c r="S180" s="65"/>
      <c r="AD180" s="65">
        <v>85</v>
      </c>
      <c r="AE180" s="65">
        <v>44.6</v>
      </c>
      <c r="AF180" s="65">
        <f>AG180-AE180</f>
        <v>41.9</v>
      </c>
      <c r="AG180" s="65">
        <v>86.5</v>
      </c>
      <c r="AH180" s="65">
        <v>52.3</v>
      </c>
      <c r="AI180" s="114">
        <f>93.9-AH180</f>
        <v>41.600000000000009</v>
      </c>
      <c r="AJ180" s="114">
        <f>AI180+AH180</f>
        <v>93.9</v>
      </c>
      <c r="AK180" s="140">
        <v>47.2</v>
      </c>
      <c r="AL180" s="114">
        <f>102.7-AK180</f>
        <v>55.5</v>
      </c>
      <c r="AM180" s="114">
        <f>AL180+AK180</f>
        <v>102.7</v>
      </c>
      <c r="AN180" s="151">
        <v>65.8</v>
      </c>
      <c r="AO180" s="114">
        <f>+AP180-AN180</f>
        <v>63.600000000000009</v>
      </c>
      <c r="AP180" s="151">
        <v>129.4</v>
      </c>
      <c r="AQ180" s="151">
        <v>65.099999999999994</v>
      </c>
      <c r="AR180" s="114">
        <f>+AS180-AQ180</f>
        <v>63.200000000000017</v>
      </c>
      <c r="AS180" s="151">
        <v>128.30000000000001</v>
      </c>
      <c r="AT180" s="151">
        <v>61.9</v>
      </c>
      <c r="AU180" s="114">
        <f>AV180-AT180</f>
        <v>77.5</v>
      </c>
      <c r="AV180" s="151">
        <f>139.4</f>
        <v>139.4</v>
      </c>
      <c r="AW180" s="151">
        <f>66.7</f>
        <v>66.7</v>
      </c>
      <c r="AX180" s="114">
        <f>AY180-AW180</f>
        <v>59.099999999999994</v>
      </c>
      <c r="AY180" s="151">
        <v>125.8</v>
      </c>
      <c r="AZ180" s="151">
        <v>60.1</v>
      </c>
      <c r="BA180" s="114">
        <f>BB180-AZ180</f>
        <v>43.199999999999996</v>
      </c>
      <c r="BB180" s="151">
        <f>97.3+6</f>
        <v>103.3</v>
      </c>
      <c r="BC180" s="151">
        <v>40.299999999999997</v>
      </c>
      <c r="BD180" s="114">
        <f>BE180-BC180</f>
        <v>64.3</v>
      </c>
      <c r="BE180" s="151">
        <f>89.5+15.1</f>
        <v>104.6</v>
      </c>
      <c r="BF180" s="114">
        <f>BC180*BF178/BC178</f>
        <v>42.236727908520677</v>
      </c>
      <c r="BG180" s="114">
        <f>BD180*BG178/BD178</f>
        <v>67.142877605846948</v>
      </c>
      <c r="BH180" s="114">
        <f>BG180+BF180</f>
        <v>109.37960551436763</v>
      </c>
      <c r="BI180" s="114">
        <f>BF180*BI178/BF178</f>
        <v>44.595695750883706</v>
      </c>
      <c r="BJ180" s="114">
        <f>BG180*BJ178/BG178</f>
        <v>67.980905710964876</v>
      </c>
      <c r="BK180" s="114">
        <f>BJ180+BI180</f>
        <v>112.57660146184858</v>
      </c>
      <c r="BL180" s="114">
        <f>BI180*BL178/BI178</f>
        <v>45.747895864541221</v>
      </c>
      <c r="BM180" s="114">
        <f>BJ180*BM178/BJ178</f>
        <v>69.781820231973612</v>
      </c>
      <c r="BN180" s="114">
        <f>BM180+BL180</f>
        <v>115.52971609651483</v>
      </c>
      <c r="BO180" s="114">
        <f>BL180*BO178/BL178</f>
        <v>47.457553300248911</v>
      </c>
      <c r="BP180" s="114">
        <f>BM180*BP178/BM178</f>
        <v>71.36968089088289</v>
      </c>
      <c r="BQ180" s="114">
        <f>BP180+BO180</f>
        <v>118.82723419113179</v>
      </c>
      <c r="BR180" s="114">
        <f>BO180*BR178/BO178</f>
        <v>47.762047067849863</v>
      </c>
      <c r="BS180" s="114">
        <f>BP180*BS178/BP178</f>
        <v>73.323796188784527</v>
      </c>
      <c r="BT180" s="114">
        <f>BS180+BR180</f>
        <v>121.08584325663439</v>
      </c>
      <c r="BU180" s="114">
        <f>BR180*BU178/BR178</f>
        <v>49.526430755535031</v>
      </c>
      <c r="BV180" s="114">
        <f>BS180*BV178/BS178</f>
        <v>75.895463206543312</v>
      </c>
      <c r="BW180" s="114">
        <f>BV180+BU180</f>
        <v>125.42189396207834</v>
      </c>
      <c r="BX180" s="114">
        <f>BU180*BX178/BU178</f>
        <v>51.204328144119863</v>
      </c>
      <c r="BY180" s="114">
        <f>BV180*BY178/BV178</f>
        <v>76.874697309737087</v>
      </c>
      <c r="BZ180" s="114">
        <f>BY180+BX180</f>
        <v>128.07902545385696</v>
      </c>
      <c r="CA180" s="114">
        <f>BX180*CA178/BX178</f>
        <v>51.847688080813455</v>
      </c>
      <c r="CB180" s="114">
        <f>BY180*CB178/BY178</f>
        <v>77.869697112309055</v>
      </c>
      <c r="CC180" s="114">
        <f>CB180+CA180</f>
        <v>129.71738519312251</v>
      </c>
    </row>
    <row r="181" spans="1:81">
      <c r="B181" s="45" t="s">
        <v>186</v>
      </c>
      <c r="C181" s="65"/>
      <c r="D181" s="65"/>
      <c r="E181" s="65"/>
      <c r="F181" s="65"/>
      <c r="G181" s="65"/>
      <c r="H181" s="65"/>
      <c r="I181" s="65"/>
      <c r="J181" s="65"/>
      <c r="K181" s="65"/>
      <c r="L181" s="65"/>
      <c r="M181" s="65"/>
      <c r="N181" s="65"/>
      <c r="O181" s="65"/>
      <c r="P181" s="65"/>
      <c r="Q181" s="65"/>
      <c r="R181" s="65"/>
      <c r="S181" s="65"/>
      <c r="AD181" s="65">
        <v>3.1</v>
      </c>
      <c r="AE181" s="65">
        <v>1</v>
      </c>
      <c r="AF181" s="65">
        <f>AG181-AE181</f>
        <v>0.60000000000000009</v>
      </c>
      <c r="AG181" s="65">
        <v>1.6</v>
      </c>
      <c r="AH181" s="65">
        <v>1</v>
      </c>
      <c r="AI181" s="65">
        <f>2.3-AH181</f>
        <v>1.2999999999999998</v>
      </c>
      <c r="AJ181" s="114">
        <f>AI181+AH181</f>
        <v>2.2999999999999998</v>
      </c>
      <c r="AK181" s="121">
        <v>1.1000000000000001</v>
      </c>
      <c r="AL181" s="65">
        <f>2.4-AK181</f>
        <v>1.2999999999999998</v>
      </c>
      <c r="AM181" s="114">
        <f>AL181+AK181</f>
        <v>2.4</v>
      </c>
      <c r="AN181" s="139">
        <v>1.5</v>
      </c>
      <c r="AO181" s="114">
        <f>+AP181-AN181</f>
        <v>1.1000000000000001</v>
      </c>
      <c r="AP181" s="151">
        <v>2.6</v>
      </c>
      <c r="AQ181" s="139">
        <v>0.8</v>
      </c>
      <c r="AR181" s="114">
        <f>+AS181-AQ181</f>
        <v>1</v>
      </c>
      <c r="AS181" s="151">
        <v>1.8</v>
      </c>
      <c r="AT181" s="139">
        <v>0.8</v>
      </c>
      <c r="AU181" s="114">
        <f>AV181-AT181</f>
        <v>1</v>
      </c>
      <c r="AV181" s="151">
        <f>1+0.8</f>
        <v>1.8</v>
      </c>
      <c r="AW181" s="139">
        <f>0.8</f>
        <v>0.8</v>
      </c>
      <c r="AX181" s="114">
        <f>AY181-AW181</f>
        <v>0.89999999999999991</v>
      </c>
      <c r="AY181" s="151">
        <v>1.7</v>
      </c>
      <c r="AZ181" s="139">
        <v>0.8</v>
      </c>
      <c r="BA181" s="114">
        <f>BB181-AZ181</f>
        <v>0.7</v>
      </c>
      <c r="BB181" s="139">
        <v>1.5</v>
      </c>
      <c r="BC181" s="139">
        <v>0.7</v>
      </c>
      <c r="BD181" s="114">
        <f>BE181-BC181</f>
        <v>0.8</v>
      </c>
      <c r="BE181" s="139">
        <v>1.5</v>
      </c>
      <c r="BF181" s="65">
        <f>BD181</f>
        <v>0.8</v>
      </c>
      <c r="BG181" s="65">
        <f>BF181</f>
        <v>0.8</v>
      </c>
      <c r="BH181" s="114">
        <f>BG181+BF181</f>
        <v>1.6</v>
      </c>
      <c r="BI181" s="65">
        <f>BG181</f>
        <v>0.8</v>
      </c>
      <c r="BJ181" s="65">
        <f>BI181</f>
        <v>0.8</v>
      </c>
      <c r="BK181" s="114">
        <f>BJ181+BI181</f>
        <v>1.6</v>
      </c>
      <c r="BL181" s="65">
        <f>BJ181</f>
        <v>0.8</v>
      </c>
      <c r="BM181" s="65">
        <f>BL181</f>
        <v>0.8</v>
      </c>
      <c r="BN181" s="114">
        <f>BM181+BL181</f>
        <v>1.6</v>
      </c>
      <c r="BO181" s="65">
        <f>BM181</f>
        <v>0.8</v>
      </c>
      <c r="BP181" s="65">
        <f>BO181</f>
        <v>0.8</v>
      </c>
      <c r="BQ181" s="114">
        <f>BP181+BO181</f>
        <v>1.6</v>
      </c>
      <c r="BR181" s="65">
        <f>BP181</f>
        <v>0.8</v>
      </c>
      <c r="BS181" s="65">
        <f>BR181</f>
        <v>0.8</v>
      </c>
      <c r="BT181" s="114">
        <f>BS181+BR181</f>
        <v>1.6</v>
      </c>
      <c r="BU181" s="65">
        <f>BS181</f>
        <v>0.8</v>
      </c>
      <c r="BV181" s="65">
        <f>BU181</f>
        <v>0.8</v>
      </c>
      <c r="BW181" s="114">
        <f>BV181+BU181</f>
        <v>1.6</v>
      </c>
      <c r="BX181" s="65">
        <f>BV181</f>
        <v>0.8</v>
      </c>
      <c r="BY181" s="65">
        <f>BX181</f>
        <v>0.8</v>
      </c>
      <c r="BZ181" s="114">
        <f>BY181+BX181</f>
        <v>1.6</v>
      </c>
      <c r="CA181" s="65">
        <f>BY181</f>
        <v>0.8</v>
      </c>
      <c r="CB181" s="65">
        <f>CA181</f>
        <v>0.8</v>
      </c>
      <c r="CC181" s="114">
        <f>CB181+CA181</f>
        <v>1.6</v>
      </c>
    </row>
    <row r="182" spans="1:81">
      <c r="B182" s="45" t="s">
        <v>187</v>
      </c>
      <c r="C182" s="65"/>
      <c r="D182" s="65"/>
      <c r="E182" s="65"/>
      <c r="F182" s="65"/>
      <c r="G182" s="65"/>
      <c r="H182" s="65"/>
      <c r="I182" s="65"/>
      <c r="J182" s="65"/>
      <c r="K182" s="65"/>
      <c r="L182" s="65"/>
      <c r="M182" s="65"/>
      <c r="N182" s="65"/>
      <c r="O182" s="65"/>
      <c r="P182" s="65"/>
      <c r="Q182" s="65"/>
      <c r="R182" s="65"/>
      <c r="S182" s="65"/>
      <c r="AD182" s="65">
        <v>1</v>
      </c>
      <c r="AE182" s="65">
        <v>0.6</v>
      </c>
      <c r="AF182" s="65">
        <f>AG182-AE182</f>
        <v>0</v>
      </c>
      <c r="AG182" s="65">
        <v>0.6</v>
      </c>
      <c r="AH182" s="65">
        <v>0.6</v>
      </c>
      <c r="AI182" s="65">
        <f>1.2-AH182</f>
        <v>0.6</v>
      </c>
      <c r="AJ182" s="114">
        <f>AI182+AH182</f>
        <v>1.2</v>
      </c>
      <c r="AK182" s="121">
        <v>0.8</v>
      </c>
      <c r="AL182" s="65">
        <f>1.2-AK182</f>
        <v>0.39999999999999991</v>
      </c>
      <c r="AM182" s="114">
        <f>AL182+AK182</f>
        <v>1.2</v>
      </c>
      <c r="AN182" s="139">
        <v>0</v>
      </c>
      <c r="AO182" s="114">
        <f>+AP182-AN182</f>
        <v>0.5</v>
      </c>
      <c r="AP182" s="151">
        <v>0.5</v>
      </c>
      <c r="AQ182" s="139">
        <v>0.4</v>
      </c>
      <c r="AR182" s="114">
        <f>+AS182-AQ182</f>
        <v>0.29999999999999993</v>
      </c>
      <c r="AS182" s="151">
        <v>0.7</v>
      </c>
      <c r="AT182" s="139">
        <v>0.3</v>
      </c>
      <c r="AU182" s="114">
        <f>AV182-AT182</f>
        <v>0.10000000000000003</v>
      </c>
      <c r="AV182" s="151">
        <f>0.4</f>
        <v>0.4</v>
      </c>
      <c r="AW182" s="139">
        <f>0.3</f>
        <v>0.3</v>
      </c>
      <c r="AX182" s="114">
        <f>AY182-AW182</f>
        <v>0.10000000000000003</v>
      </c>
      <c r="AY182" s="151">
        <v>0.4</v>
      </c>
      <c r="AZ182" s="139">
        <v>0.4</v>
      </c>
      <c r="BA182" s="114">
        <f>BB182-AZ182</f>
        <v>9.9999999999999978E-2</v>
      </c>
      <c r="BB182" s="139">
        <v>0.5</v>
      </c>
      <c r="BC182" s="139">
        <v>0.2</v>
      </c>
      <c r="BD182" s="114">
        <f>BE182-BC182</f>
        <v>0.2</v>
      </c>
      <c r="BE182" s="139">
        <v>0.4</v>
      </c>
      <c r="BF182" s="65">
        <f>BD182</f>
        <v>0.2</v>
      </c>
      <c r="BG182" s="65">
        <f>BF182</f>
        <v>0.2</v>
      </c>
      <c r="BH182" s="114">
        <f>BG182+BF182</f>
        <v>0.4</v>
      </c>
      <c r="BI182" s="65">
        <f>BG182</f>
        <v>0.2</v>
      </c>
      <c r="BJ182" s="65">
        <f>BI182</f>
        <v>0.2</v>
      </c>
      <c r="BK182" s="114">
        <f>BJ182+BI182</f>
        <v>0.4</v>
      </c>
      <c r="BL182" s="65">
        <f>BJ182</f>
        <v>0.2</v>
      </c>
      <c r="BM182" s="65">
        <f>BL182</f>
        <v>0.2</v>
      </c>
      <c r="BN182" s="114">
        <f>BM182+BL182</f>
        <v>0.4</v>
      </c>
      <c r="BO182" s="65">
        <f>BM182</f>
        <v>0.2</v>
      </c>
      <c r="BP182" s="65">
        <f>BO182</f>
        <v>0.2</v>
      </c>
      <c r="BQ182" s="114">
        <f>BP182+BO182</f>
        <v>0.4</v>
      </c>
      <c r="BR182" s="65">
        <f>BP182</f>
        <v>0.2</v>
      </c>
      <c r="BS182" s="65">
        <f>BR182</f>
        <v>0.2</v>
      </c>
      <c r="BT182" s="114">
        <f>BS182+BR182</f>
        <v>0.4</v>
      </c>
      <c r="BU182" s="65">
        <f>BS182</f>
        <v>0.2</v>
      </c>
      <c r="BV182" s="65">
        <f>BU182</f>
        <v>0.2</v>
      </c>
      <c r="BW182" s="114">
        <f>BV182+BU182</f>
        <v>0.4</v>
      </c>
      <c r="BX182" s="65">
        <f>BV182</f>
        <v>0.2</v>
      </c>
      <c r="BY182" s="65">
        <f>BX182</f>
        <v>0.2</v>
      </c>
      <c r="BZ182" s="114">
        <f>BY182+BX182</f>
        <v>0.4</v>
      </c>
      <c r="CA182" s="65">
        <f>BY182</f>
        <v>0.2</v>
      </c>
      <c r="CB182" s="65">
        <f>CA182</f>
        <v>0.2</v>
      </c>
      <c r="CC182" s="114">
        <f>CB182+CA182</f>
        <v>0.4</v>
      </c>
    </row>
    <row r="183" spans="1:81">
      <c r="C183" s="65"/>
      <c r="D183" s="65"/>
      <c r="E183" s="65"/>
      <c r="F183" s="65"/>
      <c r="G183" s="65"/>
      <c r="H183" s="65"/>
      <c r="I183" s="65"/>
      <c r="J183" s="65"/>
      <c r="K183" s="65"/>
      <c r="L183" s="65"/>
      <c r="M183" s="65"/>
      <c r="N183" s="65"/>
      <c r="O183" s="65"/>
      <c r="P183" s="65"/>
      <c r="Q183" s="65"/>
      <c r="R183" s="65"/>
      <c r="S183" s="65"/>
      <c r="AJ183" s="114"/>
      <c r="AK183" s="121"/>
      <c r="AM183" s="114"/>
      <c r="AN183" s="139"/>
      <c r="AO183" s="114"/>
      <c r="AP183" s="151"/>
      <c r="AQ183" s="139"/>
      <c r="AR183" s="114"/>
      <c r="AS183" s="151"/>
      <c r="AT183" s="139"/>
      <c r="AU183" s="114"/>
      <c r="AV183" s="151"/>
      <c r="AW183" s="139"/>
      <c r="AX183" s="114"/>
      <c r="AY183" s="151"/>
      <c r="AZ183" s="139"/>
      <c r="BA183" s="114"/>
      <c r="BB183" s="139"/>
      <c r="BC183" s="139"/>
      <c r="BD183" s="114"/>
      <c r="BE183" s="114"/>
      <c r="BH183" s="114"/>
      <c r="BK183" s="114"/>
      <c r="BN183" s="114"/>
      <c r="BQ183" s="114"/>
      <c r="BT183" s="114"/>
      <c r="BW183" s="114"/>
      <c r="BZ183" s="114"/>
      <c r="CC183" s="114"/>
    </row>
    <row r="184" spans="1:81">
      <c r="B184" s="45" t="s">
        <v>421</v>
      </c>
      <c r="C184" s="65"/>
      <c r="D184" s="65"/>
      <c r="E184" s="65"/>
      <c r="F184" s="65"/>
      <c r="G184" s="65"/>
      <c r="H184" s="65"/>
      <c r="I184" s="65"/>
      <c r="J184" s="65"/>
      <c r="K184" s="65"/>
      <c r="L184" s="65"/>
      <c r="M184" s="65"/>
      <c r="N184" s="65"/>
      <c r="O184" s="65"/>
      <c r="P184" s="65"/>
      <c r="Q184" s="65"/>
      <c r="R184" s="65"/>
      <c r="S184" s="65"/>
      <c r="AD184" s="65">
        <v>-267.10000000000002</v>
      </c>
      <c r="AE184" s="65">
        <v>-125.5</v>
      </c>
      <c r="AF184" s="65">
        <f>AG184-AE184</f>
        <v>-139</v>
      </c>
      <c r="AG184" s="65">
        <v>-264.5</v>
      </c>
      <c r="AH184" s="65">
        <v>-130.9</v>
      </c>
      <c r="AI184" s="114">
        <f>-266.7-AH184</f>
        <v>-135.79999999999998</v>
      </c>
      <c r="AJ184" s="114">
        <f>AI184+AH184</f>
        <v>-266.7</v>
      </c>
      <c r="AK184" s="140">
        <v>-141</v>
      </c>
      <c r="AL184" s="114">
        <f>-287.6-AK184</f>
        <v>-146.60000000000002</v>
      </c>
      <c r="AM184" s="114">
        <f>AL184+AK184</f>
        <v>-287.60000000000002</v>
      </c>
      <c r="AN184" s="151">
        <v>-143.69999999999999</v>
      </c>
      <c r="AO184" s="114">
        <f>+AP184-AN184</f>
        <v>-125.69999999999999</v>
      </c>
      <c r="AP184" s="151">
        <v>-269.39999999999998</v>
      </c>
      <c r="AQ184" s="151">
        <v>-143.5</v>
      </c>
      <c r="AR184" s="114">
        <f>+AS184-AQ184</f>
        <v>-149.19999999999999</v>
      </c>
      <c r="AS184" s="151">
        <v>-292.7</v>
      </c>
      <c r="AT184" s="151">
        <v>-145.6</v>
      </c>
      <c r="AU184" s="114">
        <f>AV184-AT184</f>
        <v>-166.00000000000003</v>
      </c>
      <c r="AV184" s="151">
        <f>-311.6</f>
        <v>-311.60000000000002</v>
      </c>
      <c r="AW184" s="151">
        <f>-161.4</f>
        <v>-161.4</v>
      </c>
      <c r="AX184" s="114">
        <f>AY184-AW184</f>
        <v>-173.9</v>
      </c>
      <c r="AY184" s="151">
        <v>-335.3</v>
      </c>
      <c r="AZ184" s="151">
        <v>-174.7</v>
      </c>
      <c r="BA184" s="114">
        <f>BB184-AZ184</f>
        <v>-182.2</v>
      </c>
      <c r="BB184" s="151">
        <v>-356.9</v>
      </c>
      <c r="BC184" s="151"/>
      <c r="BD184" s="114"/>
      <c r="BE184" s="114"/>
      <c r="BF184" s="114">
        <f>BC184*(BF178/BC178)</f>
        <v>0</v>
      </c>
      <c r="BG184" s="114">
        <f>BD184*(BG178/BD178)</f>
        <v>0</v>
      </c>
      <c r="BH184" s="114">
        <f>BG184+BF184</f>
        <v>0</v>
      </c>
      <c r="BI184" s="114">
        <f>BF184*(BI178/BF178)</f>
        <v>0</v>
      </c>
      <c r="BJ184" s="114">
        <f>BG184*(BJ178/BG178)</f>
        <v>0</v>
      </c>
      <c r="BK184" s="114">
        <f>BJ184+BI184</f>
        <v>0</v>
      </c>
      <c r="BL184" s="114">
        <f>BI184*(BL178/BI178)</f>
        <v>0</v>
      </c>
      <c r="BM184" s="114">
        <f>BJ184*(BM178/BJ178)</f>
        <v>0</v>
      </c>
      <c r="BN184" s="114">
        <f>BM184+BL184</f>
        <v>0</v>
      </c>
      <c r="BO184" s="114">
        <f>BL184*(BO178/BL178)</f>
        <v>0</v>
      </c>
      <c r="BP184" s="114">
        <f>BM184*(BP178/BM178)</f>
        <v>0</v>
      </c>
      <c r="BQ184" s="114">
        <f>BP184+BO184</f>
        <v>0</v>
      </c>
      <c r="BR184" s="114">
        <f>BO184*(BR178/BO178)</f>
        <v>0</v>
      </c>
      <c r="BS184" s="114">
        <f>BP184*(BS178/BP178)</f>
        <v>0</v>
      </c>
      <c r="BT184" s="114">
        <f>BS184+BR184</f>
        <v>0</v>
      </c>
      <c r="BU184" s="114">
        <f>BR184*(BU178/BR178)</f>
        <v>0</v>
      </c>
      <c r="BV184" s="114">
        <f>BS184*(BV178/BS178)</f>
        <v>0</v>
      </c>
      <c r="BW184" s="114">
        <f>BV184+BU184</f>
        <v>0</v>
      </c>
      <c r="BX184" s="114">
        <f>BU184*(BX178/BU178)</f>
        <v>0</v>
      </c>
      <c r="BY184" s="114">
        <f>BV184*(BY178/BV178)</f>
        <v>0</v>
      </c>
      <c r="BZ184" s="114">
        <f>BY184+BX184</f>
        <v>0</v>
      </c>
      <c r="CA184" s="114">
        <f>BX184*(CA178/BX178)</f>
        <v>0</v>
      </c>
      <c r="CB184" s="114">
        <f>BY184*(CB178/BY178)</f>
        <v>0</v>
      </c>
      <c r="CC184" s="114">
        <f>CB184+CA184</f>
        <v>0</v>
      </c>
    </row>
    <row r="185" spans="1:81" s="7" customFormat="1">
      <c r="A185" s="142"/>
      <c r="B185" s="73" t="s">
        <v>422</v>
      </c>
      <c r="C185" s="73"/>
      <c r="D185" s="73"/>
      <c r="E185" s="73"/>
      <c r="F185" s="73"/>
      <c r="G185" s="73"/>
      <c r="H185" s="73"/>
      <c r="I185" s="73"/>
      <c r="J185" s="73"/>
      <c r="K185" s="73"/>
      <c r="L185" s="73"/>
      <c r="M185" s="73"/>
      <c r="N185" s="73"/>
      <c r="O185" s="73"/>
      <c r="P185" s="73"/>
      <c r="Q185" s="73"/>
      <c r="R185" s="73"/>
      <c r="S185" s="73"/>
      <c r="T185" s="73"/>
      <c r="U185" s="73"/>
      <c r="V185" s="73"/>
      <c r="W185" s="73"/>
      <c r="X185" s="73"/>
      <c r="Y185" s="73"/>
      <c r="Z185" s="73"/>
      <c r="AA185" s="73"/>
      <c r="AB185" s="73"/>
      <c r="AC185" s="73"/>
      <c r="AD185" s="144">
        <f t="shared" ref="AD185:BQ185" si="69">SUM(AD178:AD184)</f>
        <v>1022.4</v>
      </c>
      <c r="AE185" s="144">
        <f t="shared" si="69"/>
        <v>463.20000000000005</v>
      </c>
      <c r="AF185" s="144">
        <f t="shared" si="69"/>
        <v>524</v>
      </c>
      <c r="AG185" s="144">
        <f t="shared" si="69"/>
        <v>987.19999999999982</v>
      </c>
      <c r="AH185" s="144">
        <f t="shared" si="69"/>
        <v>519.4</v>
      </c>
      <c r="AI185" s="144">
        <f t="shared" si="69"/>
        <v>643.20344888455736</v>
      </c>
      <c r="AJ185" s="144">
        <f t="shared" si="69"/>
        <v>1162.6034488845576</v>
      </c>
      <c r="AK185" s="144">
        <f t="shared" si="69"/>
        <v>499.5024236469369</v>
      </c>
      <c r="AL185" s="144">
        <f t="shared" si="69"/>
        <v>600.89757635306307</v>
      </c>
      <c r="AM185" s="144">
        <f t="shared" si="69"/>
        <v>1100.4000000000001</v>
      </c>
      <c r="AN185" s="144">
        <f t="shared" si="69"/>
        <v>550.28592454100794</v>
      </c>
      <c r="AO185" s="144">
        <f t="shared" si="69"/>
        <v>632.81407545899197</v>
      </c>
      <c r="AP185" s="144">
        <f t="shared" si="69"/>
        <v>1183.0999999999999</v>
      </c>
      <c r="AQ185" s="144">
        <f t="shared" si="69"/>
        <v>579.29999999999995</v>
      </c>
      <c r="AR185" s="144">
        <f t="shared" si="69"/>
        <v>648.69999999999982</v>
      </c>
      <c r="AS185" s="144">
        <f t="shared" si="69"/>
        <v>1227.9999999999998</v>
      </c>
      <c r="AT185" s="144">
        <f t="shared" si="69"/>
        <v>601.99999999999989</v>
      </c>
      <c r="AU185" s="144">
        <f t="shared" si="69"/>
        <v>786.70000000000016</v>
      </c>
      <c r="AV185" s="144">
        <f t="shared" si="69"/>
        <v>1337.8000000000002</v>
      </c>
      <c r="AW185" s="144">
        <f t="shared" si="69"/>
        <v>678.09999999999991</v>
      </c>
      <c r="AX185" s="144">
        <f t="shared" si="69"/>
        <v>735.00000000000023</v>
      </c>
      <c r="AY185" s="144">
        <f t="shared" si="69"/>
        <v>1413.1000000000001</v>
      </c>
      <c r="AZ185" s="144">
        <f t="shared" si="69"/>
        <v>686</v>
      </c>
      <c r="BA185" s="144">
        <f t="shared" si="69"/>
        <v>710.2</v>
      </c>
      <c r="BB185" s="144">
        <f t="shared" si="69"/>
        <v>1396.1999999999998</v>
      </c>
      <c r="BC185" s="144">
        <f t="shared" si="69"/>
        <v>715.6</v>
      </c>
      <c r="BD185" s="144">
        <f t="shared" si="69"/>
        <v>844.4</v>
      </c>
      <c r="BE185" s="144">
        <f t="shared" si="69"/>
        <v>1560</v>
      </c>
      <c r="BF185" s="144">
        <f t="shared" si="69"/>
        <v>749.50771349391584</v>
      </c>
      <c r="BG185" s="144">
        <f t="shared" si="69"/>
        <v>881.16700842463717</v>
      </c>
      <c r="BH185" s="144">
        <f t="shared" si="69"/>
        <v>1630.6747219185527</v>
      </c>
      <c r="BI185" s="144">
        <f t="shared" si="69"/>
        <v>790.94893247954371</v>
      </c>
      <c r="BJ185" s="144">
        <f t="shared" si="69"/>
        <v>892.0520372990436</v>
      </c>
      <c r="BK185" s="144">
        <f t="shared" si="69"/>
        <v>1683.0009697785874</v>
      </c>
      <c r="BL185" s="144">
        <f t="shared" si="69"/>
        <v>811.34190526942291</v>
      </c>
      <c r="BM185" s="144">
        <f t="shared" si="69"/>
        <v>915.77000623189303</v>
      </c>
      <c r="BN185" s="144">
        <f t="shared" si="69"/>
        <v>1727.1119115013159</v>
      </c>
      <c r="BO185" s="144">
        <f t="shared" si="69"/>
        <v>841.75090712075314</v>
      </c>
      <c r="BP185" s="144">
        <f t="shared" si="69"/>
        <v>936.83026543689311</v>
      </c>
      <c r="BQ185" s="144">
        <f t="shared" si="69"/>
        <v>1778.5811725576461</v>
      </c>
      <c r="BR185" s="144">
        <f t="shared" ref="BR185:CC185" si="70">SUM(BR178:BR184)</f>
        <v>847.23022043571405</v>
      </c>
      <c r="BS185" s="144">
        <f t="shared" si="70"/>
        <v>962.54985904488342</v>
      </c>
      <c r="BT185" s="144">
        <f t="shared" si="70"/>
        <v>1809.7800794805976</v>
      </c>
      <c r="BU185" s="144">
        <f t="shared" si="70"/>
        <v>878.58974884557267</v>
      </c>
      <c r="BV185" s="144">
        <f t="shared" si="70"/>
        <v>996.2912864256549</v>
      </c>
      <c r="BW185" s="144">
        <f t="shared" si="70"/>
        <v>1874.8810352712276</v>
      </c>
      <c r="BX185" s="144">
        <f t="shared" si="70"/>
        <v>908.31716519727775</v>
      </c>
      <c r="BY185" s="144">
        <f t="shared" si="70"/>
        <v>1009.1582302163313</v>
      </c>
      <c r="BZ185" s="144">
        <f t="shared" si="70"/>
        <v>1917.475395413609</v>
      </c>
      <c r="CA185" s="144">
        <f t="shared" si="70"/>
        <v>919.7354211286879</v>
      </c>
      <c r="CB185" s="144">
        <f t="shared" si="70"/>
        <v>1022.2323923329652</v>
      </c>
      <c r="CC185" s="144">
        <f t="shared" si="70"/>
        <v>1941.9678134616533</v>
      </c>
    </row>
    <row r="186" spans="1:81">
      <c r="C186" s="65"/>
      <c r="D186" s="65"/>
      <c r="E186" s="65"/>
      <c r="F186" s="65"/>
      <c r="G186" s="65"/>
      <c r="H186" s="65"/>
      <c r="I186" s="65"/>
      <c r="J186" s="65"/>
      <c r="K186" s="65"/>
      <c r="L186" s="65"/>
      <c r="M186" s="65"/>
      <c r="N186" s="65"/>
      <c r="O186" s="65"/>
      <c r="P186" s="65"/>
      <c r="Q186" s="65"/>
      <c r="R186" s="65"/>
      <c r="S186" s="65"/>
    </row>
    <row r="187" spans="1:81">
      <c r="B187" s="45" t="s">
        <v>423</v>
      </c>
      <c r="C187" s="65"/>
      <c r="D187" s="65"/>
      <c r="E187" s="65"/>
      <c r="F187" s="65"/>
      <c r="G187" s="65"/>
      <c r="H187" s="65"/>
      <c r="I187" s="65"/>
      <c r="J187" s="65"/>
      <c r="K187" s="65"/>
      <c r="L187" s="65"/>
      <c r="M187" s="65"/>
      <c r="N187" s="65"/>
      <c r="O187" s="65"/>
      <c r="P187" s="65"/>
      <c r="Q187" s="65"/>
      <c r="R187" s="65"/>
      <c r="S187" s="65"/>
      <c r="AD187" s="114">
        <f t="shared" ref="AD187:AI187" si="71">AD164+AD147</f>
        <v>200.3</v>
      </c>
      <c r="AE187" s="114">
        <f t="shared" si="71"/>
        <v>75.600000000000009</v>
      </c>
      <c r="AF187" s="114">
        <f t="shared" si="71"/>
        <v>113.9</v>
      </c>
      <c r="AG187" s="65">
        <f t="shared" si="71"/>
        <v>189.5</v>
      </c>
      <c r="AH187" s="114">
        <f t="shared" si="71"/>
        <v>102.8</v>
      </c>
      <c r="AI187" s="114">
        <f t="shared" si="71"/>
        <v>124.69999999999999</v>
      </c>
      <c r="AJ187" s="114">
        <f>AI187+AH187</f>
        <v>227.5</v>
      </c>
      <c r="AK187" s="114">
        <f>AK164+AK147</f>
        <v>94.3</v>
      </c>
      <c r="AL187" s="114">
        <f>AL164+AL147</f>
        <v>132.69999999999999</v>
      </c>
      <c r="AM187" s="114">
        <f>AL187+AK187</f>
        <v>227</v>
      </c>
      <c r="AN187" s="114">
        <f>AN164+AN147</f>
        <v>95.8</v>
      </c>
      <c r="AO187" s="114">
        <f>AO164+AO147</f>
        <v>125.50000000000001</v>
      </c>
      <c r="AP187" s="114">
        <f>AO187+AN187</f>
        <v>221.3</v>
      </c>
      <c r="AQ187" s="114">
        <f>AQ164+AQ147</f>
        <v>93.7</v>
      </c>
      <c r="AR187" s="114">
        <f>AR164+AR147</f>
        <v>134.9</v>
      </c>
      <c r="AS187" s="114">
        <f>AR187+AQ187</f>
        <v>228.60000000000002</v>
      </c>
      <c r="AT187" s="114">
        <f>AT164+AT147</f>
        <v>95.100000000000009</v>
      </c>
      <c r="AU187" s="114">
        <f>AU164+AU147</f>
        <v>180.09999999999994</v>
      </c>
      <c r="AV187" s="114">
        <f>AU187+AT187</f>
        <v>275.19999999999993</v>
      </c>
      <c r="AW187" s="114">
        <f>AW164+AW147</f>
        <v>134.5</v>
      </c>
      <c r="AX187" s="114">
        <f>AX164+AX147</f>
        <v>198.59999999999997</v>
      </c>
      <c r="AY187" s="114">
        <f>AX187+AW187</f>
        <v>333.09999999999997</v>
      </c>
      <c r="AZ187" s="114">
        <f>AZ164+AZ147</f>
        <v>128.30000000000001</v>
      </c>
      <c r="BA187" s="114">
        <f>BA164+BA147</f>
        <v>170.9</v>
      </c>
      <c r="BB187" s="114">
        <f>BA187+AZ187</f>
        <v>299.20000000000005</v>
      </c>
      <c r="BC187" s="114">
        <f>BC164+BC147</f>
        <v>125.3</v>
      </c>
      <c r="BD187" s="114">
        <f>BD164+BD147</f>
        <v>193.80000000000007</v>
      </c>
      <c r="BE187" s="114">
        <f>BD187+BC187</f>
        <v>319.10000000000008</v>
      </c>
      <c r="BF187" s="114">
        <f>BF164+BF147</f>
        <v>124.69816499188907</v>
      </c>
      <c r="BG187" s="114">
        <f>BG164+BG147</f>
        <v>203.92244347368131</v>
      </c>
      <c r="BH187" s="114">
        <f>BG187+BF187</f>
        <v>328.6206084655704</v>
      </c>
      <c r="BI187" s="114">
        <f>BI164+BI147</f>
        <v>144.37618927478701</v>
      </c>
      <c r="BJ187" s="114">
        <f>BJ164+BJ147</f>
        <v>205.80967575702232</v>
      </c>
      <c r="BK187" s="114">
        <f>BJ187+BI187</f>
        <v>350.18586503180933</v>
      </c>
      <c r="BL187" s="114">
        <f>BL164+BL147</f>
        <v>151.58480344052407</v>
      </c>
      <c r="BM187" s="114">
        <f>BM164+BM147</f>
        <v>215.22196567957496</v>
      </c>
      <c r="BN187" s="114">
        <f>BM187+BL187</f>
        <v>366.80676912009903</v>
      </c>
      <c r="BO187" s="114">
        <f>BO164+BO147</f>
        <v>163.25819388095414</v>
      </c>
      <c r="BP187" s="114">
        <f>BP164+BP147</f>
        <v>222.01171883277027</v>
      </c>
      <c r="BQ187" s="114">
        <f>BP187+BO187</f>
        <v>385.26991271372441</v>
      </c>
      <c r="BR187" s="114">
        <f>BR164+BR147</f>
        <v>160.73052554438775</v>
      </c>
      <c r="BS187" s="114">
        <f>BS164+BS147</f>
        <v>232.83045416577502</v>
      </c>
      <c r="BT187" s="114">
        <f>BS187+BR187</f>
        <v>393.56097971016277</v>
      </c>
      <c r="BU187" s="114">
        <f>BU164+BU147</f>
        <v>173.13419992542697</v>
      </c>
      <c r="BV187" s="114">
        <f>BV164+BV147</f>
        <v>249.3285927734195</v>
      </c>
      <c r="BW187" s="114">
        <f>BV187+BU187</f>
        <v>422.46279269884644</v>
      </c>
      <c r="BX187" s="114">
        <f>BX164+BX147</f>
        <v>185.8151068672347</v>
      </c>
      <c r="BY187" s="114">
        <f>BY164+BY147</f>
        <v>253.13080761505245</v>
      </c>
      <c r="BZ187" s="114">
        <f>BY187+BX187</f>
        <v>438.94591448228715</v>
      </c>
      <c r="CA187" s="114">
        <f>CA164+CA147</f>
        <v>187.45483403435463</v>
      </c>
      <c r="CB187" s="114">
        <f>CB164+CB147</f>
        <v>257.02525381731641</v>
      </c>
      <c r="CC187" s="114">
        <f>CB187+CA187</f>
        <v>444.48008785167104</v>
      </c>
    </row>
    <row r="188" spans="1:81">
      <c r="B188" s="45" t="s">
        <v>428</v>
      </c>
      <c r="C188" s="65"/>
      <c r="D188" s="65"/>
      <c r="E188" s="65"/>
      <c r="F188" s="65"/>
      <c r="G188" s="65"/>
      <c r="H188" s="65"/>
      <c r="I188" s="65"/>
      <c r="J188" s="65"/>
      <c r="K188" s="65"/>
      <c r="L188" s="65"/>
      <c r="M188" s="65"/>
      <c r="N188" s="65"/>
      <c r="O188" s="65"/>
      <c r="P188" s="65"/>
      <c r="Q188" s="65"/>
      <c r="R188" s="65"/>
      <c r="S188" s="65"/>
      <c r="AD188" s="65">
        <v>-11.2</v>
      </c>
      <c r="AE188" s="65">
        <v>-4.3</v>
      </c>
      <c r="AF188" s="65">
        <f>AG188-AE188</f>
        <v>9.9999999999999645E-2</v>
      </c>
      <c r="AG188" s="65">
        <v>-4.2</v>
      </c>
      <c r="AH188" s="65">
        <v>-4.0999999999999996</v>
      </c>
      <c r="AI188" s="65">
        <f>-11.3-AH188</f>
        <v>-7.2000000000000011</v>
      </c>
      <c r="AJ188" s="65">
        <f>AI188+AH188</f>
        <v>-11.3</v>
      </c>
      <c r="AK188" s="121">
        <v>-1.9</v>
      </c>
      <c r="AL188" s="65">
        <f>-3.6-AK188</f>
        <v>-1.7000000000000002</v>
      </c>
      <c r="AM188" s="65">
        <f>AL188+AK188</f>
        <v>-3.6</v>
      </c>
      <c r="AN188" s="139">
        <v>2.7</v>
      </c>
      <c r="AO188" s="65">
        <f>+AP188-AN188</f>
        <v>-1.9000000000000001</v>
      </c>
      <c r="AP188" s="139">
        <v>0.8</v>
      </c>
      <c r="AQ188" s="139">
        <f>-4.1+3</f>
        <v>-1.0999999999999996</v>
      </c>
      <c r="AR188" s="65">
        <f>+AS188-AQ188</f>
        <v>-4.8000000000000007</v>
      </c>
      <c r="AS188" s="139">
        <v>-5.9</v>
      </c>
      <c r="AT188" s="139">
        <f>-9.4+4.8+2</f>
        <v>-2.6000000000000005</v>
      </c>
      <c r="AU188" s="65">
        <f>AV188-AT188</f>
        <v>-27.4</v>
      </c>
      <c r="AV188" s="139">
        <v>-30</v>
      </c>
      <c r="AW188" s="139">
        <f>-17.7+0.5</f>
        <v>-17.2</v>
      </c>
      <c r="AX188" s="65">
        <f>AY188-AW188</f>
        <v>-15.600000000000005</v>
      </c>
      <c r="AY188" s="139">
        <f>-34.5+1.3+0.6-0.2</f>
        <v>-32.800000000000004</v>
      </c>
      <c r="AZ188" s="139">
        <v>-17.5</v>
      </c>
      <c r="BA188" s="65">
        <f>BB188-AZ188</f>
        <v>-15.600000000000001</v>
      </c>
      <c r="BB188" s="139">
        <v>-33.1</v>
      </c>
      <c r="BC188" s="139">
        <v>-16.8</v>
      </c>
      <c r="BD188" s="65">
        <f>BE188-BC188</f>
        <v>-13.5</v>
      </c>
      <c r="BE188" s="139">
        <v>-30.3</v>
      </c>
      <c r="BF188" s="114">
        <f>BH188/2</f>
        <v>-15.528749999999999</v>
      </c>
      <c r="BG188" s="114">
        <f>BH188-BF188</f>
        <v>-15.528749999999999</v>
      </c>
      <c r="BH188" s="114">
        <f>BE188*1.025</f>
        <v>-31.057499999999997</v>
      </c>
      <c r="BI188" s="114">
        <f>BG188</f>
        <v>-15.528749999999999</v>
      </c>
      <c r="BJ188" s="114">
        <f>BI188</f>
        <v>-15.528749999999999</v>
      </c>
      <c r="BK188" s="114">
        <f>BJ188+BI188</f>
        <v>-31.057499999999997</v>
      </c>
      <c r="BL188" s="114">
        <f>BJ188</f>
        <v>-15.528749999999999</v>
      </c>
      <c r="BM188" s="114">
        <f>BL188</f>
        <v>-15.528749999999999</v>
      </c>
      <c r="BN188" s="114">
        <f>BM188+BL188</f>
        <v>-31.057499999999997</v>
      </c>
      <c r="BO188" s="114">
        <f>BM188</f>
        <v>-15.528749999999999</v>
      </c>
      <c r="BP188" s="114">
        <f>BO188</f>
        <v>-15.528749999999999</v>
      </c>
      <c r="BQ188" s="114">
        <f>BP188+BO188</f>
        <v>-31.057499999999997</v>
      </c>
      <c r="BR188" s="114">
        <f>BP188</f>
        <v>-15.528749999999999</v>
      </c>
      <c r="BS188" s="114">
        <f>BR188</f>
        <v>-15.528749999999999</v>
      </c>
      <c r="BT188" s="114">
        <f>BS188+BR188</f>
        <v>-31.057499999999997</v>
      </c>
      <c r="BU188" s="114">
        <f>BS188</f>
        <v>-15.528749999999999</v>
      </c>
      <c r="BV188" s="114">
        <f>BU188</f>
        <v>-15.528749999999999</v>
      </c>
      <c r="BW188" s="114">
        <f>BV188+BU188</f>
        <v>-31.057499999999997</v>
      </c>
      <c r="BX188" s="114">
        <f>BV188</f>
        <v>-15.528749999999999</v>
      </c>
      <c r="BY188" s="114">
        <f>BX188</f>
        <v>-15.528749999999999</v>
      </c>
      <c r="BZ188" s="114">
        <f>BY188+BX188</f>
        <v>-31.057499999999997</v>
      </c>
      <c r="CA188" s="114">
        <f>BY188</f>
        <v>-15.528749999999999</v>
      </c>
      <c r="CB188" s="114">
        <f>CA188</f>
        <v>-15.528749999999999</v>
      </c>
      <c r="CC188" s="114">
        <f>CB188+CA188</f>
        <v>-31.057499999999997</v>
      </c>
    </row>
    <row r="189" spans="1:81" s="7" customFormat="1">
      <c r="A189" s="142"/>
      <c r="B189" s="73" t="s">
        <v>429</v>
      </c>
      <c r="C189" s="73"/>
      <c r="D189" s="73"/>
      <c r="E189" s="73"/>
      <c r="F189" s="73"/>
      <c r="G189" s="73"/>
      <c r="H189" s="73"/>
      <c r="I189" s="73"/>
      <c r="J189" s="73"/>
      <c r="K189" s="73"/>
      <c r="L189" s="73"/>
      <c r="M189" s="73"/>
      <c r="N189" s="73"/>
      <c r="O189" s="73"/>
      <c r="P189" s="73"/>
      <c r="Q189" s="73"/>
      <c r="R189" s="73"/>
      <c r="S189" s="73"/>
      <c r="T189" s="73"/>
      <c r="U189" s="73"/>
      <c r="V189" s="73"/>
      <c r="W189" s="73"/>
      <c r="X189" s="73"/>
      <c r="Y189" s="73"/>
      <c r="Z189" s="73"/>
      <c r="AA189" s="73"/>
      <c r="AB189" s="73"/>
      <c r="AC189" s="73"/>
      <c r="AD189" s="73">
        <f t="shared" ref="AD189:BN189" si="72">AD187+AD188</f>
        <v>189.10000000000002</v>
      </c>
      <c r="AE189" s="73">
        <f t="shared" si="72"/>
        <v>71.300000000000011</v>
      </c>
      <c r="AF189" s="73">
        <f t="shared" si="72"/>
        <v>114</v>
      </c>
      <c r="AG189" s="73">
        <f t="shared" si="72"/>
        <v>185.3</v>
      </c>
      <c r="AH189" s="73">
        <f t="shared" si="72"/>
        <v>98.7</v>
      </c>
      <c r="AI189" s="143">
        <f t="shared" si="72"/>
        <v>117.49999999999999</v>
      </c>
      <c r="AJ189" s="143">
        <f t="shared" si="72"/>
        <v>216.2</v>
      </c>
      <c r="AK189" s="143">
        <f t="shared" si="72"/>
        <v>92.399999999999991</v>
      </c>
      <c r="AL189" s="143">
        <f t="shared" si="72"/>
        <v>131</v>
      </c>
      <c r="AM189" s="143">
        <f t="shared" si="72"/>
        <v>223.4</v>
      </c>
      <c r="AN189" s="143">
        <f t="shared" si="72"/>
        <v>98.5</v>
      </c>
      <c r="AO189" s="143">
        <f t="shared" si="72"/>
        <v>123.60000000000001</v>
      </c>
      <c r="AP189" s="143">
        <f t="shared" si="72"/>
        <v>222.10000000000002</v>
      </c>
      <c r="AQ189" s="143">
        <f t="shared" si="72"/>
        <v>92.600000000000009</v>
      </c>
      <c r="AR189" s="143">
        <f t="shared" si="72"/>
        <v>130.1</v>
      </c>
      <c r="AS189" s="143">
        <f t="shared" si="72"/>
        <v>222.70000000000002</v>
      </c>
      <c r="AT189" s="143">
        <f t="shared" si="72"/>
        <v>92.500000000000014</v>
      </c>
      <c r="AU189" s="143">
        <f t="shared" si="72"/>
        <v>152.69999999999993</v>
      </c>
      <c r="AV189" s="143">
        <f t="shared" si="72"/>
        <v>245.19999999999993</v>
      </c>
      <c r="AW189" s="143">
        <f t="shared" si="72"/>
        <v>117.3</v>
      </c>
      <c r="AX189" s="143">
        <f t="shared" si="72"/>
        <v>182.99999999999997</v>
      </c>
      <c r="AY189" s="143">
        <f t="shared" si="72"/>
        <v>300.29999999999995</v>
      </c>
      <c r="AZ189" s="143">
        <f t="shared" si="72"/>
        <v>110.80000000000001</v>
      </c>
      <c r="BA189" s="143">
        <f t="shared" si="72"/>
        <v>155.30000000000001</v>
      </c>
      <c r="BB189" s="143">
        <f t="shared" si="72"/>
        <v>266.10000000000002</v>
      </c>
      <c r="BC189" s="143">
        <f t="shared" si="72"/>
        <v>108.5</v>
      </c>
      <c r="BD189" s="143">
        <f t="shared" ref="BD189:BE189" si="73">BD187+BD188</f>
        <v>180.30000000000007</v>
      </c>
      <c r="BE189" s="143">
        <f t="shared" si="73"/>
        <v>288.80000000000007</v>
      </c>
      <c r="BF189" s="143">
        <f t="shared" si="72"/>
        <v>109.16941499188907</v>
      </c>
      <c r="BG189" s="143">
        <f t="shared" si="72"/>
        <v>188.39369347368131</v>
      </c>
      <c r="BH189" s="143">
        <f t="shared" si="72"/>
        <v>297.56310846557039</v>
      </c>
      <c r="BI189" s="143">
        <f t="shared" si="72"/>
        <v>128.84743927478701</v>
      </c>
      <c r="BJ189" s="143">
        <f t="shared" si="72"/>
        <v>190.28092575702232</v>
      </c>
      <c r="BK189" s="143">
        <f t="shared" si="72"/>
        <v>319.12836503180932</v>
      </c>
      <c r="BL189" s="143">
        <f t="shared" si="72"/>
        <v>136.05605344052407</v>
      </c>
      <c r="BM189" s="143">
        <f t="shared" si="72"/>
        <v>199.69321567957496</v>
      </c>
      <c r="BN189" s="143">
        <f t="shared" si="72"/>
        <v>335.74926912009903</v>
      </c>
      <c r="BO189" s="143">
        <f>BO187+BO188</f>
        <v>147.72944388095414</v>
      </c>
      <c r="BP189" s="143">
        <f>BP187+BP188</f>
        <v>206.48296883277027</v>
      </c>
      <c r="BQ189" s="143">
        <f>BQ187+BQ188</f>
        <v>354.2124127137244</v>
      </c>
      <c r="BR189" s="143">
        <f t="shared" ref="BR189:CC189" si="74">BR187+BR188</f>
        <v>145.20177554438774</v>
      </c>
      <c r="BS189" s="143">
        <f t="shared" si="74"/>
        <v>217.30170416577502</v>
      </c>
      <c r="BT189" s="143">
        <f t="shared" si="74"/>
        <v>362.50347971016276</v>
      </c>
      <c r="BU189" s="143">
        <f t="shared" si="74"/>
        <v>157.60544992542697</v>
      </c>
      <c r="BV189" s="143">
        <f t="shared" si="74"/>
        <v>233.7998427734195</v>
      </c>
      <c r="BW189" s="143">
        <f t="shared" si="74"/>
        <v>391.40529269884644</v>
      </c>
      <c r="BX189" s="143">
        <f t="shared" si="74"/>
        <v>170.2863568672347</v>
      </c>
      <c r="BY189" s="143">
        <f t="shared" si="74"/>
        <v>237.60205761505244</v>
      </c>
      <c r="BZ189" s="143">
        <f t="shared" si="74"/>
        <v>407.88841448228715</v>
      </c>
      <c r="CA189" s="143">
        <f t="shared" si="74"/>
        <v>171.92608403435463</v>
      </c>
      <c r="CB189" s="143">
        <f t="shared" si="74"/>
        <v>241.49650381731641</v>
      </c>
      <c r="CC189" s="143">
        <f t="shared" si="74"/>
        <v>413.42258785167104</v>
      </c>
    </row>
    <row r="190" spans="1:81" s="552" customFormat="1">
      <c r="A190" s="133"/>
      <c r="B190" s="84" t="s">
        <v>412</v>
      </c>
      <c r="C190" s="134"/>
      <c r="D190" s="134"/>
      <c r="E190" s="134"/>
      <c r="F190" s="134"/>
      <c r="G190" s="134"/>
      <c r="H190" s="134"/>
      <c r="I190" s="134"/>
      <c r="J190" s="134"/>
      <c r="K190" s="134"/>
      <c r="L190" s="134"/>
      <c r="M190" s="134"/>
      <c r="N190" s="134"/>
      <c r="O190" s="134"/>
      <c r="P190" s="134"/>
      <c r="Q190" s="134"/>
      <c r="R190" s="134"/>
      <c r="S190" s="134"/>
      <c r="T190" s="134"/>
      <c r="U190" s="134"/>
      <c r="V190" s="134"/>
      <c r="W190" s="134"/>
      <c r="X190" s="134"/>
      <c r="Y190" s="134"/>
      <c r="Z190" s="134"/>
      <c r="AA190" s="134"/>
      <c r="AB190" s="134"/>
      <c r="AC190" s="134"/>
      <c r="AD190" s="134"/>
      <c r="AE190" s="134"/>
      <c r="AF190" s="134"/>
      <c r="AG190" s="134"/>
      <c r="AH190" s="134"/>
      <c r="AI190" s="134"/>
      <c r="AJ190" s="136">
        <f>AJ189/AG189-1</f>
        <v>0.16675661090124105</v>
      </c>
      <c r="AK190" s="136">
        <f t="shared" ref="AK190:BN190" si="75">AK189/AH189-1</f>
        <v>-6.3829787234042645E-2</v>
      </c>
      <c r="AL190" s="136">
        <f t="shared" si="75"/>
        <v>0.11489361702127665</v>
      </c>
      <c r="AM190" s="136">
        <f t="shared" si="75"/>
        <v>3.3302497687326627E-2</v>
      </c>
      <c r="AN190" s="136">
        <f t="shared" si="75"/>
        <v>6.6017316017316086E-2</v>
      </c>
      <c r="AO190" s="136">
        <f t="shared" si="75"/>
        <v>-5.6488549618320505E-2</v>
      </c>
      <c r="AP190" s="136">
        <f t="shared" si="75"/>
        <v>-5.8191584601611224E-3</v>
      </c>
      <c r="AQ190" s="136">
        <f t="shared" si="75"/>
        <v>-5.9898477157360297E-2</v>
      </c>
      <c r="AR190" s="136">
        <f t="shared" si="75"/>
        <v>5.2588996763753837E-2</v>
      </c>
      <c r="AS190" s="136">
        <f t="shared" si="75"/>
        <v>2.7014858171994227E-3</v>
      </c>
      <c r="AT190" s="136">
        <f t="shared" si="75"/>
        <v>-1.0799136069113979E-3</v>
      </c>
      <c r="AU190" s="136">
        <f t="shared" si="75"/>
        <v>0.17371252882398114</v>
      </c>
      <c r="AV190" s="136">
        <f t="shared" si="75"/>
        <v>0.1010327795240229</v>
      </c>
      <c r="AW190" s="136">
        <f t="shared" si="75"/>
        <v>0.26810810810810781</v>
      </c>
      <c r="AX190" s="136">
        <f t="shared" si="75"/>
        <v>0.19842829076620849</v>
      </c>
      <c r="AY190" s="136">
        <f t="shared" si="75"/>
        <v>0.22471451876019599</v>
      </c>
      <c r="AZ190" s="136">
        <f t="shared" si="75"/>
        <v>-5.5413469735720255E-2</v>
      </c>
      <c r="BA190" s="136">
        <f t="shared" si="75"/>
        <v>-0.15136612021857909</v>
      </c>
      <c r="BB190" s="136">
        <f t="shared" si="75"/>
        <v>-0.11388611388611369</v>
      </c>
      <c r="BC190" s="136">
        <f t="shared" si="75"/>
        <v>-2.0758122743682383E-2</v>
      </c>
      <c r="BD190" s="136">
        <f t="shared" si="75"/>
        <v>0.1609787508048941</v>
      </c>
      <c r="BE190" s="136">
        <f t="shared" si="75"/>
        <v>8.5306275836152023E-2</v>
      </c>
      <c r="BF190" s="136">
        <f t="shared" si="75"/>
        <v>6.1697234275490676E-3</v>
      </c>
      <c r="BG190" s="136">
        <f t="shared" si="75"/>
        <v>4.4890146831288114E-2</v>
      </c>
      <c r="BH190" s="136">
        <f t="shared" si="75"/>
        <v>3.0343173357237907E-2</v>
      </c>
      <c r="BI190" s="136">
        <f t="shared" si="75"/>
        <v>0.18025217305011609</v>
      </c>
      <c r="BJ190" s="136">
        <f t="shared" si="75"/>
        <v>1.0017491820152991E-2</v>
      </c>
      <c r="BK190" s="136">
        <f t="shared" si="75"/>
        <v>7.2472883743698757E-2</v>
      </c>
      <c r="BL190" s="136">
        <f t="shared" si="75"/>
        <v>5.594689507459738E-2</v>
      </c>
      <c r="BM190" s="136">
        <f t="shared" si="75"/>
        <v>4.9465230869076171E-2</v>
      </c>
      <c r="BN190" s="136">
        <f t="shared" si="75"/>
        <v>5.2082189831772041E-2</v>
      </c>
      <c r="BO190" s="136">
        <f>BO189/BL189-1</f>
        <v>8.5798390775262412E-2</v>
      </c>
      <c r="BP190" s="136">
        <f>BP189/BM189-1</f>
        <v>3.4000920512442745E-2</v>
      </c>
      <c r="BQ190" s="136">
        <f>BQ189/BN189-1</f>
        <v>5.4990867566180768E-2</v>
      </c>
      <c r="BR190" s="136">
        <f t="shared" ref="BR190:CC190" si="76">BR189/BO189-1</f>
        <v>-1.7110118810189756E-2</v>
      </c>
      <c r="BS190" s="136">
        <f t="shared" si="76"/>
        <v>5.2395291457508986E-2</v>
      </c>
      <c r="BT190" s="136">
        <f t="shared" si="76"/>
        <v>2.3407048140741571E-2</v>
      </c>
      <c r="BU190" s="136">
        <f t="shared" si="76"/>
        <v>8.5423710106406148E-2</v>
      </c>
      <c r="BV190" s="136">
        <f t="shared" si="76"/>
        <v>7.592272997112981E-2</v>
      </c>
      <c r="BW190" s="136">
        <f t="shared" si="76"/>
        <v>7.9728373950484377E-2</v>
      </c>
      <c r="BX190" s="136">
        <f t="shared" si="76"/>
        <v>8.0459825138076591E-2</v>
      </c>
      <c r="BY190" s="136">
        <f t="shared" si="76"/>
        <v>1.6262692038325088E-2</v>
      </c>
      <c r="BZ190" s="136">
        <f t="shared" si="76"/>
        <v>4.2112669631483746E-2</v>
      </c>
      <c r="CA190" s="136">
        <f t="shared" si="76"/>
        <v>9.629233940323001E-3</v>
      </c>
      <c r="CB190" s="136">
        <f t="shared" si="76"/>
        <v>1.63906249017991E-2</v>
      </c>
      <c r="CC190" s="136">
        <f t="shared" si="76"/>
        <v>1.3567861142631754E-2</v>
      </c>
    </row>
    <row r="191" spans="1:81">
      <c r="C191" s="65"/>
      <c r="D191" s="65"/>
      <c r="E191" s="65"/>
      <c r="F191" s="65"/>
      <c r="G191" s="65"/>
      <c r="H191" s="65"/>
      <c r="I191" s="65"/>
      <c r="J191" s="65"/>
      <c r="K191" s="65"/>
      <c r="L191" s="65"/>
      <c r="M191" s="65"/>
      <c r="N191" s="65"/>
      <c r="O191" s="65"/>
      <c r="P191" s="65"/>
      <c r="Q191" s="65"/>
      <c r="R191" s="65"/>
      <c r="S191" s="65"/>
    </row>
    <row r="192" spans="1:81">
      <c r="B192" s="45" t="s">
        <v>425</v>
      </c>
      <c r="C192" s="65"/>
      <c r="D192" s="65"/>
      <c r="E192" s="65"/>
      <c r="F192" s="65"/>
      <c r="G192" s="65"/>
      <c r="H192" s="65"/>
      <c r="I192" s="65"/>
      <c r="J192" s="65"/>
      <c r="K192" s="65"/>
      <c r="L192" s="65"/>
      <c r="M192" s="65"/>
      <c r="N192" s="65"/>
      <c r="O192" s="65"/>
      <c r="P192" s="65"/>
      <c r="Q192" s="65"/>
      <c r="R192" s="65"/>
      <c r="S192" s="65"/>
      <c r="AD192" s="123">
        <f>AD168+AD137</f>
        <v>52.8</v>
      </c>
      <c r="AE192" s="123">
        <f>AE168+AE137</f>
        <v>27</v>
      </c>
      <c r="AF192" s="123">
        <f>AG192-AE192</f>
        <v>25.700000000000003</v>
      </c>
      <c r="AG192" s="123">
        <f t="shared" ref="AG192:BN192" si="77">AG168+AG137</f>
        <v>52.7</v>
      </c>
      <c r="AH192" s="123">
        <f t="shared" si="77"/>
        <v>23.7</v>
      </c>
      <c r="AI192" s="123">
        <f t="shared" si="77"/>
        <v>23.3</v>
      </c>
      <c r="AJ192" s="123">
        <f t="shared" si="77"/>
        <v>47</v>
      </c>
      <c r="AK192" s="123">
        <f>AK168+AK137</f>
        <v>24</v>
      </c>
      <c r="AL192" s="123">
        <f t="shared" si="77"/>
        <v>26.9</v>
      </c>
      <c r="AM192" s="123">
        <f t="shared" si="77"/>
        <v>50.9</v>
      </c>
      <c r="AN192" s="123">
        <f t="shared" si="77"/>
        <v>28.1</v>
      </c>
      <c r="AO192" s="123">
        <f t="shared" si="77"/>
        <v>35.199999999999996</v>
      </c>
      <c r="AP192" s="123">
        <f t="shared" si="77"/>
        <v>63.3</v>
      </c>
      <c r="AQ192" s="123">
        <f t="shared" si="77"/>
        <v>31.2</v>
      </c>
      <c r="AR192" s="123">
        <f t="shared" si="77"/>
        <v>31.2</v>
      </c>
      <c r="AS192" s="123">
        <f t="shared" si="77"/>
        <v>62.4</v>
      </c>
      <c r="AT192" s="123">
        <f t="shared" si="77"/>
        <v>30.4</v>
      </c>
      <c r="AU192" s="123">
        <f t="shared" si="77"/>
        <v>39.400000000000006</v>
      </c>
      <c r="AV192" s="123">
        <f t="shared" si="77"/>
        <v>69.8</v>
      </c>
      <c r="AW192" s="123">
        <f t="shared" si="77"/>
        <v>36.1</v>
      </c>
      <c r="AX192" s="123">
        <f t="shared" si="77"/>
        <v>37.799999999999997</v>
      </c>
      <c r="AY192" s="123">
        <f t="shared" si="77"/>
        <v>73.899999999999991</v>
      </c>
      <c r="AZ192" s="123">
        <f t="shared" si="77"/>
        <v>38</v>
      </c>
      <c r="BA192" s="123">
        <f t="shared" si="77"/>
        <v>35.5</v>
      </c>
      <c r="BB192" s="123">
        <f t="shared" si="77"/>
        <v>73.5</v>
      </c>
      <c r="BC192" s="123">
        <f t="shared" si="77"/>
        <v>38.299999999999997</v>
      </c>
      <c r="BD192" s="123">
        <f t="shared" ref="BD192" si="78">BD168+BD137</f>
        <v>38.900000000000006</v>
      </c>
      <c r="BE192" s="123">
        <f t="shared" si="77"/>
        <v>77.2</v>
      </c>
      <c r="BF192" s="123">
        <f t="shared" si="77"/>
        <v>40.342500000000001</v>
      </c>
      <c r="BG192" s="123">
        <f t="shared" si="77"/>
        <v>41.217500000000001</v>
      </c>
      <c r="BH192" s="123">
        <f t="shared" si="77"/>
        <v>81.56</v>
      </c>
      <c r="BI192" s="123">
        <f t="shared" si="77"/>
        <v>42.1066875</v>
      </c>
      <c r="BJ192" s="123">
        <f t="shared" si="77"/>
        <v>42.1066875</v>
      </c>
      <c r="BK192" s="123">
        <f t="shared" si="77"/>
        <v>84.213374999999999</v>
      </c>
      <c r="BL192" s="123">
        <f t="shared" si="77"/>
        <v>43.018104687499999</v>
      </c>
      <c r="BM192" s="123">
        <f t="shared" si="77"/>
        <v>43.018104687499999</v>
      </c>
      <c r="BN192" s="123">
        <f t="shared" si="77"/>
        <v>86.036209374999999</v>
      </c>
      <c r="BO192" s="123">
        <f>BO168+BO137</f>
        <v>43.952307304687494</v>
      </c>
      <c r="BP192" s="123">
        <f>BP168+BP137</f>
        <v>43.952307304687494</v>
      </c>
      <c r="BQ192" s="123">
        <f>BQ168+BQ137</f>
        <v>87.904614609374988</v>
      </c>
      <c r="BR192" s="123">
        <f t="shared" ref="BR192:CC192" si="79">BR168+BR137</f>
        <v>44.90986498730468</v>
      </c>
      <c r="BS192" s="123">
        <f t="shared" si="79"/>
        <v>44.90986498730468</v>
      </c>
      <c r="BT192" s="123">
        <f t="shared" si="79"/>
        <v>89.819729974609359</v>
      </c>
      <c r="BU192" s="123">
        <f t="shared" si="79"/>
        <v>45.891361611987293</v>
      </c>
      <c r="BV192" s="123">
        <f t="shared" si="79"/>
        <v>45.891361611987293</v>
      </c>
      <c r="BW192" s="123">
        <f t="shared" si="79"/>
        <v>91.782723223974585</v>
      </c>
      <c r="BX192" s="123">
        <f t="shared" si="79"/>
        <v>46.897395652286974</v>
      </c>
      <c r="BY192" s="123">
        <f t="shared" si="79"/>
        <v>46.897395652286974</v>
      </c>
      <c r="BZ192" s="123">
        <f t="shared" si="79"/>
        <v>93.794791304573948</v>
      </c>
      <c r="CA192" s="123">
        <f t="shared" si="79"/>
        <v>47.928580543594144</v>
      </c>
      <c r="CB192" s="123">
        <f t="shared" si="79"/>
        <v>47.928580543594144</v>
      </c>
      <c r="CC192" s="123">
        <f t="shared" si="79"/>
        <v>95.857161087188288</v>
      </c>
    </row>
    <row r="193" spans="1:81">
      <c r="B193" s="45" t="s">
        <v>426</v>
      </c>
      <c r="C193" s="65"/>
      <c r="D193" s="65"/>
      <c r="E193" s="65"/>
      <c r="F193" s="65"/>
      <c r="G193" s="65"/>
      <c r="H193" s="65"/>
      <c r="I193" s="65"/>
      <c r="J193" s="65"/>
      <c r="K193" s="65"/>
      <c r="L193" s="65"/>
      <c r="M193" s="65"/>
      <c r="N193" s="65"/>
      <c r="O193" s="65"/>
      <c r="P193" s="65"/>
      <c r="Q193" s="65"/>
      <c r="R193" s="65"/>
      <c r="S193" s="65"/>
      <c r="AD193" s="123">
        <v>4</v>
      </c>
      <c r="AE193" s="123">
        <v>2.2000000000000002</v>
      </c>
      <c r="AF193" s="123">
        <f>AG193-AE193</f>
        <v>1.8999999999999995</v>
      </c>
      <c r="AG193" s="123">
        <v>4.0999999999999996</v>
      </c>
      <c r="AH193" s="123">
        <v>3</v>
      </c>
      <c r="AI193" s="123">
        <f>5.8-AH193</f>
        <v>2.8</v>
      </c>
      <c r="AJ193" s="123">
        <f>AI193+AH193</f>
        <v>5.8</v>
      </c>
      <c r="AK193" s="123">
        <v>2.9</v>
      </c>
      <c r="AL193" s="123">
        <f>6.9-AK193</f>
        <v>4</v>
      </c>
      <c r="AM193" s="123">
        <f>AL193+AK193</f>
        <v>6.9</v>
      </c>
      <c r="AN193" s="180">
        <v>2.8</v>
      </c>
      <c r="AO193" s="123">
        <f>+AP193-AN193</f>
        <v>-0.89999999999999991</v>
      </c>
      <c r="AP193" s="180">
        <v>1.9</v>
      </c>
      <c r="AQ193" s="123">
        <v>3.1</v>
      </c>
      <c r="AR193" s="123">
        <f>+AS193-AQ193</f>
        <v>5.2000000000000011</v>
      </c>
      <c r="AS193" s="180">
        <v>8.3000000000000007</v>
      </c>
      <c r="AT193" s="180">
        <v>4.3</v>
      </c>
      <c r="AU193" s="123"/>
      <c r="AV193" s="180">
        <f>3.2</f>
        <v>3.2</v>
      </c>
      <c r="AW193" s="180">
        <f>2-0.2</f>
        <v>1.8</v>
      </c>
      <c r="AX193" s="123">
        <f>AY193-AW193</f>
        <v>2.0999999999999996</v>
      </c>
      <c r="AY193" s="180">
        <v>3.9</v>
      </c>
      <c r="AZ193" s="180">
        <v>2.1</v>
      </c>
      <c r="BA193" s="123">
        <f>BB193-AZ193</f>
        <v>2.4999999999999996</v>
      </c>
      <c r="BB193" s="180">
        <v>4.5999999999999996</v>
      </c>
      <c r="BC193" s="180">
        <v>3.2</v>
      </c>
      <c r="BD193" s="123">
        <f>BE193-BC193</f>
        <v>2.0999999999999996</v>
      </c>
      <c r="BE193" s="180">
        <v>5.3</v>
      </c>
      <c r="BF193" s="123">
        <f>BC193</f>
        <v>3.2</v>
      </c>
      <c r="BG193" s="123">
        <f>BD193</f>
        <v>2.0999999999999996</v>
      </c>
      <c r="BH193" s="123">
        <f>BG193+BF193</f>
        <v>5.3</v>
      </c>
      <c r="BI193" s="123">
        <f>BF193</f>
        <v>3.2</v>
      </c>
      <c r="BJ193" s="123">
        <f>BG193</f>
        <v>2.0999999999999996</v>
      </c>
      <c r="BK193" s="123">
        <f>BJ193+BI193</f>
        <v>5.3</v>
      </c>
      <c r="BL193" s="123">
        <f>BI193</f>
        <v>3.2</v>
      </c>
      <c r="BM193" s="123">
        <f>BJ193</f>
        <v>2.0999999999999996</v>
      </c>
      <c r="BN193" s="123">
        <f>BM193+BL193</f>
        <v>5.3</v>
      </c>
      <c r="BO193" s="123">
        <f>BL193</f>
        <v>3.2</v>
      </c>
      <c r="BP193" s="123">
        <f>BM193</f>
        <v>2.0999999999999996</v>
      </c>
      <c r="BQ193" s="123">
        <f>BP193+BO193</f>
        <v>5.3</v>
      </c>
      <c r="BR193" s="123">
        <f>BO193</f>
        <v>3.2</v>
      </c>
      <c r="BS193" s="123">
        <f>BP193</f>
        <v>2.0999999999999996</v>
      </c>
      <c r="BT193" s="123">
        <f>BS193+BR193</f>
        <v>5.3</v>
      </c>
      <c r="BU193" s="123">
        <f>BR193</f>
        <v>3.2</v>
      </c>
      <c r="BV193" s="123">
        <f>BS193</f>
        <v>2.0999999999999996</v>
      </c>
      <c r="BW193" s="123">
        <f>BV193+BU193</f>
        <v>5.3</v>
      </c>
      <c r="BX193" s="123">
        <f>BU193</f>
        <v>3.2</v>
      </c>
      <c r="BY193" s="123">
        <f>BV193</f>
        <v>2.0999999999999996</v>
      </c>
      <c r="BZ193" s="123">
        <f>BY193+BX193</f>
        <v>5.3</v>
      </c>
      <c r="CA193" s="123">
        <f>BX193</f>
        <v>3.2</v>
      </c>
      <c r="CB193" s="123">
        <f>BY193</f>
        <v>2.0999999999999996</v>
      </c>
      <c r="CC193" s="123">
        <f>CB193+CA193</f>
        <v>5.3</v>
      </c>
    </row>
    <row r="194" spans="1:81" s="7" customFormat="1">
      <c r="A194" s="126"/>
      <c r="B194" s="41" t="s">
        <v>427</v>
      </c>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c r="AA194" s="40"/>
      <c r="AB194" s="40"/>
      <c r="AC194" s="40"/>
      <c r="AD194" s="127">
        <f>AD192+AD193</f>
        <v>56.8</v>
      </c>
      <c r="AE194" s="127">
        <f>AE192+AE193</f>
        <v>29.2</v>
      </c>
      <c r="AF194" s="127">
        <f>AG194-AE194</f>
        <v>27.600000000000005</v>
      </c>
      <c r="AG194" s="127">
        <f t="shared" ref="AG194:BN194" si="80">AG192+AG193</f>
        <v>56.800000000000004</v>
      </c>
      <c r="AH194" s="127">
        <f t="shared" si="80"/>
        <v>26.7</v>
      </c>
      <c r="AI194" s="127">
        <f t="shared" si="80"/>
        <v>26.1</v>
      </c>
      <c r="AJ194" s="127">
        <f t="shared" si="80"/>
        <v>52.8</v>
      </c>
      <c r="AK194" s="127">
        <f t="shared" si="80"/>
        <v>26.9</v>
      </c>
      <c r="AL194" s="127">
        <f t="shared" si="80"/>
        <v>30.9</v>
      </c>
      <c r="AM194" s="127">
        <f t="shared" si="80"/>
        <v>57.8</v>
      </c>
      <c r="AN194" s="127">
        <f t="shared" si="80"/>
        <v>30.900000000000002</v>
      </c>
      <c r="AO194" s="127">
        <f t="shared" si="80"/>
        <v>34.299999999999997</v>
      </c>
      <c r="AP194" s="127">
        <f t="shared" si="80"/>
        <v>65.2</v>
      </c>
      <c r="AQ194" s="127">
        <f t="shared" si="80"/>
        <v>34.299999999999997</v>
      </c>
      <c r="AR194" s="127">
        <f t="shared" si="80"/>
        <v>36.4</v>
      </c>
      <c r="AS194" s="127">
        <f t="shared" si="80"/>
        <v>70.7</v>
      </c>
      <c r="AT194" s="127">
        <f t="shared" si="80"/>
        <v>34.699999999999996</v>
      </c>
      <c r="AU194" s="127">
        <f t="shared" si="80"/>
        <v>39.400000000000006</v>
      </c>
      <c r="AV194" s="127">
        <f t="shared" si="80"/>
        <v>73</v>
      </c>
      <c r="AW194" s="127">
        <f t="shared" si="80"/>
        <v>37.9</v>
      </c>
      <c r="AX194" s="127">
        <f t="shared" si="80"/>
        <v>39.9</v>
      </c>
      <c r="AY194" s="127">
        <f t="shared" si="80"/>
        <v>77.8</v>
      </c>
      <c r="AZ194" s="127">
        <f t="shared" si="80"/>
        <v>40.1</v>
      </c>
      <c r="BA194" s="127">
        <f t="shared" si="80"/>
        <v>38</v>
      </c>
      <c r="BB194" s="127">
        <f t="shared" si="80"/>
        <v>78.099999999999994</v>
      </c>
      <c r="BC194" s="127">
        <f t="shared" si="80"/>
        <v>41.5</v>
      </c>
      <c r="BD194" s="127">
        <f t="shared" ref="BD194:BE194" si="81">BD192+BD193</f>
        <v>41.000000000000007</v>
      </c>
      <c r="BE194" s="127">
        <f t="shared" si="81"/>
        <v>82.5</v>
      </c>
      <c r="BF194" s="127">
        <f t="shared" si="80"/>
        <v>43.542500000000004</v>
      </c>
      <c r="BG194" s="127">
        <f t="shared" si="80"/>
        <v>43.317500000000003</v>
      </c>
      <c r="BH194" s="127">
        <f t="shared" si="80"/>
        <v>86.86</v>
      </c>
      <c r="BI194" s="127">
        <f t="shared" si="80"/>
        <v>45.306687500000002</v>
      </c>
      <c r="BJ194" s="127">
        <f t="shared" si="80"/>
        <v>44.206687500000001</v>
      </c>
      <c r="BK194" s="127">
        <f t="shared" si="80"/>
        <v>89.513374999999996</v>
      </c>
      <c r="BL194" s="127">
        <f t="shared" si="80"/>
        <v>46.218104687500002</v>
      </c>
      <c r="BM194" s="127">
        <f t="shared" si="80"/>
        <v>45.118104687500001</v>
      </c>
      <c r="BN194" s="127">
        <f t="shared" si="80"/>
        <v>91.336209374999996</v>
      </c>
      <c r="BO194" s="127">
        <f>BO192+BO193</f>
        <v>47.152307304687497</v>
      </c>
      <c r="BP194" s="127">
        <f>BP192+BP193</f>
        <v>46.052307304687496</v>
      </c>
      <c r="BQ194" s="127">
        <f>BQ192+BQ193</f>
        <v>93.204614609374985</v>
      </c>
      <c r="BR194" s="127">
        <f t="shared" ref="BR194:CC194" si="82">BR192+BR193</f>
        <v>48.109864987304682</v>
      </c>
      <c r="BS194" s="127">
        <f t="shared" si="82"/>
        <v>47.009864987304681</v>
      </c>
      <c r="BT194" s="127">
        <f t="shared" si="82"/>
        <v>95.119729974609356</v>
      </c>
      <c r="BU194" s="127">
        <f t="shared" si="82"/>
        <v>49.091361611987296</v>
      </c>
      <c r="BV194" s="127">
        <f t="shared" si="82"/>
        <v>47.991361611987294</v>
      </c>
      <c r="BW194" s="127">
        <f t="shared" si="82"/>
        <v>97.082723223974583</v>
      </c>
      <c r="BX194" s="127">
        <f t="shared" si="82"/>
        <v>50.097395652286977</v>
      </c>
      <c r="BY194" s="127">
        <f t="shared" si="82"/>
        <v>48.997395652286976</v>
      </c>
      <c r="BZ194" s="127">
        <f t="shared" si="82"/>
        <v>99.094791304573945</v>
      </c>
      <c r="CA194" s="127">
        <f t="shared" si="82"/>
        <v>51.128580543594147</v>
      </c>
      <c r="CB194" s="127">
        <f t="shared" si="82"/>
        <v>50.028580543594146</v>
      </c>
      <c r="CC194" s="127">
        <f t="shared" si="82"/>
        <v>101.15716108718829</v>
      </c>
    </row>
    <row r="195" spans="1:81" s="7" customFormat="1">
      <c r="A195" s="126"/>
      <c r="B195" s="41" t="s">
        <v>424</v>
      </c>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c r="AA195" s="40"/>
      <c r="AB195" s="40"/>
      <c r="AC195" s="40"/>
      <c r="AD195" s="127">
        <f>AD189+AD194</f>
        <v>245.90000000000003</v>
      </c>
      <c r="AE195" s="127">
        <f>AE189+AE194</f>
        <v>100.50000000000001</v>
      </c>
      <c r="AF195" s="127">
        <f>AG195-AE195</f>
        <v>141.60000000000002</v>
      </c>
      <c r="AG195" s="127">
        <f t="shared" ref="AG195:BN195" si="83">AG194+AG189</f>
        <v>242.10000000000002</v>
      </c>
      <c r="AH195" s="127">
        <f t="shared" si="83"/>
        <v>125.4</v>
      </c>
      <c r="AI195" s="127">
        <f t="shared" si="83"/>
        <v>143.6</v>
      </c>
      <c r="AJ195" s="127">
        <f t="shared" si="83"/>
        <v>269</v>
      </c>
      <c r="AK195" s="127">
        <f t="shared" si="83"/>
        <v>119.29999999999998</v>
      </c>
      <c r="AL195" s="127">
        <f t="shared" si="83"/>
        <v>161.9</v>
      </c>
      <c r="AM195" s="127">
        <f t="shared" si="83"/>
        <v>281.2</v>
      </c>
      <c r="AN195" s="127">
        <f t="shared" si="83"/>
        <v>129.4</v>
      </c>
      <c r="AO195" s="127">
        <f t="shared" si="83"/>
        <v>157.9</v>
      </c>
      <c r="AP195" s="127">
        <f t="shared" si="83"/>
        <v>287.3</v>
      </c>
      <c r="AQ195" s="127">
        <f t="shared" si="83"/>
        <v>126.9</v>
      </c>
      <c r="AR195" s="127">
        <f t="shared" si="83"/>
        <v>166.5</v>
      </c>
      <c r="AS195" s="127">
        <f t="shared" si="83"/>
        <v>293.40000000000003</v>
      </c>
      <c r="AT195" s="127">
        <f t="shared" si="83"/>
        <v>127.20000000000002</v>
      </c>
      <c r="AU195" s="127">
        <f t="shared" si="83"/>
        <v>192.09999999999994</v>
      </c>
      <c r="AV195" s="127">
        <f t="shared" si="83"/>
        <v>318.19999999999993</v>
      </c>
      <c r="AW195" s="127">
        <f t="shared" si="83"/>
        <v>155.19999999999999</v>
      </c>
      <c r="AX195" s="127">
        <f t="shared" si="83"/>
        <v>222.89999999999998</v>
      </c>
      <c r="AY195" s="127">
        <f t="shared" si="83"/>
        <v>378.09999999999997</v>
      </c>
      <c r="AZ195" s="127">
        <f t="shared" si="83"/>
        <v>150.9</v>
      </c>
      <c r="BA195" s="127">
        <f t="shared" si="83"/>
        <v>193.3</v>
      </c>
      <c r="BB195" s="127">
        <f>BB194+BB189</f>
        <v>344.20000000000005</v>
      </c>
      <c r="BC195" s="127">
        <f t="shared" si="83"/>
        <v>150</v>
      </c>
      <c r="BD195" s="127">
        <f t="shared" ref="BD195" si="84">BD194+BD189</f>
        <v>221.30000000000007</v>
      </c>
      <c r="BE195" s="127">
        <f>BE194+BE189</f>
        <v>371.30000000000007</v>
      </c>
      <c r="BF195" s="127">
        <f t="shared" si="83"/>
        <v>152.71191499188907</v>
      </c>
      <c r="BG195" s="127">
        <f t="shared" si="83"/>
        <v>231.71119347368131</v>
      </c>
      <c r="BH195" s="127">
        <f t="shared" si="83"/>
        <v>384.42310846557041</v>
      </c>
      <c r="BI195" s="127">
        <f t="shared" si="83"/>
        <v>174.15412677478702</v>
      </c>
      <c r="BJ195" s="127">
        <f t="shared" si="83"/>
        <v>234.4876132570223</v>
      </c>
      <c r="BK195" s="127">
        <f t="shared" si="83"/>
        <v>408.64174003180932</v>
      </c>
      <c r="BL195" s="127">
        <f t="shared" si="83"/>
        <v>182.27415812802406</v>
      </c>
      <c r="BM195" s="127">
        <f t="shared" si="83"/>
        <v>244.81132036707496</v>
      </c>
      <c r="BN195" s="127">
        <f t="shared" si="83"/>
        <v>427.08547849509904</v>
      </c>
      <c r="BO195" s="127">
        <f>BO194+BO189</f>
        <v>194.88175118564163</v>
      </c>
      <c r="BP195" s="127">
        <f>BP194+BP189</f>
        <v>252.53527613745777</v>
      </c>
      <c r="BQ195" s="127">
        <f>BQ194+BQ189</f>
        <v>447.41702732309938</v>
      </c>
      <c r="BR195" s="127">
        <f t="shared" ref="BR195:CC195" si="85">BR194+BR189</f>
        <v>193.31164053169243</v>
      </c>
      <c r="BS195" s="127">
        <f t="shared" si="85"/>
        <v>264.31156915307969</v>
      </c>
      <c r="BT195" s="127">
        <f t="shared" si="85"/>
        <v>457.62320968477212</v>
      </c>
      <c r="BU195" s="127">
        <f t="shared" si="85"/>
        <v>206.69681153741425</v>
      </c>
      <c r="BV195" s="127">
        <f t="shared" si="85"/>
        <v>281.79120438540679</v>
      </c>
      <c r="BW195" s="127">
        <f t="shared" si="85"/>
        <v>488.48801592282103</v>
      </c>
      <c r="BX195" s="127">
        <f t="shared" si="85"/>
        <v>220.38375251952169</v>
      </c>
      <c r="BY195" s="127">
        <f t="shared" si="85"/>
        <v>286.59945326733941</v>
      </c>
      <c r="BZ195" s="127">
        <f t="shared" si="85"/>
        <v>506.98320578686111</v>
      </c>
      <c r="CA195" s="127">
        <f t="shared" si="85"/>
        <v>223.05466457794878</v>
      </c>
      <c r="CB195" s="127">
        <f t="shared" si="85"/>
        <v>291.52508436091057</v>
      </c>
      <c r="CC195" s="127">
        <f t="shared" si="85"/>
        <v>514.57974893885932</v>
      </c>
    </row>
    <row r="196" spans="1:81">
      <c r="C196" s="65"/>
      <c r="D196" s="65"/>
      <c r="E196" s="65"/>
      <c r="F196" s="65"/>
      <c r="G196" s="65"/>
      <c r="H196" s="65"/>
      <c r="I196" s="65"/>
      <c r="J196" s="65"/>
      <c r="K196" s="65"/>
      <c r="L196" s="65"/>
      <c r="M196" s="65"/>
      <c r="N196" s="65"/>
      <c r="O196" s="65"/>
      <c r="P196" s="65"/>
      <c r="Q196" s="65"/>
      <c r="R196" s="65"/>
      <c r="S196" s="65"/>
    </row>
    <row r="197" spans="1:81">
      <c r="C197" s="65"/>
      <c r="D197" s="65"/>
      <c r="E197" s="65"/>
      <c r="F197" s="65"/>
      <c r="G197" s="65"/>
      <c r="H197" s="65"/>
      <c r="I197" s="65"/>
      <c r="J197" s="65"/>
      <c r="K197" s="65"/>
      <c r="L197" s="65"/>
      <c r="M197" s="65"/>
      <c r="N197" s="65"/>
      <c r="O197" s="65"/>
      <c r="P197" s="65"/>
      <c r="Q197" s="65"/>
      <c r="R197" s="65"/>
      <c r="S197" s="65"/>
    </row>
    <row r="198" spans="1:81">
      <c r="C198" s="65"/>
      <c r="D198" s="65"/>
      <c r="E198" s="65"/>
      <c r="F198" s="65"/>
      <c r="G198" s="65"/>
      <c r="H198" s="65"/>
      <c r="I198" s="65"/>
      <c r="J198" s="65"/>
      <c r="K198" s="65"/>
      <c r="L198" s="65"/>
      <c r="M198" s="65"/>
      <c r="N198" s="65"/>
      <c r="O198" s="65"/>
      <c r="P198" s="65"/>
      <c r="Q198" s="65"/>
      <c r="R198" s="65"/>
      <c r="S198" s="65"/>
    </row>
    <row r="199" spans="1:81" collapsed="1">
      <c r="A199" s="66"/>
      <c r="B199" s="152" t="s">
        <v>203</v>
      </c>
      <c r="C199" s="65"/>
      <c r="D199" s="65"/>
      <c r="E199" s="65"/>
      <c r="F199" s="65"/>
      <c r="G199" s="65"/>
      <c r="H199" s="65"/>
      <c r="I199" s="65"/>
      <c r="J199" s="65"/>
      <c r="K199" s="65"/>
      <c r="L199" s="65"/>
      <c r="M199" s="65"/>
      <c r="N199" s="65"/>
      <c r="O199" s="65"/>
      <c r="P199" s="65"/>
      <c r="Q199" s="65"/>
      <c r="R199" s="65"/>
      <c r="S199" s="65"/>
    </row>
    <row r="200" spans="1:81" hidden="1" outlineLevel="1">
      <c r="B200" s="153" t="s">
        <v>204</v>
      </c>
      <c r="C200" s="65"/>
      <c r="D200" s="65"/>
      <c r="E200" s="65"/>
      <c r="F200" s="65"/>
      <c r="G200" s="65"/>
      <c r="H200" s="65"/>
      <c r="I200" s="65"/>
      <c r="J200" s="65"/>
      <c r="K200" s="65"/>
      <c r="L200" s="65"/>
      <c r="M200" s="65"/>
      <c r="N200" s="65"/>
      <c r="O200" s="65"/>
      <c r="P200" s="65"/>
      <c r="Q200" s="65"/>
      <c r="R200" s="65"/>
      <c r="S200" s="65"/>
    </row>
    <row r="201" spans="1:81" hidden="1" outlineLevel="1">
      <c r="B201" s="154" t="s">
        <v>205</v>
      </c>
      <c r="C201" s="65"/>
      <c r="D201" s="65"/>
      <c r="E201" s="65"/>
      <c r="F201" s="65"/>
      <c r="G201" s="65"/>
      <c r="H201" s="65"/>
      <c r="I201" s="65"/>
      <c r="J201" s="65"/>
      <c r="K201" s="65"/>
      <c r="L201" s="65"/>
      <c r="M201" s="65"/>
      <c r="N201" s="65"/>
      <c r="O201" s="65"/>
      <c r="P201" s="65"/>
      <c r="Q201" s="65"/>
      <c r="R201" s="65"/>
      <c r="S201" s="65"/>
      <c r="AM201" s="88">
        <f>AM91</f>
        <v>1.7114999999999998E-2</v>
      </c>
      <c r="AP201" s="88">
        <f>AP91</f>
        <v>0.02</v>
      </c>
      <c r="AS201" s="88">
        <f>AS91</f>
        <v>0.02</v>
      </c>
      <c r="AV201" s="88">
        <f>AV91</f>
        <v>3.2500000000000001E-2</v>
      </c>
      <c r="AY201" s="88">
        <f>AY91</f>
        <v>0.02</v>
      </c>
    </row>
    <row r="202" spans="1:81" hidden="1" outlineLevel="1">
      <c r="B202" s="154" t="s">
        <v>171</v>
      </c>
      <c r="C202" s="65"/>
      <c r="D202" s="65"/>
      <c r="E202" s="65"/>
      <c r="F202" s="65"/>
      <c r="G202" s="65"/>
      <c r="H202" s="65"/>
      <c r="I202" s="65"/>
      <c r="J202" s="65"/>
      <c r="K202" s="65"/>
      <c r="L202" s="65"/>
      <c r="M202" s="65"/>
      <c r="N202" s="65"/>
      <c r="O202" s="65"/>
      <c r="P202" s="65"/>
      <c r="Q202" s="65"/>
      <c r="R202" s="65"/>
      <c r="S202" s="65"/>
      <c r="AM202" s="155">
        <f>AM90</f>
        <v>780.34076961855931</v>
      </c>
      <c r="AP202" s="155">
        <f>AP90</f>
        <v>696.11460674157308</v>
      </c>
      <c r="AS202" s="155">
        <f>AS90</f>
        <v>734.73888888888894</v>
      </c>
      <c r="AV202" s="155">
        <f>AV90</f>
        <v>846.72</v>
      </c>
      <c r="AY202" s="155">
        <f>AY90</f>
        <v>802.49888888888893</v>
      </c>
    </row>
    <row r="203" spans="1:81" hidden="1" outlineLevel="1">
      <c r="B203" s="156" t="s">
        <v>206</v>
      </c>
      <c r="C203" s="65"/>
      <c r="D203" s="65"/>
      <c r="E203" s="65"/>
      <c r="F203" s="65"/>
      <c r="G203" s="65"/>
      <c r="H203" s="65"/>
      <c r="I203" s="65"/>
      <c r="J203" s="65"/>
      <c r="K203" s="65"/>
      <c r="L203" s="65"/>
      <c r="M203" s="65"/>
      <c r="N203" s="65"/>
      <c r="O203" s="65"/>
      <c r="P203" s="65"/>
      <c r="Q203" s="65"/>
      <c r="R203" s="65"/>
      <c r="S203" s="65"/>
      <c r="AM203" s="88">
        <f>AM97</f>
        <v>6.4274999999999999E-2</v>
      </c>
      <c r="AP203" s="88">
        <f>AP97</f>
        <v>0.06</v>
      </c>
      <c r="AS203" s="88">
        <f>AS97</f>
        <v>0.02</v>
      </c>
      <c r="AV203" s="88">
        <f>AV97</f>
        <v>0.02</v>
      </c>
      <c r="AY203" s="88">
        <f>AY97</f>
        <v>0.02</v>
      </c>
    </row>
    <row r="204" spans="1:81" hidden="1" outlineLevel="1">
      <c r="B204" s="156" t="s">
        <v>212</v>
      </c>
      <c r="C204" s="65"/>
      <c r="D204" s="65"/>
      <c r="E204" s="65"/>
      <c r="F204" s="65"/>
      <c r="G204" s="65"/>
      <c r="H204" s="65"/>
      <c r="I204" s="65"/>
      <c r="J204" s="65"/>
      <c r="K204" s="65"/>
      <c r="L204" s="65"/>
      <c r="M204" s="65"/>
      <c r="N204" s="65"/>
      <c r="O204" s="65"/>
      <c r="P204" s="65"/>
      <c r="Q204" s="65"/>
      <c r="R204" s="65"/>
      <c r="S204" s="65"/>
      <c r="AM204" s="125">
        <f>AM96</f>
        <v>170.24161017824048</v>
      </c>
      <c r="AP204" s="125">
        <f>AP96</f>
        <v>167.58314606741573</v>
      </c>
      <c r="AS204" s="125">
        <f>AS96</f>
        <v>187.02444444444444</v>
      </c>
      <c r="AV204" s="125">
        <f>AV96</f>
        <v>183.45600000000002</v>
      </c>
      <c r="AY204" s="125">
        <f>AY96</f>
        <v>204.89333333333335</v>
      </c>
    </row>
    <row r="205" spans="1:81" hidden="1" outlineLevel="1">
      <c r="B205" s="157" t="s">
        <v>207</v>
      </c>
      <c r="C205" s="65"/>
      <c r="D205" s="65"/>
      <c r="E205" s="65"/>
      <c r="F205" s="65"/>
      <c r="G205" s="65"/>
      <c r="H205" s="65"/>
      <c r="I205" s="65"/>
      <c r="J205" s="65"/>
      <c r="K205" s="65"/>
      <c r="L205" s="65"/>
      <c r="M205" s="65"/>
      <c r="N205" s="65"/>
      <c r="O205" s="65"/>
      <c r="P205" s="65"/>
      <c r="Q205" s="65"/>
      <c r="R205" s="65"/>
      <c r="S205" s="65"/>
      <c r="AM205" s="88">
        <f>AM39</f>
        <v>-0.11228912566007754</v>
      </c>
      <c r="AP205" s="88">
        <f>AP39</f>
        <v>-0.11013605236252788</v>
      </c>
      <c r="AS205" s="88">
        <f>AS39</f>
        <v>0.13214854397754561</v>
      </c>
      <c r="AV205" s="88">
        <f>AV39</f>
        <v>0.17999618589017752</v>
      </c>
      <c r="AY205" s="88">
        <f>AY39</f>
        <v>0.11936303352003264</v>
      </c>
    </row>
    <row r="206" spans="1:81" hidden="1" outlineLevel="1">
      <c r="B206" s="157" t="s">
        <v>208</v>
      </c>
      <c r="C206" s="65"/>
      <c r="D206" s="65"/>
      <c r="E206" s="65"/>
      <c r="F206" s="65"/>
      <c r="G206" s="65"/>
      <c r="H206" s="65"/>
      <c r="I206" s="65"/>
      <c r="J206" s="65"/>
      <c r="K206" s="65"/>
      <c r="L206" s="65"/>
      <c r="M206" s="65"/>
      <c r="N206" s="65"/>
      <c r="O206" s="65"/>
      <c r="P206" s="65"/>
      <c r="Q206" s="65"/>
      <c r="R206" s="65"/>
      <c r="S206" s="65"/>
    </row>
    <row r="207" spans="1:81" hidden="1" outlineLevel="1">
      <c r="B207" s="158" t="s">
        <v>209</v>
      </c>
      <c r="C207" s="65"/>
      <c r="D207" s="65"/>
      <c r="E207" s="65"/>
      <c r="F207" s="65"/>
      <c r="G207" s="65"/>
      <c r="H207" s="65"/>
      <c r="I207" s="65"/>
      <c r="J207" s="65"/>
      <c r="K207" s="65"/>
      <c r="L207" s="65"/>
      <c r="M207" s="65"/>
      <c r="N207" s="65"/>
      <c r="O207" s="65"/>
      <c r="P207" s="65"/>
      <c r="Q207" s="65"/>
      <c r="R207" s="65"/>
      <c r="S207" s="65"/>
      <c r="AM207" s="128">
        <f>AM43</f>
        <v>-0.14195154988783476</v>
      </c>
      <c r="AP207" s="128">
        <f>AP43</f>
        <v>-6.0980444711585889E-2</v>
      </c>
      <c r="AS207" s="128">
        <f>AS43</f>
        <v>4.0060542682378575E-2</v>
      </c>
      <c r="AV207" s="128">
        <f>AV43</f>
        <v>3.0150149369746582E-2</v>
      </c>
      <c r="AY207" s="128">
        <f>AY43</f>
        <v>1.750463281445469E-2</v>
      </c>
    </row>
    <row r="208" spans="1:81" hidden="1" outlineLevel="1">
      <c r="B208" s="158" t="s">
        <v>210</v>
      </c>
      <c r="C208" s="65"/>
      <c r="D208" s="65"/>
      <c r="E208" s="65"/>
      <c r="F208" s="65"/>
      <c r="G208" s="65"/>
      <c r="H208" s="65"/>
      <c r="I208" s="65"/>
      <c r="J208" s="65"/>
      <c r="K208" s="65"/>
      <c r="L208" s="65"/>
      <c r="M208" s="65"/>
      <c r="N208" s="65"/>
      <c r="O208" s="65"/>
      <c r="P208" s="65"/>
      <c r="Q208" s="65"/>
      <c r="R208" s="65"/>
      <c r="S208" s="65"/>
      <c r="AM208" s="128">
        <f>AM47</f>
        <v>0.15300235727142464</v>
      </c>
      <c r="AP208" s="128">
        <f>AP47</f>
        <v>9.8799046390904366E-2</v>
      </c>
      <c r="AS208" s="128">
        <f>AS47</f>
        <v>3.0944911330248459E-3</v>
      </c>
      <c r="AV208" s="128">
        <f>AV47</f>
        <v>-8.7082837776815469E-2</v>
      </c>
      <c r="AY208" s="128">
        <f>AY47</f>
        <v>-0.13621784489133998</v>
      </c>
    </row>
    <row r="209" spans="1:66" hidden="1" outlineLevel="1">
      <c r="A209" s="159"/>
      <c r="B209" s="160" t="s">
        <v>214</v>
      </c>
      <c r="C209" s="161"/>
      <c r="D209" s="161"/>
      <c r="E209" s="161"/>
      <c r="F209" s="161"/>
      <c r="G209" s="161"/>
      <c r="H209" s="161"/>
      <c r="I209" s="161"/>
      <c r="J209" s="161"/>
      <c r="K209" s="161"/>
      <c r="L209" s="161"/>
      <c r="M209" s="161"/>
      <c r="N209" s="161"/>
      <c r="O209" s="161"/>
      <c r="P209" s="161"/>
      <c r="Q209" s="161"/>
      <c r="R209" s="161"/>
      <c r="S209" s="161"/>
      <c r="T209" s="161"/>
      <c r="U209" s="161"/>
      <c r="V209" s="161"/>
      <c r="W209" s="161"/>
      <c r="X209" s="161"/>
      <c r="Y209" s="161"/>
      <c r="Z209" s="161"/>
      <c r="AA209" s="161"/>
      <c r="AB209" s="161"/>
      <c r="AC209" s="161"/>
      <c r="AD209" s="161"/>
      <c r="AE209" s="161"/>
      <c r="AF209" s="161"/>
      <c r="AG209" s="161"/>
      <c r="AH209" s="161"/>
      <c r="AI209" s="161"/>
      <c r="AJ209" s="161"/>
      <c r="AK209" s="161"/>
      <c r="AL209" s="161"/>
      <c r="AM209" s="162">
        <f>AM11</f>
        <v>223.4</v>
      </c>
      <c r="AN209" s="161"/>
      <c r="AO209" s="161"/>
      <c r="AP209" s="162">
        <f>AP11</f>
        <v>222.10000000000002</v>
      </c>
      <c r="AQ209" s="161"/>
      <c r="AR209" s="161"/>
      <c r="AS209" s="162">
        <f>AS11</f>
        <v>222.70000000000002</v>
      </c>
      <c r="AT209" s="161"/>
      <c r="AU209" s="161"/>
      <c r="AV209" s="162">
        <f>AV11</f>
        <v>245.19999999999993</v>
      </c>
      <c r="AW209" s="161"/>
      <c r="AX209" s="161"/>
      <c r="AY209" s="162">
        <f>AY11</f>
        <v>300.29999999999995</v>
      </c>
      <c r="AZ209" s="161"/>
      <c r="BA209" s="161"/>
      <c r="BB209" s="161"/>
      <c r="BC209" s="161"/>
      <c r="BD209" s="161"/>
      <c r="BE209" s="161"/>
      <c r="BF209" s="161"/>
      <c r="BG209" s="161"/>
      <c r="BH209" s="161"/>
      <c r="BI209" s="161"/>
      <c r="BJ209" s="161"/>
      <c r="BK209" s="161"/>
      <c r="BL209" s="161"/>
      <c r="BM209" s="161"/>
      <c r="BN209" s="161"/>
    </row>
    <row r="210" spans="1:66" hidden="1" outlineLevel="1">
      <c r="B210" s="44"/>
      <c r="C210" s="65"/>
      <c r="D210" s="65"/>
      <c r="E210" s="65"/>
      <c r="F210" s="65"/>
      <c r="G210" s="65"/>
      <c r="H210" s="65"/>
      <c r="I210" s="65"/>
      <c r="J210" s="65"/>
      <c r="K210" s="65"/>
      <c r="L210" s="65"/>
      <c r="M210" s="65"/>
      <c r="N210" s="65"/>
      <c r="O210" s="65"/>
      <c r="P210" s="65"/>
      <c r="Q210" s="65"/>
      <c r="R210" s="65"/>
      <c r="S210" s="65"/>
    </row>
    <row r="211" spans="1:66" hidden="1" outlineLevel="1">
      <c r="B211" s="163" t="s">
        <v>152</v>
      </c>
      <c r="C211" s="65"/>
      <c r="D211" s="65"/>
      <c r="E211" s="65"/>
      <c r="F211" s="65"/>
      <c r="G211" s="65"/>
      <c r="H211" s="65"/>
      <c r="I211" s="65"/>
      <c r="J211" s="65"/>
      <c r="K211" s="65"/>
      <c r="L211" s="65"/>
      <c r="M211" s="65"/>
      <c r="N211" s="65"/>
      <c r="O211" s="65"/>
      <c r="P211" s="65"/>
      <c r="Q211" s="65"/>
      <c r="R211" s="65"/>
      <c r="S211" s="65"/>
    </row>
    <row r="212" spans="1:66" hidden="1" outlineLevel="1">
      <c r="B212" s="44" t="s">
        <v>213</v>
      </c>
      <c r="C212" s="65"/>
      <c r="D212" s="65"/>
      <c r="E212" s="65"/>
      <c r="F212" s="65"/>
      <c r="G212" s="65"/>
      <c r="H212" s="65"/>
      <c r="I212" s="65"/>
      <c r="J212" s="65"/>
      <c r="K212" s="65"/>
      <c r="L212" s="65"/>
      <c r="M212" s="65"/>
      <c r="N212" s="65"/>
      <c r="O212" s="65"/>
      <c r="P212" s="65"/>
      <c r="Q212" s="65"/>
      <c r="R212" s="65"/>
      <c r="S212" s="65"/>
      <c r="AM212" s="125">
        <f>1%*AM202</f>
        <v>7.8034076961855936</v>
      </c>
      <c r="AP212" s="125">
        <f>1%*AP202</f>
        <v>6.9611460674157311</v>
      </c>
      <c r="AS212" s="125">
        <f>1%*AS202</f>
        <v>7.3473888888888892</v>
      </c>
      <c r="AV212" s="125">
        <f>1%*AV202</f>
        <v>8.4672000000000001</v>
      </c>
      <c r="AY212" s="125">
        <f>1%*AY202</f>
        <v>8.0249888888888901</v>
      </c>
    </row>
    <row r="213" spans="1:66" hidden="1" outlineLevel="1">
      <c r="B213" s="164" t="s">
        <v>211</v>
      </c>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c r="AA213" s="40"/>
      <c r="AB213" s="40"/>
      <c r="AC213" s="40"/>
      <c r="AD213" s="40"/>
      <c r="AE213" s="40"/>
      <c r="AF213" s="40"/>
      <c r="AG213" s="40"/>
      <c r="AH213" s="40"/>
      <c r="AI213" s="40"/>
      <c r="AJ213" s="40"/>
      <c r="AK213" s="40"/>
      <c r="AL213" s="40"/>
      <c r="AM213" s="132">
        <f>AM212/AM209</f>
        <v>3.4930204548726917E-2</v>
      </c>
      <c r="AN213" s="40"/>
      <c r="AO213" s="40"/>
      <c r="AP213" s="132">
        <f>AP212/AP209</f>
        <v>3.1342395620962318E-2</v>
      </c>
      <c r="AQ213" s="40"/>
      <c r="AR213" s="40"/>
      <c r="AS213" s="132">
        <f>AS212/AS209</f>
        <v>3.299231651948311E-2</v>
      </c>
      <c r="AV213" s="132">
        <f>AV212/AV209</f>
        <v>3.4531810766721051E-2</v>
      </c>
      <c r="AY213" s="132">
        <f>AY212/AY209</f>
        <v>2.6723239723239731E-2</v>
      </c>
    </row>
    <row r="214" spans="1:66" hidden="1" outlineLevel="1">
      <c r="B214" s="44"/>
      <c r="C214" s="65"/>
      <c r="D214" s="65"/>
      <c r="E214" s="65"/>
      <c r="F214" s="65"/>
      <c r="G214" s="65"/>
      <c r="H214" s="65"/>
      <c r="I214" s="65"/>
      <c r="J214" s="65"/>
      <c r="K214" s="65"/>
      <c r="L214" s="65"/>
      <c r="M214" s="65"/>
      <c r="N214" s="65"/>
      <c r="O214" s="65"/>
      <c r="P214" s="65"/>
      <c r="Q214" s="65"/>
      <c r="R214" s="65"/>
      <c r="S214" s="65"/>
    </row>
    <row r="215" spans="1:66" hidden="1" outlineLevel="1">
      <c r="B215" s="164" t="s">
        <v>279</v>
      </c>
      <c r="C215" s="65"/>
      <c r="D215" s="65"/>
      <c r="E215" s="65"/>
      <c r="F215" s="65"/>
      <c r="G215" s="65"/>
      <c r="H215" s="65"/>
      <c r="I215" s="65"/>
      <c r="J215" s="65"/>
      <c r="K215" s="65"/>
      <c r="L215" s="65"/>
      <c r="M215" s="65"/>
      <c r="N215" s="65"/>
      <c r="O215" s="65"/>
      <c r="P215" s="65"/>
      <c r="Q215" s="65"/>
      <c r="R215" s="65"/>
      <c r="S215" s="65"/>
    </row>
    <row r="216" spans="1:66" hidden="1" outlineLevel="1">
      <c r="B216" s="44" t="s">
        <v>213</v>
      </c>
      <c r="C216" s="65"/>
      <c r="D216" s="65"/>
      <c r="E216" s="65"/>
      <c r="F216" s="65"/>
      <c r="G216" s="65"/>
      <c r="H216" s="65"/>
      <c r="I216" s="65"/>
      <c r="J216" s="65"/>
      <c r="K216" s="65"/>
      <c r="L216" s="65"/>
      <c r="M216" s="65"/>
      <c r="N216" s="65"/>
      <c r="O216" s="65"/>
      <c r="P216" s="65"/>
      <c r="Q216" s="65"/>
      <c r="R216" s="65"/>
      <c r="S216" s="65"/>
      <c r="AM216" s="125">
        <f>1%*AM204</f>
        <v>1.7024161017824049</v>
      </c>
      <c r="AP216" s="125">
        <f>1%*AP204</f>
        <v>1.6758314606741573</v>
      </c>
      <c r="AS216" s="125">
        <f>1%*AS204</f>
        <v>1.8702444444444444</v>
      </c>
      <c r="AV216" s="125">
        <f>1%*AV204</f>
        <v>1.8345600000000002</v>
      </c>
      <c r="AY216" s="125">
        <f>1%*AY204</f>
        <v>2.0489333333333333</v>
      </c>
    </row>
    <row r="217" spans="1:66" hidden="1" outlineLevel="1">
      <c r="B217" s="164" t="s">
        <v>211</v>
      </c>
      <c r="C217" s="65"/>
      <c r="D217" s="65"/>
      <c r="E217" s="65"/>
      <c r="F217" s="65"/>
      <c r="G217" s="65"/>
      <c r="H217" s="65"/>
      <c r="I217" s="65"/>
      <c r="J217" s="65"/>
      <c r="K217" s="65"/>
      <c r="L217" s="65"/>
      <c r="M217" s="65"/>
      <c r="N217" s="65"/>
      <c r="O217" s="65"/>
      <c r="P217" s="65"/>
      <c r="Q217" s="65"/>
      <c r="R217" s="65"/>
      <c r="S217" s="65"/>
      <c r="AM217" s="132">
        <f>AM216/AM209</f>
        <v>7.6204838933858765E-3</v>
      </c>
      <c r="AN217" s="40"/>
      <c r="AO217" s="40"/>
      <c r="AP217" s="132">
        <f>AP216/AP209</f>
        <v>7.5453915383798158E-3</v>
      </c>
      <c r="AQ217" s="40"/>
      <c r="AR217" s="40"/>
      <c r="AS217" s="132">
        <f>AS216/AS209</f>
        <v>8.3980442049593363E-3</v>
      </c>
      <c r="AV217" s="132">
        <f>AV216/AV209</f>
        <v>7.4818923327895628E-3</v>
      </c>
      <c r="AY217" s="132">
        <f>AY216/AY209</f>
        <v>6.8229548229548241E-3</v>
      </c>
    </row>
    <row r="218" spans="1:66" hidden="1" outlineLevel="1">
      <c r="B218" s="44"/>
      <c r="C218" s="65"/>
      <c r="D218" s="65"/>
      <c r="E218" s="65"/>
      <c r="F218" s="65"/>
      <c r="G218" s="65"/>
      <c r="H218" s="65"/>
      <c r="I218" s="65"/>
      <c r="J218" s="65"/>
      <c r="K218" s="65"/>
      <c r="L218" s="65"/>
      <c r="M218" s="65"/>
      <c r="N218" s="65"/>
      <c r="O218" s="65"/>
      <c r="P218" s="65"/>
      <c r="Q218" s="65"/>
      <c r="R218" s="65"/>
      <c r="S218" s="65"/>
    </row>
    <row r="219" spans="1:66" hidden="1" outlineLevel="1">
      <c r="B219" s="164" t="s">
        <v>215</v>
      </c>
      <c r="C219" s="65"/>
      <c r="D219" s="65"/>
      <c r="E219" s="65"/>
      <c r="F219" s="65"/>
      <c r="G219" s="65"/>
      <c r="H219" s="65"/>
      <c r="I219" s="65"/>
      <c r="J219" s="65"/>
      <c r="K219" s="65"/>
      <c r="L219" s="65"/>
      <c r="M219" s="65"/>
      <c r="N219" s="65"/>
      <c r="O219" s="65"/>
      <c r="P219" s="65"/>
      <c r="Q219" s="65"/>
      <c r="R219" s="65"/>
      <c r="S219" s="65"/>
      <c r="AM219" s="123"/>
      <c r="AN219" s="123"/>
      <c r="AO219" s="123"/>
      <c r="AP219" s="123"/>
      <c r="AQ219" s="123"/>
      <c r="AR219" s="123"/>
      <c r="AS219" s="123"/>
      <c r="AV219" s="123"/>
      <c r="AY219" s="123"/>
    </row>
    <row r="220" spans="1:66" hidden="1" outlineLevel="1">
      <c r="B220" s="44" t="s">
        <v>216</v>
      </c>
      <c r="C220" s="65"/>
      <c r="D220" s="65"/>
      <c r="E220" s="65"/>
      <c r="F220" s="65"/>
      <c r="G220" s="65"/>
      <c r="H220" s="65"/>
      <c r="I220" s="65"/>
      <c r="J220" s="65"/>
      <c r="K220" s="65"/>
      <c r="L220" s="65"/>
      <c r="M220" s="65"/>
      <c r="N220" s="65"/>
      <c r="O220" s="65"/>
      <c r="P220" s="65"/>
      <c r="Q220" s="65"/>
      <c r="R220" s="65"/>
      <c r="S220" s="65"/>
      <c r="AM220" s="123">
        <f>((1+(AM94+(1%*20%)))*AJ90)+((1+(AM106+(1%*30%)))*AJ102)+AM96+AM111</f>
        <v>1158.1297476482187</v>
      </c>
      <c r="AN220" s="123"/>
      <c r="AO220" s="123"/>
      <c r="AP220" s="123">
        <f>((1+(AP94+(1%*20%)))*AM90)+((1+(AP106+(1%*30%)))*AM102)+AP96+AP111</f>
        <v>1112.4989260938037</v>
      </c>
      <c r="AQ220" s="123"/>
      <c r="AR220" s="123"/>
      <c r="AS220" s="123">
        <f>((1+(AS94+(1%*20%)))*AP90)+((1+(AS106+(1%*30%)))*AP102)+AS96+AS111</f>
        <v>1178.8430359550562</v>
      </c>
      <c r="AV220" s="123">
        <f>((1+(AV94+(1%*20%)))*AS90)+((1+(AV106+(1%*30%)))*AS102)+AV96+AV111</f>
        <v>1372.7110877777779</v>
      </c>
      <c r="AY220" s="123">
        <f>((1+(AY94+(1%*20%)))*AV90)+((1+(AY106+(1%*30%)))*AV102)+AY96+AY111</f>
        <v>1475.5365120000001</v>
      </c>
    </row>
    <row r="221" spans="1:66" hidden="1" outlineLevel="1">
      <c r="B221" s="44" t="s">
        <v>440</v>
      </c>
      <c r="C221" s="65"/>
      <c r="D221" s="65"/>
      <c r="E221" s="65"/>
      <c r="F221" s="65"/>
      <c r="G221" s="65"/>
      <c r="H221" s="65"/>
      <c r="I221" s="65"/>
      <c r="J221" s="65"/>
      <c r="K221" s="65"/>
      <c r="L221" s="65"/>
      <c r="M221" s="65"/>
      <c r="N221" s="65"/>
      <c r="O221" s="65"/>
      <c r="P221" s="65"/>
      <c r="Q221" s="65"/>
      <c r="R221" s="65"/>
      <c r="S221" s="65"/>
      <c r="AM221" s="123">
        <f>AM220*(AM115+0.2%)</f>
        <v>204.73794108479785</v>
      </c>
      <c r="AN221" s="123"/>
      <c r="AO221" s="123"/>
      <c r="AP221" s="123">
        <f>AP220*(AP115+0.2%)</f>
        <v>178.46774961265442</v>
      </c>
      <c r="AQ221" s="123"/>
      <c r="AR221" s="123"/>
      <c r="AS221" s="123">
        <f>AS220*(AS115+0.2%)</f>
        <v>205.04334489709106</v>
      </c>
      <c r="AV221" s="123">
        <f>AV220*(AV115+0.2%)</f>
        <v>250.56264569877666</v>
      </c>
      <c r="AY221" s="123">
        <f>AY220*(AY115+0.2%)</f>
        <v>305.33235863654835</v>
      </c>
    </row>
    <row r="222" spans="1:66" hidden="1" outlineLevel="1">
      <c r="B222" s="44" t="s">
        <v>510</v>
      </c>
      <c r="C222" s="65"/>
      <c r="D222" s="65"/>
      <c r="E222" s="65"/>
      <c r="F222" s="65"/>
      <c r="G222" s="65"/>
      <c r="H222" s="65"/>
      <c r="I222" s="65"/>
      <c r="J222" s="65"/>
      <c r="K222" s="65"/>
      <c r="L222" s="65"/>
      <c r="M222" s="65"/>
      <c r="N222" s="65"/>
      <c r="O222" s="65"/>
      <c r="P222" s="65"/>
      <c r="Q222" s="65"/>
      <c r="R222" s="65"/>
      <c r="S222" s="65"/>
      <c r="AM222" s="123">
        <f>AM221+AM145</f>
        <v>240.43794108479784</v>
      </c>
      <c r="AN222" s="123"/>
      <c r="AO222" s="123"/>
      <c r="AP222" s="123">
        <f>AP221+AP145</f>
        <v>206.1677496126544</v>
      </c>
      <c r="AQ222" s="123"/>
      <c r="AR222" s="123"/>
      <c r="AS222" s="123">
        <f>AS221+AS145</f>
        <v>229.24334489709105</v>
      </c>
      <c r="AV222" s="123">
        <f>AV221+AV145</f>
        <v>272.26264569877668</v>
      </c>
      <c r="AY222" s="123">
        <f>AY221+AY145</f>
        <v>325.23235863654833</v>
      </c>
    </row>
    <row r="223" spans="1:66" hidden="1" outlineLevel="1">
      <c r="B223" s="44" t="s">
        <v>217</v>
      </c>
      <c r="C223" s="65"/>
      <c r="D223" s="65"/>
      <c r="E223" s="65"/>
      <c r="F223" s="65"/>
      <c r="G223" s="65"/>
      <c r="H223" s="65"/>
      <c r="I223" s="65"/>
      <c r="J223" s="65"/>
      <c r="K223" s="65"/>
      <c r="L223" s="65"/>
      <c r="M223" s="65"/>
      <c r="N223" s="65"/>
      <c r="O223" s="65"/>
      <c r="P223" s="65"/>
      <c r="Q223" s="65"/>
      <c r="R223" s="65"/>
      <c r="S223" s="65"/>
      <c r="AM223" s="123">
        <f>((1+(AM160+(1%*50%)))*AJ156)</f>
        <v>120.91987699391994</v>
      </c>
      <c r="AN223" s="123"/>
      <c r="AO223" s="123"/>
      <c r="AP223" s="123">
        <f>((1+(AP160+(1%*50%)))*AM156)</f>
        <v>124.30099999999999</v>
      </c>
      <c r="AQ223" s="123"/>
      <c r="AR223" s="123"/>
      <c r="AS223" s="123">
        <f>((1+(AS160+(1%*50%)))*AP156)</f>
        <v>125.01849999999999</v>
      </c>
      <c r="AV223" s="123">
        <f>((1+(AV160+(1%*50%)))*AS156)</f>
        <v>138.02200000000002</v>
      </c>
      <c r="AY223" s="123">
        <f>((1+(AY160+(1%*50%)))*AV156)</f>
        <v>148.48700000000002</v>
      </c>
    </row>
    <row r="224" spans="1:66" hidden="1" outlineLevel="1">
      <c r="B224" s="44" t="s">
        <v>440</v>
      </c>
      <c r="C224" s="65"/>
      <c r="D224" s="65"/>
      <c r="E224" s="65"/>
      <c r="F224" s="65"/>
      <c r="G224" s="65"/>
      <c r="H224" s="65"/>
      <c r="I224" s="65"/>
      <c r="J224" s="65"/>
      <c r="K224" s="65"/>
      <c r="L224" s="65"/>
      <c r="M224" s="65"/>
      <c r="N224" s="65"/>
      <c r="O224" s="65"/>
      <c r="P224" s="65"/>
      <c r="Q224" s="65"/>
      <c r="R224" s="65"/>
      <c r="S224" s="65"/>
      <c r="AM224" s="123">
        <f>AM223*(AM165+0.1%)</f>
        <v>1.9317000649228377</v>
      </c>
      <c r="AN224" s="123"/>
      <c r="AO224" s="123"/>
      <c r="AP224" s="123">
        <f>AP223*(AP165+0.1%)</f>
        <v>0.52624441147938561</v>
      </c>
      <c r="AQ224" s="123"/>
      <c r="AR224" s="123"/>
      <c r="AS224" s="123">
        <f>AS223*(AS165+0.1%)</f>
        <v>2.2354594163987138</v>
      </c>
      <c r="AV224" s="123">
        <f>AV223*(AV165+0.1%)</f>
        <v>6.2656362649199426</v>
      </c>
      <c r="AY224" s="123">
        <f>AY223*(AY165+0.1%)</f>
        <v>11.601476174560219</v>
      </c>
    </row>
    <row r="225" spans="2:51" hidden="1" outlineLevel="1">
      <c r="B225" s="44" t="s">
        <v>218</v>
      </c>
      <c r="C225" s="65"/>
      <c r="D225" s="65"/>
      <c r="E225" s="65"/>
      <c r="F225" s="65"/>
      <c r="G225" s="65"/>
      <c r="H225" s="65"/>
      <c r="I225" s="65"/>
      <c r="J225" s="65"/>
      <c r="K225" s="65"/>
      <c r="L225" s="65"/>
      <c r="M225" s="65"/>
      <c r="N225" s="65"/>
      <c r="O225" s="65"/>
      <c r="P225" s="65"/>
      <c r="Q225" s="65"/>
      <c r="R225" s="65"/>
      <c r="S225" s="65"/>
      <c r="AM225" s="123">
        <f>AM224+AM222</f>
        <v>242.36964114972068</v>
      </c>
      <c r="AN225" s="123"/>
      <c r="AO225" s="123"/>
      <c r="AP225" s="123">
        <f>AP224+AP222</f>
        <v>206.69399402413379</v>
      </c>
      <c r="AQ225" s="123"/>
      <c r="AR225" s="123"/>
      <c r="AS225" s="123">
        <f>AS224+AS222</f>
        <v>231.47880431348977</v>
      </c>
      <c r="AV225" s="123">
        <f>AV224+AV222</f>
        <v>278.5282819636966</v>
      </c>
      <c r="AY225" s="123">
        <f>AY224+AY222</f>
        <v>336.83383481110855</v>
      </c>
    </row>
    <row r="226" spans="2:51" hidden="1" outlineLevel="1">
      <c r="B226" s="44" t="s">
        <v>214</v>
      </c>
      <c r="C226" s="65"/>
      <c r="D226" s="65"/>
      <c r="E226" s="65"/>
      <c r="F226" s="65"/>
      <c r="G226" s="65"/>
      <c r="H226" s="65"/>
      <c r="I226" s="65"/>
      <c r="J226" s="65"/>
      <c r="K226" s="65"/>
      <c r="L226" s="65"/>
      <c r="M226" s="65"/>
      <c r="N226" s="65"/>
      <c r="O226" s="65"/>
      <c r="P226" s="65"/>
      <c r="Q226" s="65"/>
      <c r="R226" s="65"/>
      <c r="S226" s="65"/>
      <c r="AM226" s="123">
        <f>AM225+AM188</f>
        <v>238.76964114972068</v>
      </c>
      <c r="AN226" s="123"/>
      <c r="AO226" s="123"/>
      <c r="AP226" s="123">
        <f>AP225+AP188</f>
        <v>207.4939940241338</v>
      </c>
      <c r="AQ226" s="123"/>
      <c r="AR226" s="123"/>
      <c r="AS226" s="123">
        <f>AS225+AS188</f>
        <v>225.57880431348977</v>
      </c>
      <c r="AV226" s="123">
        <f>AV225+AV188</f>
        <v>248.5282819636966</v>
      </c>
      <c r="AY226" s="123">
        <f>AY225+AY188</f>
        <v>304.03383481110853</v>
      </c>
    </row>
    <row r="227" spans="2:51" hidden="1" outlineLevel="1">
      <c r="B227" s="164" t="s">
        <v>231</v>
      </c>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c r="AA227" s="40"/>
      <c r="AB227" s="40"/>
      <c r="AC227" s="40"/>
      <c r="AD227" s="40"/>
      <c r="AE227" s="40"/>
      <c r="AF227" s="40"/>
      <c r="AG227" s="40"/>
      <c r="AH227" s="40"/>
      <c r="AI227" s="40"/>
      <c r="AJ227" s="40"/>
      <c r="AK227" s="40"/>
      <c r="AL227" s="40"/>
      <c r="AM227" s="165">
        <f>AM226/AM209-1</f>
        <v>6.8798751789259871E-2</v>
      </c>
      <c r="AN227" s="166"/>
      <c r="AO227" s="166"/>
      <c r="AP227" s="165">
        <f>AP226/AP209-1</f>
        <v>-6.5763196649555211E-2</v>
      </c>
      <c r="AQ227" s="166"/>
      <c r="AR227" s="166"/>
      <c r="AS227" s="165">
        <f>AS226/AS209-1</f>
        <v>1.2926826733227426E-2</v>
      </c>
      <c r="AV227" s="165">
        <f>AV226/AV209-1</f>
        <v>1.3573743734488941E-2</v>
      </c>
      <c r="AY227" s="165">
        <f>AY226/AY209-1</f>
        <v>1.2433682354674014E-2</v>
      </c>
    </row>
    <row r="228" spans="2:51" hidden="1" outlineLevel="1">
      <c r="C228" s="65"/>
      <c r="D228" s="65"/>
      <c r="E228" s="65"/>
      <c r="F228" s="65"/>
      <c r="G228" s="65"/>
      <c r="H228" s="65"/>
      <c r="I228" s="65"/>
      <c r="J228" s="65"/>
      <c r="K228" s="65"/>
      <c r="L228" s="65"/>
      <c r="M228" s="65"/>
      <c r="N228" s="65"/>
      <c r="O228" s="65"/>
      <c r="P228" s="65"/>
      <c r="Q228" s="65"/>
      <c r="R228" s="65"/>
      <c r="S228" s="65"/>
      <c r="AM228" s="167"/>
      <c r="AN228" s="167"/>
      <c r="AO228" s="167"/>
      <c r="AP228" s="167"/>
      <c r="AQ228" s="167"/>
      <c r="AR228" s="167"/>
      <c r="AS228" s="167"/>
      <c r="AV228" s="167"/>
      <c r="AY228" s="167"/>
    </row>
    <row r="229" spans="2:51" hidden="1" outlineLevel="1">
      <c r="B229" s="164" t="s">
        <v>285</v>
      </c>
      <c r="C229" s="65"/>
      <c r="D229" s="65"/>
      <c r="E229" s="65"/>
      <c r="F229" s="65"/>
      <c r="G229" s="65"/>
      <c r="H229" s="65"/>
      <c r="I229" s="65"/>
      <c r="J229" s="65"/>
      <c r="K229" s="65"/>
      <c r="L229" s="65"/>
      <c r="M229" s="65"/>
      <c r="N229" s="65"/>
      <c r="O229" s="65"/>
      <c r="P229" s="65"/>
      <c r="Q229" s="65"/>
      <c r="R229" s="65"/>
      <c r="S229" s="65"/>
      <c r="AM229" s="166">
        <f>AM227</f>
        <v>6.8798751789259871E-2</v>
      </c>
      <c r="AN229" s="166"/>
      <c r="AO229" s="166"/>
      <c r="AP229" s="166">
        <f>AP227</f>
        <v>-6.5763196649555211E-2</v>
      </c>
      <c r="AQ229" s="166"/>
      <c r="AR229" s="166"/>
      <c r="AS229" s="166">
        <f>AS227</f>
        <v>1.2926826733227426E-2</v>
      </c>
      <c r="AV229" s="166">
        <f>AV227</f>
        <v>1.3573743734488941E-2</v>
      </c>
      <c r="AY229" s="166">
        <f>AY227</f>
        <v>1.2433682354674014E-2</v>
      </c>
    </row>
    <row r="230" spans="2:51" hidden="1" outlineLevel="1">
      <c r="C230" s="65"/>
      <c r="D230" s="65"/>
      <c r="E230" s="65"/>
      <c r="F230" s="65"/>
      <c r="G230" s="65"/>
      <c r="H230" s="65"/>
      <c r="I230" s="65"/>
      <c r="J230" s="65"/>
      <c r="K230" s="65"/>
      <c r="L230" s="65"/>
      <c r="M230" s="65"/>
      <c r="N230" s="65"/>
      <c r="O230" s="65"/>
      <c r="P230" s="65"/>
      <c r="Q230" s="65"/>
      <c r="R230" s="65"/>
      <c r="S230" s="65"/>
    </row>
    <row r="231" spans="2:51" hidden="1" outlineLevel="1">
      <c r="B231" s="164" t="s">
        <v>219</v>
      </c>
      <c r="C231" s="65"/>
      <c r="D231" s="65"/>
      <c r="E231" s="65"/>
      <c r="F231" s="65"/>
      <c r="G231" s="65"/>
      <c r="H231" s="65"/>
      <c r="I231" s="65"/>
      <c r="J231" s="65"/>
      <c r="K231" s="65"/>
      <c r="L231" s="65"/>
      <c r="M231" s="65"/>
      <c r="N231" s="65"/>
      <c r="O231" s="65"/>
      <c r="P231" s="65"/>
      <c r="Q231" s="65"/>
      <c r="R231" s="65"/>
      <c r="S231" s="65"/>
    </row>
    <row r="232" spans="2:51" hidden="1" outlineLevel="1">
      <c r="B232" s="44" t="s">
        <v>220</v>
      </c>
      <c r="C232" s="65"/>
      <c r="D232" s="65"/>
      <c r="E232" s="65"/>
      <c r="F232" s="65"/>
      <c r="G232" s="65"/>
      <c r="H232" s="65"/>
      <c r="I232" s="65"/>
      <c r="J232" s="65"/>
      <c r="K232" s="65"/>
      <c r="L232" s="65"/>
      <c r="M232" s="65"/>
      <c r="N232" s="65"/>
      <c r="O232" s="65"/>
      <c r="P232" s="65"/>
      <c r="Q232" s="65"/>
      <c r="R232" s="65"/>
      <c r="S232" s="65"/>
      <c r="AM232" s="155">
        <f>((1+(AM94+(1%*30%)))*AJ90)+((1+(AM106+(1%*30%)))*AJ102)+AM96+AM111</f>
        <v>1158.8930168930867</v>
      </c>
      <c r="AP232" s="155">
        <f>((1+(AP94+(1%*30%)))*AM90)+((1+(AP106+(1%*30%)))*AM102)+AP96+AP111</f>
        <v>1113.2792668634222</v>
      </c>
      <c r="AS232" s="155">
        <f>((1+(AS94+(1%*30%)))*AP90)+((1+(AS106+(1%*30%)))*AP102)+AS96+AS111</f>
        <v>1179.5391505617977</v>
      </c>
      <c r="AV232" s="155">
        <f>((1+(AV94+(1%*30%)))*AS90)+((1+(AV106+(1%*30%)))*AS102)+AV96+AV111</f>
        <v>1373.4458266666668</v>
      </c>
      <c r="AY232" s="155">
        <f>((1+(AY94+(1%*30%)))*AV90)+((1+(AY106+(1%*30%)))*AV102)+AY96+AY111</f>
        <v>1476.3832320000001</v>
      </c>
    </row>
    <row r="233" spans="2:51" hidden="1" outlineLevel="1">
      <c r="B233" s="44" t="s">
        <v>440</v>
      </c>
      <c r="C233" s="65"/>
      <c r="D233" s="65"/>
      <c r="E233" s="65"/>
      <c r="F233" s="65"/>
      <c r="G233" s="65"/>
      <c r="H233" s="65"/>
      <c r="I233" s="65"/>
      <c r="J233" s="65"/>
      <c r="K233" s="65"/>
      <c r="L233" s="65"/>
      <c r="M233" s="65"/>
      <c r="N233" s="65"/>
      <c r="O233" s="65"/>
      <c r="P233" s="65"/>
      <c r="Q233" s="65"/>
      <c r="R233" s="65"/>
      <c r="S233" s="65"/>
      <c r="AM233" s="155">
        <f>AM232*(AM115+0.2%)</f>
        <v>204.87287430277706</v>
      </c>
      <c r="AP233" s="155">
        <f>AP232*(AP115+0.2%)</f>
        <v>178.5929323501999</v>
      </c>
      <c r="AS233" s="155">
        <f>AS232*(AS115+0.2%)</f>
        <v>205.16442434791239</v>
      </c>
      <c r="AV233" s="155">
        <f>AV232*(AV115+0.2%)</f>
        <v>250.69675849318543</v>
      </c>
      <c r="AY233" s="155">
        <f>AY232*(AY115+0.2%)</f>
        <v>305.50757016984636</v>
      </c>
    </row>
    <row r="234" spans="2:51" hidden="1" outlineLevel="1">
      <c r="B234" s="44" t="s">
        <v>510</v>
      </c>
      <c r="C234" s="65"/>
      <c r="D234" s="65"/>
      <c r="E234" s="65"/>
      <c r="F234" s="65"/>
      <c r="G234" s="65"/>
      <c r="H234" s="65"/>
      <c r="I234" s="65"/>
      <c r="J234" s="65"/>
      <c r="K234" s="65"/>
      <c r="L234" s="65"/>
      <c r="M234" s="65"/>
      <c r="N234" s="65"/>
      <c r="O234" s="65"/>
      <c r="P234" s="65"/>
      <c r="Q234" s="65"/>
      <c r="R234" s="65"/>
      <c r="S234" s="65"/>
      <c r="AM234" s="155">
        <f>AM233+AM145</f>
        <v>240.57287430277705</v>
      </c>
      <c r="AP234" s="155">
        <f>AP233+AP145</f>
        <v>206.29293235019989</v>
      </c>
      <c r="AS234" s="155">
        <f>AS233+AS145</f>
        <v>229.3644243479124</v>
      </c>
      <c r="AV234" s="155">
        <f>AV233+AV145</f>
        <v>272.39675849318542</v>
      </c>
      <c r="AY234" s="155">
        <f>AY233+AY145</f>
        <v>325.40757016984634</v>
      </c>
    </row>
    <row r="235" spans="2:51" hidden="1" outlineLevel="1">
      <c r="B235" s="44" t="s">
        <v>217</v>
      </c>
      <c r="C235" s="65"/>
      <c r="D235" s="65"/>
      <c r="E235" s="65"/>
      <c r="F235" s="65"/>
      <c r="G235" s="65"/>
      <c r="H235" s="65"/>
      <c r="I235" s="65"/>
      <c r="J235" s="65"/>
      <c r="K235" s="65"/>
      <c r="L235" s="65"/>
      <c r="M235" s="65"/>
      <c r="N235" s="65"/>
      <c r="O235" s="65"/>
      <c r="P235" s="65"/>
      <c r="Q235" s="65"/>
      <c r="R235" s="65"/>
      <c r="S235" s="65"/>
      <c r="AM235" s="155">
        <f>((1+(AM160+(1%*30%)))*AJ156)</f>
        <v>120.63192619635197</v>
      </c>
      <c r="AP235" s="155">
        <f>((1+(AP160+(1%*30%)))*AM156)</f>
        <v>124.06060000000001</v>
      </c>
      <c r="AS235" s="155">
        <f>((1+(AS160+(1%*30%)))*AP156)</f>
        <v>124.77109999999998</v>
      </c>
      <c r="AV235" s="155">
        <f>((1+(AV160+(1%*30%)))*AS156)</f>
        <v>137.77319999999997</v>
      </c>
      <c r="AY235" s="155">
        <f>((1+(AY160+(1%*30%)))*AV156)</f>
        <v>148.2122</v>
      </c>
    </row>
    <row r="236" spans="2:51" hidden="1" outlineLevel="1">
      <c r="B236" s="44" t="s">
        <v>440</v>
      </c>
      <c r="C236" s="65"/>
      <c r="D236" s="65"/>
      <c r="E236" s="65"/>
      <c r="F236" s="65"/>
      <c r="G236" s="65"/>
      <c r="H236" s="65"/>
      <c r="I236" s="65"/>
      <c r="J236" s="65"/>
      <c r="K236" s="65"/>
      <c r="L236" s="65"/>
      <c r="M236" s="65"/>
      <c r="N236" s="65"/>
      <c r="O236" s="65"/>
      <c r="P236" s="65"/>
      <c r="Q236" s="65"/>
      <c r="R236" s="65"/>
      <c r="S236" s="65"/>
      <c r="AM236" s="155">
        <f>AM223*(AM165+0.1%)</f>
        <v>1.9317000649228377</v>
      </c>
      <c r="AP236" s="155">
        <f>AP223*(AP165+0.1%)</f>
        <v>0.52624441147938561</v>
      </c>
      <c r="AS236" s="155">
        <f>AS223*(AS165+0.1%)</f>
        <v>2.2354594163987138</v>
      </c>
      <c r="AV236" s="155">
        <f>AV223*(AV165+0.1%)</f>
        <v>6.2656362649199426</v>
      </c>
      <c r="AY236" s="155">
        <f>AY223*(AY165+0.1%)</f>
        <v>11.601476174560219</v>
      </c>
    </row>
    <row r="237" spans="2:51" hidden="1" outlineLevel="1">
      <c r="B237" s="44" t="s">
        <v>218</v>
      </c>
      <c r="C237" s="65"/>
      <c r="D237" s="65"/>
      <c r="E237" s="65"/>
      <c r="F237" s="65"/>
      <c r="G237" s="65"/>
      <c r="H237" s="65"/>
      <c r="I237" s="65"/>
      <c r="J237" s="65"/>
      <c r="K237" s="65"/>
      <c r="L237" s="65"/>
      <c r="M237" s="65"/>
      <c r="N237" s="65"/>
      <c r="O237" s="65"/>
      <c r="P237" s="65"/>
      <c r="Q237" s="65"/>
      <c r="R237" s="65"/>
      <c r="S237" s="65"/>
      <c r="AM237" s="155">
        <f>AM236+AM234</f>
        <v>242.50457436769989</v>
      </c>
      <c r="AP237" s="155">
        <f>AP236+AP234</f>
        <v>206.81917676167927</v>
      </c>
      <c r="AS237" s="155">
        <f>AS236+AS234</f>
        <v>231.59988376431113</v>
      </c>
      <c r="AV237" s="155">
        <f>AV236+AV234</f>
        <v>278.66239475810534</v>
      </c>
      <c r="AY237" s="155">
        <f>AY236+AY234</f>
        <v>337.00904634440656</v>
      </c>
    </row>
    <row r="238" spans="2:51" hidden="1" outlineLevel="1">
      <c r="B238" s="44" t="s">
        <v>214</v>
      </c>
      <c r="C238" s="65"/>
      <c r="D238" s="65"/>
      <c r="E238" s="65"/>
      <c r="F238" s="65"/>
      <c r="G238" s="65"/>
      <c r="H238" s="65"/>
      <c r="I238" s="65"/>
      <c r="J238" s="65"/>
      <c r="K238" s="65"/>
      <c r="L238" s="65"/>
      <c r="M238" s="65"/>
      <c r="N238" s="65"/>
      <c r="O238" s="65"/>
      <c r="P238" s="65"/>
      <c r="Q238" s="65"/>
      <c r="R238" s="65"/>
      <c r="S238" s="65"/>
      <c r="AM238" s="155">
        <f>AM237+AM188</f>
        <v>238.90457436769989</v>
      </c>
      <c r="AP238" s="155">
        <f>AP237+AP188</f>
        <v>207.61917676167928</v>
      </c>
      <c r="AS238" s="155">
        <f>AS237+AS188</f>
        <v>225.69988376431112</v>
      </c>
      <c r="AV238" s="155">
        <f>AV237+AV188</f>
        <v>248.66239475810534</v>
      </c>
      <c r="AY238" s="155">
        <f>AY237+AY188</f>
        <v>304.20904634440654</v>
      </c>
    </row>
    <row r="239" spans="2:51" hidden="1" outlineLevel="1">
      <c r="B239" s="164" t="s">
        <v>231</v>
      </c>
      <c r="C239" s="65"/>
      <c r="D239" s="65"/>
      <c r="E239" s="65"/>
      <c r="F239" s="65"/>
      <c r="G239" s="65"/>
      <c r="H239" s="65"/>
      <c r="I239" s="65"/>
      <c r="J239" s="65"/>
      <c r="K239" s="65"/>
      <c r="L239" s="65"/>
      <c r="M239" s="65"/>
      <c r="N239" s="65"/>
      <c r="O239" s="65"/>
      <c r="P239" s="65"/>
      <c r="Q239" s="65"/>
      <c r="R239" s="65"/>
      <c r="S239" s="65"/>
      <c r="AM239" s="166">
        <f>AM238/AM209-1</f>
        <v>6.940275007922958E-2</v>
      </c>
      <c r="AN239" s="167"/>
      <c r="AO239" s="167"/>
      <c r="AP239" s="166">
        <f>AP238/AP209-1</f>
        <v>-6.5199564332826365E-2</v>
      </c>
      <c r="AQ239" s="167"/>
      <c r="AR239" s="167"/>
      <c r="AS239" s="166">
        <f>AS238/AS209-1</f>
        <v>1.3470515331437394E-2</v>
      </c>
      <c r="AV239" s="166">
        <f>AV238/AV209-1</f>
        <v>1.4120696403366217E-2</v>
      </c>
      <c r="AY239" s="166">
        <f>AY238/AY209-1</f>
        <v>1.3017137344011331E-2</v>
      </c>
    </row>
    <row r="240" spans="2:51" hidden="1" outlineLevel="1">
      <c r="C240" s="65"/>
      <c r="D240" s="65"/>
      <c r="E240" s="65"/>
      <c r="F240" s="65"/>
      <c r="G240" s="65"/>
      <c r="H240" s="65"/>
      <c r="I240" s="65"/>
      <c r="J240" s="65"/>
      <c r="K240" s="65"/>
      <c r="L240" s="65"/>
      <c r="M240" s="65"/>
      <c r="N240" s="65"/>
      <c r="O240" s="65"/>
      <c r="P240" s="65"/>
      <c r="Q240" s="65"/>
      <c r="R240" s="65"/>
      <c r="S240" s="65"/>
    </row>
    <row r="241" spans="2:51" hidden="1" outlineLevel="1">
      <c r="B241" s="164" t="s">
        <v>221</v>
      </c>
      <c r="C241" s="65"/>
      <c r="D241" s="65"/>
      <c r="E241" s="65"/>
      <c r="F241" s="65"/>
      <c r="G241" s="65"/>
      <c r="H241" s="65"/>
      <c r="I241" s="65"/>
      <c r="J241" s="65"/>
      <c r="K241" s="65"/>
      <c r="L241" s="65"/>
      <c r="M241" s="65"/>
      <c r="N241" s="65"/>
      <c r="O241" s="65"/>
      <c r="P241" s="65"/>
      <c r="Q241" s="65"/>
      <c r="R241" s="65"/>
      <c r="S241" s="65"/>
    </row>
    <row r="242" spans="2:51" hidden="1" outlineLevel="1">
      <c r="B242" s="44" t="s">
        <v>222</v>
      </c>
      <c r="C242" s="65"/>
      <c r="D242" s="65"/>
      <c r="E242" s="65"/>
      <c r="F242" s="65"/>
      <c r="G242" s="65"/>
      <c r="H242" s="65"/>
      <c r="I242" s="65"/>
      <c r="J242" s="65"/>
      <c r="K242" s="65"/>
      <c r="L242" s="65"/>
      <c r="M242" s="65"/>
      <c r="N242" s="65"/>
      <c r="O242" s="65"/>
      <c r="P242" s="65"/>
      <c r="Q242" s="65"/>
      <c r="R242" s="65"/>
      <c r="S242" s="65"/>
      <c r="AM242" s="125">
        <f>((1+(AM94+(1%*40%)))*AJ90)+((1+(AM106+(1%*40%)))*AJ102)+AM96+AM111</f>
        <v>1159.8693898622491</v>
      </c>
      <c r="AP242" s="125">
        <f>((1+(AP94+(1%*40%)))*AM90)+((1+(AP106+(1%*40%)))*AM102)+AP96+AP111</f>
        <v>1114.3056891512294</v>
      </c>
      <c r="AS242" s="125">
        <f>((1+(AS94+(1%*40%)))*AP90)+((1+(AS106+(1%*40%)))*AP102)+AS96+AS111</f>
        <v>1180.5188674157303</v>
      </c>
      <c r="AV242" s="125">
        <f>((1+(AV94+(1%*40%)))*AS90)+((1+(AV106+(1%*40%)))*AS102)+AV96+AV111</f>
        <v>1374.4611022222223</v>
      </c>
      <c r="AY242" s="125">
        <f>((1+(AY94+(1%*40%)))*AV90)+((1+(AY106+(1%*40%)))*AV102)+AY96+AY111</f>
        <v>1477.6109760000002</v>
      </c>
    </row>
    <row r="243" spans="2:51" hidden="1" outlineLevel="1">
      <c r="B243" s="44" t="s">
        <v>440</v>
      </c>
      <c r="C243" s="65"/>
      <c r="D243" s="65"/>
      <c r="E243" s="65"/>
      <c r="F243" s="65"/>
      <c r="G243" s="65"/>
      <c r="H243" s="65"/>
      <c r="I243" s="65"/>
      <c r="J243" s="65"/>
      <c r="K243" s="65"/>
      <c r="L243" s="65"/>
      <c r="M243" s="65"/>
      <c r="N243" s="65"/>
      <c r="O243" s="65"/>
      <c r="P243" s="65"/>
      <c r="Q243" s="65"/>
      <c r="R243" s="65"/>
      <c r="S243" s="65"/>
      <c r="AM243" s="65">
        <f>AM242*(AM115+0.2%)</f>
        <v>205.04548068979295</v>
      </c>
      <c r="AP243" s="65">
        <f>AP242*(AP115+0.2%)</f>
        <v>178.75759163351302</v>
      </c>
      <c r="AS243" s="65">
        <f>AS242*(AS115+0.2%)</f>
        <v>205.3348324638832</v>
      </c>
      <c r="AV243" s="65">
        <f>AV242*(AV115+0.2%)</f>
        <v>250.8820779909139</v>
      </c>
      <c r="AY243" s="65">
        <f>AY242*(AY115+0.2%)</f>
        <v>305.76162689312855</v>
      </c>
    </row>
    <row r="244" spans="2:51" hidden="1" outlineLevel="1">
      <c r="B244" s="44" t="s">
        <v>510</v>
      </c>
      <c r="C244" s="65"/>
      <c r="D244" s="65"/>
      <c r="E244" s="65"/>
      <c r="F244" s="65"/>
      <c r="G244" s="65"/>
      <c r="H244" s="65"/>
      <c r="I244" s="65"/>
      <c r="J244" s="65"/>
      <c r="K244" s="65"/>
      <c r="L244" s="65"/>
      <c r="M244" s="65"/>
      <c r="N244" s="65"/>
      <c r="O244" s="65"/>
      <c r="P244" s="65"/>
      <c r="Q244" s="65"/>
      <c r="R244" s="65"/>
      <c r="S244" s="65"/>
      <c r="AM244" s="114">
        <f>AM243+AM145</f>
        <v>240.74548068979294</v>
      </c>
      <c r="AP244" s="114">
        <f>AP243+AP145</f>
        <v>206.457591633513</v>
      </c>
      <c r="AS244" s="114">
        <f>AS243+AS145</f>
        <v>229.53483246388322</v>
      </c>
      <c r="AV244" s="114">
        <f>AV243+AV145</f>
        <v>272.58207799091389</v>
      </c>
      <c r="AY244" s="114">
        <f>AY243+AY145</f>
        <v>325.66162689312853</v>
      </c>
    </row>
    <row r="245" spans="2:51" hidden="1" outlineLevel="1">
      <c r="B245" s="44" t="s">
        <v>217</v>
      </c>
      <c r="C245" s="65"/>
      <c r="D245" s="65"/>
      <c r="E245" s="65"/>
      <c r="F245" s="65"/>
      <c r="G245" s="65"/>
      <c r="H245" s="65"/>
      <c r="I245" s="65"/>
      <c r="J245" s="65"/>
      <c r="K245" s="65"/>
      <c r="L245" s="65"/>
      <c r="M245" s="65"/>
      <c r="N245" s="65"/>
      <c r="O245" s="65"/>
      <c r="P245" s="65"/>
      <c r="Q245" s="65"/>
      <c r="R245" s="65"/>
      <c r="S245" s="65"/>
      <c r="AM245" s="65">
        <f>((1+(AM160+(1%*20%)))*AJ156)</f>
        <v>120.48795079756798</v>
      </c>
      <c r="AP245" s="65">
        <f>((1+(AP160+(1%*20%)))*AM156)</f>
        <v>123.9404</v>
      </c>
      <c r="AS245" s="65">
        <f>((1+(AS160+(1%*20%)))*AP156)</f>
        <v>124.64739999999999</v>
      </c>
      <c r="AV245" s="65">
        <f>((1+(AV160+(1%*20%)))*AS156)</f>
        <v>137.64879999999999</v>
      </c>
      <c r="AY245" s="65">
        <f>((1+(AY160+(1%*20%)))*AV156)</f>
        <v>148.07480000000001</v>
      </c>
    </row>
    <row r="246" spans="2:51" hidden="1" outlineLevel="1">
      <c r="B246" s="44" t="s">
        <v>440</v>
      </c>
      <c r="C246" s="65"/>
      <c r="D246" s="65"/>
      <c r="E246" s="65"/>
      <c r="F246" s="65"/>
      <c r="G246" s="65"/>
      <c r="H246" s="65"/>
      <c r="I246" s="65"/>
      <c r="J246" s="65"/>
      <c r="K246" s="65"/>
      <c r="L246" s="65"/>
      <c r="M246" s="65"/>
      <c r="N246" s="65"/>
      <c r="O246" s="65"/>
      <c r="P246" s="65"/>
      <c r="Q246" s="65"/>
      <c r="R246" s="65"/>
      <c r="S246" s="65"/>
      <c r="AM246" s="65">
        <f>AM245*(AM165+0.1%)</f>
        <v>1.9248000259691351</v>
      </c>
      <c r="AP246" s="65">
        <f>AP245*(AP165+0.1%)</f>
        <v>0.52471776459175423</v>
      </c>
      <c r="AS246" s="65">
        <f>AS245*(AS165+0.1%)</f>
        <v>2.2288237665594854</v>
      </c>
      <c r="AV246" s="65">
        <f>AV245*(AV165+0.1%)</f>
        <v>6.2486945059679764</v>
      </c>
      <c r="AY246" s="65">
        <f>AY245*(AY165+0.1%)</f>
        <v>11.569270469824087</v>
      </c>
    </row>
    <row r="247" spans="2:51" hidden="1" outlineLevel="1">
      <c r="B247" s="44" t="s">
        <v>218</v>
      </c>
      <c r="C247" s="65"/>
      <c r="D247" s="65"/>
      <c r="E247" s="65"/>
      <c r="F247" s="65"/>
      <c r="G247" s="65"/>
      <c r="H247" s="65"/>
      <c r="I247" s="65"/>
      <c r="J247" s="65"/>
      <c r="K247" s="65"/>
      <c r="L247" s="65"/>
      <c r="M247" s="65"/>
      <c r="N247" s="65"/>
      <c r="O247" s="65"/>
      <c r="P247" s="65"/>
      <c r="Q247" s="65"/>
      <c r="R247" s="65"/>
      <c r="S247" s="65"/>
      <c r="AM247" s="155">
        <f>AM246+AM244</f>
        <v>242.67028071576209</v>
      </c>
      <c r="AP247" s="155">
        <f>AP246+AP244</f>
        <v>206.98230939810475</v>
      </c>
      <c r="AS247" s="155">
        <f>AS246+AS244</f>
        <v>231.76365623044271</v>
      </c>
      <c r="AV247" s="155">
        <f>AV246+AV244</f>
        <v>278.83077249688188</v>
      </c>
      <c r="AY247" s="155">
        <f>AY246+AY244</f>
        <v>337.23089736295259</v>
      </c>
    </row>
    <row r="248" spans="2:51" hidden="1" outlineLevel="1">
      <c r="B248" s="44" t="s">
        <v>214</v>
      </c>
      <c r="C248" s="65"/>
      <c r="D248" s="65"/>
      <c r="E248" s="65"/>
      <c r="F248" s="65"/>
      <c r="G248" s="65"/>
      <c r="H248" s="65"/>
      <c r="I248" s="65"/>
      <c r="J248" s="65"/>
      <c r="K248" s="65"/>
      <c r="L248" s="65"/>
      <c r="M248" s="65"/>
      <c r="N248" s="65"/>
      <c r="O248" s="65"/>
      <c r="P248" s="65"/>
      <c r="Q248" s="65"/>
      <c r="R248" s="65"/>
      <c r="S248" s="65"/>
      <c r="AM248" s="125">
        <f>AM247+AM188</f>
        <v>239.0702807157621</v>
      </c>
      <c r="AP248" s="125">
        <f>AP247+AP188</f>
        <v>207.78230939810476</v>
      </c>
      <c r="AS248" s="125">
        <f>AS247+AS188</f>
        <v>225.8636562304427</v>
      </c>
      <c r="AV248" s="125">
        <f>AV247+AV188</f>
        <v>248.83077249688188</v>
      </c>
      <c r="AY248" s="125">
        <f>AY247+AY188</f>
        <v>304.43089736295258</v>
      </c>
    </row>
    <row r="249" spans="2:51" hidden="1" outlineLevel="1">
      <c r="B249" s="164" t="s">
        <v>231</v>
      </c>
      <c r="C249" s="65"/>
      <c r="D249" s="65"/>
      <c r="E249" s="65"/>
      <c r="F249" s="65"/>
      <c r="G249" s="65"/>
      <c r="H249" s="65"/>
      <c r="I249" s="65"/>
      <c r="J249" s="65"/>
      <c r="K249" s="65"/>
      <c r="L249" s="65"/>
      <c r="M249" s="65"/>
      <c r="N249" s="65"/>
      <c r="O249" s="65"/>
      <c r="P249" s="65"/>
      <c r="Q249" s="65"/>
      <c r="R249" s="65"/>
      <c r="S249" s="65"/>
      <c r="AM249" s="166">
        <f>AM248/AM209-1</f>
        <v>7.0144497384790006E-2</v>
      </c>
      <c r="AP249" s="166">
        <f>AP248/AP209-1</f>
        <v>-6.4465063493450048E-2</v>
      </c>
      <c r="AS249" s="166">
        <f>AS248/AS209-1</f>
        <v>1.4205910329783134E-2</v>
      </c>
      <c r="AV249" s="166">
        <f>AV248/AV209-1</f>
        <v>1.4807391912242895E-2</v>
      </c>
      <c r="AY249" s="166">
        <f>AY248/AY209-1</f>
        <v>1.3755901974534135E-2</v>
      </c>
    </row>
    <row r="250" spans="2:51" hidden="1" outlineLevel="1">
      <c r="C250" s="65"/>
      <c r="D250" s="65"/>
      <c r="E250" s="65"/>
      <c r="F250" s="65"/>
      <c r="G250" s="65"/>
      <c r="H250" s="65"/>
      <c r="I250" s="65"/>
      <c r="J250" s="65"/>
      <c r="K250" s="65"/>
      <c r="L250" s="65"/>
      <c r="M250" s="65"/>
      <c r="N250" s="65"/>
      <c r="O250" s="65"/>
      <c r="P250" s="65"/>
      <c r="Q250" s="65"/>
      <c r="R250" s="65"/>
      <c r="S250" s="65"/>
    </row>
    <row r="251" spans="2:51" hidden="1" outlineLevel="1">
      <c r="C251" s="65"/>
      <c r="D251" s="65"/>
      <c r="E251" s="65"/>
      <c r="F251" s="65"/>
      <c r="G251" s="65"/>
      <c r="H251" s="65"/>
      <c r="I251" s="65"/>
      <c r="J251" s="65"/>
      <c r="K251" s="65"/>
      <c r="L251" s="65"/>
      <c r="M251" s="65"/>
      <c r="N251" s="65"/>
      <c r="O251" s="65"/>
      <c r="P251" s="65"/>
      <c r="Q251" s="65"/>
      <c r="R251" s="65"/>
      <c r="S251" s="65"/>
    </row>
    <row r="252" spans="2:51" hidden="1" outlineLevel="1">
      <c r="B252" s="45" t="s">
        <v>130</v>
      </c>
      <c r="C252" s="65"/>
      <c r="D252" s="65"/>
      <c r="E252" s="65"/>
      <c r="F252" s="65"/>
      <c r="G252" s="65"/>
      <c r="H252" s="65"/>
      <c r="I252" s="65"/>
      <c r="J252" s="65"/>
      <c r="K252" s="65"/>
      <c r="L252" s="65"/>
      <c r="M252" s="65"/>
      <c r="N252" s="65"/>
      <c r="O252" s="65"/>
      <c r="P252" s="65"/>
      <c r="Q252" s="65"/>
      <c r="R252" s="65"/>
      <c r="S252" s="65"/>
      <c r="AS252" s="114">
        <f>+'BS, CF and P&amp;L'!AS72</f>
        <v>151.1</v>
      </c>
      <c r="AT252" s="114"/>
      <c r="AU252" s="114"/>
      <c r="AV252" s="114">
        <f>+'BS, CF and P&amp;L'!AV72</f>
        <v>166.39999999999998</v>
      </c>
      <c r="AY252" s="114">
        <f>+'BS, CF and P&amp;L'!AY72</f>
        <v>209.09999999999997</v>
      </c>
    </row>
    <row r="253" spans="2:51" hidden="1" outlineLevel="1">
      <c r="B253" s="45" t="s">
        <v>402</v>
      </c>
      <c r="C253" s="65"/>
      <c r="D253" s="65"/>
      <c r="E253" s="65"/>
      <c r="F253" s="65"/>
      <c r="G253" s="65"/>
      <c r="H253" s="65"/>
      <c r="I253" s="65"/>
      <c r="J253" s="65"/>
      <c r="K253" s="65"/>
      <c r="L253" s="65"/>
      <c r="M253" s="65"/>
      <c r="N253" s="65"/>
      <c r="O253" s="65"/>
      <c r="P253" s="65"/>
      <c r="Q253" s="65"/>
      <c r="R253" s="65"/>
      <c r="S253" s="65"/>
      <c r="AS253" s="128">
        <f>+'BS, CF and P&amp;L'!AS110</f>
        <v>0.31182212581344904</v>
      </c>
      <c r="AT253" s="128"/>
      <c r="AU253" s="128"/>
      <c r="AV253" s="128">
        <f>+'BS, CF and P&amp;L'!AV110</f>
        <v>0.30599520383693046</v>
      </c>
      <c r="AY253" s="128">
        <f>+'BS, CF and P&amp;L'!AY110</f>
        <v>0.29244577412116685</v>
      </c>
    </row>
    <row r="254" spans="2:51" hidden="1" outlineLevel="1">
      <c r="C254" s="65"/>
      <c r="D254" s="65"/>
      <c r="E254" s="65"/>
      <c r="F254" s="65"/>
      <c r="G254" s="65"/>
      <c r="H254" s="65"/>
      <c r="I254" s="65"/>
      <c r="J254" s="65"/>
      <c r="K254" s="65"/>
      <c r="L254" s="65"/>
      <c r="M254" s="65"/>
      <c r="N254" s="65"/>
      <c r="O254" s="65"/>
      <c r="P254" s="65"/>
      <c r="Q254" s="65"/>
      <c r="R254" s="65"/>
      <c r="S254" s="65"/>
    </row>
    <row r="255" spans="2:51" hidden="1" outlineLevel="1">
      <c r="B255" s="41" t="s">
        <v>131</v>
      </c>
      <c r="C255" s="65"/>
      <c r="D255" s="65"/>
      <c r="E255" s="65"/>
      <c r="F255" s="65"/>
      <c r="G255" s="65"/>
      <c r="H255" s="65"/>
      <c r="I255" s="65"/>
      <c r="J255" s="65"/>
      <c r="K255" s="65"/>
      <c r="L255" s="65"/>
      <c r="M255" s="65"/>
      <c r="N255" s="65"/>
      <c r="O255" s="65"/>
      <c r="P255" s="65"/>
      <c r="Q255" s="65"/>
      <c r="R255" s="65"/>
      <c r="S255" s="65"/>
    </row>
    <row r="256" spans="2:51" hidden="1" outlineLevel="1">
      <c r="B256" s="45" t="s">
        <v>132</v>
      </c>
      <c r="C256" s="65"/>
      <c r="D256" s="65"/>
      <c r="E256" s="65"/>
      <c r="F256" s="65"/>
      <c r="G256" s="65"/>
      <c r="H256" s="65"/>
      <c r="I256" s="65"/>
      <c r="J256" s="65"/>
      <c r="K256" s="65"/>
      <c r="L256" s="65"/>
      <c r="M256" s="65"/>
      <c r="N256" s="65"/>
      <c r="O256" s="65"/>
      <c r="P256" s="65"/>
      <c r="Q256" s="65"/>
      <c r="R256" s="65"/>
      <c r="S256" s="65"/>
      <c r="AS256" s="155">
        <f>+(1-AS253)*AS212</f>
        <v>5.0563104663774405</v>
      </c>
      <c r="AV256" s="155">
        <f>+(1-AV253)*AV212</f>
        <v>5.8762774100719426</v>
      </c>
      <c r="AY256" s="155">
        <f>+(1-AY253)*AY212</f>
        <v>5.6781148009640168</v>
      </c>
    </row>
    <row r="257" spans="2:51" hidden="1" outlineLevel="1">
      <c r="B257" s="45" t="s">
        <v>195</v>
      </c>
      <c r="C257" s="65"/>
      <c r="D257" s="65"/>
      <c r="E257" s="65"/>
      <c r="F257" s="65"/>
      <c r="G257" s="65"/>
      <c r="H257" s="65"/>
      <c r="I257" s="65"/>
      <c r="J257" s="65"/>
      <c r="K257" s="65"/>
      <c r="L257" s="65"/>
      <c r="M257" s="65"/>
      <c r="N257" s="65"/>
      <c r="O257" s="65"/>
      <c r="P257" s="65"/>
      <c r="Q257" s="65"/>
      <c r="R257" s="65"/>
      <c r="S257" s="65"/>
      <c r="AS257" s="177">
        <f>+AS256/AS252</f>
        <v>3.3463338625926146E-2</v>
      </c>
      <c r="AT257" s="178"/>
      <c r="AU257" s="178"/>
      <c r="AV257" s="177">
        <f>+AV256/AV252</f>
        <v>3.53141671278362E-2</v>
      </c>
      <c r="AY257" s="177">
        <f>+AY256/AY252</f>
        <v>2.715502056893361E-2</v>
      </c>
    </row>
    <row r="258" spans="2:51" hidden="1" outlineLevel="1">
      <c r="C258" s="65"/>
      <c r="D258" s="65"/>
      <c r="E258" s="65"/>
      <c r="F258" s="65"/>
      <c r="G258" s="65"/>
      <c r="H258" s="65"/>
      <c r="I258" s="65"/>
      <c r="J258" s="65"/>
      <c r="K258" s="65"/>
      <c r="L258" s="65"/>
      <c r="M258" s="65"/>
      <c r="N258" s="65"/>
      <c r="O258" s="65"/>
      <c r="P258" s="65"/>
      <c r="Q258" s="65"/>
      <c r="R258" s="65"/>
      <c r="S258" s="65"/>
    </row>
    <row r="259" spans="2:51" hidden="1" outlineLevel="1">
      <c r="B259" s="41" t="s">
        <v>133</v>
      </c>
      <c r="C259" s="65"/>
      <c r="D259" s="65"/>
      <c r="E259" s="65"/>
      <c r="F259" s="65"/>
      <c r="G259" s="65"/>
      <c r="H259" s="65"/>
      <c r="I259" s="65"/>
      <c r="J259" s="65"/>
      <c r="K259" s="65"/>
      <c r="L259" s="65"/>
      <c r="M259" s="65"/>
      <c r="N259" s="65"/>
      <c r="O259" s="65"/>
      <c r="P259" s="65"/>
      <c r="Q259" s="65"/>
      <c r="R259" s="65"/>
      <c r="S259" s="65"/>
    </row>
    <row r="260" spans="2:51" hidden="1" outlineLevel="1">
      <c r="B260" s="45" t="s">
        <v>132</v>
      </c>
      <c r="C260" s="65"/>
      <c r="D260" s="65"/>
      <c r="E260" s="65"/>
      <c r="F260" s="65"/>
      <c r="G260" s="65"/>
      <c r="H260" s="65"/>
      <c r="I260" s="65"/>
      <c r="J260" s="65"/>
      <c r="K260" s="65"/>
      <c r="L260" s="65"/>
      <c r="M260" s="65"/>
      <c r="N260" s="65"/>
      <c r="O260" s="65"/>
      <c r="P260" s="65"/>
      <c r="Q260" s="65"/>
      <c r="R260" s="65"/>
      <c r="S260" s="65"/>
      <c r="AS260" s="125">
        <f>(1-AS253)*AS216</f>
        <v>1.2870608459869848</v>
      </c>
      <c r="AV260" s="125">
        <f>(1-AV253)*AV216</f>
        <v>1.273193438848921</v>
      </c>
      <c r="AY260" s="125">
        <f>(1-AY253)*AY216</f>
        <v>1.4497314385440039</v>
      </c>
    </row>
    <row r="261" spans="2:51" hidden="1" outlineLevel="1">
      <c r="B261" s="45" t="s">
        <v>195</v>
      </c>
      <c r="C261" s="65"/>
      <c r="D261" s="65"/>
      <c r="E261" s="65"/>
      <c r="F261" s="65"/>
      <c r="G261" s="65"/>
      <c r="H261" s="65"/>
      <c r="I261" s="65"/>
      <c r="J261" s="65"/>
      <c r="K261" s="65"/>
      <c r="L261" s="65"/>
      <c r="M261" s="65"/>
      <c r="N261" s="65"/>
      <c r="O261" s="65"/>
      <c r="P261" s="65"/>
      <c r="Q261" s="65"/>
      <c r="R261" s="65"/>
      <c r="S261" s="65"/>
      <c r="AS261" s="177">
        <f>+AS260/AS252</f>
        <v>8.5179407411448364E-3</v>
      </c>
      <c r="AT261" s="179"/>
      <c r="AU261" s="179"/>
      <c r="AV261" s="177">
        <f>+AV260/AV252</f>
        <v>7.6514028776978439E-3</v>
      </c>
      <c r="AY261" s="177">
        <f>+AY260/AY252</f>
        <v>6.9331967410043239E-3</v>
      </c>
    </row>
    <row r="262" spans="2:51" hidden="1" outlineLevel="1">
      <c r="C262" s="65"/>
      <c r="D262" s="65"/>
      <c r="E262" s="65"/>
      <c r="F262" s="65"/>
      <c r="G262" s="65"/>
      <c r="H262" s="65"/>
      <c r="I262" s="65"/>
      <c r="J262" s="65"/>
      <c r="K262" s="65"/>
      <c r="L262" s="65"/>
      <c r="M262" s="65"/>
      <c r="N262" s="65"/>
      <c r="O262" s="65"/>
      <c r="P262" s="65"/>
      <c r="Q262" s="65"/>
      <c r="R262" s="65"/>
      <c r="S262" s="65"/>
    </row>
    <row r="263" spans="2:51" hidden="1" outlineLevel="1">
      <c r="B263" s="41" t="s">
        <v>134</v>
      </c>
      <c r="C263" s="65"/>
      <c r="D263" s="65"/>
      <c r="E263" s="65"/>
      <c r="F263" s="65"/>
      <c r="G263" s="65"/>
      <c r="H263" s="65"/>
      <c r="I263" s="65"/>
      <c r="J263" s="65"/>
      <c r="K263" s="65"/>
      <c r="L263" s="65"/>
      <c r="M263" s="65"/>
      <c r="N263" s="65"/>
      <c r="O263" s="65"/>
      <c r="P263" s="65"/>
      <c r="Q263" s="65"/>
      <c r="R263" s="65"/>
      <c r="S263" s="65"/>
    </row>
    <row r="264" spans="2:51" hidden="1" outlineLevel="1">
      <c r="B264" s="45" t="s">
        <v>132</v>
      </c>
      <c r="C264" s="65"/>
      <c r="D264" s="65"/>
      <c r="E264" s="65"/>
      <c r="F264" s="65"/>
      <c r="G264" s="65"/>
      <c r="H264" s="65"/>
      <c r="I264" s="65"/>
      <c r="J264" s="65"/>
      <c r="K264" s="65"/>
      <c r="L264" s="65"/>
      <c r="M264" s="65"/>
      <c r="N264" s="65"/>
      <c r="O264" s="65"/>
      <c r="P264" s="65"/>
      <c r="Q264" s="65"/>
      <c r="R264" s="65"/>
      <c r="S264" s="65"/>
      <c r="AS264" s="125">
        <f>(1-AS253)*(AS226-AS209)</f>
        <v>1.9811294326564508</v>
      </c>
      <c r="AV264" s="125">
        <f>(1-AV253)*(AV226-AV209)</f>
        <v>2.309843645788527</v>
      </c>
      <c r="AY264" s="125">
        <f>(1-AY253)*(AY226-AY209)</f>
        <v>2.6418905993333701</v>
      </c>
    </row>
    <row r="265" spans="2:51" hidden="1" outlineLevel="1">
      <c r="B265" s="45" t="s">
        <v>195</v>
      </c>
      <c r="C265" s="65"/>
      <c r="D265" s="65"/>
      <c r="E265" s="65"/>
      <c r="F265" s="65"/>
      <c r="G265" s="65"/>
      <c r="H265" s="65"/>
      <c r="I265" s="65"/>
      <c r="J265" s="65"/>
      <c r="K265" s="65"/>
      <c r="L265" s="65"/>
      <c r="M265" s="65"/>
      <c r="N265" s="65"/>
      <c r="O265" s="65"/>
      <c r="P265" s="65"/>
      <c r="Q265" s="65"/>
      <c r="R265" s="65"/>
      <c r="S265" s="65"/>
      <c r="AS265" s="177">
        <f>+AS264/AS252</f>
        <v>1.3111379435184983E-2</v>
      </c>
      <c r="AT265" s="179"/>
      <c r="AU265" s="179"/>
      <c r="AV265" s="177">
        <f>+AV264/AV252</f>
        <v>1.3881271909786823E-2</v>
      </c>
      <c r="AY265" s="177">
        <f>+AY264/AY252</f>
        <v>1.2634579623784651E-2</v>
      </c>
    </row>
    <row r="266" spans="2:51" hidden="1" outlineLevel="1">
      <c r="C266" s="65"/>
      <c r="D266" s="65"/>
      <c r="E266" s="65"/>
      <c r="F266" s="65"/>
      <c r="G266" s="65"/>
      <c r="H266" s="65"/>
      <c r="I266" s="65"/>
      <c r="J266" s="65"/>
      <c r="K266" s="65"/>
      <c r="L266" s="65"/>
      <c r="M266" s="65"/>
      <c r="N266" s="65"/>
      <c r="O266" s="65"/>
      <c r="P266" s="65"/>
      <c r="Q266" s="65"/>
      <c r="R266" s="65"/>
      <c r="S266" s="65"/>
    </row>
    <row r="267" spans="2:51" hidden="1" outlineLevel="1">
      <c r="B267" s="41" t="s">
        <v>135</v>
      </c>
      <c r="C267" s="65"/>
      <c r="D267" s="65"/>
      <c r="E267" s="65"/>
      <c r="F267" s="65"/>
      <c r="G267" s="65"/>
      <c r="H267" s="65"/>
      <c r="I267" s="65"/>
      <c r="J267" s="65"/>
      <c r="K267" s="65"/>
      <c r="L267" s="65"/>
      <c r="M267" s="65"/>
      <c r="N267" s="65"/>
      <c r="O267" s="65"/>
      <c r="P267" s="65"/>
      <c r="Q267" s="65"/>
      <c r="R267" s="65"/>
      <c r="S267" s="65"/>
    </row>
    <row r="268" spans="2:51" hidden="1" outlineLevel="1">
      <c r="B268" s="45" t="s">
        <v>132</v>
      </c>
      <c r="C268" s="65"/>
      <c r="D268" s="65"/>
      <c r="E268" s="65"/>
      <c r="F268" s="65"/>
      <c r="G268" s="65"/>
      <c r="H268" s="65"/>
      <c r="I268" s="65"/>
      <c r="J268" s="65"/>
      <c r="K268" s="65"/>
      <c r="L268" s="65"/>
      <c r="M268" s="65"/>
      <c r="N268" s="65"/>
      <c r="O268" s="65"/>
      <c r="P268" s="65"/>
      <c r="Q268" s="65"/>
      <c r="R268" s="65"/>
      <c r="S268" s="65"/>
      <c r="AS268" s="125">
        <f>+(AS238-AS209)*(1-AS253)</f>
        <v>2.0644536317303661</v>
      </c>
      <c r="AV268" s="125">
        <f>+(AV238-AV209)*(1-AV253)</f>
        <v>2.4029185683350214</v>
      </c>
      <c r="AY268" s="125">
        <f>+(AY238-AY209)*(1-AY253)</f>
        <v>2.765862260141088</v>
      </c>
    </row>
    <row r="269" spans="2:51" hidden="1" outlineLevel="1">
      <c r="B269" s="45" t="s">
        <v>195</v>
      </c>
      <c r="C269" s="65"/>
      <c r="D269" s="65"/>
      <c r="E269" s="65"/>
      <c r="F269" s="65"/>
      <c r="G269" s="65"/>
      <c r="H269" s="65"/>
      <c r="I269" s="65"/>
      <c r="J269" s="65"/>
      <c r="K269" s="65"/>
      <c r="L269" s="65"/>
      <c r="M269" s="65"/>
      <c r="N269" s="65"/>
      <c r="O269" s="65"/>
      <c r="P269" s="65"/>
      <c r="Q269" s="65"/>
      <c r="R269" s="65"/>
      <c r="S269" s="65"/>
      <c r="AS269" s="177">
        <f>+AS268/AS252</f>
        <v>1.3662830123960067E-2</v>
      </c>
      <c r="AT269" s="177"/>
      <c r="AU269" s="177"/>
      <c r="AV269" s="177">
        <f>+AV268/AV252</f>
        <v>1.4440616396244121E-2</v>
      </c>
      <c r="AY269" s="177">
        <f>+AY268/AY252</f>
        <v>1.3227461789292627E-2</v>
      </c>
    </row>
    <row r="270" spans="2:51" hidden="1" outlineLevel="1">
      <c r="C270" s="65"/>
      <c r="D270" s="65"/>
      <c r="E270" s="65"/>
      <c r="F270" s="65"/>
      <c r="G270" s="65"/>
      <c r="H270" s="65"/>
      <c r="I270" s="65"/>
      <c r="J270" s="65"/>
      <c r="K270" s="65"/>
      <c r="L270" s="65"/>
      <c r="M270" s="65"/>
      <c r="N270" s="65"/>
      <c r="O270" s="65"/>
      <c r="P270" s="65"/>
      <c r="Q270" s="65"/>
      <c r="R270" s="65"/>
      <c r="S270" s="65"/>
    </row>
    <row r="271" spans="2:51" hidden="1" outlineLevel="1">
      <c r="B271" s="41" t="s">
        <v>135</v>
      </c>
      <c r="C271" s="65"/>
      <c r="D271" s="65"/>
      <c r="E271" s="65"/>
      <c r="F271" s="65"/>
      <c r="G271" s="65"/>
      <c r="H271" s="65"/>
      <c r="I271" s="65"/>
      <c r="J271" s="65"/>
      <c r="K271" s="65"/>
      <c r="L271" s="65"/>
      <c r="M271" s="65"/>
      <c r="N271" s="65"/>
      <c r="O271" s="65"/>
      <c r="P271" s="65"/>
      <c r="Q271" s="65"/>
      <c r="R271" s="65"/>
      <c r="S271" s="65"/>
    </row>
    <row r="272" spans="2:51" hidden="1" outlineLevel="1">
      <c r="B272" s="45" t="s">
        <v>132</v>
      </c>
      <c r="C272" s="65"/>
      <c r="D272" s="65"/>
      <c r="E272" s="65"/>
      <c r="F272" s="65"/>
      <c r="G272" s="65"/>
      <c r="H272" s="65"/>
      <c r="I272" s="65"/>
      <c r="J272" s="65"/>
      <c r="K272" s="65"/>
      <c r="L272" s="65"/>
      <c r="M272" s="65"/>
      <c r="N272" s="65"/>
      <c r="O272" s="65"/>
      <c r="P272" s="65"/>
      <c r="Q272" s="65"/>
      <c r="R272" s="65"/>
      <c r="S272" s="65"/>
      <c r="AS272" s="125">
        <f>(AS248-AS209)*(1-AS253)</f>
        <v>2.1771582193230827</v>
      </c>
      <c r="AV272" s="125">
        <f>(AV248-AV209)*(1-AV253)</f>
        <v>2.5197735266130339</v>
      </c>
      <c r="AY272" s="125">
        <f>(AY248-AY209)*(1-AY253)</f>
        <v>2.9228338858288572</v>
      </c>
    </row>
    <row r="273" spans="2:51" hidden="1" outlineLevel="1">
      <c r="B273" s="45" t="s">
        <v>195</v>
      </c>
      <c r="C273" s="65"/>
      <c r="D273" s="65"/>
      <c r="E273" s="65"/>
      <c r="F273" s="65"/>
      <c r="G273" s="65"/>
      <c r="H273" s="65"/>
      <c r="I273" s="65"/>
      <c r="J273" s="65"/>
      <c r="K273" s="65"/>
      <c r="L273" s="65"/>
      <c r="M273" s="65"/>
      <c r="N273" s="65"/>
      <c r="O273" s="65"/>
      <c r="P273" s="65"/>
      <c r="Q273" s="65"/>
      <c r="R273" s="65"/>
      <c r="S273" s="65"/>
      <c r="AS273" s="177">
        <f>+AS272/AS252</f>
        <v>1.4408724151708026E-2</v>
      </c>
      <c r="AT273" s="179"/>
      <c r="AU273" s="179"/>
      <c r="AV273" s="177">
        <f>+AV272/AV252</f>
        <v>1.5142869751280253E-2</v>
      </c>
      <c r="AY273" s="177">
        <f>+AY272/AY252</f>
        <v>1.3978163012094012E-2</v>
      </c>
    </row>
    <row r="274" spans="2:51">
      <c r="C274" s="65"/>
      <c r="D274" s="65"/>
      <c r="E274" s="65"/>
      <c r="F274" s="65"/>
      <c r="G274" s="65"/>
      <c r="H274" s="65"/>
      <c r="I274" s="65"/>
      <c r="J274" s="65"/>
      <c r="K274" s="65"/>
      <c r="L274" s="65"/>
      <c r="M274" s="65"/>
      <c r="N274" s="65"/>
      <c r="O274" s="65"/>
      <c r="P274" s="65"/>
      <c r="Q274" s="65"/>
      <c r="R274" s="65"/>
      <c r="S274" s="65"/>
    </row>
    <row r="275" spans="2:51">
      <c r="C275" s="65"/>
      <c r="D275" s="65"/>
      <c r="E275" s="65"/>
      <c r="F275" s="65"/>
      <c r="G275" s="65"/>
      <c r="H275" s="65"/>
      <c r="I275" s="65"/>
      <c r="J275" s="65"/>
      <c r="K275" s="65"/>
      <c r="L275" s="65"/>
      <c r="M275" s="65"/>
      <c r="N275" s="65"/>
      <c r="O275" s="65"/>
      <c r="P275" s="65"/>
      <c r="Q275" s="65"/>
      <c r="R275" s="65"/>
      <c r="S275" s="65"/>
    </row>
    <row r="276" spans="2:51">
      <c r="C276" s="65"/>
      <c r="D276" s="65"/>
      <c r="E276" s="65"/>
      <c r="F276" s="65"/>
      <c r="G276" s="65"/>
      <c r="H276" s="65"/>
      <c r="I276" s="65"/>
      <c r="J276" s="65"/>
      <c r="K276" s="65"/>
      <c r="L276" s="65"/>
      <c r="M276" s="65"/>
      <c r="N276" s="65"/>
      <c r="O276" s="65"/>
      <c r="P276" s="65"/>
      <c r="Q276" s="65"/>
      <c r="R276" s="65"/>
      <c r="S276" s="65"/>
    </row>
    <row r="277" spans="2:51">
      <c r="C277" s="65"/>
      <c r="D277" s="65"/>
      <c r="E277" s="65"/>
      <c r="F277" s="65"/>
      <c r="G277" s="65"/>
      <c r="H277" s="65"/>
      <c r="I277" s="65"/>
      <c r="J277" s="65"/>
      <c r="K277" s="65"/>
      <c r="L277" s="65"/>
      <c r="M277" s="65"/>
      <c r="N277" s="65"/>
      <c r="O277" s="65"/>
      <c r="P277" s="65"/>
      <c r="Q277" s="65"/>
      <c r="R277" s="65"/>
      <c r="S277" s="65"/>
    </row>
    <row r="278" spans="2:51">
      <c r="C278" s="65"/>
      <c r="D278" s="65"/>
      <c r="E278" s="65"/>
      <c r="F278" s="65"/>
      <c r="G278" s="65"/>
      <c r="H278" s="65"/>
      <c r="I278" s="65"/>
      <c r="J278" s="65"/>
      <c r="K278" s="65"/>
      <c r="L278" s="65"/>
      <c r="M278" s="65"/>
      <c r="N278" s="65"/>
      <c r="O278" s="65"/>
      <c r="P278" s="65"/>
      <c r="Q278" s="65"/>
      <c r="R278" s="65"/>
      <c r="S278" s="65"/>
    </row>
    <row r="279" spans="2:51">
      <c r="C279" s="65"/>
      <c r="D279" s="65"/>
      <c r="E279" s="65"/>
      <c r="F279" s="65"/>
      <c r="G279" s="65"/>
      <c r="H279" s="65"/>
      <c r="I279" s="65"/>
      <c r="J279" s="65"/>
      <c r="K279" s="65"/>
      <c r="L279" s="65"/>
      <c r="M279" s="65"/>
      <c r="N279" s="65"/>
      <c r="O279" s="65"/>
      <c r="P279" s="65"/>
      <c r="Q279" s="65"/>
      <c r="R279" s="65"/>
      <c r="S279" s="65"/>
    </row>
    <row r="280" spans="2:51">
      <c r="C280" s="65"/>
      <c r="D280" s="65"/>
      <c r="E280" s="65"/>
      <c r="F280" s="65"/>
      <c r="G280" s="65"/>
      <c r="H280" s="65"/>
      <c r="I280" s="65"/>
      <c r="J280" s="65"/>
      <c r="K280" s="65"/>
      <c r="L280" s="65"/>
      <c r="M280" s="65"/>
      <c r="N280" s="65"/>
      <c r="O280" s="65"/>
      <c r="P280" s="65"/>
      <c r="Q280" s="65"/>
      <c r="R280" s="65"/>
      <c r="S280" s="65"/>
    </row>
    <row r="281" spans="2:51">
      <c r="C281" s="65"/>
      <c r="D281" s="65"/>
      <c r="E281" s="65"/>
      <c r="F281" s="65"/>
      <c r="G281" s="65"/>
      <c r="H281" s="65"/>
      <c r="I281" s="65"/>
      <c r="J281" s="65"/>
      <c r="K281" s="65"/>
      <c r="L281" s="65"/>
      <c r="M281" s="65"/>
      <c r="N281" s="65"/>
      <c r="O281" s="65"/>
      <c r="P281" s="65"/>
      <c r="Q281" s="65"/>
      <c r="R281" s="65"/>
      <c r="S281" s="65"/>
    </row>
    <row r="282" spans="2:51">
      <c r="C282" s="65"/>
      <c r="D282" s="65"/>
      <c r="E282" s="65"/>
      <c r="F282" s="65"/>
      <c r="G282" s="65"/>
      <c r="H282" s="65"/>
      <c r="I282" s="65"/>
      <c r="J282" s="65"/>
      <c r="K282" s="65"/>
      <c r="L282" s="65"/>
      <c r="M282" s="65"/>
      <c r="N282" s="65"/>
      <c r="O282" s="65"/>
      <c r="P282" s="65"/>
      <c r="Q282" s="65"/>
      <c r="R282" s="65"/>
      <c r="S282" s="65"/>
    </row>
    <row r="283" spans="2:51">
      <c r="C283" s="65"/>
      <c r="D283" s="65"/>
      <c r="E283" s="65"/>
      <c r="F283" s="65"/>
      <c r="G283" s="65"/>
      <c r="H283" s="65"/>
      <c r="I283" s="65"/>
      <c r="J283" s="65"/>
      <c r="K283" s="65"/>
      <c r="L283" s="65"/>
      <c r="M283" s="65"/>
      <c r="N283" s="65"/>
      <c r="O283" s="65"/>
      <c r="P283" s="65"/>
      <c r="Q283" s="65"/>
      <c r="R283" s="65"/>
      <c r="S283" s="65"/>
    </row>
    <row r="284" spans="2:51">
      <c r="C284" s="65"/>
      <c r="D284" s="65"/>
      <c r="E284" s="65"/>
      <c r="F284" s="65"/>
      <c r="G284" s="65"/>
      <c r="H284" s="65"/>
      <c r="I284" s="65"/>
      <c r="J284" s="65"/>
      <c r="K284" s="65"/>
      <c r="L284" s="65"/>
      <c r="M284" s="65"/>
      <c r="N284" s="65"/>
      <c r="O284" s="65"/>
      <c r="P284" s="65"/>
      <c r="Q284" s="65"/>
      <c r="R284" s="65"/>
      <c r="S284" s="65"/>
    </row>
    <row r="285" spans="2:51">
      <c r="C285" s="65"/>
      <c r="D285" s="65"/>
      <c r="E285" s="65"/>
      <c r="F285" s="65"/>
      <c r="G285" s="65"/>
      <c r="H285" s="65"/>
      <c r="I285" s="65"/>
      <c r="J285" s="65"/>
      <c r="K285" s="65"/>
      <c r="L285" s="65"/>
      <c r="M285" s="65"/>
      <c r="N285" s="65"/>
      <c r="O285" s="65"/>
      <c r="P285" s="65"/>
      <c r="Q285" s="65"/>
      <c r="R285" s="65"/>
      <c r="S285" s="65"/>
    </row>
    <row r="286" spans="2:51">
      <c r="C286" s="65"/>
      <c r="D286" s="65"/>
      <c r="E286" s="65"/>
      <c r="F286" s="65"/>
      <c r="G286" s="65"/>
      <c r="H286" s="65"/>
      <c r="I286" s="65"/>
      <c r="J286" s="65"/>
      <c r="K286" s="65"/>
      <c r="L286" s="65"/>
      <c r="M286" s="65"/>
      <c r="N286" s="65"/>
      <c r="O286" s="65"/>
      <c r="P286" s="65"/>
      <c r="Q286" s="65"/>
      <c r="R286" s="65"/>
      <c r="S286" s="65"/>
    </row>
    <row r="287" spans="2:51">
      <c r="C287" s="65"/>
      <c r="D287" s="65"/>
      <c r="E287" s="65"/>
      <c r="F287" s="65"/>
      <c r="G287" s="65"/>
      <c r="H287" s="65"/>
      <c r="I287" s="65"/>
      <c r="J287" s="65"/>
      <c r="K287" s="65"/>
      <c r="L287" s="65"/>
      <c r="M287" s="65"/>
      <c r="N287" s="65"/>
      <c r="O287" s="65"/>
      <c r="P287" s="65"/>
      <c r="Q287" s="65"/>
      <c r="R287" s="65"/>
      <c r="S287" s="65"/>
    </row>
    <row r="288" spans="2:51">
      <c r="C288" s="65"/>
      <c r="D288" s="65"/>
      <c r="E288" s="65"/>
      <c r="F288" s="65"/>
      <c r="G288" s="65"/>
      <c r="H288" s="65"/>
      <c r="I288" s="65"/>
      <c r="J288" s="65"/>
      <c r="K288" s="65"/>
      <c r="L288" s="65"/>
      <c r="M288" s="65"/>
      <c r="N288" s="65"/>
      <c r="O288" s="65"/>
      <c r="P288" s="65"/>
      <c r="Q288" s="65"/>
      <c r="R288" s="65"/>
      <c r="S288" s="65"/>
    </row>
    <row r="289" spans="1:81">
      <c r="C289" s="65"/>
      <c r="D289" s="65"/>
      <c r="E289" s="65"/>
      <c r="F289" s="65"/>
      <c r="G289" s="65"/>
      <c r="H289" s="65"/>
      <c r="I289" s="65"/>
      <c r="J289" s="65"/>
      <c r="K289" s="65"/>
      <c r="L289" s="65"/>
      <c r="M289" s="65"/>
      <c r="N289" s="65"/>
      <c r="O289" s="65"/>
      <c r="P289" s="65"/>
      <c r="Q289" s="65"/>
      <c r="R289" s="65"/>
      <c r="S289" s="65"/>
    </row>
    <row r="290" spans="1:81">
      <c r="C290" s="65"/>
      <c r="D290" s="65"/>
      <c r="E290" s="65"/>
      <c r="F290" s="65"/>
      <c r="G290" s="65"/>
      <c r="H290" s="65"/>
      <c r="I290" s="65"/>
      <c r="J290" s="65"/>
      <c r="K290" s="65"/>
      <c r="L290" s="65"/>
      <c r="M290" s="65"/>
      <c r="N290" s="65"/>
      <c r="O290" s="65"/>
      <c r="P290" s="65"/>
      <c r="Q290" s="65"/>
      <c r="R290" s="65"/>
      <c r="S290" s="65"/>
    </row>
    <row r="291" spans="1:81">
      <c r="C291" s="65"/>
      <c r="D291" s="65"/>
      <c r="E291" s="65"/>
      <c r="F291" s="65"/>
      <c r="G291" s="65"/>
      <c r="H291" s="65"/>
      <c r="I291" s="65"/>
      <c r="J291" s="65"/>
      <c r="K291" s="65"/>
      <c r="L291" s="65"/>
      <c r="M291" s="65"/>
      <c r="N291" s="65"/>
      <c r="O291" s="65"/>
      <c r="P291" s="65"/>
      <c r="Q291" s="65"/>
      <c r="R291" s="65"/>
      <c r="S291" s="65"/>
    </row>
    <row r="292" spans="1:81">
      <c r="C292" s="65"/>
      <c r="D292" s="65"/>
      <c r="E292" s="65"/>
      <c r="F292" s="65"/>
      <c r="G292" s="65"/>
      <c r="H292" s="65"/>
      <c r="I292" s="65"/>
      <c r="J292" s="65"/>
      <c r="K292" s="65"/>
      <c r="L292" s="65"/>
      <c r="M292" s="65"/>
      <c r="N292" s="65"/>
      <c r="O292" s="65"/>
      <c r="P292" s="65"/>
      <c r="Q292" s="65"/>
      <c r="R292" s="65"/>
      <c r="S292" s="65"/>
    </row>
    <row r="293" spans="1:81">
      <c r="C293" s="65"/>
      <c r="D293" s="65"/>
      <c r="E293" s="65"/>
      <c r="F293" s="65"/>
      <c r="G293" s="65"/>
      <c r="H293" s="65"/>
      <c r="I293" s="65"/>
      <c r="J293" s="65"/>
      <c r="K293" s="65"/>
      <c r="L293" s="65"/>
      <c r="M293" s="65"/>
      <c r="N293" s="65"/>
      <c r="O293" s="65"/>
      <c r="P293" s="65"/>
      <c r="Q293" s="65"/>
      <c r="R293" s="65"/>
      <c r="S293" s="65"/>
    </row>
    <row r="294" spans="1:81">
      <c r="C294" s="65"/>
      <c r="D294" s="65"/>
      <c r="E294" s="65"/>
      <c r="F294" s="65"/>
      <c r="G294" s="65"/>
      <c r="H294" s="65"/>
      <c r="I294" s="65"/>
      <c r="J294" s="65"/>
      <c r="K294" s="65"/>
      <c r="L294" s="65"/>
      <c r="M294" s="65"/>
      <c r="N294" s="65"/>
      <c r="O294" s="65"/>
      <c r="P294" s="65"/>
      <c r="Q294" s="65"/>
      <c r="R294" s="65"/>
      <c r="S294" s="65"/>
    </row>
    <row r="295" spans="1:81">
      <c r="C295" s="65"/>
      <c r="D295" s="65"/>
      <c r="E295" s="65"/>
      <c r="F295" s="65"/>
      <c r="G295" s="65"/>
      <c r="H295" s="65"/>
      <c r="I295" s="65"/>
      <c r="J295" s="65"/>
      <c r="K295" s="65"/>
      <c r="L295" s="65"/>
      <c r="M295" s="65"/>
      <c r="N295" s="65"/>
      <c r="O295" s="65"/>
      <c r="P295" s="65"/>
      <c r="Q295" s="65"/>
      <c r="R295" s="65"/>
      <c r="S295" s="65"/>
    </row>
    <row r="296" spans="1:81">
      <c r="C296" s="65"/>
      <c r="D296" s="65"/>
      <c r="E296" s="65"/>
      <c r="F296" s="65"/>
      <c r="G296" s="65"/>
      <c r="H296" s="65"/>
      <c r="I296" s="65"/>
      <c r="J296" s="65"/>
      <c r="K296" s="65"/>
      <c r="L296" s="65"/>
      <c r="M296" s="65"/>
      <c r="N296" s="65"/>
      <c r="O296" s="65"/>
      <c r="P296" s="65"/>
      <c r="Q296" s="65"/>
      <c r="R296" s="65"/>
      <c r="S296" s="65"/>
    </row>
    <row r="297" spans="1:81">
      <c r="C297" s="65"/>
      <c r="D297" s="65"/>
      <c r="E297" s="65"/>
      <c r="F297" s="65"/>
      <c r="G297" s="65"/>
      <c r="H297" s="65"/>
      <c r="I297" s="65"/>
      <c r="J297" s="65"/>
      <c r="K297" s="65"/>
      <c r="L297" s="65"/>
      <c r="M297" s="65"/>
      <c r="N297" s="65"/>
      <c r="O297" s="65"/>
      <c r="P297" s="65"/>
      <c r="Q297" s="65"/>
      <c r="R297" s="65"/>
      <c r="S297" s="65"/>
    </row>
    <row r="298" spans="1:81" collapsed="1">
      <c r="C298" s="65"/>
      <c r="D298" s="65"/>
      <c r="E298" s="65"/>
      <c r="F298" s="65"/>
      <c r="G298" s="65"/>
      <c r="H298" s="65"/>
      <c r="I298" s="65"/>
      <c r="J298" s="65"/>
      <c r="K298" s="65"/>
      <c r="L298" s="65"/>
      <c r="M298" s="65"/>
      <c r="N298" s="65"/>
      <c r="O298" s="65"/>
      <c r="P298" s="65"/>
      <c r="Q298" s="65"/>
      <c r="R298" s="65"/>
      <c r="S298" s="65"/>
    </row>
    <row r="299" spans="1:81" hidden="1" outlineLevel="1">
      <c r="B299" s="41"/>
      <c r="C299" s="65"/>
      <c r="D299" s="65"/>
      <c r="E299" s="65"/>
      <c r="F299" s="65"/>
      <c r="G299" s="65"/>
      <c r="H299" s="65"/>
      <c r="I299" s="65"/>
      <c r="J299" s="65"/>
      <c r="K299" s="65"/>
      <c r="L299" s="65"/>
      <c r="M299" s="65"/>
      <c r="N299" s="65"/>
      <c r="O299" s="65"/>
      <c r="P299" s="65"/>
      <c r="Q299" s="65"/>
      <c r="R299" s="65"/>
      <c r="S299" s="65"/>
    </row>
    <row r="300" spans="1:81" hidden="1" outlineLevel="1">
      <c r="C300" s="123"/>
      <c r="D300" s="123"/>
      <c r="E300" s="123"/>
      <c r="F300" s="123"/>
      <c r="G300" s="123"/>
      <c r="H300" s="123"/>
      <c r="I300" s="123"/>
      <c r="J300" s="123"/>
      <c r="K300" s="123"/>
      <c r="L300" s="123"/>
      <c r="M300" s="123"/>
      <c r="N300" s="123"/>
      <c r="O300" s="123"/>
      <c r="P300" s="123"/>
      <c r="Q300" s="123"/>
      <c r="R300" s="123"/>
      <c r="S300" s="123"/>
      <c r="T300" s="123"/>
      <c r="U300" s="123"/>
      <c r="V300" s="123"/>
      <c r="W300" s="123"/>
      <c r="X300" s="123"/>
      <c r="Y300" s="123"/>
      <c r="Z300" s="123"/>
      <c r="AA300" s="123"/>
      <c r="AB300" s="123"/>
      <c r="AC300" s="123"/>
      <c r="AD300" s="123"/>
      <c r="AE300" s="123">
        <f>AE84</f>
        <v>463.2</v>
      </c>
      <c r="AF300" s="123"/>
    </row>
    <row r="301" spans="1:81" s="612" customFormat="1" hidden="1" outlineLevel="1">
      <c r="A301" s="120"/>
      <c r="B301" s="120"/>
      <c r="C301" s="116"/>
      <c r="D301" s="116"/>
      <c r="E301" s="116"/>
      <c r="F301" s="116"/>
      <c r="G301" s="116"/>
      <c r="H301" s="116"/>
      <c r="I301" s="116"/>
      <c r="J301" s="116"/>
      <c r="K301" s="116"/>
      <c r="L301" s="116"/>
      <c r="M301" s="116"/>
      <c r="N301" s="116"/>
      <c r="O301" s="116"/>
      <c r="P301" s="116"/>
      <c r="Q301" s="116"/>
      <c r="R301" s="116"/>
      <c r="S301" s="116"/>
      <c r="T301" s="116"/>
      <c r="U301" s="116"/>
      <c r="V301" s="116"/>
      <c r="W301" s="116"/>
      <c r="X301" s="116"/>
      <c r="Y301" s="116"/>
      <c r="Z301" s="116"/>
      <c r="AA301" s="116"/>
      <c r="AB301" s="116"/>
      <c r="AC301" s="116"/>
      <c r="AD301" s="116"/>
      <c r="AE301" s="116">
        <v>128.1</v>
      </c>
      <c r="AF301" s="116"/>
      <c r="AG301" s="121"/>
      <c r="AH301" s="121"/>
      <c r="AI301" s="121"/>
      <c r="AJ301" s="121"/>
      <c r="AK301" s="121"/>
      <c r="AL301" s="121"/>
      <c r="AM301" s="121"/>
      <c r="AN301" s="121"/>
      <c r="AO301" s="121"/>
      <c r="AP301" s="121"/>
      <c r="AQ301" s="121"/>
      <c r="AR301" s="121"/>
      <c r="AS301" s="121"/>
      <c r="AT301" s="121"/>
      <c r="AU301" s="121"/>
      <c r="AV301" s="121"/>
      <c r="AW301" s="121"/>
      <c r="AX301" s="121"/>
      <c r="AY301" s="121"/>
      <c r="AZ301" s="121"/>
      <c r="BA301" s="121"/>
      <c r="BB301" s="121"/>
      <c r="BC301" s="121"/>
      <c r="BD301" s="121"/>
      <c r="BE301" s="121"/>
      <c r="BF301" s="121"/>
      <c r="BG301" s="121"/>
      <c r="BH301" s="121"/>
      <c r="BI301" s="121"/>
      <c r="BJ301" s="121"/>
      <c r="BK301" s="121"/>
      <c r="BL301" s="121"/>
      <c r="BM301" s="121"/>
      <c r="BN301" s="121"/>
      <c r="BO301" s="121"/>
      <c r="BP301" s="121"/>
      <c r="BQ301" s="121"/>
      <c r="BR301" s="121"/>
      <c r="BS301" s="121"/>
      <c r="BT301" s="121"/>
      <c r="BU301" s="121"/>
      <c r="BV301" s="121"/>
      <c r="BW301" s="121"/>
      <c r="BX301" s="121"/>
      <c r="BY301" s="121"/>
      <c r="BZ301" s="121"/>
      <c r="CA301" s="121"/>
      <c r="CB301" s="121"/>
      <c r="CC301" s="121"/>
    </row>
    <row r="302" spans="1:81" hidden="1" outlineLevel="1">
      <c r="C302" s="123"/>
      <c r="D302" s="123"/>
      <c r="E302" s="123"/>
      <c r="F302" s="123"/>
      <c r="G302" s="123"/>
      <c r="H302" s="123"/>
      <c r="I302" s="123"/>
      <c r="J302" s="123"/>
      <c r="K302" s="123"/>
      <c r="L302" s="123"/>
      <c r="M302" s="123"/>
      <c r="N302" s="123"/>
      <c r="O302" s="123"/>
      <c r="P302" s="123"/>
      <c r="Q302" s="123"/>
      <c r="R302" s="123"/>
      <c r="S302" s="123"/>
      <c r="T302" s="123"/>
      <c r="U302" s="123"/>
      <c r="V302" s="123"/>
      <c r="W302" s="123"/>
      <c r="X302" s="123"/>
      <c r="Y302" s="123"/>
      <c r="Z302" s="123"/>
      <c r="AA302" s="123"/>
      <c r="AB302" s="123"/>
      <c r="AC302" s="123"/>
      <c r="AD302" s="123"/>
      <c r="AE302" s="123">
        <f>SUM(AE300:AE301)</f>
        <v>591.29999999999995</v>
      </c>
      <c r="AF302" s="123"/>
    </row>
    <row r="303" spans="1:81" hidden="1" outlineLevel="1">
      <c r="C303" s="123"/>
      <c r="D303" s="123"/>
      <c r="E303" s="123"/>
      <c r="F303" s="123"/>
      <c r="G303" s="123"/>
      <c r="H303" s="123"/>
      <c r="I303" s="123"/>
      <c r="J303" s="123"/>
      <c r="K303" s="123"/>
      <c r="L303" s="123"/>
      <c r="M303" s="123"/>
      <c r="N303" s="123"/>
      <c r="O303" s="123"/>
      <c r="P303" s="123"/>
      <c r="Q303" s="123"/>
      <c r="R303" s="123"/>
      <c r="S303" s="123"/>
      <c r="T303" s="123"/>
      <c r="U303" s="123"/>
      <c r="V303" s="123"/>
      <c r="W303" s="123"/>
      <c r="X303" s="123"/>
      <c r="Y303" s="123"/>
      <c r="Z303" s="123"/>
      <c r="AA303" s="123"/>
      <c r="AB303" s="123"/>
      <c r="AC303" s="123"/>
      <c r="AD303" s="123"/>
      <c r="AE303" s="123"/>
      <c r="AF303" s="123"/>
    </row>
    <row r="304" spans="1:81" s="7" customFormat="1" hidden="1" outlineLevel="1">
      <c r="A304" s="126"/>
      <c r="B304" s="41"/>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c r="AA304" s="40"/>
      <c r="AB304" s="40"/>
      <c r="AC304" s="40"/>
      <c r="AD304" s="40"/>
      <c r="AE304" s="40"/>
      <c r="AF304" s="40"/>
      <c r="AG304" s="40"/>
      <c r="AH304" s="40"/>
      <c r="AI304" s="40"/>
      <c r="AJ304" s="40"/>
      <c r="AK304" s="40"/>
      <c r="AL304" s="40"/>
      <c r="AM304" s="40"/>
      <c r="AN304" s="40"/>
      <c r="AO304" s="40"/>
      <c r="AP304" s="40"/>
      <c r="AQ304" s="40"/>
      <c r="AR304" s="40"/>
      <c r="AS304" s="40"/>
      <c r="AT304" s="40"/>
      <c r="AU304" s="40"/>
      <c r="AV304" s="40"/>
      <c r="AW304" s="40"/>
      <c r="AX304" s="40"/>
      <c r="AY304" s="40"/>
      <c r="AZ304" s="40"/>
      <c r="BA304" s="40"/>
      <c r="BB304" s="40"/>
      <c r="BC304" s="40"/>
      <c r="BD304" s="40"/>
      <c r="BE304" s="40"/>
      <c r="BF304" s="40"/>
      <c r="BG304" s="40"/>
      <c r="BH304" s="40"/>
      <c r="BI304" s="40"/>
      <c r="BJ304" s="40"/>
      <c r="BK304" s="40"/>
      <c r="BL304" s="40"/>
      <c r="BM304" s="40"/>
      <c r="BN304" s="40"/>
      <c r="BO304" s="40"/>
      <c r="BP304" s="40"/>
      <c r="BQ304" s="40"/>
      <c r="BR304" s="40"/>
      <c r="BS304" s="40"/>
      <c r="BT304" s="40"/>
      <c r="BU304" s="40"/>
      <c r="BV304" s="40"/>
      <c r="BW304" s="40"/>
      <c r="BX304" s="40"/>
      <c r="BY304" s="40"/>
      <c r="BZ304" s="40"/>
      <c r="CA304" s="40"/>
      <c r="CB304" s="40"/>
      <c r="CC304" s="40"/>
    </row>
    <row r="305" spans="1:81" hidden="1" outlineLevel="1">
      <c r="C305" s="65"/>
      <c r="D305" s="65"/>
      <c r="E305" s="65"/>
      <c r="F305" s="65"/>
      <c r="G305" s="65"/>
      <c r="H305" s="65"/>
      <c r="I305" s="65"/>
      <c r="J305" s="65"/>
      <c r="K305" s="65"/>
      <c r="L305" s="65"/>
      <c r="M305" s="65"/>
      <c r="N305" s="65"/>
      <c r="O305" s="65"/>
      <c r="P305" s="65"/>
      <c r="Q305" s="65"/>
      <c r="R305" s="65"/>
      <c r="S305" s="65"/>
      <c r="AE305" s="71">
        <v>0.27</v>
      </c>
    </row>
    <row r="306" spans="1:81" hidden="1" outlineLevel="1">
      <c r="C306" s="65"/>
      <c r="D306" s="65"/>
      <c r="E306" s="65"/>
      <c r="F306" s="65"/>
      <c r="G306" s="65"/>
      <c r="H306" s="65"/>
      <c r="I306" s="65"/>
      <c r="J306" s="65"/>
      <c r="K306" s="65"/>
      <c r="L306" s="65"/>
      <c r="M306" s="65"/>
      <c r="N306" s="65"/>
      <c r="O306" s="65"/>
      <c r="P306" s="65"/>
      <c r="Q306" s="65"/>
      <c r="R306" s="65"/>
      <c r="S306" s="65"/>
      <c r="AE306" s="71">
        <v>0.34</v>
      </c>
    </row>
    <row r="307" spans="1:81" hidden="1" outlineLevel="1">
      <c r="C307" s="65"/>
      <c r="D307" s="65"/>
      <c r="E307" s="65"/>
      <c r="F307" s="65"/>
      <c r="G307" s="65"/>
      <c r="H307" s="65"/>
      <c r="I307" s="65"/>
      <c r="J307" s="65"/>
      <c r="K307" s="65"/>
      <c r="L307" s="65"/>
      <c r="M307" s="65"/>
      <c r="N307" s="65"/>
      <c r="O307" s="65"/>
      <c r="P307" s="65"/>
      <c r="Q307" s="65"/>
      <c r="R307" s="65"/>
      <c r="S307" s="65"/>
      <c r="AE307" s="71">
        <v>0.13</v>
      </c>
    </row>
    <row r="308" spans="1:81" hidden="1" outlineLevel="1">
      <c r="C308" s="65"/>
      <c r="D308" s="65"/>
      <c r="E308" s="65"/>
      <c r="F308" s="65"/>
      <c r="G308" s="65"/>
      <c r="H308" s="65"/>
      <c r="I308" s="65"/>
      <c r="J308" s="65"/>
      <c r="K308" s="65"/>
      <c r="L308" s="65"/>
      <c r="M308" s="65"/>
      <c r="N308" s="65"/>
      <c r="O308" s="65"/>
      <c r="P308" s="65"/>
      <c r="Q308" s="65"/>
      <c r="R308" s="65"/>
      <c r="S308" s="65"/>
      <c r="AE308" s="71">
        <v>0.04</v>
      </c>
    </row>
    <row r="309" spans="1:81" hidden="1" outlineLevel="1">
      <c r="C309" s="65"/>
      <c r="D309" s="65"/>
      <c r="E309" s="65"/>
      <c r="F309" s="65"/>
      <c r="G309" s="65"/>
      <c r="H309" s="65"/>
      <c r="I309" s="65"/>
      <c r="J309" s="65"/>
      <c r="K309" s="65"/>
      <c r="L309" s="65"/>
      <c r="M309" s="65"/>
      <c r="N309" s="65"/>
      <c r="O309" s="65"/>
      <c r="P309" s="65"/>
      <c r="Q309" s="65"/>
      <c r="R309" s="65"/>
      <c r="S309" s="65"/>
      <c r="AE309" s="71">
        <v>0.12</v>
      </c>
    </row>
    <row r="310" spans="1:81" hidden="1" outlineLevel="1">
      <c r="C310" s="65"/>
      <c r="D310" s="65"/>
      <c r="E310" s="65"/>
      <c r="F310" s="65"/>
      <c r="G310" s="65"/>
      <c r="H310" s="65"/>
      <c r="I310" s="65"/>
      <c r="J310" s="65"/>
      <c r="K310" s="65"/>
      <c r="L310" s="65"/>
      <c r="M310" s="65"/>
      <c r="N310" s="65"/>
      <c r="O310" s="65"/>
      <c r="P310" s="65"/>
      <c r="Q310" s="65"/>
      <c r="R310" s="65"/>
      <c r="S310" s="65"/>
      <c r="AE310" s="71">
        <v>0.09</v>
      </c>
    </row>
    <row r="311" spans="1:81" hidden="1" outlineLevel="1">
      <c r="C311" s="65"/>
      <c r="D311" s="65"/>
      <c r="E311" s="65"/>
      <c r="F311" s="65"/>
      <c r="G311" s="65"/>
      <c r="H311" s="65"/>
      <c r="I311" s="65"/>
      <c r="J311" s="65"/>
      <c r="K311" s="65"/>
      <c r="L311" s="65"/>
      <c r="M311" s="65"/>
      <c r="N311" s="65"/>
      <c r="O311" s="65"/>
      <c r="P311" s="65"/>
      <c r="Q311" s="65"/>
      <c r="R311" s="65"/>
      <c r="S311" s="65"/>
      <c r="AE311" s="71">
        <v>0.01</v>
      </c>
    </row>
    <row r="312" spans="1:81" s="7" customFormat="1" hidden="1" outlineLevel="1">
      <c r="A312" s="126"/>
      <c r="B312" s="41"/>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c r="AA312" s="40"/>
      <c r="AB312" s="40"/>
      <c r="AC312" s="40"/>
      <c r="AD312" s="168"/>
      <c r="AE312" s="168">
        <v>1</v>
      </c>
      <c r="AF312" s="40"/>
      <c r="AG312" s="40"/>
      <c r="AH312" s="40"/>
      <c r="AI312" s="40"/>
      <c r="AJ312" s="40"/>
      <c r="AK312" s="40"/>
      <c r="AL312" s="40"/>
      <c r="AM312" s="40"/>
      <c r="AN312" s="40"/>
      <c r="AO312" s="40"/>
      <c r="AP312" s="40"/>
      <c r="AQ312" s="40"/>
      <c r="AR312" s="40"/>
      <c r="AS312" s="40"/>
      <c r="AT312" s="40"/>
      <c r="AU312" s="40"/>
      <c r="AV312" s="40"/>
      <c r="AW312" s="40"/>
      <c r="AX312" s="40"/>
      <c r="AY312" s="40"/>
      <c r="AZ312" s="40"/>
      <c r="BA312" s="40"/>
      <c r="BB312" s="40"/>
      <c r="BC312" s="40"/>
      <c r="BD312" s="40"/>
      <c r="BE312" s="40"/>
      <c r="BF312" s="40"/>
      <c r="BG312" s="40"/>
      <c r="BH312" s="40"/>
      <c r="BI312" s="40"/>
      <c r="BJ312" s="40"/>
      <c r="BK312" s="40"/>
      <c r="BL312" s="40"/>
      <c r="BM312" s="40"/>
      <c r="BN312" s="40"/>
      <c r="BO312" s="40"/>
      <c r="BP312" s="40"/>
      <c r="BQ312" s="40"/>
      <c r="BR312" s="40"/>
      <c r="BS312" s="40"/>
      <c r="BT312" s="40"/>
      <c r="BU312" s="40"/>
      <c r="BV312" s="40"/>
      <c r="BW312" s="40"/>
      <c r="BX312" s="40"/>
      <c r="BY312" s="40"/>
      <c r="BZ312" s="40"/>
      <c r="CA312" s="40"/>
      <c r="CB312" s="40"/>
      <c r="CC312" s="40"/>
    </row>
    <row r="313" spans="1:81" hidden="1" outlineLevel="1">
      <c r="C313" s="65"/>
      <c r="D313" s="65"/>
      <c r="E313" s="65"/>
      <c r="F313" s="65"/>
      <c r="G313" s="65"/>
      <c r="H313" s="65"/>
      <c r="I313" s="65"/>
      <c r="J313" s="65"/>
      <c r="K313" s="65"/>
      <c r="L313" s="65"/>
      <c r="M313" s="65"/>
      <c r="N313" s="65"/>
      <c r="O313" s="65"/>
      <c r="P313" s="65"/>
      <c r="Q313" s="65"/>
      <c r="R313" s="65"/>
      <c r="S313" s="65"/>
      <c r="AE313" s="71"/>
    </row>
    <row r="314" spans="1:81" s="7" customFormat="1" hidden="1" outlineLevel="1">
      <c r="A314" s="126"/>
      <c r="B314" s="41"/>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c r="AA314" s="127"/>
      <c r="AB314" s="127"/>
      <c r="AC314" s="127"/>
      <c r="AD314" s="127"/>
      <c r="AE314" s="127"/>
      <c r="AF314" s="127"/>
      <c r="AG314" s="40"/>
      <c r="AH314" s="40"/>
      <c r="AI314" s="40"/>
      <c r="AJ314" s="40"/>
      <c r="AK314" s="40"/>
      <c r="AL314" s="40"/>
      <c r="AM314" s="40"/>
      <c r="AN314" s="40"/>
      <c r="AO314" s="40"/>
      <c r="AP314" s="40"/>
      <c r="AQ314" s="40"/>
      <c r="AR314" s="40"/>
      <c r="AS314" s="40"/>
      <c r="AT314" s="40"/>
      <c r="AU314" s="40"/>
      <c r="AV314" s="40"/>
      <c r="AW314" s="40"/>
      <c r="AX314" s="40"/>
      <c r="AY314" s="40"/>
      <c r="AZ314" s="40"/>
      <c r="BA314" s="40"/>
      <c r="BB314" s="40"/>
      <c r="BC314" s="40"/>
      <c r="BD314" s="40"/>
      <c r="BE314" s="40"/>
      <c r="BF314" s="40"/>
      <c r="BG314" s="40"/>
      <c r="BH314" s="40"/>
      <c r="BI314" s="40"/>
      <c r="BJ314" s="40"/>
      <c r="BK314" s="40"/>
      <c r="BL314" s="40"/>
      <c r="BM314" s="40"/>
      <c r="BN314" s="40"/>
      <c r="BO314" s="40"/>
      <c r="BP314" s="40"/>
      <c r="BQ314" s="40"/>
      <c r="BR314" s="40"/>
      <c r="BS314" s="40"/>
      <c r="BT314" s="40"/>
      <c r="BU314" s="40"/>
      <c r="BV314" s="40"/>
      <c r="BW314" s="40"/>
      <c r="BX314" s="40"/>
      <c r="BY314" s="40"/>
      <c r="BZ314" s="40"/>
      <c r="CA314" s="40"/>
      <c r="CB314" s="40"/>
      <c r="CC314" s="40"/>
    </row>
    <row r="315" spans="1:81" hidden="1" outlineLevel="1">
      <c r="C315" s="123"/>
      <c r="D315" s="123"/>
      <c r="E315" s="123"/>
      <c r="F315" s="123"/>
      <c r="G315" s="123"/>
      <c r="H315" s="123"/>
      <c r="I315" s="123"/>
      <c r="J315" s="123"/>
      <c r="K315" s="123"/>
      <c r="L315" s="123"/>
      <c r="M315" s="123"/>
      <c r="N315" s="123"/>
      <c r="O315" s="123"/>
      <c r="P315" s="123"/>
      <c r="Q315" s="123"/>
      <c r="R315" s="123"/>
      <c r="S315" s="123"/>
      <c r="T315" s="123"/>
      <c r="U315" s="123"/>
      <c r="V315" s="123"/>
      <c r="W315" s="123"/>
      <c r="X315" s="123"/>
      <c r="Y315" s="123"/>
      <c r="Z315" s="123"/>
      <c r="AA315" s="123"/>
      <c r="AB315" s="123"/>
      <c r="AC315" s="123"/>
      <c r="AD315" s="123"/>
      <c r="AE315" s="71">
        <f>AE305*($AE$300/$AE$302)</f>
        <v>0.21150684931506852</v>
      </c>
      <c r="AF315" s="123"/>
    </row>
    <row r="316" spans="1:81" hidden="1" outlineLevel="1">
      <c r="C316" s="123"/>
      <c r="D316" s="123"/>
      <c r="E316" s="123"/>
      <c r="F316" s="123"/>
      <c r="G316" s="123"/>
      <c r="H316" s="123"/>
      <c r="I316" s="123"/>
      <c r="J316" s="123"/>
      <c r="K316" s="123"/>
      <c r="L316" s="123"/>
      <c r="M316" s="123"/>
      <c r="N316" s="123"/>
      <c r="O316" s="123"/>
      <c r="P316" s="123"/>
      <c r="Q316" s="123"/>
      <c r="R316" s="123"/>
      <c r="S316" s="123"/>
      <c r="T316" s="123"/>
      <c r="U316" s="123"/>
      <c r="V316" s="123"/>
      <c r="W316" s="123"/>
      <c r="X316" s="123"/>
      <c r="Y316" s="123"/>
      <c r="Z316" s="123"/>
      <c r="AA316" s="123"/>
      <c r="AB316" s="123"/>
      <c r="AC316" s="123"/>
      <c r="AD316" s="123"/>
      <c r="AE316" s="71">
        <f>AE306*($AE$300/$AE$302)</f>
        <v>0.26634195839675295</v>
      </c>
      <c r="AF316" s="123"/>
    </row>
    <row r="317" spans="1:81" hidden="1" outlineLevel="1">
      <c r="C317" s="123"/>
      <c r="D317" s="123"/>
      <c r="E317" s="123"/>
      <c r="F317" s="123"/>
      <c r="G317" s="123"/>
      <c r="H317" s="123"/>
      <c r="I317" s="123"/>
      <c r="J317" s="123"/>
      <c r="K317" s="123"/>
      <c r="L317" s="123"/>
      <c r="M317" s="123"/>
      <c r="N317" s="123"/>
      <c r="O317" s="123"/>
      <c r="P317" s="123"/>
      <c r="Q317" s="123"/>
      <c r="R317" s="123"/>
      <c r="S317" s="123"/>
      <c r="T317" s="123"/>
      <c r="U317" s="123"/>
      <c r="V317" s="123"/>
      <c r="W317" s="123"/>
      <c r="X317" s="123"/>
      <c r="Y317" s="123"/>
      <c r="Z317" s="123"/>
      <c r="AA317" s="123"/>
      <c r="AB317" s="123"/>
      <c r="AC317" s="123"/>
      <c r="AD317" s="123"/>
      <c r="AE317" s="71">
        <f>AE307*($AE$300/$AE$302)</f>
        <v>0.10183663115169966</v>
      </c>
      <c r="AF317" s="123"/>
    </row>
    <row r="318" spans="1:81" hidden="1" outlineLevel="1">
      <c r="C318" s="123"/>
      <c r="D318" s="123"/>
      <c r="E318" s="123"/>
      <c r="F318" s="123"/>
      <c r="G318" s="123"/>
      <c r="H318" s="123"/>
      <c r="I318" s="123"/>
      <c r="J318" s="123"/>
      <c r="K318" s="123"/>
      <c r="L318" s="123"/>
      <c r="M318" s="123"/>
      <c r="N318" s="123"/>
      <c r="O318" s="123"/>
      <c r="P318" s="123"/>
      <c r="Q318" s="123"/>
      <c r="R318" s="123"/>
      <c r="S318" s="123"/>
      <c r="T318" s="123"/>
      <c r="U318" s="123"/>
      <c r="V318" s="123"/>
      <c r="W318" s="123"/>
      <c r="X318" s="123"/>
      <c r="Y318" s="123"/>
      <c r="Z318" s="123"/>
      <c r="AA318" s="123"/>
      <c r="AB318" s="123"/>
      <c r="AC318" s="123"/>
      <c r="AD318" s="123"/>
      <c r="AE318" s="71">
        <f>AE308*($AE$300/$AE$302)</f>
        <v>3.133434804667682E-2</v>
      </c>
      <c r="AF318" s="123"/>
    </row>
    <row r="319" spans="1:81" hidden="1" outlineLevel="1">
      <c r="C319" s="123"/>
      <c r="D319" s="123"/>
      <c r="E319" s="123"/>
      <c r="F319" s="123"/>
      <c r="G319" s="123"/>
      <c r="H319" s="123"/>
      <c r="I319" s="123"/>
      <c r="J319" s="123"/>
      <c r="K319" s="123"/>
      <c r="L319" s="123"/>
      <c r="M319" s="123"/>
      <c r="N319" s="123"/>
      <c r="O319" s="123"/>
      <c r="P319" s="123"/>
      <c r="Q319" s="123"/>
      <c r="R319" s="123"/>
      <c r="S319" s="123"/>
      <c r="T319" s="123"/>
      <c r="U319" s="123"/>
      <c r="V319" s="123"/>
      <c r="W319" s="123"/>
      <c r="X319" s="123"/>
      <c r="Y319" s="123"/>
      <c r="Z319" s="123"/>
      <c r="AA319" s="123"/>
      <c r="AB319" s="123"/>
      <c r="AC319" s="123"/>
      <c r="AD319" s="123"/>
      <c r="AE319" s="71">
        <f>AE310+($AE$301/$AE$302/2)</f>
        <v>0.19832064941653982</v>
      </c>
      <c r="AF319" s="123"/>
    </row>
    <row r="320" spans="1:81" hidden="1" outlineLevel="1">
      <c r="C320" s="123"/>
      <c r="D320" s="123"/>
      <c r="E320" s="123"/>
      <c r="F320" s="123"/>
      <c r="G320" s="123"/>
      <c r="H320" s="123"/>
      <c r="I320" s="123"/>
      <c r="J320" s="123"/>
      <c r="K320" s="123"/>
      <c r="L320" s="123"/>
      <c r="M320" s="123"/>
      <c r="N320" s="123"/>
      <c r="O320" s="123"/>
      <c r="P320" s="123"/>
      <c r="Q320" s="123"/>
      <c r="R320" s="123"/>
      <c r="S320" s="123"/>
      <c r="T320" s="123"/>
      <c r="U320" s="123"/>
      <c r="V320" s="123"/>
      <c r="W320" s="123"/>
      <c r="X320" s="123"/>
      <c r="Y320" s="123"/>
      <c r="Z320" s="123"/>
      <c r="AA320" s="123"/>
      <c r="AB320" s="123"/>
      <c r="AC320" s="123"/>
      <c r="AD320" s="123"/>
      <c r="AE320" s="71">
        <f>AE311+($AE$301/$AE$302/2)</f>
        <v>0.11832064941653983</v>
      </c>
      <c r="AF320" s="123"/>
    </row>
    <row r="321" spans="1:81" hidden="1" outlineLevel="1">
      <c r="C321" s="123"/>
      <c r="D321" s="123"/>
      <c r="E321" s="123"/>
      <c r="F321" s="123"/>
      <c r="G321" s="123"/>
      <c r="H321" s="123"/>
      <c r="I321" s="123"/>
      <c r="J321" s="123"/>
      <c r="K321" s="123"/>
      <c r="L321" s="123"/>
      <c r="M321" s="123"/>
      <c r="N321" s="123"/>
      <c r="O321" s="123"/>
      <c r="P321" s="123"/>
      <c r="Q321" s="123"/>
      <c r="R321" s="123"/>
      <c r="S321" s="123"/>
      <c r="T321" s="123"/>
      <c r="U321" s="123"/>
      <c r="V321" s="123"/>
      <c r="W321" s="123"/>
      <c r="X321" s="123"/>
      <c r="Y321" s="123"/>
      <c r="Z321" s="123"/>
      <c r="AA321" s="123"/>
      <c r="AB321" s="123"/>
      <c r="AC321" s="123"/>
      <c r="AD321" s="123"/>
      <c r="AE321" s="71">
        <f>AE311*($AE$300/$AE$302)</f>
        <v>7.833587011669205E-3</v>
      </c>
      <c r="AF321" s="123"/>
    </row>
    <row r="322" spans="1:81" s="7" customFormat="1" hidden="1" outlineLevel="1">
      <c r="A322" s="126"/>
      <c r="B322" s="41"/>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c r="AA322" s="40"/>
      <c r="AB322" s="40"/>
      <c r="AC322" s="40"/>
      <c r="AD322" s="40"/>
      <c r="AE322" s="168">
        <v>1</v>
      </c>
      <c r="AF322" s="40"/>
      <c r="AG322" s="40"/>
      <c r="AH322" s="40"/>
      <c r="AI322" s="40"/>
      <c r="AJ322" s="40"/>
      <c r="AK322" s="40"/>
      <c r="AL322" s="40"/>
      <c r="AM322" s="40"/>
      <c r="AN322" s="40"/>
      <c r="AO322" s="40"/>
      <c r="AP322" s="40"/>
      <c r="AQ322" s="40"/>
      <c r="AR322" s="40"/>
      <c r="AS322" s="40"/>
      <c r="AT322" s="40"/>
      <c r="AU322" s="40"/>
      <c r="AV322" s="40"/>
      <c r="AW322" s="40"/>
      <c r="AX322" s="40"/>
      <c r="AY322" s="40"/>
      <c r="AZ322" s="40"/>
      <c r="BA322" s="40"/>
      <c r="BB322" s="40"/>
      <c r="BC322" s="40"/>
      <c r="BD322" s="40"/>
      <c r="BE322" s="40"/>
      <c r="BF322" s="40"/>
      <c r="BG322" s="40"/>
      <c r="BH322" s="40"/>
      <c r="BI322" s="40"/>
      <c r="BJ322" s="40"/>
      <c r="BK322" s="40"/>
      <c r="BL322" s="40"/>
      <c r="BM322" s="40"/>
      <c r="BN322" s="40"/>
      <c r="BO322" s="40"/>
      <c r="BP322" s="40"/>
      <c r="BQ322" s="40"/>
      <c r="BR322" s="40"/>
      <c r="BS322" s="40"/>
      <c r="BT322" s="40"/>
      <c r="BU322" s="40"/>
      <c r="BV322" s="40"/>
      <c r="BW322" s="40"/>
      <c r="BX322" s="40"/>
      <c r="BY322" s="40"/>
      <c r="BZ322" s="40"/>
      <c r="CA322" s="40"/>
      <c r="CB322" s="40"/>
      <c r="CC322" s="40"/>
    </row>
    <row r="323" spans="1:81" hidden="1" outlineLevel="1">
      <c r="C323" s="65"/>
      <c r="D323" s="65"/>
      <c r="E323" s="65"/>
      <c r="F323" s="65"/>
      <c r="G323" s="65"/>
      <c r="H323" s="65"/>
      <c r="I323" s="65"/>
      <c r="J323" s="65"/>
      <c r="K323" s="65"/>
      <c r="L323" s="65"/>
      <c r="M323" s="65"/>
      <c r="N323" s="65"/>
      <c r="O323" s="65"/>
      <c r="P323" s="65"/>
      <c r="Q323" s="65"/>
      <c r="R323" s="65"/>
      <c r="S323" s="65"/>
    </row>
    <row r="324" spans="1:81" s="7" customFormat="1" hidden="1" outlineLevel="1">
      <c r="A324" s="126"/>
      <c r="B324" s="41"/>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c r="AA324" s="40"/>
      <c r="AB324" s="40"/>
      <c r="AC324" s="40"/>
      <c r="AD324" s="40"/>
      <c r="AE324" s="127">
        <f>AE80+AE301</f>
        <v>382.86</v>
      </c>
      <c r="AF324" s="40"/>
      <c r="AG324" s="40"/>
      <c r="AH324" s="40"/>
      <c r="AI324" s="40"/>
      <c r="AJ324" s="40"/>
      <c r="AK324" s="40"/>
      <c r="AL324" s="40"/>
      <c r="AM324" s="40"/>
      <c r="AN324" s="40"/>
      <c r="AO324" s="40"/>
      <c r="AP324" s="40"/>
      <c r="AQ324" s="40"/>
      <c r="AR324" s="40"/>
      <c r="AS324" s="40"/>
      <c r="AT324" s="40"/>
      <c r="AU324" s="40"/>
      <c r="AV324" s="40"/>
      <c r="AW324" s="40"/>
      <c r="AX324" s="40"/>
      <c r="AY324" s="40"/>
      <c r="AZ324" s="40"/>
      <c r="BA324" s="40"/>
      <c r="BB324" s="40"/>
      <c r="BC324" s="40"/>
      <c r="BD324" s="40"/>
      <c r="BE324" s="40"/>
      <c r="BF324" s="40"/>
      <c r="BG324" s="40"/>
      <c r="BH324" s="40"/>
      <c r="BI324" s="40"/>
      <c r="BJ324" s="40"/>
      <c r="BK324" s="40"/>
      <c r="BL324" s="40"/>
      <c r="BM324" s="40"/>
      <c r="BN324" s="40"/>
      <c r="BO324" s="40"/>
      <c r="BP324" s="40"/>
      <c r="BQ324" s="40"/>
      <c r="BR324" s="40"/>
      <c r="BS324" s="40"/>
      <c r="BT324" s="40"/>
      <c r="BU324" s="40"/>
      <c r="BV324" s="40"/>
      <c r="BW324" s="40"/>
      <c r="BX324" s="40"/>
      <c r="BY324" s="40"/>
      <c r="BZ324" s="40"/>
      <c r="CA324" s="40"/>
      <c r="CB324" s="40"/>
      <c r="CC324" s="40"/>
    </row>
    <row r="325" spans="1:81" hidden="1" outlineLevel="1">
      <c r="C325" s="65"/>
      <c r="D325" s="65"/>
      <c r="E325" s="65"/>
      <c r="F325" s="65"/>
      <c r="G325" s="65"/>
      <c r="H325" s="65"/>
      <c r="I325" s="65"/>
      <c r="J325" s="65"/>
      <c r="K325" s="65"/>
      <c r="L325" s="65"/>
      <c r="M325" s="65"/>
      <c r="N325" s="65"/>
      <c r="O325" s="65"/>
      <c r="P325" s="65"/>
      <c r="Q325" s="65"/>
      <c r="R325" s="65"/>
      <c r="S325" s="65"/>
      <c r="AE325" s="71">
        <f>((AE315*AE302)-((AE84-AE80)*AE315))/AE324</f>
        <v>0.21150684931506847</v>
      </c>
      <c r="AG325" s="91"/>
      <c r="AH325" s="169">
        <v>0.2</v>
      </c>
    </row>
    <row r="326" spans="1:81" hidden="1" outlineLevel="1">
      <c r="C326" s="65"/>
      <c r="D326" s="65"/>
      <c r="E326" s="65"/>
      <c r="F326" s="65"/>
      <c r="G326" s="65"/>
      <c r="H326" s="65"/>
      <c r="I326" s="65"/>
      <c r="J326" s="65"/>
      <c r="K326" s="65"/>
      <c r="L326" s="65"/>
      <c r="M326" s="65"/>
      <c r="N326" s="65"/>
      <c r="O326" s="65"/>
      <c r="P326" s="65"/>
      <c r="Q326" s="65"/>
      <c r="R326" s="65"/>
      <c r="S326" s="65"/>
      <c r="AE326" s="71">
        <f>((AE302*AE306)-AE81)/AE324</f>
        <v>0.33153110797680613</v>
      </c>
      <c r="AG326" s="91"/>
      <c r="AH326" s="169">
        <v>0.31</v>
      </c>
    </row>
    <row r="327" spans="1:81" hidden="1" outlineLevel="1">
      <c r="C327" s="65"/>
      <c r="D327" s="65"/>
      <c r="E327" s="65"/>
      <c r="F327" s="65"/>
      <c r="G327" s="65"/>
      <c r="H327" s="65"/>
      <c r="I327" s="65"/>
      <c r="J327" s="65"/>
      <c r="K327" s="65"/>
      <c r="L327" s="65"/>
      <c r="M327" s="65"/>
      <c r="N327" s="65"/>
      <c r="O327" s="65"/>
      <c r="P327" s="65"/>
      <c r="Q327" s="65"/>
      <c r="R327" s="65"/>
      <c r="S327" s="65"/>
      <c r="AE327" s="71">
        <f>((AE317*AE302)-((AE84-AE80)*AE317))/AE324</f>
        <v>0.10183663115169965</v>
      </c>
      <c r="AG327" s="91"/>
      <c r="AH327" s="169">
        <v>7.0000000000000007E-2</v>
      </c>
    </row>
    <row r="328" spans="1:81" hidden="1" outlineLevel="1">
      <c r="C328" s="65"/>
      <c r="D328" s="65"/>
      <c r="E328" s="65"/>
      <c r="F328" s="65"/>
      <c r="G328" s="65"/>
      <c r="H328" s="65"/>
      <c r="I328" s="65"/>
      <c r="J328" s="65"/>
      <c r="K328" s="65"/>
      <c r="L328" s="65"/>
      <c r="M328" s="65"/>
      <c r="N328" s="65"/>
      <c r="O328" s="65"/>
      <c r="P328" s="65"/>
      <c r="Q328" s="65"/>
      <c r="R328" s="65"/>
      <c r="S328" s="65"/>
      <c r="AE328" s="71">
        <v>0.01</v>
      </c>
      <c r="AG328" s="91"/>
      <c r="AH328" s="169">
        <v>0.04</v>
      </c>
    </row>
    <row r="329" spans="1:81" hidden="1" outlineLevel="1">
      <c r="C329" s="65"/>
      <c r="D329" s="65"/>
      <c r="E329" s="65"/>
      <c r="F329" s="65"/>
      <c r="G329" s="65"/>
      <c r="H329" s="65"/>
      <c r="I329" s="65"/>
      <c r="J329" s="65"/>
      <c r="K329" s="65"/>
      <c r="L329" s="65"/>
      <c r="M329" s="65"/>
      <c r="N329" s="65"/>
      <c r="O329" s="65"/>
      <c r="P329" s="65"/>
      <c r="Q329" s="65"/>
      <c r="R329" s="65"/>
      <c r="S329" s="65"/>
      <c r="AE329" s="71">
        <f>(AE301/2)/AE324</f>
        <v>0.16729352766024133</v>
      </c>
      <c r="AG329" s="91"/>
      <c r="AH329" s="169">
        <v>0.19</v>
      </c>
    </row>
    <row r="330" spans="1:81" hidden="1" outlineLevel="1">
      <c r="C330" s="65"/>
      <c r="D330" s="65"/>
      <c r="E330" s="65"/>
      <c r="F330" s="65"/>
      <c r="G330" s="65"/>
      <c r="H330" s="65"/>
      <c r="I330" s="65"/>
      <c r="J330" s="65"/>
      <c r="K330" s="65"/>
      <c r="L330" s="65"/>
      <c r="M330" s="65"/>
      <c r="N330" s="65"/>
      <c r="O330" s="65"/>
      <c r="P330" s="65"/>
      <c r="Q330" s="65"/>
      <c r="R330" s="65"/>
      <c r="S330" s="65"/>
      <c r="AE330" s="71">
        <f>1-AE332</f>
        <v>0.17283188389618442</v>
      </c>
      <c r="AG330" s="91"/>
      <c r="AH330" s="169">
        <v>0.19</v>
      </c>
    </row>
    <row r="331" spans="1:81" hidden="1" outlineLevel="1">
      <c r="C331" s="65"/>
      <c r="D331" s="65"/>
      <c r="E331" s="65"/>
      <c r="F331" s="65"/>
      <c r="G331" s="65"/>
      <c r="H331" s="65"/>
      <c r="I331" s="65"/>
      <c r="J331" s="65"/>
      <c r="K331" s="65"/>
      <c r="L331" s="65"/>
      <c r="M331" s="65"/>
      <c r="N331" s="65"/>
      <c r="O331" s="65"/>
      <c r="P331" s="65"/>
      <c r="Q331" s="65"/>
      <c r="R331" s="65"/>
      <c r="S331" s="65"/>
      <c r="AE331" s="71">
        <v>5.0000000000000001E-3</v>
      </c>
      <c r="AG331" s="91"/>
      <c r="AH331" s="169">
        <v>0</v>
      </c>
    </row>
    <row r="332" spans="1:81" hidden="1" outlineLevel="1">
      <c r="B332" s="41"/>
      <c r="C332" s="65"/>
      <c r="D332" s="65"/>
      <c r="E332" s="65"/>
      <c r="F332" s="65"/>
      <c r="G332" s="65"/>
      <c r="H332" s="65"/>
      <c r="I332" s="65"/>
      <c r="J332" s="65"/>
      <c r="K332" s="65"/>
      <c r="L332" s="65"/>
      <c r="M332" s="65"/>
      <c r="N332" s="65"/>
      <c r="O332" s="65"/>
      <c r="P332" s="65"/>
      <c r="Q332" s="65"/>
      <c r="R332" s="65"/>
      <c r="S332" s="65"/>
      <c r="AE332" s="168">
        <f>SUM(AE325:AE329)+AE331</f>
        <v>0.82716811610381558</v>
      </c>
      <c r="AI332" s="91"/>
      <c r="AJ332" s="169"/>
    </row>
    <row r="333" spans="1:81" hidden="1" outlineLevel="1">
      <c r="B333" s="41"/>
      <c r="C333" s="65"/>
      <c r="D333" s="65"/>
      <c r="E333" s="65"/>
      <c r="F333" s="65"/>
      <c r="G333" s="65"/>
      <c r="H333" s="65"/>
      <c r="I333" s="65"/>
      <c r="J333" s="65"/>
      <c r="K333" s="65"/>
      <c r="L333" s="65"/>
      <c r="M333" s="65"/>
      <c r="N333" s="65"/>
      <c r="O333" s="65"/>
      <c r="P333" s="65"/>
      <c r="Q333" s="65"/>
      <c r="R333" s="65"/>
      <c r="S333" s="65"/>
      <c r="AE333" s="168">
        <f>AE332+AE330</f>
        <v>1</v>
      </c>
      <c r="AI333" s="91"/>
      <c r="AJ333" s="169"/>
    </row>
    <row r="334" spans="1:81">
      <c r="C334" s="65"/>
      <c r="D334" s="65"/>
      <c r="E334" s="65"/>
      <c r="F334" s="65"/>
      <c r="G334" s="65"/>
      <c r="H334" s="65"/>
      <c r="I334" s="65"/>
      <c r="J334" s="65"/>
      <c r="K334" s="65"/>
      <c r="L334" s="65"/>
      <c r="M334" s="65"/>
      <c r="N334" s="65"/>
      <c r="O334" s="65"/>
      <c r="P334" s="65"/>
      <c r="Q334" s="65"/>
      <c r="R334" s="65"/>
      <c r="S334" s="65"/>
    </row>
    <row r="335" spans="1:81">
      <c r="C335" s="65"/>
      <c r="D335" s="65"/>
      <c r="E335" s="65"/>
      <c r="F335" s="65"/>
      <c r="G335" s="65"/>
      <c r="H335" s="65"/>
      <c r="I335" s="65"/>
      <c r="J335" s="65"/>
      <c r="K335" s="65"/>
      <c r="L335" s="65"/>
      <c r="M335" s="65"/>
      <c r="N335" s="65"/>
      <c r="O335" s="65"/>
      <c r="P335" s="65"/>
      <c r="Q335" s="65"/>
      <c r="R335" s="65"/>
      <c r="S335" s="65"/>
    </row>
    <row r="336" spans="1:81">
      <c r="C336" s="65"/>
      <c r="D336" s="65"/>
      <c r="E336" s="65"/>
      <c r="F336" s="65"/>
      <c r="G336" s="65"/>
      <c r="H336" s="65"/>
      <c r="I336" s="65"/>
      <c r="J336" s="65"/>
      <c r="K336" s="65"/>
      <c r="L336" s="65"/>
      <c r="M336" s="65"/>
      <c r="N336" s="65"/>
      <c r="O336" s="65"/>
      <c r="P336" s="65"/>
      <c r="Q336" s="65"/>
      <c r="R336" s="65"/>
      <c r="S336" s="65"/>
    </row>
    <row r="337" spans="3:19">
      <c r="C337" s="65"/>
      <c r="D337" s="65"/>
      <c r="E337" s="65"/>
      <c r="F337" s="65"/>
      <c r="G337" s="65"/>
      <c r="H337" s="65"/>
      <c r="I337" s="65"/>
      <c r="J337" s="65"/>
      <c r="K337" s="65"/>
      <c r="L337" s="65"/>
      <c r="M337" s="65"/>
      <c r="N337" s="65"/>
      <c r="O337" s="65"/>
      <c r="P337" s="65"/>
      <c r="Q337" s="65"/>
      <c r="R337" s="65"/>
      <c r="S337" s="65"/>
    </row>
    <row r="338" spans="3:19">
      <c r="C338" s="65"/>
      <c r="D338" s="65"/>
      <c r="E338" s="65"/>
      <c r="F338" s="65"/>
      <c r="G338" s="65"/>
      <c r="H338" s="65"/>
      <c r="I338" s="65"/>
      <c r="J338" s="65"/>
      <c r="K338" s="65"/>
      <c r="L338" s="65"/>
      <c r="M338" s="65"/>
      <c r="N338" s="65"/>
      <c r="O338" s="65"/>
      <c r="P338" s="65"/>
      <c r="Q338" s="65"/>
      <c r="R338" s="65"/>
      <c r="S338" s="65"/>
    </row>
    <row r="339" spans="3:19">
      <c r="C339" s="65"/>
      <c r="D339" s="65"/>
      <c r="E339" s="65"/>
      <c r="F339" s="65"/>
      <c r="G339" s="65"/>
      <c r="H339" s="65"/>
      <c r="I339" s="65"/>
      <c r="J339" s="65"/>
      <c r="K339" s="65"/>
      <c r="L339" s="65"/>
      <c r="M339" s="65"/>
      <c r="N339" s="65"/>
      <c r="O339" s="65"/>
      <c r="P339" s="65"/>
      <c r="Q339" s="65"/>
      <c r="R339" s="65"/>
      <c r="S339" s="65"/>
    </row>
    <row r="340" spans="3:19">
      <c r="C340" s="65"/>
      <c r="D340" s="65"/>
      <c r="E340" s="65"/>
      <c r="F340" s="65"/>
      <c r="G340" s="65"/>
      <c r="H340" s="65"/>
      <c r="I340" s="65"/>
      <c r="J340" s="65"/>
      <c r="K340" s="65"/>
      <c r="L340" s="65"/>
      <c r="M340" s="65"/>
      <c r="N340" s="65"/>
      <c r="O340" s="65"/>
      <c r="P340" s="65"/>
      <c r="Q340" s="65"/>
      <c r="R340" s="65"/>
      <c r="S340" s="65"/>
    </row>
    <row r="341" spans="3:19">
      <c r="C341" s="65"/>
      <c r="D341" s="65"/>
      <c r="E341" s="65"/>
      <c r="F341" s="65"/>
      <c r="G341" s="65"/>
      <c r="H341" s="65"/>
      <c r="I341" s="65"/>
      <c r="J341" s="65"/>
      <c r="K341" s="65"/>
      <c r="L341" s="65"/>
      <c r="M341" s="65"/>
      <c r="N341" s="65"/>
      <c r="O341" s="65"/>
      <c r="P341" s="65"/>
      <c r="Q341" s="65"/>
      <c r="R341" s="65"/>
      <c r="S341" s="65"/>
    </row>
    <row r="342" spans="3:19">
      <c r="C342" s="65"/>
      <c r="D342" s="65"/>
      <c r="E342" s="65"/>
      <c r="F342" s="65"/>
      <c r="G342" s="65"/>
      <c r="H342" s="65"/>
      <c r="I342" s="65"/>
      <c r="J342" s="65"/>
      <c r="K342" s="65"/>
      <c r="L342" s="65"/>
      <c r="M342" s="65"/>
      <c r="N342" s="65"/>
      <c r="O342" s="65"/>
      <c r="P342" s="65"/>
      <c r="Q342" s="65"/>
      <c r="R342" s="65"/>
      <c r="S342" s="65"/>
    </row>
    <row r="343" spans="3:19">
      <c r="C343" s="65"/>
      <c r="D343" s="65"/>
      <c r="E343" s="65"/>
      <c r="F343" s="65"/>
      <c r="G343" s="65"/>
      <c r="H343" s="65"/>
      <c r="I343" s="65"/>
      <c r="J343" s="65"/>
      <c r="K343" s="65"/>
      <c r="L343" s="65"/>
      <c r="M343" s="65"/>
      <c r="N343" s="65"/>
      <c r="O343" s="65"/>
      <c r="P343" s="65"/>
      <c r="Q343" s="65"/>
      <c r="R343" s="65"/>
      <c r="S343" s="65"/>
    </row>
    <row r="344" spans="3:19">
      <c r="C344" s="65"/>
      <c r="D344" s="65"/>
      <c r="E344" s="65"/>
      <c r="F344" s="65"/>
      <c r="G344" s="65"/>
      <c r="H344" s="65"/>
      <c r="I344" s="65"/>
      <c r="J344" s="65"/>
      <c r="K344" s="65"/>
      <c r="L344" s="65"/>
      <c r="M344" s="65"/>
      <c r="N344" s="65"/>
      <c r="O344" s="65"/>
      <c r="P344" s="65"/>
      <c r="Q344" s="65"/>
      <c r="R344" s="65"/>
      <c r="S344" s="65"/>
    </row>
    <row r="345" spans="3:19">
      <c r="C345" s="65"/>
      <c r="D345" s="65"/>
      <c r="E345" s="65"/>
      <c r="F345" s="65"/>
      <c r="G345" s="65"/>
      <c r="H345" s="65"/>
      <c r="I345" s="65"/>
      <c r="J345" s="65"/>
      <c r="K345" s="65"/>
      <c r="L345" s="65"/>
      <c r="M345" s="65"/>
      <c r="N345" s="65"/>
      <c r="O345" s="65"/>
      <c r="P345" s="65"/>
      <c r="Q345" s="65"/>
      <c r="R345" s="65"/>
      <c r="S345" s="65"/>
    </row>
    <row r="346" spans="3:19">
      <c r="C346" s="65"/>
      <c r="D346" s="65"/>
      <c r="E346" s="65"/>
      <c r="F346" s="65"/>
      <c r="G346" s="65"/>
      <c r="H346" s="65"/>
      <c r="I346" s="65"/>
      <c r="J346" s="65"/>
      <c r="K346" s="65"/>
      <c r="L346" s="65"/>
      <c r="M346" s="65"/>
      <c r="N346" s="65"/>
      <c r="O346" s="65"/>
      <c r="P346" s="65"/>
      <c r="Q346" s="65"/>
      <c r="R346" s="65"/>
      <c r="S346" s="65"/>
    </row>
    <row r="347" spans="3:19">
      <c r="C347" s="65"/>
      <c r="D347" s="65"/>
      <c r="E347" s="65"/>
      <c r="F347" s="65"/>
      <c r="G347" s="65"/>
      <c r="H347" s="65"/>
      <c r="I347" s="65"/>
      <c r="J347" s="65"/>
      <c r="K347" s="65"/>
      <c r="L347" s="65"/>
      <c r="M347" s="65"/>
      <c r="N347" s="65"/>
      <c r="O347" s="65"/>
      <c r="P347" s="65"/>
      <c r="Q347" s="65"/>
      <c r="R347" s="65"/>
      <c r="S347" s="65"/>
    </row>
  </sheetData>
  <mergeCells count="1">
    <mergeCell ref="B1:B3"/>
  </mergeCells>
  <phoneticPr fontId="19" type="noConversion"/>
  <pageMargins left="0.39370078740157483" right="0.19685039370078741" top="0.39370078740157483" bottom="0.39370078740157483" header="0.51181102362204722" footer="0.51181102362204722"/>
  <pageSetup scale="62" fitToHeight="3" orientation="portrait" horizontalDpi="96" r:id="rId1"/>
  <headerFooter alignWithMargins="0">
    <oddHeader>&amp;A</oddHeader>
    <oddFooter>Page &amp;P of &amp;N</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43"/>
  <sheetViews>
    <sheetView workbookViewId="0">
      <selection activeCell="B42" sqref="B42"/>
    </sheetView>
  </sheetViews>
  <sheetFormatPr defaultRowHeight="12.75"/>
  <cols>
    <col min="1" max="1" width="29.5703125" style="564" bestFit="1" customWidth="1"/>
    <col min="2" max="2" width="19.85546875" style="671" customWidth="1"/>
    <col min="3" max="3" width="12" style="564" bestFit="1" customWidth="1"/>
    <col min="4" max="256" width="9.140625" style="564"/>
    <col min="257" max="257" width="29.5703125" style="564" bestFit="1" customWidth="1"/>
    <col min="258" max="258" width="19.85546875" style="564" customWidth="1"/>
    <col min="259" max="259" width="12" style="564" bestFit="1" customWidth="1"/>
    <col min="260" max="512" width="9.140625" style="564"/>
    <col min="513" max="513" width="29.5703125" style="564" bestFit="1" customWidth="1"/>
    <col min="514" max="514" width="19.85546875" style="564" customWidth="1"/>
    <col min="515" max="515" width="12" style="564" bestFit="1" customWidth="1"/>
    <col min="516" max="768" width="9.140625" style="564"/>
    <col min="769" max="769" width="29.5703125" style="564" bestFit="1" customWidth="1"/>
    <col min="770" max="770" width="19.85546875" style="564" customWidth="1"/>
    <col min="771" max="771" width="12" style="564" bestFit="1" customWidth="1"/>
    <col min="772" max="1024" width="9.140625" style="564"/>
    <col min="1025" max="1025" width="29.5703125" style="564" bestFit="1" customWidth="1"/>
    <col min="1026" max="1026" width="19.85546875" style="564" customWidth="1"/>
    <col min="1027" max="1027" width="12" style="564" bestFit="1" customWidth="1"/>
    <col min="1028" max="1280" width="9.140625" style="564"/>
    <col min="1281" max="1281" width="29.5703125" style="564" bestFit="1" customWidth="1"/>
    <col min="1282" max="1282" width="19.85546875" style="564" customWidth="1"/>
    <col min="1283" max="1283" width="12" style="564" bestFit="1" customWidth="1"/>
    <col min="1284" max="1536" width="9.140625" style="564"/>
    <col min="1537" max="1537" width="29.5703125" style="564" bestFit="1" customWidth="1"/>
    <col min="1538" max="1538" width="19.85546875" style="564" customWidth="1"/>
    <col min="1539" max="1539" width="12" style="564" bestFit="1" customWidth="1"/>
    <col min="1540" max="1792" width="9.140625" style="564"/>
    <col min="1793" max="1793" width="29.5703125" style="564" bestFit="1" customWidth="1"/>
    <col min="1794" max="1794" width="19.85546875" style="564" customWidth="1"/>
    <col min="1795" max="1795" width="12" style="564" bestFit="1" customWidth="1"/>
    <col min="1796" max="2048" width="9.140625" style="564"/>
    <col min="2049" max="2049" width="29.5703125" style="564" bestFit="1" customWidth="1"/>
    <col min="2050" max="2050" width="19.85546875" style="564" customWidth="1"/>
    <col min="2051" max="2051" width="12" style="564" bestFit="1" customWidth="1"/>
    <col min="2052" max="2304" width="9.140625" style="564"/>
    <col min="2305" max="2305" width="29.5703125" style="564" bestFit="1" customWidth="1"/>
    <col min="2306" max="2306" width="19.85546875" style="564" customWidth="1"/>
    <col min="2307" max="2307" width="12" style="564" bestFit="1" customWidth="1"/>
    <col min="2308" max="2560" width="9.140625" style="564"/>
    <col min="2561" max="2561" width="29.5703125" style="564" bestFit="1" customWidth="1"/>
    <col min="2562" max="2562" width="19.85546875" style="564" customWidth="1"/>
    <col min="2563" max="2563" width="12" style="564" bestFit="1" customWidth="1"/>
    <col min="2564" max="2816" width="9.140625" style="564"/>
    <col min="2817" max="2817" width="29.5703125" style="564" bestFit="1" customWidth="1"/>
    <col min="2818" max="2818" width="19.85546875" style="564" customWidth="1"/>
    <col min="2819" max="2819" width="12" style="564" bestFit="1" customWidth="1"/>
    <col min="2820" max="3072" width="9.140625" style="564"/>
    <col min="3073" max="3073" width="29.5703125" style="564" bestFit="1" customWidth="1"/>
    <col min="3074" max="3074" width="19.85546875" style="564" customWidth="1"/>
    <col min="3075" max="3075" width="12" style="564" bestFit="1" customWidth="1"/>
    <col min="3076" max="3328" width="9.140625" style="564"/>
    <col min="3329" max="3329" width="29.5703125" style="564" bestFit="1" customWidth="1"/>
    <col min="3330" max="3330" width="19.85546875" style="564" customWidth="1"/>
    <col min="3331" max="3331" width="12" style="564" bestFit="1" customWidth="1"/>
    <col min="3332" max="3584" width="9.140625" style="564"/>
    <col min="3585" max="3585" width="29.5703125" style="564" bestFit="1" customWidth="1"/>
    <col min="3586" max="3586" width="19.85546875" style="564" customWidth="1"/>
    <col min="3587" max="3587" width="12" style="564" bestFit="1" customWidth="1"/>
    <col min="3588" max="3840" width="9.140625" style="564"/>
    <col min="3841" max="3841" width="29.5703125" style="564" bestFit="1" customWidth="1"/>
    <col min="3842" max="3842" width="19.85546875" style="564" customWidth="1"/>
    <col min="3843" max="3843" width="12" style="564" bestFit="1" customWidth="1"/>
    <col min="3844" max="4096" width="9.140625" style="564"/>
    <col min="4097" max="4097" width="29.5703125" style="564" bestFit="1" customWidth="1"/>
    <col min="4098" max="4098" width="19.85546875" style="564" customWidth="1"/>
    <col min="4099" max="4099" width="12" style="564" bestFit="1" customWidth="1"/>
    <col min="4100" max="4352" width="9.140625" style="564"/>
    <col min="4353" max="4353" width="29.5703125" style="564" bestFit="1" customWidth="1"/>
    <col min="4354" max="4354" width="19.85546875" style="564" customWidth="1"/>
    <col min="4355" max="4355" width="12" style="564" bestFit="1" customWidth="1"/>
    <col min="4356" max="4608" width="9.140625" style="564"/>
    <col min="4609" max="4609" width="29.5703125" style="564" bestFit="1" customWidth="1"/>
    <col min="4610" max="4610" width="19.85546875" style="564" customWidth="1"/>
    <col min="4611" max="4611" width="12" style="564" bestFit="1" customWidth="1"/>
    <col min="4612" max="4864" width="9.140625" style="564"/>
    <col min="4865" max="4865" width="29.5703125" style="564" bestFit="1" customWidth="1"/>
    <col min="4866" max="4866" width="19.85546875" style="564" customWidth="1"/>
    <col min="4867" max="4867" width="12" style="564" bestFit="1" customWidth="1"/>
    <col min="4868" max="5120" width="9.140625" style="564"/>
    <col min="5121" max="5121" width="29.5703125" style="564" bestFit="1" customWidth="1"/>
    <col min="5122" max="5122" width="19.85546875" style="564" customWidth="1"/>
    <col min="5123" max="5123" width="12" style="564" bestFit="1" customWidth="1"/>
    <col min="5124" max="5376" width="9.140625" style="564"/>
    <col min="5377" max="5377" width="29.5703125" style="564" bestFit="1" customWidth="1"/>
    <col min="5378" max="5378" width="19.85546875" style="564" customWidth="1"/>
    <col min="5379" max="5379" width="12" style="564" bestFit="1" customWidth="1"/>
    <col min="5380" max="5632" width="9.140625" style="564"/>
    <col min="5633" max="5633" width="29.5703125" style="564" bestFit="1" customWidth="1"/>
    <col min="5634" max="5634" width="19.85546875" style="564" customWidth="1"/>
    <col min="5635" max="5635" width="12" style="564" bestFit="1" customWidth="1"/>
    <col min="5636" max="5888" width="9.140625" style="564"/>
    <col min="5889" max="5889" width="29.5703125" style="564" bestFit="1" customWidth="1"/>
    <col min="5890" max="5890" width="19.85546875" style="564" customWidth="1"/>
    <col min="5891" max="5891" width="12" style="564" bestFit="1" customWidth="1"/>
    <col min="5892" max="6144" width="9.140625" style="564"/>
    <col min="6145" max="6145" width="29.5703125" style="564" bestFit="1" customWidth="1"/>
    <col min="6146" max="6146" width="19.85546875" style="564" customWidth="1"/>
    <col min="6147" max="6147" width="12" style="564" bestFit="1" customWidth="1"/>
    <col min="6148" max="6400" width="9.140625" style="564"/>
    <col min="6401" max="6401" width="29.5703125" style="564" bestFit="1" customWidth="1"/>
    <col min="6402" max="6402" width="19.85546875" style="564" customWidth="1"/>
    <col min="6403" max="6403" width="12" style="564" bestFit="1" customWidth="1"/>
    <col min="6404" max="6656" width="9.140625" style="564"/>
    <col min="6657" max="6657" width="29.5703125" style="564" bestFit="1" customWidth="1"/>
    <col min="6658" max="6658" width="19.85546875" style="564" customWidth="1"/>
    <col min="6659" max="6659" width="12" style="564" bestFit="1" customWidth="1"/>
    <col min="6660" max="6912" width="9.140625" style="564"/>
    <col min="6913" max="6913" width="29.5703125" style="564" bestFit="1" customWidth="1"/>
    <col min="6914" max="6914" width="19.85546875" style="564" customWidth="1"/>
    <col min="6915" max="6915" width="12" style="564" bestFit="1" customWidth="1"/>
    <col min="6916" max="7168" width="9.140625" style="564"/>
    <col min="7169" max="7169" width="29.5703125" style="564" bestFit="1" customWidth="1"/>
    <col min="7170" max="7170" width="19.85546875" style="564" customWidth="1"/>
    <col min="7171" max="7171" width="12" style="564" bestFit="1" customWidth="1"/>
    <col min="7172" max="7424" width="9.140625" style="564"/>
    <col min="7425" max="7425" width="29.5703125" style="564" bestFit="1" customWidth="1"/>
    <col min="7426" max="7426" width="19.85546875" style="564" customWidth="1"/>
    <col min="7427" max="7427" width="12" style="564" bestFit="1" customWidth="1"/>
    <col min="7428" max="7680" width="9.140625" style="564"/>
    <col min="7681" max="7681" width="29.5703125" style="564" bestFit="1" customWidth="1"/>
    <col min="7682" max="7682" width="19.85546875" style="564" customWidth="1"/>
    <col min="7683" max="7683" width="12" style="564" bestFit="1" customWidth="1"/>
    <col min="7684" max="7936" width="9.140625" style="564"/>
    <col min="7937" max="7937" width="29.5703125" style="564" bestFit="1" customWidth="1"/>
    <col min="7938" max="7938" width="19.85546875" style="564" customWidth="1"/>
    <col min="7939" max="7939" width="12" style="564" bestFit="1" customWidth="1"/>
    <col min="7940" max="8192" width="9.140625" style="564"/>
    <col min="8193" max="8193" width="29.5703125" style="564" bestFit="1" customWidth="1"/>
    <col min="8194" max="8194" width="19.85546875" style="564" customWidth="1"/>
    <col min="8195" max="8195" width="12" style="564" bestFit="1" customWidth="1"/>
    <col min="8196" max="8448" width="9.140625" style="564"/>
    <col min="8449" max="8449" width="29.5703125" style="564" bestFit="1" customWidth="1"/>
    <col min="8450" max="8450" width="19.85546875" style="564" customWidth="1"/>
    <col min="8451" max="8451" width="12" style="564" bestFit="1" customWidth="1"/>
    <col min="8452" max="8704" width="9.140625" style="564"/>
    <col min="8705" max="8705" width="29.5703125" style="564" bestFit="1" customWidth="1"/>
    <col min="8706" max="8706" width="19.85546875" style="564" customWidth="1"/>
    <col min="8707" max="8707" width="12" style="564" bestFit="1" customWidth="1"/>
    <col min="8708" max="8960" width="9.140625" style="564"/>
    <col min="8961" max="8961" width="29.5703125" style="564" bestFit="1" customWidth="1"/>
    <col min="8962" max="8962" width="19.85546875" style="564" customWidth="1"/>
    <col min="8963" max="8963" width="12" style="564" bestFit="1" customWidth="1"/>
    <col min="8964" max="9216" width="9.140625" style="564"/>
    <col min="9217" max="9217" width="29.5703125" style="564" bestFit="1" customWidth="1"/>
    <col min="9218" max="9218" width="19.85546875" style="564" customWidth="1"/>
    <col min="9219" max="9219" width="12" style="564" bestFit="1" customWidth="1"/>
    <col min="9220" max="9472" width="9.140625" style="564"/>
    <col min="9473" max="9473" width="29.5703125" style="564" bestFit="1" customWidth="1"/>
    <col min="9474" max="9474" width="19.85546875" style="564" customWidth="1"/>
    <col min="9475" max="9475" width="12" style="564" bestFit="1" customWidth="1"/>
    <col min="9476" max="9728" width="9.140625" style="564"/>
    <col min="9729" max="9729" width="29.5703125" style="564" bestFit="1" customWidth="1"/>
    <col min="9730" max="9730" width="19.85546875" style="564" customWidth="1"/>
    <col min="9731" max="9731" width="12" style="564" bestFit="1" customWidth="1"/>
    <col min="9732" max="9984" width="9.140625" style="564"/>
    <col min="9985" max="9985" width="29.5703125" style="564" bestFit="1" customWidth="1"/>
    <col min="9986" max="9986" width="19.85546875" style="564" customWidth="1"/>
    <col min="9987" max="9987" width="12" style="564" bestFit="1" customWidth="1"/>
    <col min="9988" max="10240" width="9.140625" style="564"/>
    <col min="10241" max="10241" width="29.5703125" style="564" bestFit="1" customWidth="1"/>
    <col min="10242" max="10242" width="19.85546875" style="564" customWidth="1"/>
    <col min="10243" max="10243" width="12" style="564" bestFit="1" customWidth="1"/>
    <col min="10244" max="10496" width="9.140625" style="564"/>
    <col min="10497" max="10497" width="29.5703125" style="564" bestFit="1" customWidth="1"/>
    <col min="10498" max="10498" width="19.85546875" style="564" customWidth="1"/>
    <col min="10499" max="10499" width="12" style="564" bestFit="1" customWidth="1"/>
    <col min="10500" max="10752" width="9.140625" style="564"/>
    <col min="10753" max="10753" width="29.5703125" style="564" bestFit="1" customWidth="1"/>
    <col min="10754" max="10754" width="19.85546875" style="564" customWidth="1"/>
    <col min="10755" max="10755" width="12" style="564" bestFit="1" customWidth="1"/>
    <col min="10756" max="11008" width="9.140625" style="564"/>
    <col min="11009" max="11009" width="29.5703125" style="564" bestFit="1" customWidth="1"/>
    <col min="11010" max="11010" width="19.85546875" style="564" customWidth="1"/>
    <col min="11011" max="11011" width="12" style="564" bestFit="1" customWidth="1"/>
    <col min="11012" max="11264" width="9.140625" style="564"/>
    <col min="11265" max="11265" width="29.5703125" style="564" bestFit="1" customWidth="1"/>
    <col min="11266" max="11266" width="19.85546875" style="564" customWidth="1"/>
    <col min="11267" max="11267" width="12" style="564" bestFit="1" customWidth="1"/>
    <col min="11268" max="11520" width="9.140625" style="564"/>
    <col min="11521" max="11521" width="29.5703125" style="564" bestFit="1" customWidth="1"/>
    <col min="11522" max="11522" width="19.85546875" style="564" customWidth="1"/>
    <col min="11523" max="11523" width="12" style="564" bestFit="1" customWidth="1"/>
    <col min="11524" max="11776" width="9.140625" style="564"/>
    <col min="11777" max="11777" width="29.5703125" style="564" bestFit="1" customWidth="1"/>
    <col min="11778" max="11778" width="19.85546875" style="564" customWidth="1"/>
    <col min="11779" max="11779" width="12" style="564" bestFit="1" customWidth="1"/>
    <col min="11780" max="12032" width="9.140625" style="564"/>
    <col min="12033" max="12033" width="29.5703125" style="564" bestFit="1" customWidth="1"/>
    <col min="12034" max="12034" width="19.85546875" style="564" customWidth="1"/>
    <col min="12035" max="12035" width="12" style="564" bestFit="1" customWidth="1"/>
    <col min="12036" max="12288" width="9.140625" style="564"/>
    <col min="12289" max="12289" width="29.5703125" style="564" bestFit="1" customWidth="1"/>
    <col min="12290" max="12290" width="19.85546875" style="564" customWidth="1"/>
    <col min="12291" max="12291" width="12" style="564" bestFit="1" customWidth="1"/>
    <col min="12292" max="12544" width="9.140625" style="564"/>
    <col min="12545" max="12545" width="29.5703125" style="564" bestFit="1" customWidth="1"/>
    <col min="12546" max="12546" width="19.85546875" style="564" customWidth="1"/>
    <col min="12547" max="12547" width="12" style="564" bestFit="1" customWidth="1"/>
    <col min="12548" max="12800" width="9.140625" style="564"/>
    <col min="12801" max="12801" width="29.5703125" style="564" bestFit="1" customWidth="1"/>
    <col min="12802" max="12802" width="19.85546875" style="564" customWidth="1"/>
    <col min="12803" max="12803" width="12" style="564" bestFit="1" customWidth="1"/>
    <col min="12804" max="13056" width="9.140625" style="564"/>
    <col min="13057" max="13057" width="29.5703125" style="564" bestFit="1" customWidth="1"/>
    <col min="13058" max="13058" width="19.85546875" style="564" customWidth="1"/>
    <col min="13059" max="13059" width="12" style="564" bestFit="1" customWidth="1"/>
    <col min="13060" max="13312" width="9.140625" style="564"/>
    <col min="13313" max="13313" width="29.5703125" style="564" bestFit="1" customWidth="1"/>
    <col min="13314" max="13314" width="19.85546875" style="564" customWidth="1"/>
    <col min="13315" max="13315" width="12" style="564" bestFit="1" customWidth="1"/>
    <col min="13316" max="13568" width="9.140625" style="564"/>
    <col min="13569" max="13569" width="29.5703125" style="564" bestFit="1" customWidth="1"/>
    <col min="13570" max="13570" width="19.85546875" style="564" customWidth="1"/>
    <col min="13571" max="13571" width="12" style="564" bestFit="1" customWidth="1"/>
    <col min="13572" max="13824" width="9.140625" style="564"/>
    <col min="13825" max="13825" width="29.5703125" style="564" bestFit="1" customWidth="1"/>
    <col min="13826" max="13826" width="19.85546875" style="564" customWidth="1"/>
    <col min="13827" max="13827" width="12" style="564" bestFit="1" customWidth="1"/>
    <col min="13828" max="14080" width="9.140625" style="564"/>
    <col min="14081" max="14081" width="29.5703125" style="564" bestFit="1" customWidth="1"/>
    <col min="14082" max="14082" width="19.85546875" style="564" customWidth="1"/>
    <col min="14083" max="14083" width="12" style="564" bestFit="1" customWidth="1"/>
    <col min="14084" max="14336" width="9.140625" style="564"/>
    <col min="14337" max="14337" width="29.5703125" style="564" bestFit="1" customWidth="1"/>
    <col min="14338" max="14338" width="19.85546875" style="564" customWidth="1"/>
    <col min="14339" max="14339" width="12" style="564" bestFit="1" customWidth="1"/>
    <col min="14340" max="14592" width="9.140625" style="564"/>
    <col min="14593" max="14593" width="29.5703125" style="564" bestFit="1" customWidth="1"/>
    <col min="14594" max="14594" width="19.85546875" style="564" customWidth="1"/>
    <col min="14595" max="14595" width="12" style="564" bestFit="1" customWidth="1"/>
    <col min="14596" max="14848" width="9.140625" style="564"/>
    <col min="14849" max="14849" width="29.5703125" style="564" bestFit="1" customWidth="1"/>
    <col min="14850" max="14850" width="19.85546875" style="564" customWidth="1"/>
    <col min="14851" max="14851" width="12" style="564" bestFit="1" customWidth="1"/>
    <col min="14852" max="15104" width="9.140625" style="564"/>
    <col min="15105" max="15105" width="29.5703125" style="564" bestFit="1" customWidth="1"/>
    <col min="15106" max="15106" width="19.85546875" style="564" customWidth="1"/>
    <col min="15107" max="15107" width="12" style="564" bestFit="1" customWidth="1"/>
    <col min="15108" max="15360" width="9.140625" style="564"/>
    <col min="15361" max="15361" width="29.5703125" style="564" bestFit="1" customWidth="1"/>
    <col min="15362" max="15362" width="19.85546875" style="564" customWidth="1"/>
    <col min="15363" max="15363" width="12" style="564" bestFit="1" customWidth="1"/>
    <col min="15364" max="15616" width="9.140625" style="564"/>
    <col min="15617" max="15617" width="29.5703125" style="564" bestFit="1" customWidth="1"/>
    <col min="15618" max="15618" width="19.85546875" style="564" customWidth="1"/>
    <col min="15619" max="15619" width="12" style="564" bestFit="1" customWidth="1"/>
    <col min="15620" max="15872" width="9.140625" style="564"/>
    <col min="15873" max="15873" width="29.5703125" style="564" bestFit="1" customWidth="1"/>
    <col min="15874" max="15874" width="19.85546875" style="564" customWidth="1"/>
    <col min="15875" max="15875" width="12" style="564" bestFit="1" customWidth="1"/>
    <col min="15876" max="16128" width="9.140625" style="564"/>
    <col min="16129" max="16129" width="29.5703125" style="564" bestFit="1" customWidth="1"/>
    <col min="16130" max="16130" width="19.85546875" style="564" customWidth="1"/>
    <col min="16131" max="16131" width="12" style="564" bestFit="1" customWidth="1"/>
    <col min="16132" max="16384" width="9.140625" style="564"/>
  </cols>
  <sheetData>
    <row r="1" spans="1:2">
      <c r="A1" s="564" t="s">
        <v>1016</v>
      </c>
      <c r="B1" s="670">
        <v>6.1</v>
      </c>
    </row>
    <row r="2" spans="1:2">
      <c r="A2" s="564" t="s">
        <v>1017</v>
      </c>
      <c r="B2" s="674">
        <v>43161.914467592593</v>
      </c>
    </row>
    <row r="3" spans="1:2">
      <c r="A3" s="564" t="s">
        <v>1018</v>
      </c>
      <c r="B3" s="671" t="s">
        <v>711</v>
      </c>
    </row>
    <row r="4" spans="1:2">
      <c r="A4" s="564" t="s">
        <v>1019</v>
      </c>
      <c r="B4" s="671" t="s">
        <v>1020</v>
      </c>
    </row>
    <row r="5" spans="1:2">
      <c r="A5" s="564" t="s">
        <v>1021</v>
      </c>
      <c r="B5" s="671" t="s">
        <v>1022</v>
      </c>
    </row>
    <row r="6" spans="1:2">
      <c r="A6" s="564" t="s">
        <v>1023</v>
      </c>
    </row>
    <row r="7" spans="1:2">
      <c r="A7" s="564" t="s">
        <v>501</v>
      </c>
      <c r="B7" s="671" t="s">
        <v>1067</v>
      </c>
    </row>
    <row r="8" spans="1:2">
      <c r="A8" s="564" t="s">
        <v>1024</v>
      </c>
      <c r="B8" s="671" t="s">
        <v>1025</v>
      </c>
    </row>
    <row r="9" spans="1:2">
      <c r="A9" s="564" t="s">
        <v>1026</v>
      </c>
      <c r="B9" s="671" t="s">
        <v>1063</v>
      </c>
    </row>
    <row r="10" spans="1:2">
      <c r="A10" s="564" t="s">
        <v>1027</v>
      </c>
    </row>
    <row r="11" spans="1:2">
      <c r="A11" s="564" t="s">
        <v>1028</v>
      </c>
    </row>
    <row r="12" spans="1:2">
      <c r="A12" s="564" t="s">
        <v>1029</v>
      </c>
    </row>
    <row r="13" spans="1:2">
      <c r="A13" s="564" t="s">
        <v>1030</v>
      </c>
    </row>
    <row r="14" spans="1:2">
      <c r="A14" s="564" t="s">
        <v>1031</v>
      </c>
    </row>
    <row r="15" spans="1:2">
      <c r="A15" s="564" t="s">
        <v>1032</v>
      </c>
    </row>
    <row r="16" spans="1:2">
      <c r="A16" s="564" t="s">
        <v>1033</v>
      </c>
    </row>
    <row r="17" spans="1:4">
      <c r="A17" s="564" t="s">
        <v>1034</v>
      </c>
      <c r="B17" s="671" t="s">
        <v>1064</v>
      </c>
    </row>
    <row r="18" spans="1:4">
      <c r="A18" s="564" t="s">
        <v>1035</v>
      </c>
      <c r="B18" s="671" t="s">
        <v>1068</v>
      </c>
    </row>
    <row r="19" spans="1:4">
      <c r="A19" s="564" t="s">
        <v>1036</v>
      </c>
      <c r="B19" s="671" t="s">
        <v>175</v>
      </c>
    </row>
    <row r="20" spans="1:4">
      <c r="A20" s="564" t="s">
        <v>1037</v>
      </c>
      <c r="B20" s="672"/>
    </row>
    <row r="21" spans="1:4">
      <c r="A21" s="564" t="s">
        <v>1038</v>
      </c>
      <c r="B21" s="671" t="s">
        <v>175</v>
      </c>
    </row>
    <row r="22" spans="1:4">
      <c r="A22" s="564" t="s">
        <v>1039</v>
      </c>
      <c r="B22" s="672">
        <v>6006886</v>
      </c>
    </row>
    <row r="23" spans="1:4">
      <c r="A23" s="564" t="s">
        <v>581</v>
      </c>
      <c r="B23" s="670">
        <v>6.71</v>
      </c>
    </row>
    <row r="24" spans="1:4">
      <c r="A24" s="564" t="s">
        <v>201</v>
      </c>
      <c r="B24" s="671" t="s">
        <v>202</v>
      </c>
      <c r="D24" s="564" t="s">
        <v>15</v>
      </c>
    </row>
    <row r="25" spans="1:4">
      <c r="A25" s="564" t="s">
        <v>1040</v>
      </c>
      <c r="B25" s="671" t="s">
        <v>1069</v>
      </c>
    </row>
    <row r="26" spans="1:4">
      <c r="A26" s="564" t="s">
        <v>1041</v>
      </c>
      <c r="B26" s="671">
        <v>0</v>
      </c>
    </row>
    <row r="27" spans="1:4">
      <c r="A27" s="564" t="s">
        <v>1042</v>
      </c>
      <c r="B27" s="671" t="s">
        <v>1043</v>
      </c>
    </row>
    <row r="28" spans="1:4">
      <c r="A28" s="564" t="s">
        <v>1044</v>
      </c>
      <c r="B28" s="671" t="s">
        <v>1045</v>
      </c>
    </row>
    <row r="29" spans="1:4">
      <c r="A29" s="564" t="s">
        <v>1046</v>
      </c>
    </row>
    <row r="30" spans="1:4">
      <c r="A30" s="564" t="s">
        <v>1047</v>
      </c>
    </row>
    <row r="31" spans="1:4">
      <c r="A31" s="564" t="s">
        <v>1048</v>
      </c>
    </row>
    <row r="32" spans="1:4">
      <c r="A32" s="564" t="s">
        <v>1049</v>
      </c>
      <c r="B32" s="670"/>
    </row>
    <row r="33" spans="1:2">
      <c r="A33" s="564" t="s">
        <v>1050</v>
      </c>
      <c r="B33" s="670"/>
    </row>
    <row r="34" spans="1:2">
      <c r="A34" s="564" t="s">
        <v>1051</v>
      </c>
      <c r="B34" s="670"/>
    </row>
    <row r="35" spans="1:2">
      <c r="A35" s="564" t="s">
        <v>1052</v>
      </c>
      <c r="B35" s="671">
        <v>1000000</v>
      </c>
    </row>
    <row r="36" spans="1:2">
      <c r="A36" s="564" t="s">
        <v>1053</v>
      </c>
      <c r="B36" s="671" t="s">
        <v>1065</v>
      </c>
    </row>
    <row r="37" spans="1:2">
      <c r="A37" s="564" t="s">
        <v>1054</v>
      </c>
      <c r="B37" s="671" t="s">
        <v>1055</v>
      </c>
    </row>
    <row r="38" spans="1:2">
      <c r="A38" s="564" t="s">
        <v>1056</v>
      </c>
      <c r="B38" s="671" t="s">
        <v>1057</v>
      </c>
    </row>
    <row r="39" spans="1:2">
      <c r="A39" s="564" t="s">
        <v>1058</v>
      </c>
      <c r="B39" s="671" t="s">
        <v>1066</v>
      </c>
    </row>
    <row r="40" spans="1:2">
      <c r="A40" s="564" t="s">
        <v>1059</v>
      </c>
      <c r="B40" s="671">
        <v>1900000950</v>
      </c>
    </row>
    <row r="41" spans="1:2">
      <c r="A41" s="564" t="s">
        <v>1060</v>
      </c>
      <c r="B41" s="671">
        <v>5</v>
      </c>
    </row>
    <row r="42" spans="1:2">
      <c r="A42" s="673" t="s">
        <v>1061</v>
      </c>
    </row>
    <row r="43" spans="1:2">
      <c r="A43" s="564" t="s">
        <v>1062</v>
      </c>
    </row>
  </sheetData>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13"/>
  <sheetViews>
    <sheetView workbookViewId="0">
      <selection activeCell="E11" sqref="E11"/>
    </sheetView>
  </sheetViews>
  <sheetFormatPr defaultRowHeight="12.75"/>
  <cols>
    <col min="1" max="1" width="28.5703125" style="564" bestFit="1" customWidth="1"/>
    <col min="2" max="256" width="9.140625" style="564"/>
    <col min="257" max="257" width="28.5703125" style="564" bestFit="1" customWidth="1"/>
    <col min="258" max="512" width="9.140625" style="564"/>
    <col min="513" max="513" width="28.5703125" style="564" bestFit="1" customWidth="1"/>
    <col min="514" max="768" width="9.140625" style="564"/>
    <col min="769" max="769" width="28.5703125" style="564" bestFit="1" customWidth="1"/>
    <col min="770" max="1024" width="9.140625" style="564"/>
    <col min="1025" max="1025" width="28.5703125" style="564" bestFit="1" customWidth="1"/>
    <col min="1026" max="1280" width="9.140625" style="564"/>
    <col min="1281" max="1281" width="28.5703125" style="564" bestFit="1" customWidth="1"/>
    <col min="1282" max="1536" width="9.140625" style="564"/>
    <col min="1537" max="1537" width="28.5703125" style="564" bestFit="1" customWidth="1"/>
    <col min="1538" max="1792" width="9.140625" style="564"/>
    <col min="1793" max="1793" width="28.5703125" style="564" bestFit="1" customWidth="1"/>
    <col min="1794" max="2048" width="9.140625" style="564"/>
    <col min="2049" max="2049" width="28.5703125" style="564" bestFit="1" customWidth="1"/>
    <col min="2050" max="2304" width="9.140625" style="564"/>
    <col min="2305" max="2305" width="28.5703125" style="564" bestFit="1" customWidth="1"/>
    <col min="2306" max="2560" width="9.140625" style="564"/>
    <col min="2561" max="2561" width="28.5703125" style="564" bestFit="1" customWidth="1"/>
    <col min="2562" max="2816" width="9.140625" style="564"/>
    <col min="2817" max="2817" width="28.5703125" style="564" bestFit="1" customWidth="1"/>
    <col min="2818" max="3072" width="9.140625" style="564"/>
    <col min="3073" max="3073" width="28.5703125" style="564" bestFit="1" customWidth="1"/>
    <col min="3074" max="3328" width="9.140625" style="564"/>
    <col min="3329" max="3329" width="28.5703125" style="564" bestFit="1" customWidth="1"/>
    <col min="3330" max="3584" width="9.140625" style="564"/>
    <col min="3585" max="3585" width="28.5703125" style="564" bestFit="1" customWidth="1"/>
    <col min="3586" max="3840" width="9.140625" style="564"/>
    <col min="3841" max="3841" width="28.5703125" style="564" bestFit="1" customWidth="1"/>
    <col min="3842" max="4096" width="9.140625" style="564"/>
    <col min="4097" max="4097" width="28.5703125" style="564" bestFit="1" customWidth="1"/>
    <col min="4098" max="4352" width="9.140625" style="564"/>
    <col min="4353" max="4353" width="28.5703125" style="564" bestFit="1" customWidth="1"/>
    <col min="4354" max="4608" width="9.140625" style="564"/>
    <col min="4609" max="4609" width="28.5703125" style="564" bestFit="1" customWidth="1"/>
    <col min="4610" max="4864" width="9.140625" style="564"/>
    <col min="4865" max="4865" width="28.5703125" style="564" bestFit="1" customWidth="1"/>
    <col min="4866" max="5120" width="9.140625" style="564"/>
    <col min="5121" max="5121" width="28.5703125" style="564" bestFit="1" customWidth="1"/>
    <col min="5122" max="5376" width="9.140625" style="564"/>
    <col min="5377" max="5377" width="28.5703125" style="564" bestFit="1" customWidth="1"/>
    <col min="5378" max="5632" width="9.140625" style="564"/>
    <col min="5633" max="5633" width="28.5703125" style="564" bestFit="1" customWidth="1"/>
    <col min="5634" max="5888" width="9.140625" style="564"/>
    <col min="5889" max="5889" width="28.5703125" style="564" bestFit="1" customWidth="1"/>
    <col min="5890" max="6144" width="9.140625" style="564"/>
    <col min="6145" max="6145" width="28.5703125" style="564" bestFit="1" customWidth="1"/>
    <col min="6146" max="6400" width="9.140625" style="564"/>
    <col min="6401" max="6401" width="28.5703125" style="564" bestFit="1" customWidth="1"/>
    <col min="6402" max="6656" width="9.140625" style="564"/>
    <col min="6657" max="6657" width="28.5703125" style="564" bestFit="1" customWidth="1"/>
    <col min="6658" max="6912" width="9.140625" style="564"/>
    <col min="6913" max="6913" width="28.5703125" style="564" bestFit="1" customWidth="1"/>
    <col min="6914" max="7168" width="9.140625" style="564"/>
    <col min="7169" max="7169" width="28.5703125" style="564" bestFit="1" customWidth="1"/>
    <col min="7170" max="7424" width="9.140625" style="564"/>
    <col min="7425" max="7425" width="28.5703125" style="564" bestFit="1" customWidth="1"/>
    <col min="7426" max="7680" width="9.140625" style="564"/>
    <col min="7681" max="7681" width="28.5703125" style="564" bestFit="1" customWidth="1"/>
    <col min="7682" max="7936" width="9.140625" style="564"/>
    <col min="7937" max="7937" width="28.5703125" style="564" bestFit="1" customWidth="1"/>
    <col min="7938" max="8192" width="9.140625" style="564"/>
    <col min="8193" max="8193" width="28.5703125" style="564" bestFit="1" customWidth="1"/>
    <col min="8194" max="8448" width="9.140625" style="564"/>
    <col min="8449" max="8449" width="28.5703125" style="564" bestFit="1" customWidth="1"/>
    <col min="8450" max="8704" width="9.140625" style="564"/>
    <col min="8705" max="8705" width="28.5703125" style="564" bestFit="1" customWidth="1"/>
    <col min="8706" max="8960" width="9.140625" style="564"/>
    <col min="8961" max="8961" width="28.5703125" style="564" bestFit="1" customWidth="1"/>
    <col min="8962" max="9216" width="9.140625" style="564"/>
    <col min="9217" max="9217" width="28.5703125" style="564" bestFit="1" customWidth="1"/>
    <col min="9218" max="9472" width="9.140625" style="564"/>
    <col min="9473" max="9473" width="28.5703125" style="564" bestFit="1" customWidth="1"/>
    <col min="9474" max="9728" width="9.140625" style="564"/>
    <col min="9729" max="9729" width="28.5703125" style="564" bestFit="1" customWidth="1"/>
    <col min="9730" max="9984" width="9.140625" style="564"/>
    <col min="9985" max="9985" width="28.5703125" style="564" bestFit="1" customWidth="1"/>
    <col min="9986" max="10240" width="9.140625" style="564"/>
    <col min="10241" max="10241" width="28.5703125" style="564" bestFit="1" customWidth="1"/>
    <col min="10242" max="10496" width="9.140625" style="564"/>
    <col min="10497" max="10497" width="28.5703125" style="564" bestFit="1" customWidth="1"/>
    <col min="10498" max="10752" width="9.140625" style="564"/>
    <col min="10753" max="10753" width="28.5703125" style="564" bestFit="1" customWidth="1"/>
    <col min="10754" max="11008" width="9.140625" style="564"/>
    <col min="11009" max="11009" width="28.5703125" style="564" bestFit="1" customWidth="1"/>
    <col min="11010" max="11264" width="9.140625" style="564"/>
    <col min="11265" max="11265" width="28.5703125" style="564" bestFit="1" customWidth="1"/>
    <col min="11266" max="11520" width="9.140625" style="564"/>
    <col min="11521" max="11521" width="28.5703125" style="564" bestFit="1" customWidth="1"/>
    <col min="11522" max="11776" width="9.140625" style="564"/>
    <col min="11777" max="11777" width="28.5703125" style="564" bestFit="1" customWidth="1"/>
    <col min="11778" max="12032" width="9.140625" style="564"/>
    <col min="12033" max="12033" width="28.5703125" style="564" bestFit="1" customWidth="1"/>
    <col min="12034" max="12288" width="9.140625" style="564"/>
    <col min="12289" max="12289" width="28.5703125" style="564" bestFit="1" customWidth="1"/>
    <col min="12290" max="12544" width="9.140625" style="564"/>
    <col min="12545" max="12545" width="28.5703125" style="564" bestFit="1" customWidth="1"/>
    <col min="12546" max="12800" width="9.140625" style="564"/>
    <col min="12801" max="12801" width="28.5703125" style="564" bestFit="1" customWidth="1"/>
    <col min="12802" max="13056" width="9.140625" style="564"/>
    <col min="13057" max="13057" width="28.5703125" style="564" bestFit="1" customWidth="1"/>
    <col min="13058" max="13312" width="9.140625" style="564"/>
    <col min="13313" max="13313" width="28.5703125" style="564" bestFit="1" customWidth="1"/>
    <col min="13314" max="13568" width="9.140625" style="564"/>
    <col min="13569" max="13569" width="28.5703125" style="564" bestFit="1" customWidth="1"/>
    <col min="13570" max="13824" width="9.140625" style="564"/>
    <col min="13825" max="13825" width="28.5703125" style="564" bestFit="1" customWidth="1"/>
    <col min="13826" max="14080" width="9.140625" style="564"/>
    <col min="14081" max="14081" width="28.5703125" style="564" bestFit="1" customWidth="1"/>
    <col min="14082" max="14336" width="9.140625" style="564"/>
    <col min="14337" max="14337" width="28.5703125" style="564" bestFit="1" customWidth="1"/>
    <col min="14338" max="14592" width="9.140625" style="564"/>
    <col min="14593" max="14593" width="28.5703125" style="564" bestFit="1" customWidth="1"/>
    <col min="14594" max="14848" width="9.140625" style="564"/>
    <col min="14849" max="14849" width="28.5703125" style="564" bestFit="1" customWidth="1"/>
    <col min="14850" max="15104" width="9.140625" style="564"/>
    <col min="15105" max="15105" width="28.5703125" style="564" bestFit="1" customWidth="1"/>
    <col min="15106" max="15360" width="9.140625" style="564"/>
    <col min="15361" max="15361" width="28.5703125" style="564" bestFit="1" customWidth="1"/>
    <col min="15362" max="15616" width="9.140625" style="564"/>
    <col min="15617" max="15617" width="28.5703125" style="564" bestFit="1" customWidth="1"/>
    <col min="15618" max="15872" width="9.140625" style="564"/>
    <col min="15873" max="15873" width="28.5703125" style="564" bestFit="1" customWidth="1"/>
    <col min="15874" max="16128" width="9.140625" style="564"/>
    <col min="16129" max="16129" width="28.5703125" style="564" bestFit="1" customWidth="1"/>
    <col min="16130" max="16384" width="9.140625" style="564"/>
  </cols>
  <sheetData>
    <row r="1" spans="1:1">
      <c r="A1" s="675" t="s">
        <v>1070</v>
      </c>
    </row>
    <row r="2" spans="1:1">
      <c r="A2" s="675" t="s">
        <v>1075</v>
      </c>
    </row>
    <row r="3" spans="1:1">
      <c r="A3" s="675" t="s">
        <v>1076</v>
      </c>
    </row>
    <row r="4" spans="1:1">
      <c r="A4" s="675" t="s">
        <v>1077</v>
      </c>
    </row>
    <row r="5" spans="1:1">
      <c r="A5" s="675" t="s">
        <v>1078</v>
      </c>
    </row>
    <row r="6" spans="1:1">
      <c r="A6" s="675" t="s">
        <v>1071</v>
      </c>
    </row>
    <row r="7" spans="1:1">
      <c r="A7" s="675" t="s">
        <v>1079</v>
      </c>
    </row>
    <row r="8" spans="1:1">
      <c r="A8" s="675" t="s">
        <v>1080</v>
      </c>
    </row>
    <row r="9" spans="1:1">
      <c r="A9" s="675" t="s">
        <v>1081</v>
      </c>
    </row>
    <row r="10" spans="1:1">
      <c r="A10" s="675" t="s">
        <v>1072</v>
      </c>
    </row>
    <row r="11" spans="1:1">
      <c r="A11" s="675" t="s">
        <v>1082</v>
      </c>
    </row>
    <row r="12" spans="1:1">
      <c r="A12" s="675" t="s">
        <v>1073</v>
      </c>
    </row>
    <row r="13" spans="1:1">
      <c r="A13" s="675" t="s">
        <v>1074</v>
      </c>
    </row>
  </sheetData>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136</vt:i4>
      </vt:variant>
    </vt:vector>
  </HeadingPairs>
  <TitlesOfParts>
    <vt:vector size="145" baseType="lpstr">
      <vt:lpstr>ImportantDisclosures</vt:lpstr>
      <vt:lpstr>Cover</vt:lpstr>
      <vt:lpstr>Fin Sum</vt:lpstr>
      <vt:lpstr>Valuation</vt:lpstr>
      <vt:lpstr>BS, CF and P&amp;L</vt:lpstr>
      <vt:lpstr>Market Drivers</vt:lpstr>
      <vt:lpstr>Segments</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Cement_00</vt:lpstr>
      <vt:lpstr>Cement_01</vt:lpstr>
      <vt:lpstr>Cement_02</vt:lpstr>
      <vt:lpstr>Cement_03</vt:lpstr>
      <vt:lpstr>Cement_04</vt:lpstr>
      <vt:lpstr>Cement_05</vt:lpstr>
      <vt:lpstr>Cement_06</vt:lpstr>
      <vt:lpstr>Cement_07</vt:lpstr>
      <vt:lpstr>Cement_08</vt:lpstr>
      <vt:lpstr>Cement_09</vt:lpstr>
      <vt:lpstr>Cement_10</vt:lpstr>
      <vt:lpstr>Cement_11</vt:lpstr>
      <vt:lpstr>Cement_12</vt:lpstr>
      <vt:lpstr>Cement_13</vt:lpstr>
      <vt:lpstr>Cement_1H00</vt:lpstr>
      <vt:lpstr>Cement_1H01</vt:lpstr>
      <vt:lpstr>Cement_1H02</vt:lpstr>
      <vt:lpstr>Cement_1H03</vt:lpstr>
      <vt:lpstr>Cement_1H04</vt:lpstr>
      <vt:lpstr>Cement_1H05</vt:lpstr>
      <vt:lpstr>Cement_1H06</vt:lpstr>
      <vt:lpstr>Cement_1H07</vt:lpstr>
      <vt:lpstr>Cement_1H08</vt:lpstr>
      <vt:lpstr>Cement_1H09</vt:lpstr>
      <vt:lpstr>Cement_1H10</vt:lpstr>
      <vt:lpstr>Cement_1H11</vt:lpstr>
      <vt:lpstr>Cement_1H12</vt:lpstr>
      <vt:lpstr>Cement_2H00</vt:lpstr>
      <vt:lpstr>Cement_2H01</vt:lpstr>
      <vt:lpstr>Cement_2H02</vt:lpstr>
      <vt:lpstr>Cement_2H03</vt:lpstr>
      <vt:lpstr>Cement_2H04</vt:lpstr>
      <vt:lpstr>Cement_2H05</vt:lpstr>
      <vt:lpstr>Cement_2H06</vt:lpstr>
      <vt:lpstr>Cement_2H07</vt:lpstr>
      <vt:lpstr>Cement_2H08</vt:lpstr>
      <vt:lpstr>Cement_2H09</vt:lpstr>
      <vt:lpstr>Cement_2H10</vt:lpstr>
      <vt:lpstr>Cement_2H11</vt:lpstr>
      <vt:lpstr>Cement_2H12</vt:lpstr>
      <vt:lpstr>Cement_99</vt:lpstr>
      <vt:lpstr>copymult</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Drivers</vt:lpstr>
      <vt:lpstr>ModPubIndex!EMAIL_ALERT</vt:lpstr>
      <vt:lpstr>IndexInformation!EmailAlert</vt:lpstr>
      <vt:lpstr>Finsum</vt:lpstr>
      <vt:lpstr>IndexInformation!FiveYearGrowthRate</vt:lpstr>
      <vt:lpstr>IndexInformation!FollowingYearEPS</vt:lpstr>
      <vt:lpstr>IndexInformation!FollowingYearTotalRevenue</vt:lpstr>
      <vt:lpstr>IndexInformation!FollowingYearTotalRevenueActual</vt:lpstr>
      <vt:lpstr>Groupfinancials</vt:lpstr>
      <vt:lpstr>ModPubIndex!HL</vt:lpstr>
      <vt:lpstr>Home</vt:lpstr>
      <vt:lpstr>ModPubIndex!IND</vt:lpstr>
      <vt:lpstr>ImportantDisclosures!Industry</vt:lpstr>
      <vt:lpstr>IndustryId</vt:lpstr>
      <vt:lpstr>ImportantDisclosures!IndustryRating</vt:lpstr>
      <vt:lpstr>InterestExpenseCopy</vt:lpstr>
      <vt:lpstr>InterestExpensePaste</vt:lpstr>
      <vt:lpstr>InterestIncomeCopy</vt:lpstr>
      <vt:lpstr>InterestIncomePaste</vt:lpstr>
      <vt:lpstr>IndexInformation!KeepVersions</vt:lpstr>
      <vt:lpstr>LanguageCode</vt:lpstr>
      <vt:lpstr>ImportantDisclosures!LastCell</vt:lpstr>
      <vt:lpstr>Linking_1</vt:lpstr>
      <vt:lpstr>Linking_12</vt:lpstr>
      <vt:lpstr>Linking_2</vt:lpstr>
      <vt:lpstr>Linking_7</vt:lpstr>
      <vt:lpstr>Linking_9</vt:lpstr>
      <vt:lpstr>IndexInformation!MacroVersion</vt:lpstr>
      <vt:lpstr>mktdrivers</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Pershare</vt:lpstr>
      <vt:lpstr>pricetarget</vt:lpstr>
      <vt:lpstr>'BS, CF and P&amp;L'!Print_Area</vt:lpstr>
      <vt:lpstr>'Fin Sum'!Print_Area</vt:lpstr>
      <vt:lpstr>Segments!Print_Area</vt:lpstr>
      <vt:lpstr>Valuation!Print_Area</vt:lpstr>
      <vt:lpstr>'BS, CF and P&amp;L'!Print_Titles</vt:lpstr>
      <vt:lpstr>Segments!Print_Titles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Segments</vt:lpstr>
      <vt:lpstr>ImportantDisclosures!SourceDefined</vt:lpstr>
      <vt:lpstr>Statements</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lpstr>Valuation</vt:lpstr>
    </vt:vector>
  </TitlesOfParts>
  <Company>ABN AMRO BANK N.V.</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2003-02-25T20:39:45Z</dcterms:created>
  <dc:creator>Todd C Scott</dc:creator>
  <cp:lastModifiedBy>Horner, Martin (Research)</cp:lastModifiedBy>
  <cp:lastPrinted>2018-02-28T07:17:01Z</cp:lastPrinted>
  <dcterms:modified xsi:type="dcterms:W3CDTF">2018-03-02T16:34:11Z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linkTarget="PROP_PLANT_EQUIP" name="PLANT_EQUIP" pid="2">
    <vt:lpwstr>#REF!</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753978</vt:lpwstr>
  </property>
  <property fmtid="{D5CDD505-2E9C-101B-9397-08002B2CF9AE}" name="ERModPubCompanyName" pid="6">
    <vt:lpwstr>Adelaide Brighton Ltd</vt:lpwstr>
  </property>
  <property fmtid="{D5CDD505-2E9C-101B-9397-08002B2CF9AE}" name="MSDH34TAG" pid="7">
    <vt:lpwstr>.TEZUF76X5TAHATHESADREYAK-00-INB160+*94600-06=90a57124/-1e36/-11e8/-a36b/-97f10757d665,MD=20180302114310/-0500,ZZ=000Z-d9da.</vt:lpwstr>
  </property>
</Properties>
</file>